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<sst xmlns="http://schemas.openxmlformats.org/spreadsheetml/2006/main" count="98" uniqueCount="59">
  <si>
    <t>weights</t>
  </si>
  <si>
    <t>APA</t>
  </si>
  <si>
    <t>BA</t>
  </si>
  <si>
    <t>BAX</t>
  </si>
  <si>
    <t>BMY</t>
  </si>
  <si>
    <t>CMCSA</t>
  </si>
  <si>
    <t>CNP</t>
  </si>
  <si>
    <t>CPB</t>
  </si>
  <si>
    <t>DE</t>
  </si>
  <si>
    <t>HPQ</t>
  </si>
  <si>
    <t>JCI</t>
  </si>
  <si>
    <t>JPM</t>
  </si>
  <si>
    <t>LUV</t>
  </si>
  <si>
    <t>MO</t>
  </si>
  <si>
    <t>MRSH</t>
  </si>
  <si>
    <t>MSFT</t>
  </si>
  <si>
    <t>NI</t>
  </si>
  <si>
    <t>PCAR</t>
  </si>
  <si>
    <t>PSA</t>
  </si>
  <si>
    <t>SHW</t>
  </si>
  <si>
    <t>T</t>
  </si>
  <si>
    <t>TGT</t>
  </si>
  <si>
    <t>TMO</t>
  </si>
  <si>
    <t>TXT</t>
  </si>
  <si>
    <t>VZ</t>
  </si>
  <si>
    <t>ZION</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</si>
  <si>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</si>
  <si>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</si>
  <si>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</si>
  <si>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</si>
  <si>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</si>
  <si>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</si>
  <si>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</si>
  <si>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</si>
  <si>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</si>
  <si>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</si>
  <si>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</si>
  <si>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</si>
  <si>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</si>
  <si>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</si>
  <si>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</si>
  <si>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</si>
  <si>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</si>
  <si>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</si>
  <si>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</si>
  <si>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</si>
  <si>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</si>
  <si>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</si>
  <si>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</si>
  <si>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</si>
  <si>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</si>
  <si>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</si>
  <si>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</si>
  <si>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2020-2024,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</si>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</sst>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ALP62"/>
  <sheetViews>
    <sheetView showGridLines="0" tabSelected="1" workbookViewId="0"/>
  </sheetViews>
  <sheetFormatPr defaultRowHeight="15"/>
  <cols>
    <col min="1" max="1" width="36.7109375" customWidth="1"/>
    <col min="2" max="1004" width="11.7109375" style="1" customWidth="1"/>
  </cols>
  <sheetData>
    <row r="1" spans="1:11">
      <c r="A1" s="2" t="s">
        <v>58</v>
      </c>
    </row>
    <row r="2" spans="1:11" ht="215" customHeight="1">
      <c r="A2" s="3" t="s">
        <v>53</v>
      </c>
      <c r="B2" s="3"/>
      <c r="C2" s="3"/>
      <c r="D2" s="3"/>
      <c r="E2" s="3"/>
      <c r="F2" s="3"/>
      <c r="G2" s="3"/>
      <c r="H2" s="3"/>
      <c r="I2" s="3"/>
      <c r="J2" s="3"/>
      <c r="K2" s="3"/>
    </row>
    <row r="3" spans="1:11">
      <c r="A3" s="4" t="s">
        <v>54</v>
      </c>
    </row>
    <row r="4" spans="1:11">
      <c r="B4" s="5" t="s">
        <v>52</v>
      </c>
    </row>
    <row r="5" spans="1:11">
      <c r="A5" s="5" t="s">
        <v>27</v>
      </c>
    </row>
    <row r="6" spans="1:11">
      <c r="A6" s="5" t="s">
        <v>28</v>
      </c>
      <c r="B6" s="6">
        <f>1453</f>
        <v>0</v>
      </c>
    </row>
    <row r="7" spans="1:11">
      <c r="A7" s="5" t="s">
        <v>29</v>
      </c>
      <c r="B7" s="7">
        <f>AVERAGE(Portfolios!$B$2:$B$1004) * 252</f>
        <v>0</v>
      </c>
    </row>
    <row r="8" spans="1:11">
      <c r="A8" s="5" t="s">
        <v>30</v>
      </c>
      <c r="B8" s="7">
        <f t="array" ref="B8">PRODUCT(1 + Portfolios!$B$2:$B$1004)^(252/1453)-1</f>
        <v>0</v>
      </c>
    </row>
    <row r="9" spans="1:11">
      <c r="A9" s="5" t="s">
        <v>31</v>
      </c>
      <c r="B9" s="7">
        <f>0</f>
        <v>0</v>
      </c>
    </row>
    <row r="10" spans="1:11">
      <c r="A10" s="5" t="s">
        <v>32</v>
      </c>
      <c r="B10" s="7">
        <f>0.05</f>
        <v>0</v>
      </c>
    </row>
    <row r="12" spans="1:11">
      <c r="A12" s="5" t="s">
        <v>33</v>
      </c>
    </row>
    <row r="13" spans="1:11">
      <c r="A13" s="5" t="s">
        <v>34</v>
      </c>
      <c r="B13" s="7">
        <f>STDEV(Portfolios!$B$2:$B$1004) * SQRT(252)</f>
        <v>0</v>
      </c>
    </row>
    <row r="14" spans="1:11">
      <c r="A14" s="5" t="s">
        <v>35</v>
      </c>
      <c r="B14" s="7">
        <f>AVERAGE(Absdev!$B$2:$B$1004) * SQRT(252)</f>
        <v>0</v>
      </c>
    </row>
    <row r="15" spans="1:11">
      <c r="A15" s="5" t="s">
        <v>36</v>
      </c>
      <c r="B15" s="7">
        <f>SQRT(SUMSQ(devBelowMean!$B$2:$B$1004)/(COUNT(devBelowMean!$B$2:$B$1004) - 1)) * SQRT(252)</f>
        <v>0</v>
      </c>
    </row>
    <row r="16" spans="1:11">
      <c r="A16" s="5" t="s">
        <v>37</v>
      </c>
      <c r="B16" s="7">
        <f>AVERAGE(devBelowTarget!$B$2:$B$1004) * SQRT(252)</f>
        <v>0</v>
      </c>
    </row>
    <row r="17" spans="1:2">
      <c r="A17" s="5" t="s">
        <v>38</v>
      </c>
      <c r="B17" s="7">
        <f>SQRT(SUMSQ(devBelowTarget!$B$2:$B$1004)/(COUNT(devBelowTarget!$B$2:$B$1004) - 1)) * SQRT(252)</f>
        <v>0</v>
      </c>
    </row>
    <row r="18" spans="1:2">
      <c r="A18" s="5" t="s">
        <v>39</v>
      </c>
      <c r="B18" s="7">
        <f>-SMALL(Portfolios!$B$2:$B$1004,ROUNDUP(COUNT(Portfolios!$B$2:$B$1004)*B10,0)) * SQRT(252)</f>
        <v>0</v>
      </c>
    </row>
    <row r="19" spans="1:2">
      <c r="A19" s="5" t="s">
        <v>40</v>
      </c>
      <c r="B19" s="7">
        <f>-((SUMIF(Portfolios!$B$2:$B$1004,"&lt;="&amp;(-B18/SQRT(252)),Portfolios!$B$2:$B$1004)-ROUNDUP(COUNT(Portfolios!$B$2:$B$1004)*B10,0)*(-B18/SQRT(252)))/(COUNT(Portfolios!$B$2:$B$1004)*B10)-B18/SQRT(252)) * SQRT(252)</f>
        <v>0</v>
      </c>
    </row>
    <row r="20" spans="1:2">
      <c r="A20" s="5" t="s">
        <v>41</v>
      </c>
      <c r="B20" s="7">
        <f>0.025027814137976202 * SQRT(252)</f>
        <v>0</v>
      </c>
    </row>
    <row r="21" spans="1:2">
      <c r="A21" s="5" t="s">
        <v>42</v>
      </c>
      <c r="B21" s="7">
        <f>-MIN(Portfolios!$B$2:$B$1004) * SQRT(252)</f>
        <v>0</v>
      </c>
    </row>
    <row r="22" spans="1:2">
      <c r="A22" s="5" t="s">
        <v>43</v>
      </c>
      <c r="B22" s="8">
        <f>SKEW(Portfolios!$B$2:$B$1004)</f>
        <v>0</v>
      </c>
    </row>
    <row r="23" spans="1:2">
      <c r="A23" s="5" t="s">
        <v>44</v>
      </c>
      <c r="B23" s="8">
        <f>KURT(Portfolios!$B$2:$B$1004)</f>
        <v>0</v>
      </c>
    </row>
    <row r="25" spans="1:2">
      <c r="A25" s="5" t="s">
        <v>45</v>
      </c>
    </row>
    <row r="26" spans="1:2">
      <c r="A26" s="5" t="s">
        <v>46</v>
      </c>
      <c r="B26" s="7">
        <f>SQRT(SUMSQ(Drawdown!$B$2:$B$1004)/COUNT(Drawdown!$B$2:$B$1004))</f>
        <v>0</v>
      </c>
    </row>
    <row r="27" spans="1:2">
      <c r="A27" s="5" t="s">
        <v>47</v>
      </c>
      <c r="B27" s="7">
        <f>AVERAGE(Drawdown!$B$2:$B$1004)</f>
        <v>0</v>
      </c>
    </row>
    <row r="28" spans="1:2">
      <c r="A28" s="5" t="s">
        <v>48</v>
      </c>
      <c r="B28" s="7">
        <f>+LARGE(Drawdown!$B$2:$B$1004,ROUNDUP(COUNT(Drawdown!$B$2:$B$1004)*B10,0))</f>
        <v>0</v>
      </c>
    </row>
    <row r="29" spans="1:2">
      <c r="A29" s="5" t="s">
        <v>49</v>
      </c>
      <c r="B29" s="7">
        <f>((SUMIF(Drawdown!$B$2:$B$1004,"&gt;="&amp;LARGE(Drawdown!$B$2:$B$1004,ROUNDUP(COUNT(Drawdown!$B$2:$B$1004)*B10,0)),Drawdown!$B$2:$B$1004)-ROUNDUP(COUNT(Drawdown!$B$2:$B$1004)*B10,0)*LARGE(Drawdown!$B$2:$B$1004,ROUNDUP(COUNT(Drawdown!$B$2:$B$1004)*B10,0)))/(COUNT(Drawdown!$B$2:$B$1004)*B10)+LARGE(Drawdown!$B$2:$B$1004,ROUNDUP(COUNT(Drawdown!$B$2:$B$1004)*B10,0)))</f>
        <v>0</v>
      </c>
    </row>
    <row r="30" spans="1:2">
      <c r="A30" s="5" t="s">
        <v>50</v>
      </c>
      <c r="B30" s="7">
        <f>0.10194470229897305</f>
        <v>0</v>
      </c>
    </row>
    <row r="31" spans="1:2">
      <c r="A31" s="5" t="s">
        <v>51</v>
      </c>
      <c r="B31" s="7">
        <f>MAX(Drawdown!$B$2:$B$1004)</f>
        <v>0</v>
      </c>
    </row>
    <row r="32" spans="1:2">
      <c r="A32" t="s">
        <v>55</v>
      </c>
    </row>
    <row r="33" spans="1:2">
      <c r="A33" t="s">
        <v>56</v>
      </c>
    </row>
    <row r="34" spans="1:2">
      <c r="A34" t="s">
        <v>57</v>
      </c>
    </row>
    <row r="37" spans="1:2">
      <c r="B37" s="5" t="s">
        <v>52</v>
      </c>
    </row>
    <row r="38" spans="1:2">
      <c r="A38" s="9" t="s">
        <v>1</v>
      </c>
      <c r="B38" s="1">
        <v>7.760021106971709E-10</v>
      </c>
    </row>
    <row r="39" spans="1:2">
      <c r="A39" s="9" t="s">
        <v>2</v>
      </c>
      <c r="B39" s="1">
        <v>0.05523029337221411</v>
      </c>
    </row>
    <row r="40" spans="1:2">
      <c r="A40" s="9" t="s">
        <v>3</v>
      </c>
      <c r="B40" s="1">
        <v>0.102931568128707</v>
      </c>
    </row>
    <row r="41" spans="1:2">
      <c r="A41" s="9" t="s">
        <v>4</v>
      </c>
      <c r="B41" s="1">
        <v>1.929434621802235E-09</v>
      </c>
    </row>
    <row r="42" spans="1:2">
      <c r="A42" s="9" t="s">
        <v>5</v>
      </c>
      <c r="B42" s="1">
        <v>8.434538941410524E-09</v>
      </c>
    </row>
    <row r="43" spans="1:2">
      <c r="A43" s="9" t="s">
        <v>6</v>
      </c>
      <c r="B43" s="1">
        <v>0.07840920633749716</v>
      </c>
    </row>
    <row r="44" spans="1:2">
      <c r="A44" s="9" t="s">
        <v>7</v>
      </c>
      <c r="B44" s="1">
        <v>4.276712226891472E-09</v>
      </c>
    </row>
    <row r="45" spans="1:2">
      <c r="A45" s="9" t="s">
        <v>8</v>
      </c>
      <c r="B45" s="1">
        <v>0.0265298313397433</v>
      </c>
    </row>
    <row r="46" spans="1:2">
      <c r="A46" s="9" t="s">
        <v>9</v>
      </c>
      <c r="B46" s="1">
        <v>3.487562835283825E-09</v>
      </c>
    </row>
    <row r="47" spans="1:2">
      <c r="A47" s="9" t="s">
        <v>10</v>
      </c>
      <c r="B47" s="1">
        <v>3.606462744483296E-09</v>
      </c>
    </row>
    <row r="48" spans="1:2">
      <c r="A48" s="9" t="s">
        <v>11</v>
      </c>
      <c r="B48" s="1">
        <v>0.07459229155784917</v>
      </c>
    </row>
    <row r="49" spans="1:2">
      <c r="A49" s="9" t="s">
        <v>12</v>
      </c>
      <c r="B49" s="1">
        <v>2.172938774406822E-09</v>
      </c>
    </row>
    <row r="50" spans="1:2">
      <c r="A50" s="9" t="s">
        <v>13</v>
      </c>
      <c r="B50" s="1">
        <v>2.677018084112185E-09</v>
      </c>
    </row>
    <row r="51" spans="1:2">
      <c r="A51" s="9" t="s">
        <v>14</v>
      </c>
      <c r="B51" s="1">
        <v>0.1935523071203795</v>
      </c>
    </row>
    <row r="52" spans="1:2">
      <c r="A52" s="9" t="s">
        <v>15</v>
      </c>
      <c r="B52" s="1">
        <v>0.1641201956961135</v>
      </c>
    </row>
    <row r="53" spans="1:2">
      <c r="A53" s="9" t="s">
        <v>16</v>
      </c>
      <c r="B53" s="1">
        <v>0.1058426310891806</v>
      </c>
    </row>
    <row r="54" spans="1:2">
      <c r="A54" s="9" t="s">
        <v>17</v>
      </c>
      <c r="B54" s="1">
        <v>4.211967182166913E-09</v>
      </c>
    </row>
    <row r="55" spans="1:2">
      <c r="A55" s="9" t="s">
        <v>18</v>
      </c>
      <c r="B55" s="1">
        <v>2.946694678191999E-09</v>
      </c>
    </row>
    <row r="56" spans="1:2">
      <c r="A56" s="9" t="s">
        <v>19</v>
      </c>
      <c r="B56" s="1">
        <v>0.09415930690265333</v>
      </c>
    </row>
    <row r="57" spans="1:2">
      <c r="A57" s="9" t="s">
        <v>20</v>
      </c>
      <c r="B57" s="1">
        <v>1.58863565891109E-08</v>
      </c>
    </row>
    <row r="58" spans="1:2">
      <c r="A58" s="9" t="s">
        <v>21</v>
      </c>
      <c r="B58" s="1">
        <v>0.06816472116212205</v>
      </c>
    </row>
    <row r="59" spans="1:2">
      <c r="A59" s="9" t="s">
        <v>22</v>
      </c>
      <c r="B59" s="1">
        <v>2.123637917599066E-08</v>
      </c>
    </row>
    <row r="60" spans="1:2">
      <c r="A60" s="9" t="s">
        <v>23</v>
      </c>
      <c r="B60" s="1">
        <v>1.118696778805264E-09</v>
      </c>
    </row>
    <row r="61" spans="1:2">
      <c r="A61" s="9" t="s">
        <v>24</v>
      </c>
      <c r="B61" s="1">
        <v>0.03646756651146728</v>
      </c>
    </row>
    <row r="62" spans="1:2">
      <c r="A62" s="9" t="s">
        <v>25</v>
      </c>
      <c r="B62" s="1">
        <v>8.021308117731695E-09</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P1004"/>
  <sheetViews>
    <sheetView showGridLines="0" workbookViewId="0"/>
  </sheetViews>
  <sheetFormatPr defaultRowHeight="15"/>
  <cols>
    <col min="1" max="1" width="10.7109375" style="10" customWidth="1"/>
    <col min="2" max="1004" width="9.7109375" style="1" customWidth="1"/>
  </cols>
  <sheetData>
    <row r="1" spans="1:26">
      <c r="A1" s="5" t="s">
        <v>26</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row>
    <row r="2" spans="1:26">
      <c r="A2" s="11">
        <v>42374</v>
      </c>
      <c r="B2" s="1">
        <v>-0.02025717203957578</v>
      </c>
      <c r="C2" s="1">
        <v>0.004056857276755421</v>
      </c>
      <c r="D2" s="1">
        <v>0.004035445957796258</v>
      </c>
      <c r="E2" s="1">
        <v>0.01969250196679373</v>
      </c>
      <c r="F2" s="1">
        <v>0.0001792996324692098</v>
      </c>
      <c r="G2" s="1">
        <v>0.00930516465721043</v>
      </c>
      <c r="H2" s="1">
        <v>0.003678095229256773</v>
      </c>
      <c r="I2" s="1">
        <v>0.005782739239646117</v>
      </c>
      <c r="J2" s="1">
        <v>0.009482491470785837</v>
      </c>
      <c r="K2" s="1">
        <v>-0.01195332659187665</v>
      </c>
      <c r="L2" s="1">
        <v>0.001728977630248485</v>
      </c>
      <c r="M2" s="1">
        <v>0.01191620645320945</v>
      </c>
      <c r="N2" s="1">
        <v>0.02021207879557152</v>
      </c>
      <c r="O2" s="1">
        <v>0.008284310942314521</v>
      </c>
      <c r="P2" s="1">
        <v>0.004562023502477475</v>
      </c>
      <c r="Q2" s="1">
        <v>0.01588083134398754</v>
      </c>
      <c r="R2" s="1">
        <v>0.0002120462204262541</v>
      </c>
      <c r="S2" s="1">
        <v>0.02823577224743001</v>
      </c>
      <c r="T2" s="1">
        <v>0.004043508742096025</v>
      </c>
      <c r="U2" s="1">
        <v>0.006986739682893539</v>
      </c>
      <c r="V2" s="1">
        <v>0.01753895312143805</v>
      </c>
      <c r="W2" s="1">
        <v>-0.001729589600083625</v>
      </c>
      <c r="X2" s="1">
        <v>0.002409506593653354</v>
      </c>
      <c r="Y2" s="1">
        <v>0.01373395844909653</v>
      </c>
      <c r="Z2" s="1">
        <v>-0.01085711453208738</v>
      </c>
    </row>
    <row r="3" spans="1:26">
      <c r="A3" s="11">
        <v>42375</v>
      </c>
      <c r="B3" s="1">
        <v>-0.114862749508878</v>
      </c>
      <c r="C3" s="1">
        <v>-0.01587873706290555</v>
      </c>
      <c r="D3" s="1">
        <v>0.002411560000533886</v>
      </c>
      <c r="E3" s="1">
        <v>-0.01755639479818094</v>
      </c>
      <c r="F3" s="1">
        <v>-0.007726400100152464</v>
      </c>
      <c r="G3" s="1">
        <v>-0.0124730290225511</v>
      </c>
      <c r="H3" s="1">
        <v>-0.001736187829116886</v>
      </c>
      <c r="I3" s="1">
        <v>-0.01123845161115733</v>
      </c>
      <c r="J3" s="1">
        <v>-0.03586672160251914</v>
      </c>
      <c r="K3" s="1">
        <v>-0.00955109008363586</v>
      </c>
      <c r="L3" s="1">
        <v>-0.01443578255691558</v>
      </c>
      <c r="M3" s="1">
        <v>0.009184803384890472</v>
      </c>
      <c r="N3" s="1">
        <v>0.01058956552196699</v>
      </c>
      <c r="O3" s="1">
        <v>-0.01205006558294641</v>
      </c>
      <c r="P3" s="1">
        <v>-0.01816546275574815</v>
      </c>
      <c r="Q3" s="1">
        <v>0.005547608066838183</v>
      </c>
      <c r="R3" s="1">
        <v>0.000211913006048281</v>
      </c>
      <c r="S3" s="1">
        <v>0.001592057089206733</v>
      </c>
      <c r="T3" s="1">
        <v>-0.02893106014304025</v>
      </c>
      <c r="U3" s="1">
        <v>0.003108127655176984</v>
      </c>
      <c r="V3" s="1">
        <v>-0.01015498663023784</v>
      </c>
      <c r="W3" s="1">
        <v>-0.007653004384838069</v>
      </c>
      <c r="X3" s="1">
        <v>-0.03004806405885585</v>
      </c>
      <c r="Y3" s="1">
        <v>-0.009033815541403145</v>
      </c>
      <c r="Z3" s="1">
        <v>-0.02914474711617576</v>
      </c>
    </row>
    <row r="4" spans="1:26">
      <c r="A4" s="11">
        <v>42376</v>
      </c>
      <c r="B4" s="1">
        <v>-0.05138878685322623</v>
      </c>
      <c r="C4" s="1">
        <v>-0.04192138095027709</v>
      </c>
      <c r="D4" s="1">
        <v>-0.0165733486403965</v>
      </c>
      <c r="E4" s="1">
        <v>-0.02769923791264661</v>
      </c>
      <c r="F4" s="1">
        <v>-0.01104708745187288</v>
      </c>
      <c r="G4" s="1">
        <v>-0.01976930166891466</v>
      </c>
      <c r="H4" s="1">
        <v>-0.01220622467806942</v>
      </c>
      <c r="I4" s="1">
        <v>-0.008855628679891758</v>
      </c>
      <c r="J4" s="1">
        <v>-0.04605765915539295</v>
      </c>
      <c r="K4" s="1">
        <v>-0.02539406183682436</v>
      </c>
      <c r="L4" s="1">
        <v>-0.04043937189558555</v>
      </c>
      <c r="M4" s="1">
        <v>-0.02100381613586078</v>
      </c>
      <c r="N4" s="1">
        <v>-0.01740753726338939</v>
      </c>
      <c r="O4" s="1">
        <v>-0.007577373579893076</v>
      </c>
      <c r="P4" s="1">
        <v>-0.03478242460036163</v>
      </c>
      <c r="Q4" s="1">
        <v>-0.02206646401754375</v>
      </c>
      <c r="R4" s="1">
        <v>-0.03030922860771856</v>
      </c>
      <c r="S4" s="1">
        <v>-0.01041044755351139</v>
      </c>
      <c r="T4" s="1">
        <v>-0.02741804736280762</v>
      </c>
      <c r="U4" s="1">
        <v>-0.01614818517200267</v>
      </c>
      <c r="V4" s="1">
        <v>-0.002699533825623046</v>
      </c>
      <c r="W4" s="1">
        <v>-0.02284464316092083</v>
      </c>
      <c r="X4" s="1">
        <v>-0.020570126132198</v>
      </c>
      <c r="Y4" s="1">
        <v>-0.00549257113656465</v>
      </c>
      <c r="Z4" s="1">
        <v>-0.03001956255736926</v>
      </c>
    </row>
    <row r="5" spans="1:26">
      <c r="A5" s="11">
        <v>42377</v>
      </c>
      <c r="B5" s="1">
        <v>0.002736043064080818</v>
      </c>
      <c r="C5" s="1">
        <v>-0.02270510260886649</v>
      </c>
      <c r="D5" s="1">
        <v>-0.01603669105039973</v>
      </c>
      <c r="E5" s="1">
        <v>-0.02542497011306977</v>
      </c>
      <c r="F5" s="1">
        <v>0.001099014817290689</v>
      </c>
      <c r="G5" s="1">
        <v>-0.00224117567808102</v>
      </c>
      <c r="H5" s="1">
        <v>0.005706243284800294</v>
      </c>
      <c r="I5" s="1">
        <v>-0.01640201694709364</v>
      </c>
      <c r="J5" s="1">
        <v>-0.01764230512036868</v>
      </c>
      <c r="K5" s="1">
        <v>-0.001648832864816319</v>
      </c>
      <c r="L5" s="1">
        <v>-0.02239936406772025</v>
      </c>
      <c r="M5" s="1">
        <v>0.006198442620690914</v>
      </c>
      <c r="N5" s="1">
        <v>0.00172027230905436</v>
      </c>
      <c r="O5" s="1">
        <v>-0.01396636565149634</v>
      </c>
      <c r="P5" s="1">
        <v>0.003067212441900447</v>
      </c>
      <c r="Q5" s="1">
        <v>-0.001538070258489399</v>
      </c>
      <c r="R5" s="1">
        <v>-0.0113661409247503</v>
      </c>
      <c r="S5" s="1">
        <v>-0.007307749850108514</v>
      </c>
      <c r="T5" s="1">
        <v>0.0008283549633001375</v>
      </c>
      <c r="U5" s="1">
        <v>0.0008950966693470619</v>
      </c>
      <c r="V5" s="1">
        <v>-0.03383893967448226</v>
      </c>
      <c r="W5" s="1">
        <v>-0.001116655505973285</v>
      </c>
      <c r="X5" s="1">
        <v>-0.01138655759794349</v>
      </c>
      <c r="Y5" s="1">
        <v>-0.009719315925976413</v>
      </c>
      <c r="Z5" s="1">
        <v>-0.0112537929715848</v>
      </c>
    </row>
    <row r="6" spans="1:26">
      <c r="A6" s="11">
        <v>42380</v>
      </c>
      <c r="B6" s="1">
        <v>-0.0433834416306349</v>
      </c>
      <c r="C6" s="1">
        <v>0.001692375703479465</v>
      </c>
      <c r="D6" s="1">
        <v>-0.01685069209428247</v>
      </c>
      <c r="E6" s="1">
        <v>-0.0102154135148369</v>
      </c>
      <c r="F6" s="1">
        <v>0.000914353122688949</v>
      </c>
      <c r="G6" s="1">
        <v>-0.01179110422968577</v>
      </c>
      <c r="H6" s="1">
        <v>0.005674300486182782</v>
      </c>
      <c r="I6" s="1">
        <v>0.005287573165653869</v>
      </c>
      <c r="J6" s="1">
        <v>0.006616071263913392</v>
      </c>
      <c r="K6" s="1">
        <v>0.0003306029346352712</v>
      </c>
      <c r="L6" s="1">
        <v>-0.001527352231001089</v>
      </c>
      <c r="M6" s="1">
        <v>-0.004027588019918982</v>
      </c>
      <c r="N6" s="1">
        <v>0.02094742428065333</v>
      </c>
      <c r="O6" s="1">
        <v>-0.01454200070069323</v>
      </c>
      <c r="P6" s="1">
        <v>-0.000573396128755066</v>
      </c>
      <c r="Q6" s="1">
        <v>0.01643552512616941</v>
      </c>
      <c r="R6" s="1">
        <v>0</v>
      </c>
      <c r="S6" s="1">
        <v>0.009869251982032923</v>
      </c>
      <c r="T6" s="1">
        <v>0.0008272507101336757</v>
      </c>
      <c r="U6" s="1">
        <v>0.01222423234506187</v>
      </c>
      <c r="V6" s="1">
        <v>0.01457009486256089</v>
      </c>
      <c r="W6" s="1">
        <v>0.005366407794177963</v>
      </c>
      <c r="X6" s="1">
        <v>-0.004607101661255997</v>
      </c>
      <c r="Y6" s="1">
        <v>0.005799657761208499</v>
      </c>
      <c r="Z6" s="1">
        <v>-0.01991858089185528</v>
      </c>
    </row>
    <row r="7" spans="1:26">
      <c r="A7" s="11">
        <v>42381</v>
      </c>
      <c r="B7" s="1">
        <v>0.01026791362756452</v>
      </c>
      <c r="C7" s="1">
        <v>0.0131327560710055</v>
      </c>
      <c r="D7" s="1">
        <v>-0.003090952545859116</v>
      </c>
      <c r="E7" s="1">
        <v>0.007303824320899599</v>
      </c>
      <c r="F7" s="1">
        <v>0.002740942886689135</v>
      </c>
      <c r="G7" s="1">
        <v>-0.01704547372568832</v>
      </c>
      <c r="H7" s="1">
        <v>0.04046698857161957</v>
      </c>
      <c r="I7" s="1">
        <v>0.004989617416528036</v>
      </c>
      <c r="J7" s="1">
        <v>0.01596270804186983</v>
      </c>
      <c r="K7" s="1">
        <v>0.009577025568956454</v>
      </c>
      <c r="L7" s="1">
        <v>0.002209559719027698</v>
      </c>
      <c r="M7" s="1">
        <v>0.01522322763454609</v>
      </c>
      <c r="N7" s="1">
        <v>-0.001345377691935656</v>
      </c>
      <c r="O7" s="1">
        <v>0.0093903085906617</v>
      </c>
      <c r="P7" s="1">
        <v>0.009177505885209047</v>
      </c>
      <c r="Q7" s="1">
        <v>-0.01263282873336447</v>
      </c>
      <c r="R7" s="1">
        <v>-0.000884285445906019</v>
      </c>
      <c r="S7" s="1">
        <v>0.002002473847682262</v>
      </c>
      <c r="T7" s="1">
        <v>0.01839080051083175</v>
      </c>
      <c r="U7" s="1">
        <v>-0.001472493543148601</v>
      </c>
      <c r="V7" s="1">
        <v>0.01298000430860635</v>
      </c>
      <c r="W7" s="1">
        <v>0.01549566986744888</v>
      </c>
      <c r="X7" s="1">
        <v>0.004885576617805976</v>
      </c>
      <c r="Y7" s="1">
        <v>-0.003548485929296352</v>
      </c>
      <c r="Z7" s="1">
        <v>-0.004147944194314857</v>
      </c>
    </row>
    <row r="8" spans="1:26">
      <c r="A8" s="11">
        <v>42382</v>
      </c>
      <c r="B8" s="1">
        <v>0.005082095249027807</v>
      </c>
      <c r="C8" s="1">
        <v>-0.02880558389549814</v>
      </c>
      <c r="D8" s="1">
        <v>-0.018320217439738</v>
      </c>
      <c r="E8" s="1">
        <v>-0.03404786044725661</v>
      </c>
      <c r="F8" s="1">
        <v>-0.02405638485789285</v>
      </c>
      <c r="G8" s="1">
        <v>-0.01329464379584977</v>
      </c>
      <c r="H8" s="1">
        <v>-0.01290226923484594</v>
      </c>
      <c r="I8" s="1">
        <v>-0.01744484294668702</v>
      </c>
      <c r="J8" s="1">
        <v>-0.02218122223022256</v>
      </c>
      <c r="K8" s="1">
        <v>-0.02486098306631057</v>
      </c>
      <c r="L8" s="1">
        <v>-0.02747616748831339</v>
      </c>
      <c r="M8" s="1">
        <v>-0.05342049224736778</v>
      </c>
      <c r="N8" s="1">
        <v>-0.02694505095068234</v>
      </c>
      <c r="O8" s="1">
        <v>-0.008353791942193545</v>
      </c>
      <c r="P8" s="1">
        <v>-0.02159897004096101</v>
      </c>
      <c r="Q8" s="1">
        <v>-0.003582190994164347</v>
      </c>
      <c r="R8" s="1">
        <v>-0.0196946307772643</v>
      </c>
      <c r="S8" s="1">
        <v>-0.00327762466372894</v>
      </c>
      <c r="T8" s="1">
        <v>-0.02134611721444335</v>
      </c>
      <c r="U8" s="1">
        <v>-0.004719931364977836</v>
      </c>
      <c r="V8" s="1">
        <v>-0.02344631293873944</v>
      </c>
      <c r="W8" s="1">
        <v>-0.02336256662213598</v>
      </c>
      <c r="X8" s="1">
        <v>-0.02891504172436332</v>
      </c>
      <c r="Y8" s="1">
        <v>-0.01736024965261906</v>
      </c>
      <c r="Z8" s="1">
        <v>-0.04664714432914996</v>
      </c>
    </row>
    <row r="9" spans="1:26">
      <c r="A9" s="11">
        <v>42383</v>
      </c>
      <c r="B9" s="1">
        <v>0.04016811626533867</v>
      </c>
      <c r="C9" s="1">
        <v>0.008429681562479363</v>
      </c>
      <c r="D9" s="1">
        <v>0.01378150024067426</v>
      </c>
      <c r="E9" s="1">
        <v>0.03639032457387081</v>
      </c>
      <c r="F9" s="1">
        <v>0.02801106963319677</v>
      </c>
      <c r="G9" s="1">
        <v>0.03280591405695965</v>
      </c>
      <c r="H9" s="1">
        <v>0.01325995777420474</v>
      </c>
      <c r="I9" s="1">
        <v>0.005189688201925335</v>
      </c>
      <c r="J9" s="1">
        <v>0.003780872810773994</v>
      </c>
      <c r="K9" s="1">
        <v>0.01375351605369746</v>
      </c>
      <c r="L9" s="1">
        <v>0.01499825022610035</v>
      </c>
      <c r="M9" s="1">
        <v>0.001732377397382745</v>
      </c>
      <c r="N9" s="1">
        <v>0.007614995007705572</v>
      </c>
      <c r="O9" s="1">
        <v>0.02565542970184032</v>
      </c>
      <c r="P9" s="1">
        <v>0.02846614730869779</v>
      </c>
      <c r="Q9" s="1">
        <v>0.02722107644640959</v>
      </c>
      <c r="R9" s="1">
        <v>0.03182856556432645</v>
      </c>
      <c r="S9" s="1">
        <v>0.001523983047713395</v>
      </c>
      <c r="T9" s="1">
        <v>0.008625214182361063</v>
      </c>
      <c r="U9" s="1">
        <v>0.01659752002739801</v>
      </c>
      <c r="V9" s="1">
        <v>-0.01716873656846141</v>
      </c>
      <c r="W9" s="1">
        <v>0.01510008951645214</v>
      </c>
      <c r="X9" s="1">
        <v>0.0002634188005936622</v>
      </c>
      <c r="Y9" s="1">
        <v>0.01630793859197288</v>
      </c>
      <c r="Z9" s="1">
        <v>0.004368687497099621</v>
      </c>
    </row>
    <row r="10" spans="1:26">
      <c r="A10" s="11">
        <v>42384</v>
      </c>
      <c r="B10" s="1">
        <v>-0.0459084807018586</v>
      </c>
      <c r="C10" s="1">
        <v>-0.02763160242592744</v>
      </c>
      <c r="D10" s="1">
        <v>-0.005947390056304958</v>
      </c>
      <c r="E10" s="1">
        <v>-0.01149407728635232</v>
      </c>
      <c r="F10" s="1">
        <v>-0.02107198453010517</v>
      </c>
      <c r="G10" s="1">
        <v>-0.01871807760582134</v>
      </c>
      <c r="H10" s="1">
        <v>-0.00934736280306514</v>
      </c>
      <c r="I10" s="1">
        <v>-0.006521859313287415</v>
      </c>
      <c r="J10" s="1">
        <v>-0.04802254110267001</v>
      </c>
      <c r="K10" s="1">
        <v>0.002316503097064881</v>
      </c>
      <c r="L10" s="1">
        <v>-0.01993115924062094</v>
      </c>
      <c r="M10" s="1">
        <v>-0.01729660804433131</v>
      </c>
      <c r="N10" s="1">
        <v>-0.01751961401199464</v>
      </c>
      <c r="O10" s="1">
        <v>-0.02538704680069892</v>
      </c>
      <c r="P10" s="1">
        <v>-0.03991701699697026</v>
      </c>
      <c r="Q10" s="1">
        <v>-0.01299974787783797</v>
      </c>
      <c r="R10" s="1">
        <v>-0.008751178111516822</v>
      </c>
      <c r="S10" s="1">
        <v>-0.004725413350968433</v>
      </c>
      <c r="T10" s="1">
        <v>-0.004686541625644303</v>
      </c>
      <c r="U10" s="1">
        <v>-0.009037827033913537</v>
      </c>
      <c r="V10" s="1">
        <v>-0.004686667459201543</v>
      </c>
      <c r="W10" s="1">
        <v>-0.02231372471715332</v>
      </c>
      <c r="X10" s="1">
        <v>-0.01606982288883918</v>
      </c>
      <c r="Y10" s="1">
        <v>-0.009805959375937534</v>
      </c>
      <c r="Z10" s="1">
        <v>-0.02827300883854489</v>
      </c>
    </row>
    <row r="11" spans="1:26">
      <c r="A11" s="11">
        <v>42388</v>
      </c>
      <c r="B11" s="1">
        <v>-0.02405852824677135</v>
      </c>
      <c r="C11" s="1">
        <v>0.003422925699848145</v>
      </c>
      <c r="D11" s="1">
        <v>0.007407408354440648</v>
      </c>
      <c r="E11" s="1">
        <v>0.006849085833368962</v>
      </c>
      <c r="F11" s="1">
        <v>0.006680410977222939</v>
      </c>
      <c r="G11" s="1">
        <v>0.01156088899559382</v>
      </c>
      <c r="H11" s="1">
        <v>0.02528784984416976</v>
      </c>
      <c r="I11" s="1">
        <v>-0.009026060760723542</v>
      </c>
      <c r="J11" s="1">
        <v>-0.03461916389700759</v>
      </c>
      <c r="K11" s="1">
        <v>0.007593274077887679</v>
      </c>
      <c r="L11" s="1">
        <v>-0.0005261035392604141</v>
      </c>
      <c r="M11" s="1">
        <v>-0.004274583584252034</v>
      </c>
      <c r="N11" s="1">
        <v>0.02097903241868337</v>
      </c>
      <c r="O11" s="1">
        <v>-0.00114914973089375</v>
      </c>
      <c r="P11" s="1">
        <v>-0.008433088205516359</v>
      </c>
      <c r="Q11" s="1">
        <v>0.01519722283179159</v>
      </c>
      <c r="R11" s="1">
        <v>-0.006179529415245466</v>
      </c>
      <c r="S11" s="1">
        <v>0.007604617380976286</v>
      </c>
      <c r="T11" s="1">
        <v>-0.01135919190449586</v>
      </c>
      <c r="U11" s="1">
        <v>0.01529852587541414</v>
      </c>
      <c r="V11" s="1">
        <v>-0.01198659803419977</v>
      </c>
      <c r="W11" s="1">
        <v>0.01619463113197672</v>
      </c>
      <c r="X11" s="1">
        <v>-0.01472513265390318</v>
      </c>
      <c r="Y11" s="1">
        <v>0.009903068462982612</v>
      </c>
      <c r="Z11" s="1">
        <v>-0.01790485278237264</v>
      </c>
    </row>
    <row r="12" spans="1:26">
      <c r="A12" s="11">
        <v>42389</v>
      </c>
      <c r="B12" s="1">
        <v>0.01110094433087094</v>
      </c>
      <c r="C12" s="1">
        <v>-0.03109642958971404</v>
      </c>
      <c r="D12" s="1">
        <v>-0.0169682986585038</v>
      </c>
      <c r="E12" s="1">
        <v>0.005379022898253982</v>
      </c>
      <c r="F12" s="1">
        <v>-0.01179698329866063</v>
      </c>
      <c r="G12" s="1">
        <v>-0.03428597839106751</v>
      </c>
      <c r="H12" s="1">
        <v>-0.004233539106716977</v>
      </c>
      <c r="I12" s="1">
        <v>-0.006348146301420776</v>
      </c>
      <c r="J12" s="1">
        <v>-0.02151670227506397</v>
      </c>
      <c r="K12" s="1">
        <v>-0.01632853552681079</v>
      </c>
      <c r="L12" s="1">
        <v>-0.0263113371733722</v>
      </c>
      <c r="M12" s="1">
        <v>-0.007575798335641148</v>
      </c>
      <c r="N12" s="1">
        <v>-0.02020547355333135</v>
      </c>
      <c r="O12" s="1">
        <v>-0.01169700919828542</v>
      </c>
      <c r="P12" s="1">
        <v>0.004549096528149832</v>
      </c>
      <c r="Q12" s="1">
        <v>-0.02894232229996274</v>
      </c>
      <c r="R12" s="1">
        <v>0.006662383545120942</v>
      </c>
      <c r="S12" s="1">
        <v>-0.04052872421428177</v>
      </c>
      <c r="T12" s="1">
        <v>0.02515154507362483</v>
      </c>
      <c r="U12" s="1">
        <v>-0.01767586488487605</v>
      </c>
      <c r="V12" s="1">
        <v>-0.02383014898223157</v>
      </c>
      <c r="W12" s="1">
        <v>-0.01378716236601518</v>
      </c>
      <c r="X12" s="1">
        <v>-0.01195641470002284</v>
      </c>
      <c r="Y12" s="1">
        <v>-0.01002882715589282</v>
      </c>
      <c r="Z12" s="1">
        <v>-0.02142258280947051</v>
      </c>
    </row>
    <row r="13" spans="1:26">
      <c r="A13" s="11">
        <v>42390</v>
      </c>
      <c r="B13" s="1">
        <v>0.07598967062585849</v>
      </c>
      <c r="C13" s="1">
        <v>0.01031619092088842</v>
      </c>
      <c r="D13" s="1">
        <v>0.01409675609039129</v>
      </c>
      <c r="E13" s="1">
        <v>-0.006609160632848443</v>
      </c>
      <c r="F13" s="1">
        <v>0.01324311907828624</v>
      </c>
      <c r="G13" s="1">
        <v>0.03136105174857184</v>
      </c>
      <c r="H13" s="1">
        <v>-0.0001850810536202507</v>
      </c>
      <c r="I13" s="1">
        <v>0.01430532791770744</v>
      </c>
      <c r="J13" s="1">
        <v>0.04083799629619689</v>
      </c>
      <c r="K13" s="1">
        <v>0.005701261674501135</v>
      </c>
      <c r="L13" s="1">
        <v>-0.004683696464457432</v>
      </c>
      <c r="M13" s="1">
        <v>0.005089122993980233</v>
      </c>
      <c r="N13" s="1">
        <v>0.004019499043588004</v>
      </c>
      <c r="O13" s="1">
        <v>0.00117080662216118</v>
      </c>
      <c r="P13" s="1">
        <v>-0.006103512400600031</v>
      </c>
      <c r="Q13" s="1">
        <v>0.003597606400335351</v>
      </c>
      <c r="R13" s="1">
        <v>0.01058874961425982</v>
      </c>
      <c r="S13" s="1">
        <v>0.00320437398360407</v>
      </c>
      <c r="T13" s="1">
        <v>0.002445443902777011</v>
      </c>
      <c r="U13" s="1">
        <v>0.01887872202391505</v>
      </c>
      <c r="V13" s="1">
        <v>0.01553464622130596</v>
      </c>
      <c r="W13" s="1">
        <v>-0.01029702787507658</v>
      </c>
      <c r="X13" s="1">
        <v>0.004125665569044701</v>
      </c>
      <c r="Y13" s="1">
        <v>0.0326429008478577</v>
      </c>
      <c r="Z13" s="1">
        <v>-0.01769881891551706</v>
      </c>
    </row>
    <row r="14" spans="1:26">
      <c r="A14" s="11">
        <v>42391</v>
      </c>
      <c r="B14" s="1">
        <v>0.05746523965642214</v>
      </c>
      <c r="C14" s="1">
        <v>0.009805425378247579</v>
      </c>
      <c r="D14" s="1">
        <v>0.02326252413472552</v>
      </c>
      <c r="E14" s="1">
        <v>0.02011738021797682</v>
      </c>
      <c r="F14" s="1">
        <v>0.01859385554690163</v>
      </c>
      <c r="G14" s="1">
        <v>0.02008048586833655</v>
      </c>
      <c r="H14" s="1">
        <v>0.01035344731942889</v>
      </c>
      <c r="I14" s="1">
        <v>0.02163456770132899</v>
      </c>
      <c r="J14" s="1">
        <v>-0.01408452462665899</v>
      </c>
      <c r="K14" s="1">
        <v>0.02000637433337249</v>
      </c>
      <c r="L14" s="1">
        <v>0.03076911295873952</v>
      </c>
      <c r="M14" s="1">
        <v>-0.0126577819539726</v>
      </c>
      <c r="N14" s="1">
        <v>0.0144471082098796</v>
      </c>
      <c r="O14" s="1">
        <v>0.01949730474644862</v>
      </c>
      <c r="P14" s="1">
        <v>0.03585585951769388</v>
      </c>
      <c r="Q14" s="1">
        <v>0.03840240955005392</v>
      </c>
      <c r="R14" s="1">
        <v>0.01571715857896239</v>
      </c>
      <c r="S14" s="1">
        <v>0.02766933240359393</v>
      </c>
      <c r="T14" s="1">
        <v>0.01642453115424569</v>
      </c>
      <c r="U14" s="1">
        <v>0.01737119839079626</v>
      </c>
      <c r="V14" s="1">
        <v>0.01573431154299532</v>
      </c>
      <c r="W14" s="1">
        <v>0.02756685625389732</v>
      </c>
      <c r="X14" s="1">
        <v>0.02574550445988244</v>
      </c>
      <c r="Y14" s="1">
        <v>0.02550662576034202</v>
      </c>
      <c r="Z14" s="1">
        <v>0.01991430588938359</v>
      </c>
    </row>
    <row r="15" spans="1:26">
      <c r="A15" s="11">
        <v>42394</v>
      </c>
      <c r="B15" s="1">
        <v>-0.04951777650511446</v>
      </c>
      <c r="C15" s="1">
        <v>-0.004815237047662291</v>
      </c>
      <c r="D15" s="1">
        <v>-0.0005549367128923066</v>
      </c>
      <c r="E15" s="1">
        <v>-0.0229814012146673</v>
      </c>
      <c r="F15" s="1">
        <v>-0.02024211407089493</v>
      </c>
      <c r="G15" s="1">
        <v>-0.03824550928535808</v>
      </c>
      <c r="H15" s="1">
        <v>-0.000732163736997804</v>
      </c>
      <c r="I15" s="1">
        <v>-0.0379302807963996</v>
      </c>
      <c r="J15" s="1">
        <v>-0.0316328840728386</v>
      </c>
      <c r="K15" s="1">
        <v>0.1163777057772106</v>
      </c>
      <c r="L15" s="1">
        <v>-0.02265113455108592</v>
      </c>
      <c r="M15" s="1">
        <v>-0.02051318128738167</v>
      </c>
      <c r="N15" s="1">
        <v>0.00205932815848775</v>
      </c>
      <c r="O15" s="1">
        <v>-0.01376925954224872</v>
      </c>
      <c r="P15" s="1">
        <v>-0.009562265611427589</v>
      </c>
      <c r="Q15" s="1">
        <v>0.004930722953181199</v>
      </c>
      <c r="R15" s="1">
        <v>-0.01762276655397377</v>
      </c>
      <c r="S15" s="1">
        <v>-0.000887837669988234</v>
      </c>
      <c r="T15" s="1">
        <v>-0.02347893397850398</v>
      </c>
      <c r="U15" s="1">
        <v>-0.003983954867872064</v>
      </c>
      <c r="V15" s="1">
        <v>-0.01147438731891715</v>
      </c>
      <c r="W15" s="1">
        <v>-0.004286290804943915</v>
      </c>
      <c r="X15" s="1">
        <v>-0.01655498506317132</v>
      </c>
      <c r="Y15" s="1">
        <v>-0.0002122322773820962</v>
      </c>
      <c r="Z15" s="1">
        <v>-0.05206853554981039</v>
      </c>
    </row>
    <row r="16" spans="1:26">
      <c r="A16" s="11">
        <v>42395</v>
      </c>
      <c r="B16" s="1">
        <v>0.01603020831053525</v>
      </c>
      <c r="C16" s="1">
        <v>0.03225560156911977</v>
      </c>
      <c r="D16" s="1">
        <v>0.01359245091084182</v>
      </c>
      <c r="E16" s="1">
        <v>-0.003655262529527969</v>
      </c>
      <c r="F16" s="1">
        <v>0.01162146221143212</v>
      </c>
      <c r="G16" s="1">
        <v>0.0157896120794454</v>
      </c>
      <c r="H16" s="1">
        <v>0.009888357839369588</v>
      </c>
      <c r="I16" s="1">
        <v>0.0249372216794046</v>
      </c>
      <c r="J16" s="1">
        <v>0.01580624964674082</v>
      </c>
      <c r="K16" s="1">
        <v>-0.004977925535993521</v>
      </c>
      <c r="L16" s="1">
        <v>0.02551204299497023</v>
      </c>
      <c r="M16" s="1">
        <v>0.00445026627952072</v>
      </c>
      <c r="N16" s="1">
        <v>0.009589313260246257</v>
      </c>
      <c r="O16" s="1">
        <v>0.00698048255582373</v>
      </c>
      <c r="P16" s="1">
        <v>0.007337423892480821</v>
      </c>
      <c r="Q16" s="1">
        <v>-0.003434610546708905</v>
      </c>
      <c r="R16" s="1">
        <v>0.04025343378293744</v>
      </c>
      <c r="S16" s="1">
        <v>0.02407960268457487</v>
      </c>
      <c r="T16" s="1">
        <v>0.02162683194792803</v>
      </c>
      <c r="U16" s="1">
        <v>0.0114286423452028</v>
      </c>
      <c r="V16" s="1">
        <v>0.02205475627738362</v>
      </c>
      <c r="W16" s="1">
        <v>-0.004675683477451953</v>
      </c>
      <c r="X16" s="1">
        <v>0.02443663165206922</v>
      </c>
      <c r="Y16" s="1">
        <v>0.02594101285213735</v>
      </c>
      <c r="Z16" s="1">
        <v>0.04217730870267489</v>
      </c>
    </row>
    <row r="17" spans="1:26">
      <c r="A17" s="11">
        <v>42396</v>
      </c>
      <c r="B17" s="1">
        <v>0.01577696860761968</v>
      </c>
      <c r="C17" s="1">
        <v>-0.08928998052506243</v>
      </c>
      <c r="D17" s="1">
        <v>-0.001094369706726495</v>
      </c>
      <c r="E17" s="1">
        <v>-0.01563251548363731</v>
      </c>
      <c r="F17" s="1">
        <v>-0.01312907797891627</v>
      </c>
      <c r="G17" s="1">
        <v>-0.003454313063873671</v>
      </c>
      <c r="H17" s="1">
        <v>-0.002719642150233348</v>
      </c>
      <c r="I17" s="1">
        <v>0.0008157115362537048</v>
      </c>
      <c r="J17" s="1">
        <v>-0.00207448729639359</v>
      </c>
      <c r="K17" s="1">
        <v>-0.01059436062234187</v>
      </c>
      <c r="L17" s="1">
        <v>-0.0007008033119001444</v>
      </c>
      <c r="M17" s="1">
        <v>-0.02814702483360365</v>
      </c>
      <c r="N17" s="1">
        <v>0</v>
      </c>
      <c r="O17" s="1">
        <v>-0.005969631418937804</v>
      </c>
      <c r="P17" s="1">
        <v>-0.01820948343295181</v>
      </c>
      <c r="Q17" s="1">
        <v>-0.008370546965609238</v>
      </c>
      <c r="R17" s="1">
        <v>-0.01345938797674118</v>
      </c>
      <c r="S17" s="1">
        <v>-0.02087033122014204</v>
      </c>
      <c r="T17" s="1">
        <v>0.01134620964485644</v>
      </c>
      <c r="U17" s="1">
        <v>0.00225970868673242</v>
      </c>
      <c r="V17" s="1">
        <v>0.003548939035925791</v>
      </c>
      <c r="W17" s="1">
        <v>0.01290033278530567</v>
      </c>
      <c r="X17" s="1">
        <v>-0.1335805013001459</v>
      </c>
      <c r="Y17" s="1">
        <v>0.01616536978264382</v>
      </c>
      <c r="Z17" s="1">
        <v>0.02494136858515339</v>
      </c>
    </row>
    <row r="18" spans="1:26">
      <c r="A18" s="11">
        <v>42397</v>
      </c>
      <c r="B18" s="1">
        <v>0.05099627789865036</v>
      </c>
      <c r="C18" s="1">
        <v>0.01226631737564721</v>
      </c>
      <c r="D18" s="1">
        <v>-0.02191807381546018</v>
      </c>
      <c r="E18" s="1">
        <v>-0.008912928368304596</v>
      </c>
      <c r="F18" s="1">
        <v>-0.0001845322780907876</v>
      </c>
      <c r="G18" s="1">
        <v>0.01328727635016769</v>
      </c>
      <c r="H18" s="1">
        <v>0.01327270023550953</v>
      </c>
      <c r="I18" s="1">
        <v>0.01602610616453459</v>
      </c>
      <c r="J18" s="1">
        <v>-0.01455331821044625</v>
      </c>
      <c r="K18" s="1">
        <v>-0.004164120012538519</v>
      </c>
      <c r="L18" s="1">
        <v>0.004207592085559098</v>
      </c>
      <c r="M18" s="1">
        <v>-0.02949842893561627</v>
      </c>
      <c r="N18" s="1">
        <v>0.01136346578697078</v>
      </c>
      <c r="O18" s="1">
        <v>0.00348721749204306</v>
      </c>
      <c r="P18" s="1">
        <v>0.01640003074625929</v>
      </c>
      <c r="Q18" s="1">
        <v>0.03028828123899485</v>
      </c>
      <c r="R18" s="1">
        <v>0.009592665600548722</v>
      </c>
      <c r="S18" s="1">
        <v>0.003545758039006586</v>
      </c>
      <c r="T18" s="1">
        <v>-0.01026753945199266</v>
      </c>
      <c r="U18" s="1">
        <v>0.001409290416485964</v>
      </c>
      <c r="V18" s="1">
        <v>0.004243785709340031</v>
      </c>
      <c r="W18" s="1">
        <v>-0.05639381536060695</v>
      </c>
      <c r="X18" s="1">
        <v>0.02753114596052963</v>
      </c>
      <c r="Y18" s="1">
        <v>-0.0004079167126292971</v>
      </c>
      <c r="Z18" s="1">
        <v>0.01698780556909374</v>
      </c>
    </row>
    <row r="19" spans="1:26">
      <c r="A19" s="11">
        <v>42398</v>
      </c>
      <c r="B19" s="1">
        <v>0.04778353553418069</v>
      </c>
      <c r="C19" s="1">
        <v>0.01796447200618623</v>
      </c>
      <c r="D19" s="1">
        <v>0.02521054564062819</v>
      </c>
      <c r="E19" s="1">
        <v>0.01635063986577867</v>
      </c>
      <c r="F19" s="1">
        <v>0.0295690036439793</v>
      </c>
      <c r="G19" s="1">
        <v>0.01881388946327034</v>
      </c>
      <c r="H19" s="1">
        <v>0.01220179701560631</v>
      </c>
      <c r="I19" s="1">
        <v>0.029407770802796</v>
      </c>
      <c r="J19" s="1">
        <v>0.02426157683195074</v>
      </c>
      <c r="K19" s="1">
        <v>0.02718050009327655</v>
      </c>
      <c r="L19" s="1">
        <v>0.03875702060520636</v>
      </c>
      <c r="M19" s="1">
        <v>0.0395134429930073</v>
      </c>
      <c r="N19" s="1">
        <v>0.02481930737397486</v>
      </c>
      <c r="O19" s="1">
        <v>0.02953643728857047</v>
      </c>
      <c r="P19" s="1">
        <v>0.05820156928578379</v>
      </c>
      <c r="Q19" s="1">
        <v>0.0125301996139584</v>
      </c>
      <c r="R19" s="1">
        <v>0.036106604940084</v>
      </c>
      <c r="S19" s="1">
        <v>0.01806781349554587</v>
      </c>
      <c r="T19" s="1">
        <v>0.02407284805800414</v>
      </c>
      <c r="U19" s="1">
        <v>0.0149169104052278</v>
      </c>
      <c r="V19" s="1">
        <v>0.0201436394454666</v>
      </c>
      <c r="W19" s="1">
        <v>0.03035046912529804</v>
      </c>
      <c r="X19" s="1">
        <v>0.01875546637737036</v>
      </c>
      <c r="Y19" s="1">
        <v>0.01958799247570275</v>
      </c>
      <c r="Z19" s="1">
        <v>0.02392771942392202</v>
      </c>
    </row>
    <row r="20" spans="1:26">
      <c r="A20" s="11">
        <v>42401</v>
      </c>
      <c r="B20" s="1">
        <v>-0.04043226014271339</v>
      </c>
      <c r="C20" s="1">
        <v>0.01190397366352314</v>
      </c>
      <c r="D20" s="1">
        <v>0.01857929433453642</v>
      </c>
      <c r="E20" s="1">
        <v>-0.02155730375439402</v>
      </c>
      <c r="F20" s="1">
        <v>0.001795237729649957</v>
      </c>
      <c r="G20" s="1">
        <v>0.04196994954061095</v>
      </c>
      <c r="H20" s="1">
        <v>0.007977468357116102</v>
      </c>
      <c r="I20" s="1">
        <v>-0.002727075663936707</v>
      </c>
      <c r="J20" s="1">
        <v>0.0267764781029296</v>
      </c>
      <c r="K20" s="1">
        <v>-0.009014517704998615</v>
      </c>
      <c r="L20" s="1">
        <v>-0.01075620802463151</v>
      </c>
      <c r="M20" s="1">
        <v>0.01834134966017964</v>
      </c>
      <c r="N20" s="1">
        <v>-0.00278162386504277</v>
      </c>
      <c r="O20" s="1">
        <v>-0.001124531541999652</v>
      </c>
      <c r="P20" s="1">
        <v>-0.006897738341160475</v>
      </c>
      <c r="Q20" s="1">
        <v>0.01380266469773272</v>
      </c>
      <c r="R20" s="1">
        <v>-0.01080117266383962</v>
      </c>
      <c r="S20" s="1">
        <v>0.002051028589548531</v>
      </c>
      <c r="T20" s="1">
        <v>-0.003207389654740656</v>
      </c>
      <c r="U20" s="1">
        <v>0.003327851616755639</v>
      </c>
      <c r="V20" s="1">
        <v>0.005661636900431199</v>
      </c>
      <c r="W20" s="1">
        <v>-0.01037427736739605</v>
      </c>
      <c r="X20" s="1">
        <v>-0.03009951256335652</v>
      </c>
      <c r="Y20" s="1">
        <v>0.01580960701160983</v>
      </c>
      <c r="Z20" s="1">
        <v>-0.007936179311561986</v>
      </c>
    </row>
    <row r="21" spans="1:26">
      <c r="A21" s="11">
        <v>42402</v>
      </c>
      <c r="B21" s="1">
        <v>-0.05561004830154026</v>
      </c>
      <c r="C21" s="1">
        <v>-0.03323475175567814</v>
      </c>
      <c r="D21" s="1">
        <v>0.01797148670483373</v>
      </c>
      <c r="E21" s="1">
        <v>-0.03206170677160169</v>
      </c>
      <c r="F21" s="1">
        <v>-0.02185984579670619</v>
      </c>
      <c r="G21" s="1">
        <v>-0.01074081234572666</v>
      </c>
      <c r="H21" s="1">
        <v>-0.009673159098226858</v>
      </c>
      <c r="I21" s="1">
        <v>-0.02890595148513064</v>
      </c>
      <c r="J21" s="1">
        <v>-0.009027174186269082</v>
      </c>
      <c r="K21" s="1">
        <v>-0.009683341749867513</v>
      </c>
      <c r="L21" s="1">
        <v>-0.03109091962400157</v>
      </c>
      <c r="M21" s="1">
        <v>-0.04802917254120997</v>
      </c>
      <c r="N21" s="1">
        <v>-0.007384292816681737</v>
      </c>
      <c r="O21" s="1">
        <v>-0.01727067151824413</v>
      </c>
      <c r="P21" s="1">
        <v>-0.03125545427226284</v>
      </c>
      <c r="Q21" s="1">
        <v>-0.001877666207794726</v>
      </c>
      <c r="R21" s="1">
        <v>-0.02080744888795882</v>
      </c>
      <c r="S21" s="1">
        <v>0.004486653150994169</v>
      </c>
      <c r="T21" s="1">
        <v>-0.02315079221974836</v>
      </c>
      <c r="U21" s="1">
        <v>-0.003316813752746062</v>
      </c>
      <c r="V21" s="1">
        <v>0.006590338226105441</v>
      </c>
      <c r="W21" s="1">
        <v>-0.02907633193002557</v>
      </c>
      <c r="X21" s="1">
        <v>-0.04308506741598195</v>
      </c>
      <c r="Y21" s="1">
        <v>-0.01674546399419452</v>
      </c>
      <c r="Z21" s="1">
        <v>-0.04266659641913195</v>
      </c>
    </row>
    <row r="22" spans="1:26">
      <c r="A22" s="11">
        <v>42403</v>
      </c>
      <c r="B22" s="1">
        <v>0.0697794927177906</v>
      </c>
      <c r="C22" s="1">
        <v>0.03701509007200943</v>
      </c>
      <c r="D22" s="1">
        <v>0.008168937839423851</v>
      </c>
      <c r="E22" s="1">
        <v>0.0212333547323682</v>
      </c>
      <c r="F22" s="1">
        <v>0.05953469321009353</v>
      </c>
      <c r="G22" s="1">
        <v>0.0342016521015891</v>
      </c>
      <c r="H22" s="1">
        <v>-0.0003552406957443299</v>
      </c>
      <c r="I22" s="1">
        <v>0.01112921377972942</v>
      </c>
      <c r="J22" s="1">
        <v>-0.0232795398187009</v>
      </c>
      <c r="K22" s="1">
        <v>0.01570417371218635</v>
      </c>
      <c r="L22" s="1">
        <v>0.006663027395831467</v>
      </c>
      <c r="M22" s="1">
        <v>0.01014521998498341</v>
      </c>
      <c r="N22" s="1">
        <v>-0.01074584980135251</v>
      </c>
      <c r="O22" s="1">
        <v>0.009360149034429499</v>
      </c>
      <c r="P22" s="1">
        <v>-0.01584931937795575</v>
      </c>
      <c r="Q22" s="1">
        <v>0.01034791345026687</v>
      </c>
      <c r="R22" s="1">
        <v>0.005470283951638066</v>
      </c>
      <c r="S22" s="1">
        <v>-0.008267382437078918</v>
      </c>
      <c r="T22" s="1">
        <v>0.03177352233915531</v>
      </c>
      <c r="U22" s="1">
        <v>0.01830271222700475</v>
      </c>
      <c r="V22" s="1">
        <v>-0.01009410623395346</v>
      </c>
      <c r="W22" s="1">
        <v>-0.006619865889005871</v>
      </c>
      <c r="X22" s="1">
        <v>0.01637252291160296</v>
      </c>
      <c r="Y22" s="1">
        <v>0.0142255798677382</v>
      </c>
      <c r="Z22" s="1">
        <v>0.01114195277865671</v>
      </c>
    </row>
    <row r="23" spans="1:26">
      <c r="A23" s="11">
        <v>42404</v>
      </c>
      <c r="B23" s="1">
        <v>-0.01212411204566033</v>
      </c>
      <c r="C23" s="1">
        <v>0.01427753722482317</v>
      </c>
      <c r="D23" s="1">
        <v>0.0007838492569793853</v>
      </c>
      <c r="E23" s="1">
        <v>-0.006986045153722253</v>
      </c>
      <c r="F23" s="1">
        <v>0.006397040087792405</v>
      </c>
      <c r="G23" s="1">
        <v>-0.005249325972170427</v>
      </c>
      <c r="H23" s="1">
        <v>-0.01687687785831671</v>
      </c>
      <c r="I23" s="1">
        <v>0.04362761180332031</v>
      </c>
      <c r="J23" s="1">
        <v>0.02176234079516193</v>
      </c>
      <c r="K23" s="1">
        <v>0.01225184073374685</v>
      </c>
      <c r="L23" s="1">
        <v>0.01724443937542897</v>
      </c>
      <c r="M23" s="1">
        <v>0.01927273285224973</v>
      </c>
      <c r="N23" s="1">
        <v>-0.006015884990805742</v>
      </c>
      <c r="O23" s="1">
        <v>0.0251702460406924</v>
      </c>
      <c r="P23" s="1">
        <v>-0.003067296185808921</v>
      </c>
      <c r="Q23" s="1">
        <v>-0.007737487987564684</v>
      </c>
      <c r="R23" s="1">
        <v>0.04624426912206281</v>
      </c>
      <c r="S23" s="1">
        <v>-0.02722112142302002</v>
      </c>
      <c r="T23" s="1">
        <v>0.01323687801346929</v>
      </c>
      <c r="U23" s="1">
        <v>-0.005173876335476613</v>
      </c>
      <c r="V23" s="1">
        <v>-0.03486268283904703</v>
      </c>
      <c r="W23" s="1">
        <v>0.01388346456535539</v>
      </c>
      <c r="X23" s="1">
        <v>0.0006195569870688367</v>
      </c>
      <c r="Y23" s="1">
        <v>-0.003753683183052692</v>
      </c>
      <c r="Z23" s="1">
        <v>0.01239658955068346</v>
      </c>
    </row>
    <row r="24" spans="1:26">
      <c r="A24" s="11">
        <v>42405</v>
      </c>
      <c r="B24" s="1">
        <v>-0.04148275936870027</v>
      </c>
      <c r="C24" s="1">
        <v>-0.008494647092250562</v>
      </c>
      <c r="D24" s="1">
        <v>-0.02089291639071378</v>
      </c>
      <c r="E24" s="1">
        <v>-0.001172392927791588</v>
      </c>
      <c r="F24" s="1">
        <v>0.02061506264052437</v>
      </c>
      <c r="G24" s="1">
        <v>-0.005276955550714946</v>
      </c>
      <c r="H24" s="1">
        <v>0.009034982232025923</v>
      </c>
      <c r="I24" s="1">
        <v>-0.003557366032711173</v>
      </c>
      <c r="J24" s="1">
        <v>0.005070430413911975</v>
      </c>
      <c r="K24" s="1">
        <v>0.008069182005576936</v>
      </c>
      <c r="L24" s="1">
        <v>-0.01113026628101044</v>
      </c>
      <c r="M24" s="1">
        <v>-0.04953392430535619</v>
      </c>
      <c r="N24" s="1">
        <v>0.005380094450226469</v>
      </c>
      <c r="O24" s="1">
        <v>0.008860897723232286</v>
      </c>
      <c r="P24" s="1">
        <v>-0.03538454235697919</v>
      </c>
      <c r="Q24" s="1">
        <v>-0.008506750851390854</v>
      </c>
      <c r="R24" s="1">
        <v>0.00219977145491157</v>
      </c>
      <c r="S24" s="1">
        <v>-0.03691822981602322</v>
      </c>
      <c r="T24" s="1">
        <v>-0.01590724735978677</v>
      </c>
      <c r="U24" s="1">
        <v>0.009580758286220847</v>
      </c>
      <c r="V24" s="1">
        <v>-0.006853162303736671</v>
      </c>
      <c r="W24" s="1">
        <v>-0.03615028289621414</v>
      </c>
      <c r="X24" s="1">
        <v>0</v>
      </c>
      <c r="Y24" s="1">
        <v>0.01070825998610547</v>
      </c>
      <c r="Z24" s="1">
        <v>-0.01904752484695027</v>
      </c>
    </row>
    <row r="25" spans="1:26">
      <c r="A25" s="11">
        <v>42408</v>
      </c>
      <c r="B25" s="1">
        <v>-0.03764405081573696</v>
      </c>
      <c r="C25" s="1">
        <v>-0.02521209112552136</v>
      </c>
      <c r="D25" s="1">
        <v>-0.03974420557972214</v>
      </c>
      <c r="E25" s="1">
        <v>0.01827937265228763</v>
      </c>
      <c r="F25" s="1">
        <v>-0.0001681010693559415</v>
      </c>
      <c r="G25" s="1">
        <v>-0.02228126082110993</v>
      </c>
      <c r="H25" s="1">
        <v>0.00698450766043246</v>
      </c>
      <c r="I25" s="1">
        <v>-0.01721518864194338</v>
      </c>
      <c r="J25" s="1">
        <v>-0.05449021919227848</v>
      </c>
      <c r="K25" s="1">
        <v>-0.007147151612128644</v>
      </c>
      <c r="L25" s="1">
        <v>-0.02095226748794321</v>
      </c>
      <c r="M25" s="1">
        <v>-0.02717839928728616</v>
      </c>
      <c r="N25" s="1">
        <v>0.005351108336293375</v>
      </c>
      <c r="O25" s="1">
        <v>0.00640451389413732</v>
      </c>
      <c r="P25" s="1">
        <v>-0.0149523448581359</v>
      </c>
      <c r="Q25" s="1">
        <v>-0.003336184253271091</v>
      </c>
      <c r="R25" s="1">
        <v>-0.004390384655487689</v>
      </c>
      <c r="S25" s="1">
        <v>-0.03436932388145919</v>
      </c>
      <c r="T25" s="1">
        <v>-0.03705308991952783</v>
      </c>
      <c r="U25" s="1">
        <v>0.006236333608834022</v>
      </c>
      <c r="V25" s="1">
        <v>0.006325477724344442</v>
      </c>
      <c r="W25" s="1">
        <v>-0.0100664968358366</v>
      </c>
      <c r="X25" s="1">
        <v>0.00557280009905825</v>
      </c>
      <c r="Y25" s="1">
        <v>-0.004512557382546634</v>
      </c>
      <c r="Z25" s="1">
        <v>-0.04207179591082866</v>
      </c>
    </row>
    <row r="26" spans="1:26">
      <c r="A26" s="11">
        <v>42409</v>
      </c>
      <c r="B26" s="1">
        <v>-0.0532196339401303</v>
      </c>
      <c r="C26" s="1">
        <v>-0.004938453049555647</v>
      </c>
      <c r="D26" s="1">
        <v>0.005277944068701412</v>
      </c>
      <c r="E26" s="1">
        <v>0.004940762256425701</v>
      </c>
      <c r="F26" s="1">
        <v>-0.02003393253431696</v>
      </c>
      <c r="G26" s="1">
        <v>0.006511203510662034</v>
      </c>
      <c r="H26" s="1">
        <v>0.01742830485131197</v>
      </c>
      <c r="I26" s="1">
        <v>0.01310494313165989</v>
      </c>
      <c r="J26" s="1">
        <v>-0.01921007482435144</v>
      </c>
      <c r="K26" s="1">
        <v>-0.002303065058393727</v>
      </c>
      <c r="L26" s="1">
        <v>-0.006013543278046929</v>
      </c>
      <c r="M26" s="1">
        <v>0.01526478367730522</v>
      </c>
      <c r="N26" s="1">
        <v>0.005489033444122215</v>
      </c>
      <c r="O26" s="1">
        <v>0.005090722004575055</v>
      </c>
      <c r="P26" s="1">
        <v>-0.002630995417075899</v>
      </c>
      <c r="Q26" s="1">
        <v>0.01578223273811941</v>
      </c>
      <c r="R26" s="1">
        <v>-0.001002131354561286</v>
      </c>
      <c r="S26" s="1">
        <v>0.01720648712358064</v>
      </c>
      <c r="T26" s="1">
        <v>0.02351701890741187</v>
      </c>
      <c r="U26" s="1">
        <v>-0.0123952950719477</v>
      </c>
      <c r="V26" s="1">
        <v>-0.002000025015382212</v>
      </c>
      <c r="W26" s="1">
        <v>0.02058358065412524</v>
      </c>
      <c r="X26" s="1">
        <v>-0.01385446246340172</v>
      </c>
      <c r="Y26" s="1">
        <v>-0.01162773198668232</v>
      </c>
      <c r="Z26" s="1">
        <v>0.002413358527978193</v>
      </c>
    </row>
    <row r="27" spans="1:26">
      <c r="A27" s="11">
        <v>42410</v>
      </c>
      <c r="B27" s="1">
        <v>-0.007026570917573416</v>
      </c>
      <c r="C27" s="1">
        <v>-0.012140273065263</v>
      </c>
      <c r="D27" s="1">
        <v>0.0198948651286639</v>
      </c>
      <c r="E27" s="1">
        <v>0.0009829489832307026</v>
      </c>
      <c r="F27" s="1">
        <v>-0.04123012528104875</v>
      </c>
      <c r="G27" s="1">
        <v>-0.002156384931015554</v>
      </c>
      <c r="H27" s="1">
        <v>0.01188594751633132</v>
      </c>
      <c r="I27" s="1">
        <v>-0.008580577762314801</v>
      </c>
      <c r="J27" s="1">
        <v>0.009793202352187169</v>
      </c>
      <c r="K27" s="1">
        <v>-0.01587336096283121</v>
      </c>
      <c r="L27" s="1">
        <v>-0.0120994910373643</v>
      </c>
      <c r="M27" s="1">
        <v>0.008227158461105111</v>
      </c>
      <c r="N27" s="1">
        <v>-0.006617107372880127</v>
      </c>
      <c r="O27" s="1">
        <v>0.004160552825456021</v>
      </c>
      <c r="P27" s="1">
        <v>0.008725356816605467</v>
      </c>
      <c r="Q27" s="1">
        <v>0.01129892013581202</v>
      </c>
      <c r="R27" s="1">
        <v>-0.017540481729448</v>
      </c>
      <c r="S27" s="1">
        <v>0.01266537480378238</v>
      </c>
      <c r="T27" s="1">
        <v>0.001109283134044681</v>
      </c>
      <c r="U27" s="1">
        <v>-0.006002523267327753</v>
      </c>
      <c r="V27" s="1">
        <v>-0.01574582360975108</v>
      </c>
      <c r="W27" s="1">
        <v>0.008115594477243304</v>
      </c>
      <c r="X27" s="1">
        <v>-0.0009367399828837941</v>
      </c>
      <c r="Y27" s="1">
        <v>-0.003390187976308856</v>
      </c>
      <c r="Z27" s="1">
        <v>-0.001444331291536538</v>
      </c>
    </row>
    <row r="28" spans="1:26">
      <c r="A28" s="11">
        <v>42411</v>
      </c>
      <c r="B28" s="1">
        <v>-0.02688935125760006</v>
      </c>
      <c r="C28" s="1">
        <v>-0.0680644648840758</v>
      </c>
      <c r="D28" s="1">
        <v>-0.02790552626659759</v>
      </c>
      <c r="E28" s="1">
        <v>-0.02554047227073597</v>
      </c>
      <c r="F28" s="1">
        <v>0.004120969838470989</v>
      </c>
      <c r="G28" s="1">
        <v>-0.03298278116071252</v>
      </c>
      <c r="H28" s="1">
        <v>-0.009673347906848706</v>
      </c>
      <c r="I28" s="1">
        <v>-0.01291843534229542</v>
      </c>
      <c r="J28" s="1">
        <v>-0.02801734401349887</v>
      </c>
      <c r="K28" s="1">
        <v>-0.0249264253063658</v>
      </c>
      <c r="L28" s="1">
        <v>-0.04412834129125109</v>
      </c>
      <c r="M28" s="1">
        <v>-0.00562771500224013</v>
      </c>
      <c r="N28" s="1">
        <v>-0.0009991518019922818</v>
      </c>
      <c r="O28" s="1">
        <v>-0.01008790436935836</v>
      </c>
      <c r="P28" s="1">
        <v>-0.0004024411766029301</v>
      </c>
      <c r="Q28" s="1">
        <v>-0.0176907223891527</v>
      </c>
      <c r="R28" s="1">
        <v>-0.009029402374619133</v>
      </c>
      <c r="S28" s="1">
        <v>-0.004409211487843345</v>
      </c>
      <c r="T28" s="1">
        <v>-0.01911247939546268</v>
      </c>
      <c r="U28" s="1">
        <v>-0.006039058438976896</v>
      </c>
      <c r="V28" s="1">
        <v>-0.01032567057449674</v>
      </c>
      <c r="W28" s="1">
        <v>-0.01721637914237517</v>
      </c>
      <c r="X28" s="1">
        <v>-0.02781209715731481</v>
      </c>
      <c r="Y28" s="1">
        <v>-0.01180454638189921</v>
      </c>
      <c r="Z28" s="1">
        <v>-0.04050144140992185</v>
      </c>
    </row>
    <row r="29" spans="1:26">
      <c r="A29" s="11">
        <v>42412</v>
      </c>
      <c r="B29" s="1">
        <v>0.06253634650262696</v>
      </c>
      <c r="C29" s="1">
        <v>0.001751955063390209</v>
      </c>
      <c r="D29" s="1">
        <v>0.02034572263557566</v>
      </c>
      <c r="E29" s="1">
        <v>0.01142500322742834</v>
      </c>
      <c r="F29" s="1">
        <v>0.0132049321680523</v>
      </c>
      <c r="G29" s="1">
        <v>0.01813028904766423</v>
      </c>
      <c r="H29" s="1">
        <v>0.01587297444994795</v>
      </c>
      <c r="I29" s="1">
        <v>0.02434236785845112</v>
      </c>
      <c r="J29" s="1">
        <v>0.04434618272984547</v>
      </c>
      <c r="K29" s="1">
        <v>0.008120101306711369</v>
      </c>
      <c r="L29" s="1">
        <v>0.08328621168317007</v>
      </c>
      <c r="M29" s="1">
        <v>0.02546702934180489</v>
      </c>
      <c r="N29" s="1">
        <v>-0.000333210391458838</v>
      </c>
      <c r="O29" s="1">
        <v>0.02056397900424667</v>
      </c>
      <c r="P29" s="1">
        <v>0.0163012386026149</v>
      </c>
      <c r="Q29" s="1">
        <v>0.008531002402069721</v>
      </c>
      <c r="R29" s="1">
        <v>0.03541137542463635</v>
      </c>
      <c r="S29" s="1">
        <v>-0.005195046636616185</v>
      </c>
      <c r="T29" s="1">
        <v>0.03538003863616224</v>
      </c>
      <c r="U29" s="1">
        <v>0.007180077366489845</v>
      </c>
      <c r="V29" s="1">
        <v>0.03644982657499907</v>
      </c>
      <c r="W29" s="1">
        <v>0.025790863255575</v>
      </c>
      <c r="X29" s="1">
        <v>0.03117954067473683</v>
      </c>
      <c r="Y29" s="1">
        <v>0.01457795999702682</v>
      </c>
      <c r="Z29" s="1">
        <v>0.05477409628359586</v>
      </c>
    </row>
    <row r="30" spans="1:26">
      <c r="A30" s="11">
        <v>42416</v>
      </c>
      <c r="B30" s="1">
        <v>0.02573245421046289</v>
      </c>
      <c r="C30" s="1">
        <v>0.03654591876917301</v>
      </c>
      <c r="D30" s="1">
        <v>0.02185148221639421</v>
      </c>
      <c r="E30" s="1">
        <v>0.03289048972617681</v>
      </c>
      <c r="F30" s="1">
        <v>0.01232834679255013</v>
      </c>
      <c r="G30" s="1">
        <v>0.007234455745001256</v>
      </c>
      <c r="H30" s="1">
        <v>0.02060420570924482</v>
      </c>
      <c r="I30" s="1">
        <v>0.01967537339671543</v>
      </c>
      <c r="J30" s="1">
        <v>0.04140112587466072</v>
      </c>
      <c r="K30" s="1">
        <v>0.0202870136406097</v>
      </c>
      <c r="L30" s="1">
        <v>0.0149592942348189</v>
      </c>
      <c r="M30" s="1">
        <v>0.02317862896658229</v>
      </c>
      <c r="N30" s="1">
        <v>0.005502437075904254</v>
      </c>
      <c r="O30" s="1">
        <v>0.00748898534215825</v>
      </c>
      <c r="P30" s="1">
        <v>0.01894692135968468</v>
      </c>
      <c r="Q30" s="1">
        <v>-0.00798884549666834</v>
      </c>
      <c r="R30" s="1">
        <v>0.02719987868738749</v>
      </c>
      <c r="S30" s="1">
        <v>0.01956224862874789</v>
      </c>
      <c r="T30" s="1">
        <v>0.008922674264465247</v>
      </c>
      <c r="U30" s="1">
        <v>0.004935695405201335</v>
      </c>
      <c r="V30" s="1">
        <v>0.02215877644691866</v>
      </c>
      <c r="W30" s="1">
        <v>0.007431909230566136</v>
      </c>
      <c r="X30" s="1">
        <v>0.02369035629883109</v>
      </c>
      <c r="Y30" s="1">
        <v>0.002593912633168438</v>
      </c>
      <c r="Z30" s="1">
        <v>0.03583414838201082</v>
      </c>
    </row>
    <row r="31" spans="1:26">
      <c r="A31" s="11">
        <v>42417</v>
      </c>
      <c r="B31" s="1">
        <v>0.06912162767822561</v>
      </c>
      <c r="C31" s="1">
        <v>0.03321512220157463</v>
      </c>
      <c r="D31" s="1">
        <v>0.02138468544758787</v>
      </c>
      <c r="E31" s="1">
        <v>0.02798319031033758</v>
      </c>
      <c r="F31" s="1">
        <v>0.003827124892463285</v>
      </c>
      <c r="G31" s="1">
        <v>0.01325942929040003</v>
      </c>
      <c r="H31" s="1">
        <v>0.02456281755191991</v>
      </c>
      <c r="I31" s="1">
        <v>0.02029818821085261</v>
      </c>
      <c r="J31" s="1">
        <v>0.02752279264099466</v>
      </c>
      <c r="K31" s="1">
        <v>0.02192910099104362</v>
      </c>
      <c r="L31" s="1">
        <v>0.007197845808169401</v>
      </c>
      <c r="M31" s="1">
        <v>0.03856521824784442</v>
      </c>
      <c r="N31" s="1">
        <v>0.001658650899277969</v>
      </c>
      <c r="O31" s="1">
        <v>0.01539840975938467</v>
      </c>
      <c r="P31" s="1">
        <v>0.02603262543054985</v>
      </c>
      <c r="Q31" s="1">
        <v>0.01136881925634126</v>
      </c>
      <c r="R31" s="1">
        <v>0.01343463499384456</v>
      </c>
      <c r="S31" s="1">
        <v>0.03329438061452383</v>
      </c>
      <c r="T31" s="1">
        <v>0.0008108013555245819</v>
      </c>
      <c r="U31" s="1">
        <v>-0.000272945815008141</v>
      </c>
      <c r="V31" s="1">
        <v>0.008391352076621672</v>
      </c>
      <c r="W31" s="1">
        <v>0.02574187894307189</v>
      </c>
      <c r="X31" s="1">
        <v>0.01400746612138959</v>
      </c>
      <c r="Y31" s="1">
        <v>0.001592501900528953</v>
      </c>
      <c r="Z31" s="1">
        <v>-0.004151701619399706</v>
      </c>
    </row>
    <row r="32" spans="1:26">
      <c r="A32" s="11">
        <v>42418</v>
      </c>
      <c r="B32" s="1">
        <v>-0.03145261723112192</v>
      </c>
      <c r="C32" s="1">
        <v>0.01057252017074561</v>
      </c>
      <c r="D32" s="1">
        <v>-0.00366388642551041</v>
      </c>
      <c r="E32" s="1">
        <v>-0.009386918332882521</v>
      </c>
      <c r="F32" s="1">
        <v>-0.006585369658670182</v>
      </c>
      <c r="G32" s="1">
        <v>0.01199576921409928</v>
      </c>
      <c r="H32" s="1">
        <v>0.0009853990788930567</v>
      </c>
      <c r="I32" s="1">
        <v>-0.01350847780703868</v>
      </c>
      <c r="J32" s="1">
        <v>0.04365073231028171</v>
      </c>
      <c r="K32" s="1">
        <v>-0.01287537174280085</v>
      </c>
      <c r="L32" s="1">
        <v>-0.01633476716841897</v>
      </c>
      <c r="M32" s="1">
        <v>0.01272450745827136</v>
      </c>
      <c r="N32" s="1">
        <v>0.003642240749111902</v>
      </c>
      <c r="O32" s="1">
        <v>0.002266346963385457</v>
      </c>
      <c r="P32" s="1">
        <v>-0.004387544144493716</v>
      </c>
      <c r="Q32" s="1">
        <v>0.02435585904098536</v>
      </c>
      <c r="R32" s="1">
        <v>-0.01479361816514846</v>
      </c>
      <c r="S32" s="1">
        <v>0.002478517632450217</v>
      </c>
      <c r="T32" s="1">
        <v>-0.01686324981694365</v>
      </c>
      <c r="U32" s="1">
        <v>0.009552498032511014</v>
      </c>
      <c r="V32" s="1">
        <v>0.00596419725911157</v>
      </c>
      <c r="W32" s="1">
        <v>-0.007727869694381884</v>
      </c>
      <c r="X32" s="1">
        <v>0.01351329983280736</v>
      </c>
      <c r="Y32" s="1">
        <v>0.01232117311865499</v>
      </c>
      <c r="Z32" s="1">
        <v>-0.01945362266595274</v>
      </c>
    </row>
    <row r="33" spans="1:26">
      <c r="A33" s="11">
        <v>42419</v>
      </c>
      <c r="B33" s="1">
        <v>-0.03788647276465107</v>
      </c>
      <c r="C33" s="1">
        <v>-0.02049867882745726</v>
      </c>
      <c r="D33" s="1">
        <v>-0.01103184381222344</v>
      </c>
      <c r="E33" s="1">
        <v>0.007580588957355916</v>
      </c>
      <c r="F33" s="1">
        <v>0.007675893225681518</v>
      </c>
      <c r="G33" s="1">
        <v>-0.006465580631049628</v>
      </c>
      <c r="H33" s="1">
        <v>-0.0003282339061534412</v>
      </c>
      <c r="I33" s="1">
        <v>-0.04145392833359152</v>
      </c>
      <c r="J33" s="1">
        <v>-0.01901120250926769</v>
      </c>
      <c r="K33" s="1">
        <v>-0.02695651133522925</v>
      </c>
      <c r="L33" s="1">
        <v>0.0001729449156067098</v>
      </c>
      <c r="M33" s="1">
        <v>0.00794821806726187</v>
      </c>
      <c r="N33" s="1">
        <v>-0.0009896282941462831</v>
      </c>
      <c r="O33" s="1">
        <v>-0.003304599295087973</v>
      </c>
      <c r="P33" s="1">
        <v>-0.007089908149140678</v>
      </c>
      <c r="Q33" s="1">
        <v>0</v>
      </c>
      <c r="R33" s="1">
        <v>-0.007410236445490992</v>
      </c>
      <c r="S33" s="1">
        <v>0.02127903588911084</v>
      </c>
      <c r="T33" s="1">
        <v>0.002865420293424847</v>
      </c>
      <c r="U33" s="1">
        <v>-0.01135467495921871</v>
      </c>
      <c r="V33" s="1">
        <v>-0.002895506807809034</v>
      </c>
      <c r="W33" s="1">
        <v>0.003624101623451725</v>
      </c>
      <c r="X33" s="1">
        <v>-0.01392506624346712</v>
      </c>
      <c r="Y33" s="1">
        <v>-0.001570487096470341</v>
      </c>
      <c r="Z33" s="1">
        <v>0.01133709812515149</v>
      </c>
    </row>
    <row r="34" spans="1:26">
      <c r="A34" s="11">
        <v>42422</v>
      </c>
      <c r="B34" s="1">
        <v>0.06107685533944607</v>
      </c>
      <c r="C34" s="1">
        <v>0.01936438794767725</v>
      </c>
      <c r="D34" s="1">
        <v>0.02018571520688517</v>
      </c>
      <c r="E34" s="1">
        <v>-0.001567154049983088</v>
      </c>
      <c r="F34" s="1">
        <v>0.006752169058924284</v>
      </c>
      <c r="G34" s="1">
        <v>0.01084590146605136</v>
      </c>
      <c r="H34" s="1">
        <v>-0.003118109348417719</v>
      </c>
      <c r="I34" s="1">
        <v>0.01818199618374594</v>
      </c>
      <c r="J34" s="1">
        <v>0.03488347234702083</v>
      </c>
      <c r="K34" s="1">
        <v>0.01787268981341916</v>
      </c>
      <c r="L34" s="1">
        <v>0.01297106491604083</v>
      </c>
      <c r="M34" s="1">
        <v>0.03841251174148264</v>
      </c>
      <c r="N34" s="1">
        <v>0.01073317077488878</v>
      </c>
      <c r="O34" s="1">
        <v>0.004187665987994027</v>
      </c>
      <c r="P34" s="1">
        <v>0.0160173118717466</v>
      </c>
      <c r="Q34" s="1">
        <v>0.001829383085295788</v>
      </c>
      <c r="R34" s="1">
        <v>0.02632594930964594</v>
      </c>
      <c r="S34" s="1">
        <v>0.006627944512576311</v>
      </c>
      <c r="T34" s="1">
        <v>0.008962884095131685</v>
      </c>
      <c r="U34" s="1">
        <v>0.007930242032944568</v>
      </c>
      <c r="V34" s="1">
        <v>0.002074287078640991</v>
      </c>
      <c r="W34" s="1">
        <v>0.00983387637675226</v>
      </c>
      <c r="X34" s="1">
        <v>0.0264415928894679</v>
      </c>
      <c r="Y34" s="1">
        <v>0.004129209875408435</v>
      </c>
      <c r="Z34" s="1">
        <v>0.03736558182488703</v>
      </c>
    </row>
    <row r="35" spans="1:26">
      <c r="A35" s="11">
        <v>42423</v>
      </c>
      <c r="B35" s="1">
        <v>-0.04367601754508665</v>
      </c>
      <c r="C35" s="1">
        <v>-0.004173949357421436</v>
      </c>
      <c r="D35" s="1">
        <v>-0.001822578949213116</v>
      </c>
      <c r="E35" s="1">
        <v>-0.02558901425202442</v>
      </c>
      <c r="F35" s="1">
        <v>-0.01049046200478665</v>
      </c>
      <c r="G35" s="1">
        <v>-0.003218523287971009</v>
      </c>
      <c r="H35" s="1">
        <v>0.002469398629877384</v>
      </c>
      <c r="I35" s="1">
        <v>-0.01607200015106414</v>
      </c>
      <c r="J35" s="1">
        <v>-0.03464406558642752</v>
      </c>
      <c r="K35" s="1">
        <v>-0.01024251433938417</v>
      </c>
      <c r="L35" s="1">
        <v>-0.04183013314407469</v>
      </c>
      <c r="M35" s="1">
        <v>0.006370029915205411</v>
      </c>
      <c r="N35" s="1">
        <v>0.005064399125786156</v>
      </c>
      <c r="O35" s="1">
        <v>-0.007992808521707251</v>
      </c>
      <c r="P35" s="1">
        <v>-0.02792021138461831</v>
      </c>
      <c r="Q35" s="1">
        <v>-0.005020616501897002</v>
      </c>
      <c r="R35" s="1">
        <v>-0.0141652107202388</v>
      </c>
      <c r="S35" s="1">
        <v>0.0003156202476326531</v>
      </c>
      <c r="T35" s="1">
        <v>-0.01198621834202751</v>
      </c>
      <c r="U35" s="1">
        <v>-0.003255198627811873</v>
      </c>
      <c r="V35" s="1">
        <v>0.02097364176267469</v>
      </c>
      <c r="W35" s="1">
        <v>-0.01293349774658525</v>
      </c>
      <c r="X35" s="1">
        <v>-0.007904128580534686</v>
      </c>
      <c r="Y35" s="1">
        <v>-0.008616081493471484</v>
      </c>
      <c r="Z35" s="1">
        <v>-0.0450246930546917</v>
      </c>
    </row>
    <row r="36" spans="1:26">
      <c r="A36" s="11">
        <v>42424</v>
      </c>
      <c r="B36" s="1">
        <v>0.01900755653276986</v>
      </c>
      <c r="C36" s="1">
        <v>-0.01120614666319797</v>
      </c>
      <c r="D36" s="1">
        <v>0.01643152264241499</v>
      </c>
      <c r="E36" s="1">
        <v>0.002577958849299566</v>
      </c>
      <c r="F36" s="1">
        <v>0.01494634039414566</v>
      </c>
      <c r="G36" s="1">
        <v>0.01506958672201786</v>
      </c>
      <c r="H36" s="1">
        <v>-0.006075535798238274</v>
      </c>
      <c r="I36" s="1">
        <v>0.02411248884128048</v>
      </c>
      <c r="J36" s="1">
        <v>0.04946661919678719</v>
      </c>
      <c r="K36" s="1">
        <v>0.01714977304710041</v>
      </c>
      <c r="L36" s="1">
        <v>0.0003564855052562432</v>
      </c>
      <c r="M36" s="1">
        <v>0.006815861139927826</v>
      </c>
      <c r="N36" s="1">
        <v>-0.00260078188231383</v>
      </c>
      <c r="O36" s="1">
        <v>0.006305543375027645</v>
      </c>
      <c r="P36" s="1">
        <v>0.003516845672912217</v>
      </c>
      <c r="Q36" s="1">
        <v>-0.002293430934161123</v>
      </c>
      <c r="R36" s="1">
        <v>-0.00640794758951968</v>
      </c>
      <c r="S36" s="1">
        <v>-0.01497733983783767</v>
      </c>
      <c r="T36" s="1">
        <v>0.01962990360144001</v>
      </c>
      <c r="U36" s="1">
        <v>0.009798628187780434</v>
      </c>
      <c r="V36" s="1">
        <v>0.03987069948276822</v>
      </c>
      <c r="W36" s="1">
        <v>0.0002311977377817964</v>
      </c>
      <c r="X36" s="1">
        <v>0.003245995828290438</v>
      </c>
      <c r="Y36" s="1">
        <v>0.003753140596992166</v>
      </c>
      <c r="Z36" s="1">
        <v>-0.02498814375004188</v>
      </c>
    </row>
    <row r="37" spans="1:26">
      <c r="A37" s="11">
        <v>42425</v>
      </c>
      <c r="B37" s="1">
        <v>-0.02098494799247397</v>
      </c>
      <c r="C37" s="1">
        <v>0.01064111932689049</v>
      </c>
      <c r="D37" s="1">
        <v>0.0223253201315603</v>
      </c>
      <c r="E37" s="1">
        <v>0.01285522493236035</v>
      </c>
      <c r="F37" s="1">
        <v>0.002226483294626158</v>
      </c>
      <c r="G37" s="1">
        <v>0.01484664223383292</v>
      </c>
      <c r="H37" s="1">
        <v>0.03452823393689575</v>
      </c>
      <c r="I37" s="1">
        <v>0.007594599957646109</v>
      </c>
      <c r="J37" s="1">
        <v>-0.04436276305820719</v>
      </c>
      <c r="K37" s="1">
        <v>0.0139534203530034</v>
      </c>
      <c r="L37" s="1">
        <v>0.01549683835034377</v>
      </c>
      <c r="M37" s="1">
        <v>0.02973865921619745</v>
      </c>
      <c r="N37" s="1">
        <v>0.01662307489809889</v>
      </c>
      <c r="O37" s="1">
        <v>0.005396367183664985</v>
      </c>
      <c r="P37" s="1">
        <v>0.01440837850757193</v>
      </c>
      <c r="Q37" s="1">
        <v>0.01287309024778738</v>
      </c>
      <c r="R37" s="1">
        <v>0.01270300789076817</v>
      </c>
      <c r="S37" s="1">
        <v>0.02072651973880202</v>
      </c>
      <c r="T37" s="1">
        <v>0.02545727285721222</v>
      </c>
      <c r="U37" s="1">
        <v>0.007277325039792837</v>
      </c>
      <c r="V37" s="1">
        <v>0.02248494987620586</v>
      </c>
      <c r="W37" s="1">
        <v>0.00616457595334885</v>
      </c>
      <c r="X37" s="1">
        <v>0.01500012696917508</v>
      </c>
      <c r="Y37" s="1">
        <v>0.00570658870752494</v>
      </c>
      <c r="Z37" s="1">
        <v>0.02659542386491576</v>
      </c>
    </row>
    <row r="38" spans="1:26">
      <c r="A38" s="11">
        <v>42426</v>
      </c>
      <c r="B38" s="1">
        <v>0.04445658398052887</v>
      </c>
      <c r="C38" s="1">
        <v>0.01147076051367324</v>
      </c>
      <c r="D38" s="1">
        <v>-0.01029155230576029</v>
      </c>
      <c r="E38" s="1">
        <v>-0.01237462980119408</v>
      </c>
      <c r="F38" s="1">
        <v>-0.01059316095642215</v>
      </c>
      <c r="G38" s="1">
        <v>-0.03187062312318945</v>
      </c>
      <c r="H38" s="1">
        <v>-0.01022035994738102</v>
      </c>
      <c r="I38" s="1">
        <v>-0.001633004583526221</v>
      </c>
      <c r="J38" s="1">
        <v>0.0290142703965468</v>
      </c>
      <c r="K38" s="1">
        <v>0.01519495966296969</v>
      </c>
      <c r="L38" s="1">
        <v>0.009296737845828185</v>
      </c>
      <c r="M38" s="1">
        <v>-0.00986162343634811</v>
      </c>
      <c r="N38" s="1">
        <v>-0.01346577099864132</v>
      </c>
      <c r="O38" s="1">
        <v>-0.004501372221333289</v>
      </c>
      <c r="P38" s="1">
        <v>-0.0153553905872128</v>
      </c>
      <c r="Q38" s="1">
        <v>-0.02360382824046514</v>
      </c>
      <c r="R38" s="1">
        <v>0.002508541233102068</v>
      </c>
      <c r="S38" s="1">
        <v>-0.00415526585959114</v>
      </c>
      <c r="T38" s="1">
        <v>0.02851609799034516</v>
      </c>
      <c r="U38" s="1">
        <v>-0.006422527440018144</v>
      </c>
      <c r="V38" s="1">
        <v>-0.003050785180559346</v>
      </c>
      <c r="W38" s="1">
        <v>0.001072305750402291</v>
      </c>
      <c r="X38" s="1">
        <v>0.001158706821258182</v>
      </c>
      <c r="Y38" s="1">
        <v>-0.001761442641030064</v>
      </c>
      <c r="Z38" s="1">
        <v>0.02543576138413006</v>
      </c>
    </row>
    <row r="39" spans="1:26">
      <c r="A39" s="11">
        <v>42429</v>
      </c>
      <c r="B39" s="1">
        <v>-0.03014953254922448</v>
      </c>
      <c r="C39" s="1">
        <v>0.0001690657597324119</v>
      </c>
      <c r="D39" s="1">
        <v>0.002029000319008656</v>
      </c>
      <c r="E39" s="1">
        <v>-0.005140650978724848</v>
      </c>
      <c r="F39" s="1">
        <v>-0.003108150541436094</v>
      </c>
      <c r="G39" s="1">
        <v>0.005396359481855795</v>
      </c>
      <c r="H39" s="1">
        <v>-0.003711095962361521</v>
      </c>
      <c r="I39" s="1">
        <v>0.008934158226475919</v>
      </c>
      <c r="J39" s="1">
        <v>0.004699049952004541</v>
      </c>
      <c r="K39" s="1">
        <v>-0.006495213412906042</v>
      </c>
      <c r="L39" s="1">
        <v>-0.02155052544035008</v>
      </c>
      <c r="M39" s="1">
        <v>-0.005217281917687999</v>
      </c>
      <c r="N39" s="1">
        <v>0.0004877653201962318</v>
      </c>
      <c r="O39" s="1">
        <v>-0.007826006242703687</v>
      </c>
      <c r="P39" s="1">
        <v>-0.008187034067782539</v>
      </c>
      <c r="Q39" s="1">
        <v>-0.001394968908900895</v>
      </c>
      <c r="R39" s="1">
        <v>-0.008662100941696727</v>
      </c>
      <c r="S39" s="1">
        <v>-0.01791047409656832</v>
      </c>
      <c r="T39" s="1">
        <v>-0.009265936240810291</v>
      </c>
      <c r="U39" s="1">
        <v>-0.004847679836074703</v>
      </c>
      <c r="V39" s="1">
        <v>0.0002551768179930303</v>
      </c>
      <c r="W39" s="1">
        <v>-0.01162895752630644</v>
      </c>
      <c r="X39" s="1">
        <v>-0.01157701956573454</v>
      </c>
      <c r="Y39" s="1">
        <v>-0.005683828626230625</v>
      </c>
      <c r="Z39" s="1">
        <v>-0.0206703502230513</v>
      </c>
    </row>
    <row r="40" spans="1:26">
      <c r="A40" s="11">
        <v>42430</v>
      </c>
      <c r="B40" s="1">
        <v>0.008882077411975331</v>
      </c>
      <c r="C40" s="1">
        <v>0.01506178344639575</v>
      </c>
      <c r="D40" s="1">
        <v>0.01189595545238009</v>
      </c>
      <c r="E40" s="1">
        <v>0.03697706264456757</v>
      </c>
      <c r="F40" s="1">
        <v>0.02580954033776917</v>
      </c>
      <c r="G40" s="1">
        <v>0.002147715607033529</v>
      </c>
      <c r="H40" s="1">
        <v>-0.01036435742895303</v>
      </c>
      <c r="I40" s="1">
        <v>0.01085049808146143</v>
      </c>
      <c r="J40" s="1">
        <v>0.0224509008679854</v>
      </c>
      <c r="K40" s="1">
        <v>0.02387717664986488</v>
      </c>
      <c r="L40" s="1">
        <v>0.05150984854591356</v>
      </c>
      <c r="M40" s="1">
        <v>0.01492597338279844</v>
      </c>
      <c r="N40" s="1">
        <v>0.002598605908119334</v>
      </c>
      <c r="O40" s="1">
        <v>0.01822908685398028</v>
      </c>
      <c r="P40" s="1">
        <v>0.03341200900851882</v>
      </c>
      <c r="Q40" s="1">
        <v>0.0009311134394789367</v>
      </c>
      <c r="R40" s="1">
        <v>0.0234948692412964</v>
      </c>
      <c r="S40" s="1">
        <v>0.02168433589773766</v>
      </c>
      <c r="T40" s="1">
        <v>0.0394079414505788</v>
      </c>
      <c r="U40" s="1">
        <v>0.01190835581919902</v>
      </c>
      <c r="V40" s="1">
        <v>0.03199485029056137</v>
      </c>
      <c r="W40" s="1">
        <v>0.04714021451552397</v>
      </c>
      <c r="X40" s="1">
        <v>0.01024885144136833</v>
      </c>
      <c r="Y40" s="1">
        <v>0.01439021425992482</v>
      </c>
      <c r="Z40" s="1">
        <v>0.04643518975207517</v>
      </c>
    </row>
    <row r="41" spans="1:26">
      <c r="A41" s="11">
        <v>42431</v>
      </c>
      <c r="B41" s="1">
        <v>0.0867426984966071</v>
      </c>
      <c r="C41" s="1">
        <v>-0.002584149998605234</v>
      </c>
      <c r="D41" s="1">
        <v>-0.003888021741224046</v>
      </c>
      <c r="E41" s="1">
        <v>0.01058850656356025</v>
      </c>
      <c r="F41" s="1">
        <v>0.002533294574508016</v>
      </c>
      <c r="G41" s="1">
        <v>0.008033873890886944</v>
      </c>
      <c r="H41" s="1">
        <v>0.005727775084722442</v>
      </c>
      <c r="I41" s="1">
        <v>0.009747124087404746</v>
      </c>
      <c r="J41" s="1">
        <v>-0.002744914172231105</v>
      </c>
      <c r="K41" s="1">
        <v>-0.004164847455568221</v>
      </c>
      <c r="L41" s="1">
        <v>0.00945956017605476</v>
      </c>
      <c r="M41" s="1">
        <v>-0.01317670757049716</v>
      </c>
      <c r="N41" s="1">
        <v>-0.003725960126485406</v>
      </c>
      <c r="O41" s="1">
        <v>-0.004303343362512368</v>
      </c>
      <c r="P41" s="1">
        <v>0.007036990062445403</v>
      </c>
      <c r="Q41" s="1">
        <v>0.02651136756730632</v>
      </c>
      <c r="R41" s="1">
        <v>-0.008347223232059275</v>
      </c>
      <c r="S41" s="1">
        <v>0.004982189065634968</v>
      </c>
      <c r="T41" s="1">
        <v>-0.02656807732848909</v>
      </c>
      <c r="U41" s="1">
        <v>0.008022813230531556</v>
      </c>
      <c r="V41" s="1">
        <v>0.001728931526260968</v>
      </c>
      <c r="W41" s="1">
        <v>0.02099355389288671</v>
      </c>
      <c r="X41" s="1">
        <v>-0.009565468966766355</v>
      </c>
      <c r="Y41" s="1">
        <v>0.0128250710615827</v>
      </c>
      <c r="Z41" s="1">
        <v>0.02330803898729195</v>
      </c>
    </row>
    <row r="42" spans="1:26">
      <c r="A42" s="11">
        <v>42432</v>
      </c>
      <c r="B42" s="1">
        <v>0.07433883229440408</v>
      </c>
      <c r="C42" s="1">
        <v>-0.0003344843973737133</v>
      </c>
      <c r="D42" s="1">
        <v>-0.009569307361897539</v>
      </c>
      <c r="E42" s="1">
        <v>0.001541275613787363</v>
      </c>
      <c r="F42" s="1">
        <v>0.009263809768345066</v>
      </c>
      <c r="G42" s="1">
        <v>-0.002125183563181254</v>
      </c>
      <c r="H42" s="1">
        <v>0.006670853643869323</v>
      </c>
      <c r="I42" s="1">
        <v>0.02236083297404412</v>
      </c>
      <c r="J42" s="1">
        <v>0.01926602121481213</v>
      </c>
      <c r="K42" s="1">
        <v>0.006969676090514243</v>
      </c>
      <c r="L42" s="1">
        <v>0.003346707351731926</v>
      </c>
      <c r="M42" s="1">
        <v>0.002145771508554883</v>
      </c>
      <c r="N42" s="1">
        <v>0.01186999622732965</v>
      </c>
      <c r="O42" s="1">
        <v>-0.001556143553667622</v>
      </c>
      <c r="P42" s="1">
        <v>-0.01133111498921247</v>
      </c>
      <c r="Q42" s="1">
        <v>0.01223429916357155</v>
      </c>
      <c r="R42" s="1">
        <v>0.0342453293590832</v>
      </c>
      <c r="S42" s="1">
        <v>-0.01155477827223772</v>
      </c>
      <c r="T42" s="1">
        <v>-0.00621181892434941</v>
      </c>
      <c r="U42" s="1">
        <v>0.007960279069018306</v>
      </c>
      <c r="V42" s="1">
        <v>-0.01713892487255508</v>
      </c>
      <c r="W42" s="1">
        <v>0.003981687452526028</v>
      </c>
      <c r="X42" s="1">
        <v>-0.01551084655647017</v>
      </c>
      <c r="Y42" s="1">
        <v>-0.004412863507360254</v>
      </c>
      <c r="Z42" s="1">
        <v>0.03197562284898425</v>
      </c>
    </row>
    <row r="43" spans="1:26">
      <c r="A43" s="11">
        <v>42433</v>
      </c>
      <c r="B43" s="1">
        <v>0.06542446501983301</v>
      </c>
      <c r="C43" s="1">
        <v>0.01220649356451764</v>
      </c>
      <c r="D43" s="1">
        <v>0.00330481628507151</v>
      </c>
      <c r="E43" s="1">
        <v>-0.00446173764859803</v>
      </c>
      <c r="F43" s="1">
        <v>-0.003004065955936941</v>
      </c>
      <c r="G43" s="1">
        <v>0.03780587235213129</v>
      </c>
      <c r="H43" s="1">
        <v>0.001293177104809473</v>
      </c>
      <c r="I43" s="1">
        <v>0.0144615887285906</v>
      </c>
      <c r="J43" s="1">
        <v>0.006300888118976777</v>
      </c>
      <c r="K43" s="1">
        <v>0.004983553858008083</v>
      </c>
      <c r="L43" s="1">
        <v>0.001501112520101655</v>
      </c>
      <c r="M43" s="1">
        <v>-0.01260985356575584</v>
      </c>
      <c r="N43" s="1">
        <v>0.0120516552316523</v>
      </c>
      <c r="O43" s="1">
        <v>0.004502152737051457</v>
      </c>
      <c r="P43" s="1">
        <v>-0.006113154982672842</v>
      </c>
      <c r="Q43" s="1">
        <v>0.002685569408748867</v>
      </c>
      <c r="R43" s="1">
        <v>-0.01183890208980498</v>
      </c>
      <c r="S43" s="1">
        <v>-0.01287444669199056</v>
      </c>
      <c r="T43" s="1">
        <v>0.01772140207372552</v>
      </c>
      <c r="U43" s="1">
        <v>-0.00157949646627964</v>
      </c>
      <c r="V43" s="1">
        <v>0.01781408033887399</v>
      </c>
      <c r="W43" s="1">
        <v>0.01175450525023969</v>
      </c>
      <c r="X43" s="1">
        <v>-0.0190248822777791</v>
      </c>
      <c r="Y43" s="1">
        <v>-0.001541606243177562</v>
      </c>
      <c r="Z43" s="1">
        <v>0.03310661359067435</v>
      </c>
    </row>
    <row r="44" spans="1:26">
      <c r="A44" s="11">
        <v>42436</v>
      </c>
      <c r="B44" s="1">
        <v>0.06203179286990923</v>
      </c>
      <c r="C44" s="1">
        <v>0.01511531319745174</v>
      </c>
      <c r="D44" s="1">
        <v>0.009123284713613566</v>
      </c>
      <c r="E44" s="1">
        <v>0.02750707917261663</v>
      </c>
      <c r="F44" s="1">
        <v>-0.01305639696582317</v>
      </c>
      <c r="G44" s="1">
        <v>0.01026193364631811</v>
      </c>
      <c r="H44" s="1">
        <v>0.001613779938269833</v>
      </c>
      <c r="I44" s="1">
        <v>0.009425010379260357</v>
      </c>
      <c r="J44" s="1">
        <v>0.0229741988279426</v>
      </c>
      <c r="K44" s="1">
        <v>0.000826402464254361</v>
      </c>
      <c r="L44" s="1">
        <v>-0.001832017683726428</v>
      </c>
      <c r="M44" s="1">
        <v>-0.0004819402109659254</v>
      </c>
      <c r="N44" s="1">
        <v>-0.01857707111041529</v>
      </c>
      <c r="O44" s="1">
        <v>-0.005516336797953603</v>
      </c>
      <c r="P44" s="1">
        <v>-0.01921954226492173</v>
      </c>
      <c r="Q44" s="1">
        <v>-0.00178538659117855</v>
      </c>
      <c r="R44" s="1">
        <v>0.004305676924309498</v>
      </c>
      <c r="S44" s="1">
        <v>0.002480602951467237</v>
      </c>
      <c r="T44" s="1">
        <v>-0.001914843715403625</v>
      </c>
      <c r="U44" s="1">
        <v>0.00527304146169949</v>
      </c>
      <c r="V44" s="1">
        <v>-0.003820903613626636</v>
      </c>
      <c r="W44" s="1">
        <v>0.008909408333404478</v>
      </c>
      <c r="X44" s="1">
        <v>-0.002424040341775457</v>
      </c>
      <c r="Y44" s="1">
        <v>0.007720382828836803</v>
      </c>
      <c r="Z44" s="1">
        <v>0.004108251906910887</v>
      </c>
    </row>
    <row r="45" spans="1:26">
      <c r="A45" s="11">
        <v>42437</v>
      </c>
      <c r="B45" s="1">
        <v>-0.09506096888098803</v>
      </c>
      <c r="C45" s="1">
        <v>-0.004475481214535337</v>
      </c>
      <c r="D45" s="1">
        <v>-0.006027127015892253</v>
      </c>
      <c r="E45" s="1">
        <v>-0.003458920277240596</v>
      </c>
      <c r="F45" s="1">
        <v>-0.01136363841677657</v>
      </c>
      <c r="G45" s="1">
        <v>0.008633507427139753</v>
      </c>
      <c r="H45" s="1">
        <v>0.007413641983549768</v>
      </c>
      <c r="I45" s="1">
        <v>-0.0213587710875609</v>
      </c>
      <c r="J45" s="1">
        <v>-0.02298920973943486</v>
      </c>
      <c r="K45" s="1">
        <v>-0.01486374269346369</v>
      </c>
      <c r="L45" s="1">
        <v>-0.01935258020397745</v>
      </c>
      <c r="M45" s="1">
        <v>0.002651635326843538</v>
      </c>
      <c r="N45" s="1">
        <v>0.007927532391462488</v>
      </c>
      <c r="O45" s="1">
        <v>-0.004333498662188573</v>
      </c>
      <c r="P45" s="1">
        <v>0.01214958381220166</v>
      </c>
      <c r="Q45" s="1">
        <v>0.005366452700968249</v>
      </c>
      <c r="R45" s="1">
        <v>-0.02479048893354974</v>
      </c>
      <c r="S45" s="1">
        <v>-0.006585404440545339</v>
      </c>
      <c r="T45" s="1">
        <v>-0.0003256412791540209</v>
      </c>
      <c r="U45" s="1">
        <v>-0.001049062743724183</v>
      </c>
      <c r="V45" s="1">
        <v>-0.003588122291295459</v>
      </c>
      <c r="W45" s="1">
        <v>-0.01744944404411164</v>
      </c>
      <c r="X45" s="1">
        <v>-0.01245426165204699</v>
      </c>
      <c r="Y45" s="1">
        <v>0.004788327858483044</v>
      </c>
      <c r="Z45" s="1">
        <v>-0.03109645507007419</v>
      </c>
    </row>
    <row r="46" spans="1:26">
      <c r="A46" s="11">
        <v>42438</v>
      </c>
      <c r="B46" s="1">
        <v>0.001299444542300687</v>
      </c>
      <c r="C46" s="1">
        <v>0.004168635853203151</v>
      </c>
      <c r="D46" s="1">
        <v>0.0002526719064903649</v>
      </c>
      <c r="E46" s="1">
        <v>-0.01086634759761962</v>
      </c>
      <c r="F46" s="1">
        <v>0.008405910673218386</v>
      </c>
      <c r="G46" s="1">
        <v>0.004531884496177474</v>
      </c>
      <c r="H46" s="1">
        <v>0.01183793349237927</v>
      </c>
      <c r="I46" s="1">
        <v>-0.009660153955454165</v>
      </c>
      <c r="J46" s="1">
        <v>0.02805488846199844</v>
      </c>
      <c r="K46" s="1">
        <v>0.005588073298671503</v>
      </c>
      <c r="L46" s="1">
        <v>0.005784035373436636</v>
      </c>
      <c r="M46" s="1">
        <v>0.01755244291821656</v>
      </c>
      <c r="N46" s="1">
        <v>0.008186224033525757</v>
      </c>
      <c r="O46" s="1">
        <v>0.0047006218786525</v>
      </c>
      <c r="P46" s="1">
        <v>0.02303962906546109</v>
      </c>
      <c r="Q46" s="1">
        <v>0.006227855911463243</v>
      </c>
      <c r="R46" s="1">
        <v>-0.001911157846956391</v>
      </c>
      <c r="S46" s="1">
        <v>0.00389705787183936</v>
      </c>
      <c r="T46" s="1">
        <v>-0.003548335720503504</v>
      </c>
      <c r="U46" s="1">
        <v>-0.002888072407281617</v>
      </c>
      <c r="V46" s="1">
        <v>0.008444374378328234</v>
      </c>
      <c r="W46" s="1">
        <v>-0.006686610340731591</v>
      </c>
      <c r="X46" s="1">
        <v>0.02062198092443834</v>
      </c>
      <c r="Y46" s="1">
        <v>-0.002287157037678123</v>
      </c>
      <c r="Z46" s="1">
        <v>-0.004222864014573169</v>
      </c>
    </row>
    <row r="47" spans="1:26">
      <c r="A47" s="11">
        <v>42439</v>
      </c>
      <c r="B47" s="1">
        <v>0.0004329082434277876</v>
      </c>
      <c r="C47" s="1">
        <v>0.0006510787840319221</v>
      </c>
      <c r="D47" s="1">
        <v>0.005304204551285441</v>
      </c>
      <c r="E47" s="1">
        <v>-0.009154726267957991</v>
      </c>
      <c r="F47" s="1">
        <v>-0.006975077294458343</v>
      </c>
      <c r="G47" s="1">
        <v>0.01203005953161584</v>
      </c>
      <c r="H47" s="1">
        <v>-0.002529574709228988</v>
      </c>
      <c r="I47" s="1">
        <v>-0.007947857626523169</v>
      </c>
      <c r="J47" s="1">
        <v>0.005281538723491686</v>
      </c>
      <c r="K47" s="1">
        <v>-0.01583746832183763</v>
      </c>
      <c r="L47" s="1">
        <v>-0.008626286844122366</v>
      </c>
      <c r="M47" s="1">
        <v>-0.001417703748633148</v>
      </c>
      <c r="N47" s="1">
        <v>0.003025207183799505</v>
      </c>
      <c r="O47" s="1">
        <v>0.0003467919242092776</v>
      </c>
      <c r="P47" s="1">
        <v>-0.01495070829333744</v>
      </c>
      <c r="Q47" s="1">
        <v>0.006631227134712203</v>
      </c>
      <c r="R47" s="1">
        <v>-0.008426021553953555</v>
      </c>
      <c r="S47" s="1">
        <v>0.0004401283033328429</v>
      </c>
      <c r="T47" s="1">
        <v>0.01595137319867601</v>
      </c>
      <c r="U47" s="1">
        <v>0.008688899212503376</v>
      </c>
      <c r="V47" s="1">
        <v>0.003570953760725359</v>
      </c>
      <c r="W47" s="1">
        <v>-0.001375456557433319</v>
      </c>
      <c r="X47" s="1">
        <v>-0.006031988887716833</v>
      </c>
      <c r="Y47" s="1">
        <v>-0.0003825657310678743</v>
      </c>
      <c r="Z47" s="1">
        <v>0.02374882354485774</v>
      </c>
    </row>
    <row r="48" spans="1:26">
      <c r="A48" s="11">
        <v>42440</v>
      </c>
      <c r="B48" s="1">
        <v>0.0588107549664949</v>
      </c>
      <c r="C48" s="1">
        <v>0.01374651284145778</v>
      </c>
      <c r="D48" s="1">
        <v>0.01708581854125879</v>
      </c>
      <c r="E48" s="1">
        <v>0.0003080993505584217</v>
      </c>
      <c r="F48" s="1">
        <v>0.01353430525119426</v>
      </c>
      <c r="G48" s="1">
        <v>0.00445734980976642</v>
      </c>
      <c r="H48" s="1">
        <v>0.01426544699562871</v>
      </c>
      <c r="I48" s="1">
        <v>0.006918845021664177</v>
      </c>
      <c r="J48" s="1">
        <v>0.02451830650507048</v>
      </c>
      <c r="K48" s="1">
        <v>0.02428030633550105</v>
      </c>
      <c r="L48" s="1">
        <v>0.01245523343239552</v>
      </c>
      <c r="M48" s="1">
        <v>0.02531969811176582</v>
      </c>
      <c r="N48" s="1">
        <v>-0.006807289716930898</v>
      </c>
      <c r="O48" s="1">
        <v>0.01749511611037691</v>
      </c>
      <c r="P48" s="1">
        <v>0.01959652506052167</v>
      </c>
      <c r="Q48" s="1">
        <v>-0.001317602083237279</v>
      </c>
      <c r="R48" s="1">
        <v>0.01834678350177743</v>
      </c>
      <c r="S48" s="1">
        <v>0.02727977865617381</v>
      </c>
      <c r="T48" s="1">
        <v>0.01870559474624289</v>
      </c>
      <c r="U48" s="1">
        <v>0.001304979412389162</v>
      </c>
      <c r="V48" s="1">
        <v>0.004540184820399196</v>
      </c>
      <c r="W48" s="1">
        <v>0.01748772447865976</v>
      </c>
      <c r="X48" s="1">
        <v>0.02851983533768898</v>
      </c>
      <c r="Y48" s="1">
        <v>0.004014048116826707</v>
      </c>
      <c r="Z48" s="1">
        <v>0.03272602439332783</v>
      </c>
    </row>
    <row r="49" spans="1:26">
      <c r="A49" s="11">
        <v>42443</v>
      </c>
      <c r="B49" s="1">
        <v>-0.0159281004991928</v>
      </c>
      <c r="C49" s="1">
        <v>0.01372066813311901</v>
      </c>
      <c r="D49" s="1">
        <v>-0.0009882165675502153</v>
      </c>
      <c r="E49" s="1">
        <v>-0.0129309811431122</v>
      </c>
      <c r="F49" s="1">
        <v>0.001183210972764748</v>
      </c>
      <c r="G49" s="1">
        <v>0.007397000481048632</v>
      </c>
      <c r="H49" s="1">
        <v>-0.007501137631552801</v>
      </c>
      <c r="I49" s="1">
        <v>-0.01326084062114585</v>
      </c>
      <c r="J49" s="1">
        <v>-0.01965771602765609</v>
      </c>
      <c r="K49" s="1">
        <v>0.00440976559636197</v>
      </c>
      <c r="L49" s="1">
        <v>-0.003707705928891913</v>
      </c>
      <c r="M49" s="1">
        <v>0.01130825229954002</v>
      </c>
      <c r="N49" s="1">
        <v>0</v>
      </c>
      <c r="O49" s="1">
        <v>0.001532144446743988</v>
      </c>
      <c r="P49" s="1">
        <v>0.00188449516937661</v>
      </c>
      <c r="Q49" s="1">
        <v>0.001759159548234246</v>
      </c>
      <c r="R49" s="1">
        <v>0.01877463678519153</v>
      </c>
      <c r="S49" s="1">
        <v>0.01799149513782572</v>
      </c>
      <c r="T49" s="1">
        <v>-0.004002741934012732</v>
      </c>
      <c r="U49" s="1">
        <v>-0.001042704784122717</v>
      </c>
      <c r="V49" s="1">
        <v>-0.001221826291353034</v>
      </c>
      <c r="W49" s="1">
        <v>-0.00320943348204572</v>
      </c>
      <c r="X49" s="1">
        <v>-0.001475250826882379</v>
      </c>
      <c r="Y49" s="1">
        <v>0.000190368859183998</v>
      </c>
      <c r="Z49" s="1">
        <v>-0.004011229595556998</v>
      </c>
    </row>
    <row r="50" spans="1:26">
      <c r="A50" s="11">
        <v>42444</v>
      </c>
      <c r="B50" s="1">
        <v>-0.005395303773796933</v>
      </c>
      <c r="C50" s="1">
        <v>0.0001584530498943693</v>
      </c>
      <c r="D50" s="1">
        <v>-0.007912999603879811</v>
      </c>
      <c r="E50" s="1">
        <v>-0.006862187167285483</v>
      </c>
      <c r="F50" s="1">
        <v>0.002870720200687016</v>
      </c>
      <c r="G50" s="1">
        <v>0.003915478225166469</v>
      </c>
      <c r="H50" s="1">
        <v>0.002361560114648276</v>
      </c>
      <c r="I50" s="1">
        <v>-0.01466054382938908</v>
      </c>
      <c r="J50" s="1">
        <v>-0.006103434124592133</v>
      </c>
      <c r="K50" s="1">
        <v>-0.00960481612143893</v>
      </c>
      <c r="L50" s="1">
        <v>0.001353328459590131</v>
      </c>
      <c r="M50" s="1">
        <v>-0.004563947715227945</v>
      </c>
      <c r="N50" s="1">
        <v>-0.002418823693617789</v>
      </c>
      <c r="O50" s="1">
        <v>0.005269391086171638</v>
      </c>
      <c r="P50" s="1">
        <v>0.007899009780860888</v>
      </c>
      <c r="Q50" s="1">
        <v>-0.004828464413009992</v>
      </c>
      <c r="R50" s="1">
        <v>-0.005770544724151061</v>
      </c>
      <c r="S50" s="1">
        <v>0.01463185029138425</v>
      </c>
      <c r="T50" s="1">
        <v>-0.003348460470126935</v>
      </c>
      <c r="U50" s="1">
        <v>0.00521882919266714</v>
      </c>
      <c r="V50" s="1">
        <v>-0.001467307077938296</v>
      </c>
      <c r="W50" s="1">
        <v>-0.01080285205737286</v>
      </c>
      <c r="X50" s="1">
        <v>-0.01004435491844868</v>
      </c>
      <c r="Y50" s="1">
        <v>0.002474070273674078</v>
      </c>
      <c r="Z50" s="1">
        <v>0</v>
      </c>
    </row>
    <row r="51" spans="1:26">
      <c r="A51" s="11">
        <v>42445</v>
      </c>
      <c r="B51" s="1">
        <v>0.02753999414326991</v>
      </c>
      <c r="C51" s="1">
        <v>0.009575651912655525</v>
      </c>
      <c r="D51" s="1">
        <v>-0.002243327539315998</v>
      </c>
      <c r="E51" s="1">
        <v>-0.01633181064449774</v>
      </c>
      <c r="F51" s="1">
        <v>0.008585535551104195</v>
      </c>
      <c r="G51" s="1">
        <v>0.005850797458902601</v>
      </c>
      <c r="H51" s="1">
        <v>0.009268177955841006</v>
      </c>
      <c r="I51" s="1">
        <v>0.009423497582834894</v>
      </c>
      <c r="J51" s="1">
        <v>0.01929843731095415</v>
      </c>
      <c r="K51" s="1">
        <v>0.007204401444368624</v>
      </c>
      <c r="L51" s="1">
        <v>-0.004729609927569545</v>
      </c>
      <c r="M51" s="1">
        <v>0.01215040556079394</v>
      </c>
      <c r="N51" s="1">
        <v>0.00339446408473365</v>
      </c>
      <c r="O51" s="1">
        <v>-0.003720066039320069</v>
      </c>
      <c r="P51" s="1">
        <v>0.01418189119825009</v>
      </c>
      <c r="Q51" s="1">
        <v>0.01896756153855894</v>
      </c>
      <c r="R51" s="1">
        <v>0.01142112261497852</v>
      </c>
      <c r="S51" s="1">
        <v>0.01715303968799975</v>
      </c>
      <c r="T51" s="1">
        <v>0.01510237161008199</v>
      </c>
      <c r="U51" s="1">
        <v>0.006490211459856399</v>
      </c>
      <c r="V51" s="1">
        <v>0.009062725649606529</v>
      </c>
      <c r="W51" s="1">
        <v>0.005930474511905537</v>
      </c>
      <c r="X51" s="1">
        <v>0.0211879877502561</v>
      </c>
      <c r="Y51" s="1">
        <v>0.0102527227661815</v>
      </c>
      <c r="Z51" s="1">
        <v>-0.001208163786823202</v>
      </c>
    </row>
    <row r="52" spans="1:26">
      <c r="A52" s="11">
        <v>42446</v>
      </c>
      <c r="B52" s="1">
        <v>0.0247717727459591</v>
      </c>
      <c r="C52" s="1">
        <v>0.02453538387657783</v>
      </c>
      <c r="D52" s="1">
        <v>-0.007743992838835423</v>
      </c>
      <c r="E52" s="1">
        <v>-0.01867795084895107</v>
      </c>
      <c r="F52" s="1">
        <v>0.01402078045668365</v>
      </c>
      <c r="G52" s="1">
        <v>0.02132839556530253</v>
      </c>
      <c r="H52" s="1">
        <v>0.001867868284324503</v>
      </c>
      <c r="I52" s="1">
        <v>0.02026785733211667</v>
      </c>
      <c r="J52" s="1">
        <v>0.008605802494749737</v>
      </c>
      <c r="K52" s="1">
        <v>0.009078134082232792</v>
      </c>
      <c r="L52" s="1">
        <v>-0.002885445077808857</v>
      </c>
      <c r="M52" s="1">
        <v>-0.01245755830992001</v>
      </c>
      <c r="N52" s="1">
        <v>0.00418899473339418</v>
      </c>
      <c r="O52" s="1">
        <v>0.01578418385086366</v>
      </c>
      <c r="P52" s="1">
        <v>0.005703589545947407</v>
      </c>
      <c r="Q52" s="1">
        <v>0.009956577002490308</v>
      </c>
      <c r="R52" s="1">
        <v>0.01703111083022835</v>
      </c>
      <c r="S52" s="1">
        <v>0.006417471915123985</v>
      </c>
      <c r="T52" s="1">
        <v>0.0002784029198561466</v>
      </c>
      <c r="U52" s="1">
        <v>0.009027893310458168</v>
      </c>
      <c r="V52" s="1">
        <v>0.007646711272905726</v>
      </c>
      <c r="W52" s="1">
        <v>-0.005967889135300108</v>
      </c>
      <c r="X52" s="1">
        <v>0.02191697055707076</v>
      </c>
      <c r="Y52" s="1">
        <v>0.007893188161571363</v>
      </c>
      <c r="Z52" s="1">
        <v>0.008467685984389961</v>
      </c>
    </row>
    <row r="53" spans="1:26">
      <c r="A53" s="11">
        <v>42447</v>
      </c>
      <c r="B53" s="1">
        <v>-0.01664373440735067</v>
      </c>
      <c r="C53" s="1">
        <v>0.02494272511589757</v>
      </c>
      <c r="D53" s="1">
        <v>0.01032224282910654</v>
      </c>
      <c r="E53" s="1">
        <v>0.02212449958711549</v>
      </c>
      <c r="F53" s="1">
        <v>-0.01629623394864621</v>
      </c>
      <c r="G53" s="1">
        <v>-0.01613685386706276</v>
      </c>
      <c r="H53" s="1">
        <v>-0.0004663977548173825</v>
      </c>
      <c r="I53" s="1">
        <v>-0.00517715682610298</v>
      </c>
      <c r="J53" s="1">
        <v>0.0392495047360002</v>
      </c>
      <c r="K53" s="1">
        <v>-0.003271294023929339</v>
      </c>
      <c r="L53" s="1">
        <v>0.02944728293279963</v>
      </c>
      <c r="M53" s="1">
        <v>0.02064233791728975</v>
      </c>
      <c r="N53" s="1">
        <v>-0.01267455800377015</v>
      </c>
      <c r="O53" s="1">
        <v>-0.0008352515569433061</v>
      </c>
      <c r="P53" s="1">
        <v>-0.02140487521600742</v>
      </c>
      <c r="Q53" s="1">
        <v>-0.02271760210694451</v>
      </c>
      <c r="R53" s="1">
        <v>0.004368147267715283</v>
      </c>
      <c r="S53" s="1">
        <v>-0.0011123370107744</v>
      </c>
      <c r="T53" s="1">
        <v>0.005573449229636873</v>
      </c>
      <c r="U53" s="1">
        <v>-0.01431500352030757</v>
      </c>
      <c r="V53" s="1">
        <v>-0.003734168768928403</v>
      </c>
      <c r="W53" s="1">
        <v>0.0126585389134739</v>
      </c>
      <c r="X53" s="1">
        <v>0.03431482707818478</v>
      </c>
      <c r="Y53" s="1">
        <v>-0.007271607888152287</v>
      </c>
      <c r="Z53" s="1">
        <v>0.007996695298073231</v>
      </c>
    </row>
    <row r="54" spans="1:26">
      <c r="A54" s="11">
        <v>42450</v>
      </c>
      <c r="B54" s="1">
        <v>0.005037686109679473</v>
      </c>
      <c r="C54" s="1">
        <v>0.01418338148546838</v>
      </c>
      <c r="D54" s="1">
        <v>-0.001993559372644893</v>
      </c>
      <c r="E54" s="1">
        <v>-0.00206914984059603</v>
      </c>
      <c r="F54" s="1">
        <v>0.001338715289661563</v>
      </c>
      <c r="G54" s="1">
        <v>0.01061256116690257</v>
      </c>
      <c r="H54" s="1">
        <v>-0.0004661847672899899</v>
      </c>
      <c r="I54" s="1">
        <v>0.001089270977644441</v>
      </c>
      <c r="J54" s="1">
        <v>0.00246264745853142</v>
      </c>
      <c r="K54" s="1">
        <v>-0.001367683243939766</v>
      </c>
      <c r="L54" s="1">
        <v>-0.0003307031151300599</v>
      </c>
      <c r="M54" s="1">
        <v>0.01101083673346781</v>
      </c>
      <c r="N54" s="1">
        <v>0.002924957504736092</v>
      </c>
      <c r="O54" s="1">
        <v>-0.0005018154453406698</v>
      </c>
      <c r="P54" s="1">
        <v>0.006916946592393058</v>
      </c>
      <c r="Q54" s="1">
        <v>0.003947605337361049</v>
      </c>
      <c r="R54" s="1">
        <v>-0.004530479862348114</v>
      </c>
      <c r="S54" s="1">
        <v>-0.01926155420840459</v>
      </c>
      <c r="T54" s="1">
        <v>-0.05334446755044953</v>
      </c>
      <c r="U54" s="1">
        <v>0.009335872988643246</v>
      </c>
      <c r="V54" s="1">
        <v>-0.006166242203497263</v>
      </c>
      <c r="W54" s="1">
        <v>-0.002642966215870013</v>
      </c>
      <c r="X54" s="1">
        <v>0.005253381406957969</v>
      </c>
      <c r="Y54" s="1">
        <v>0.003755974987724287</v>
      </c>
      <c r="Z54" s="1">
        <v>0.007140021263873031</v>
      </c>
    </row>
    <row r="55" spans="1:26">
      <c r="A55" s="11">
        <v>42451</v>
      </c>
      <c r="B55" s="1">
        <v>0.007818952733726903</v>
      </c>
      <c r="C55" s="1">
        <v>-0.005446735147873527</v>
      </c>
      <c r="D55" s="1">
        <v>0.01373263756602694</v>
      </c>
      <c r="E55" s="1">
        <v>0.001595266791615479</v>
      </c>
      <c r="F55" s="1">
        <v>0.0005016586065427209</v>
      </c>
      <c r="G55" s="1">
        <v>0.0009550341427724263</v>
      </c>
      <c r="H55" s="1">
        <v>-0.01570507940684807</v>
      </c>
      <c r="I55" s="1">
        <v>-0.005560656224410487</v>
      </c>
      <c r="J55" s="1">
        <v>0.004095371875758813</v>
      </c>
      <c r="K55" s="1">
        <v>-0.009312375583202637</v>
      </c>
      <c r="L55" s="1">
        <v>-0.003638937674455445</v>
      </c>
      <c r="M55" s="1">
        <v>-0.008446156332229449</v>
      </c>
      <c r="N55" s="1">
        <v>-0.01166564571477224</v>
      </c>
      <c r="O55" s="1">
        <v>-0.0006692952199253144</v>
      </c>
      <c r="P55" s="1">
        <v>0.003899110948715423</v>
      </c>
      <c r="Q55" s="1">
        <v>-0.003932083025422917</v>
      </c>
      <c r="R55" s="1">
        <v>-0.008556333741593147</v>
      </c>
      <c r="S55" s="1">
        <v>-0.001362394950608303</v>
      </c>
      <c r="T55" s="1">
        <v>0.03187085680153667</v>
      </c>
      <c r="U55" s="1">
        <v>-0.007451008339406595</v>
      </c>
      <c r="V55" s="1">
        <v>-0.006082827560585535</v>
      </c>
      <c r="W55" s="1">
        <v>-0.005586057902379538</v>
      </c>
      <c r="X55" s="1">
        <v>0.006875498031710503</v>
      </c>
      <c r="Y55" s="1">
        <v>-0.004303676466459017</v>
      </c>
      <c r="Z55" s="1">
        <v>-0.001575523608417617</v>
      </c>
    </row>
    <row r="56" spans="1:26">
      <c r="A56" s="11">
        <v>42452</v>
      </c>
      <c r="B56" s="1">
        <v>-0.04794172304103994</v>
      </c>
      <c r="C56" s="1">
        <v>-0.01672582025108071</v>
      </c>
      <c r="D56" s="1">
        <v>0.002217136302358425</v>
      </c>
      <c r="E56" s="1">
        <v>-0.00732502106111288</v>
      </c>
      <c r="F56" s="1">
        <v>-0.01035633352929366</v>
      </c>
      <c r="G56" s="1">
        <v>-0.001430771673819331</v>
      </c>
      <c r="H56" s="1">
        <v>0.002053557234887204</v>
      </c>
      <c r="I56" s="1">
        <v>-0.0172630445552453</v>
      </c>
      <c r="J56" s="1">
        <v>-0.01957562764676601</v>
      </c>
      <c r="K56" s="1">
        <v>-0.01244130003775257</v>
      </c>
      <c r="L56" s="1">
        <v>-0.004980310778415875</v>
      </c>
      <c r="M56" s="1">
        <v>-0.004034879965969629</v>
      </c>
      <c r="N56" s="1">
        <v>0.006721410205866585</v>
      </c>
      <c r="O56" s="1">
        <v>-0.003180916559735847</v>
      </c>
      <c r="P56" s="1">
        <v>-0.001849400719939553</v>
      </c>
      <c r="Q56" s="1">
        <v>0.009649391158823128</v>
      </c>
      <c r="R56" s="1">
        <v>-0.01432238481629411</v>
      </c>
      <c r="S56" s="1">
        <v>0.00492648110802274</v>
      </c>
      <c r="T56" s="1">
        <v>0.003510469425670681</v>
      </c>
      <c r="U56" s="1">
        <v>-0.002329518921930784</v>
      </c>
      <c r="V56" s="1">
        <v>-0.002447586542525304</v>
      </c>
      <c r="W56" s="1">
        <v>-0.0002160204235019947</v>
      </c>
      <c r="X56" s="1">
        <v>-0.0005461020814553352</v>
      </c>
      <c r="Y56" s="1">
        <v>-0.00563770506976724</v>
      </c>
      <c r="Z56" s="1">
        <v>-0.01617301083462441</v>
      </c>
    </row>
    <row r="57" spans="1:26">
      <c r="A57" s="11">
        <v>42453</v>
      </c>
      <c r="B57" s="1">
        <v>0.02068539121865198</v>
      </c>
      <c r="C57" s="1">
        <v>-0.005569786168605484</v>
      </c>
      <c r="D57" s="1">
        <v>-0.0142544157479827</v>
      </c>
      <c r="E57" s="1">
        <v>0.002887385988138647</v>
      </c>
      <c r="F57" s="1">
        <v>0.01282717780603115</v>
      </c>
      <c r="G57" s="1">
        <v>0.002865452674440494</v>
      </c>
      <c r="H57" s="1">
        <v>-0.004098784918491249</v>
      </c>
      <c r="I57" s="1">
        <v>-0.007421742461862668</v>
      </c>
      <c r="J57" s="1">
        <v>0.004158970436720866</v>
      </c>
      <c r="K57" s="1">
        <v>0.008118557752746725</v>
      </c>
      <c r="L57" s="1">
        <v>-0.00767444682304963</v>
      </c>
      <c r="M57" s="1">
        <v>-0.008327726711139904</v>
      </c>
      <c r="N57" s="1">
        <v>-0.008630612973603902</v>
      </c>
      <c r="O57" s="1">
        <v>0.004366954600844908</v>
      </c>
      <c r="P57" s="1">
        <v>0.004446721091655004</v>
      </c>
      <c r="Q57" s="1">
        <v>0.0004342384430762181</v>
      </c>
      <c r="R57" s="1">
        <v>-0.004284975863677265</v>
      </c>
      <c r="S57" s="1">
        <v>0.005580150719162624</v>
      </c>
      <c r="T57" s="1">
        <v>-0.005794931373584444</v>
      </c>
      <c r="U57" s="1">
        <v>0.008822069880640937</v>
      </c>
      <c r="V57" s="1">
        <v>0.006625429874400623</v>
      </c>
      <c r="W57" s="1">
        <v>0.001440296253258255</v>
      </c>
      <c r="X57" s="1">
        <v>-0.01175210444021502</v>
      </c>
      <c r="Y57" s="1">
        <v>0.01228447187925741</v>
      </c>
      <c r="Z57" s="1">
        <v>0.003207388082262952</v>
      </c>
    </row>
    <row r="58" spans="1:26">
      <c r="A58" s="11">
        <v>42457</v>
      </c>
      <c r="B58" s="1">
        <v>-0.009006975397879868</v>
      </c>
      <c r="C58" s="1">
        <v>-0.006282284743020061</v>
      </c>
      <c r="D58" s="1">
        <v>0.009224769101876307</v>
      </c>
      <c r="E58" s="1">
        <v>0.003998407057187237</v>
      </c>
      <c r="F58" s="1">
        <v>0.001333227060967834</v>
      </c>
      <c r="G58" s="1">
        <v>-0.01000007988803497</v>
      </c>
      <c r="H58" s="1">
        <v>0.003324084317620102</v>
      </c>
      <c r="I58" s="1">
        <v>-0.0008726970447490157</v>
      </c>
      <c r="J58" s="1">
        <v>0</v>
      </c>
      <c r="K58" s="1">
        <v>0.004443404196968759</v>
      </c>
      <c r="L58" s="1">
        <v>-0.001344629383086215</v>
      </c>
      <c r="M58" s="1">
        <v>-0.005673932272377558</v>
      </c>
      <c r="N58" s="1">
        <v>0.01231974222300924</v>
      </c>
      <c r="O58" s="1">
        <v>0.004013065466156984</v>
      </c>
      <c r="P58" s="1">
        <v>-0.01235927529017788</v>
      </c>
      <c r="Q58" s="1">
        <v>-0.004776280242592579</v>
      </c>
      <c r="R58" s="1">
        <v>0.006174479767813823</v>
      </c>
      <c r="S58" s="1">
        <v>0.01192461769451825</v>
      </c>
      <c r="T58" s="1">
        <v>0.009169874781114196</v>
      </c>
      <c r="U58" s="1">
        <v>0.004886234518393762</v>
      </c>
      <c r="V58" s="1">
        <v>0.009264042490109148</v>
      </c>
      <c r="W58" s="1">
        <v>-0.003524171159610567</v>
      </c>
      <c r="X58" s="1">
        <v>-0.003595068794466916</v>
      </c>
      <c r="Y58" s="1">
        <v>-0.002986953851195739</v>
      </c>
      <c r="Z58" s="1">
        <v>-0.01079161703687226</v>
      </c>
    </row>
    <row r="59" spans="1:26">
      <c r="A59" s="11">
        <v>42458</v>
      </c>
      <c r="B59" s="1">
        <v>0.003098600476220126</v>
      </c>
      <c r="C59" s="1">
        <v>-0.003122961196133311</v>
      </c>
      <c r="D59" s="1">
        <v>0.01976256273074961</v>
      </c>
      <c r="E59" s="1">
        <v>0.02262237143372947</v>
      </c>
      <c r="F59" s="1">
        <v>0.01098339261681947</v>
      </c>
      <c r="G59" s="1">
        <v>0.0221259902428228</v>
      </c>
      <c r="H59" s="1">
        <v>0.01246464971624905</v>
      </c>
      <c r="I59" s="1">
        <v>0.01168758796194069</v>
      </c>
      <c r="J59" s="1">
        <v>0.01739869580390319</v>
      </c>
      <c r="K59" s="1">
        <v>-0.0002768141113713707</v>
      </c>
      <c r="L59" s="1">
        <v>-0.006229287538380812</v>
      </c>
      <c r="M59" s="1">
        <v>0.01894533982248481</v>
      </c>
      <c r="N59" s="1">
        <v>0.00648988161276276</v>
      </c>
      <c r="O59" s="1">
        <v>0.008661176582093644</v>
      </c>
      <c r="P59" s="1">
        <v>0.02185288666713014</v>
      </c>
      <c r="Q59" s="1">
        <v>0.01090749991189233</v>
      </c>
      <c r="R59" s="1">
        <v>0.01822194600956806</v>
      </c>
      <c r="S59" s="1">
        <v>0.01723110807000205</v>
      </c>
      <c r="T59" s="1">
        <v>0.005881723271809136</v>
      </c>
      <c r="U59" s="1">
        <v>0.009726558010684228</v>
      </c>
      <c r="V59" s="1">
        <v>0.002053137594017596</v>
      </c>
      <c r="W59" s="1">
        <v>0.01169397759302404</v>
      </c>
      <c r="X59" s="1">
        <v>0.00333096928338783</v>
      </c>
      <c r="Y59" s="1">
        <v>0.01217237585344311</v>
      </c>
      <c r="Z59" s="1">
        <v>-0.01696958920932767</v>
      </c>
    </row>
    <row r="60" spans="1:26">
      <c r="A60" s="11">
        <v>42459</v>
      </c>
      <c r="B60" s="1">
        <v>0.001647318445304302</v>
      </c>
      <c r="C60" s="1">
        <v>-0.0175732657344535</v>
      </c>
      <c r="D60" s="1">
        <v>-0.0004842074866476809</v>
      </c>
      <c r="E60" s="1">
        <v>-0.00579843450818629</v>
      </c>
      <c r="F60" s="1">
        <v>0.0008231935596436646</v>
      </c>
      <c r="G60" s="1">
        <v>-0.01882387881829606</v>
      </c>
      <c r="H60" s="1">
        <v>-0.0001554323878611985</v>
      </c>
      <c r="I60" s="1">
        <v>-0.00471997238116284</v>
      </c>
      <c r="J60" s="1">
        <v>0.001628766313896746</v>
      </c>
      <c r="K60" s="1">
        <v>0.01272135029656063</v>
      </c>
      <c r="L60" s="1">
        <v>0.01151984848964482</v>
      </c>
      <c r="M60" s="1">
        <v>0.007616198288929565</v>
      </c>
      <c r="N60" s="1">
        <v>0.00886695082635458</v>
      </c>
      <c r="O60" s="1">
        <v>0.002972122324646609</v>
      </c>
      <c r="P60" s="1">
        <v>0.006214580661608071</v>
      </c>
      <c r="Q60" s="1">
        <v>0.00949461082898484</v>
      </c>
      <c r="R60" s="1">
        <v>-0.0034695068361148</v>
      </c>
      <c r="S60" s="1">
        <v>-0.004735477872083171</v>
      </c>
      <c r="T60" s="1">
        <v>-0.00409633740594384</v>
      </c>
      <c r="U60" s="1">
        <v>-0.002027590728201467</v>
      </c>
      <c r="V60" s="1">
        <v>0.007593003990872704</v>
      </c>
      <c r="W60" s="1">
        <v>0.00456628793830216</v>
      </c>
      <c r="X60" s="1">
        <v>0.004702484426110987</v>
      </c>
      <c r="Y60" s="1">
        <v>-0.0001852003226507914</v>
      </c>
      <c r="Z60" s="1">
        <v>0.01233024136999838</v>
      </c>
    </row>
    <row r="61" spans="1:26">
      <c r="A61" s="11">
        <v>42460</v>
      </c>
      <c r="B61" s="1">
        <v>0.003495202950824172</v>
      </c>
      <c r="C61" s="1">
        <v>-0.01275473446570941</v>
      </c>
      <c r="D61" s="1">
        <v>-0.004362364393910023</v>
      </c>
      <c r="E61" s="1">
        <v>0.006935860512418568</v>
      </c>
      <c r="F61" s="1">
        <v>0.004605531561233223</v>
      </c>
      <c r="G61" s="1">
        <v>0.003357534118944017</v>
      </c>
      <c r="H61" s="1">
        <v>-0.005767092577312449</v>
      </c>
      <c r="I61" s="1">
        <v>-0.03906643877854454</v>
      </c>
      <c r="J61" s="1">
        <v>0.001625896024913809</v>
      </c>
      <c r="K61" s="1">
        <v>0.002457895272625299</v>
      </c>
      <c r="L61" s="1">
        <v>-0.008206332081245882</v>
      </c>
      <c r="M61" s="1">
        <v>-0.004001786720429057</v>
      </c>
      <c r="N61" s="1">
        <v>0.001278136712407063</v>
      </c>
      <c r="O61" s="1">
        <v>0.0008232395943792437</v>
      </c>
      <c r="P61" s="1">
        <v>0.003269612435992997</v>
      </c>
      <c r="Q61" s="1">
        <v>0.00726846328495645</v>
      </c>
      <c r="R61" s="1">
        <v>0.002198920538200255</v>
      </c>
      <c r="S61" s="1">
        <v>0.009589529595247503</v>
      </c>
      <c r="T61" s="1">
        <v>0.0008434053962693699</v>
      </c>
      <c r="U61" s="1">
        <v>-0.005080239227246985</v>
      </c>
      <c r="V61" s="1">
        <v>-0.01578950760420594</v>
      </c>
      <c r="W61" s="1">
        <v>0.005681914664478871</v>
      </c>
      <c r="X61" s="1">
        <v>0.003854408199726045</v>
      </c>
      <c r="Y61" s="1">
        <v>0.000740136364031807</v>
      </c>
      <c r="Z61" s="1">
        <v>-0.0170523724951922</v>
      </c>
    </row>
    <row r="62" spans="1:26">
      <c r="A62" s="11">
        <v>42461</v>
      </c>
      <c r="B62" s="1">
        <v>-0.02683881291794665</v>
      </c>
      <c r="C62" s="1">
        <v>0.0001577041149418701</v>
      </c>
      <c r="D62" s="1">
        <v>0.01484844497560744</v>
      </c>
      <c r="E62" s="1">
        <v>0.01612381972697507</v>
      </c>
      <c r="F62" s="1">
        <v>0.01293328709267305</v>
      </c>
      <c r="G62" s="1">
        <v>0.01338455876933708</v>
      </c>
      <c r="H62" s="1">
        <v>0.02147659203569963</v>
      </c>
      <c r="I62" s="1">
        <v>-0.006364301090124869</v>
      </c>
      <c r="J62" s="1">
        <v>-0.004869770334511969</v>
      </c>
      <c r="K62" s="1">
        <v>0.002723697453904661</v>
      </c>
      <c r="L62" s="1">
        <v>0.01097606353685721</v>
      </c>
      <c r="M62" s="1">
        <v>-0.005357089225075495</v>
      </c>
      <c r="N62" s="1">
        <v>0.006383512444460893</v>
      </c>
      <c r="O62" s="1">
        <v>0.009540923952910729</v>
      </c>
      <c r="P62" s="1">
        <v>0.006156227847817997</v>
      </c>
      <c r="Q62" s="1">
        <v>0.01103526149845702</v>
      </c>
      <c r="R62" s="1">
        <v>-0.008776610855933731</v>
      </c>
      <c r="S62" s="1">
        <v>-0.001123804570334785</v>
      </c>
      <c r="T62" s="1">
        <v>0.01046807342598566</v>
      </c>
      <c r="U62" s="1">
        <v>-0.003063360532624015</v>
      </c>
      <c r="V62" s="1">
        <v>0.00583348532979322</v>
      </c>
      <c r="W62" s="1">
        <v>0.007627580684793855</v>
      </c>
      <c r="X62" s="1">
        <v>0.006308292568001139</v>
      </c>
      <c r="Y62" s="1">
        <v>-0.001294203620218592</v>
      </c>
      <c r="Z62" s="1">
        <v>-0.001651998207658045</v>
      </c>
    </row>
    <row r="63" spans="1:26">
      <c r="A63" s="11">
        <v>42464</v>
      </c>
      <c r="B63" s="1">
        <v>-0.01431582745415794</v>
      </c>
      <c r="C63" s="1">
        <v>-0.004883475699436923</v>
      </c>
      <c r="D63" s="1">
        <v>0.0093550388638588</v>
      </c>
      <c r="E63" s="1">
        <v>0.0163304372160189</v>
      </c>
      <c r="F63" s="1">
        <v>-0.002678666587923706</v>
      </c>
      <c r="G63" s="1">
        <v>-0.01132080045802475</v>
      </c>
      <c r="H63" s="1">
        <v>0.004757186697361249</v>
      </c>
      <c r="I63" s="1">
        <v>-0.007843835949928879</v>
      </c>
      <c r="J63" s="1">
        <v>-0.01305082624980192</v>
      </c>
      <c r="K63" s="1">
        <v>-0.008149738255635142</v>
      </c>
      <c r="L63" s="1">
        <v>-0.003870312519848929</v>
      </c>
      <c r="M63" s="1">
        <v>-0.01009861726984729</v>
      </c>
      <c r="N63" s="1">
        <v>0.002696003267065761</v>
      </c>
      <c r="O63" s="1">
        <v>-0.002607009425255491</v>
      </c>
      <c r="P63" s="1">
        <v>-0.002519444166577678</v>
      </c>
      <c r="Q63" s="1">
        <v>-0.009235414212081072</v>
      </c>
      <c r="R63" s="1">
        <v>-0.009961389070215598</v>
      </c>
      <c r="S63" s="1">
        <v>0.002721932808823047</v>
      </c>
      <c r="T63" s="1">
        <v>-0.001807610289217609</v>
      </c>
      <c r="U63" s="1">
        <v>0.007938606980289142</v>
      </c>
      <c r="V63" s="1">
        <v>-0.005557890313755087</v>
      </c>
      <c r="W63" s="1">
        <v>0.009673309717451728</v>
      </c>
      <c r="X63" s="1">
        <v>-0.002452891852874561</v>
      </c>
      <c r="Y63" s="1">
        <v>0.007591181787683254</v>
      </c>
      <c r="Z63" s="1">
        <v>-0.001241366432486291</v>
      </c>
    </row>
    <row r="64" spans="1:26">
      <c r="A64" s="11">
        <v>42465</v>
      </c>
      <c r="B64" s="1">
        <v>0.01089288971271274</v>
      </c>
      <c r="C64" s="1">
        <v>0.005461526365219793</v>
      </c>
      <c r="D64" s="1">
        <v>-0.01829826166514181</v>
      </c>
      <c r="E64" s="1">
        <v>-0.003183266336179491</v>
      </c>
      <c r="F64" s="1">
        <v>-0.004883321065757285</v>
      </c>
      <c r="G64" s="1">
        <v>-0.02146972013966941</v>
      </c>
      <c r="H64" s="1">
        <v>-0.0163427590996752</v>
      </c>
      <c r="I64" s="1">
        <v>0.002240303055532022</v>
      </c>
      <c r="J64" s="1">
        <v>-0.01239667931318855</v>
      </c>
      <c r="K64" s="1">
        <v>-0.02985480243538241</v>
      </c>
      <c r="L64" s="1">
        <v>-0.01418893856341452</v>
      </c>
      <c r="M64" s="1">
        <v>-0.01088197207823138</v>
      </c>
      <c r="N64" s="1">
        <v>-0.004744307097303224</v>
      </c>
      <c r="O64" s="1">
        <v>-0.01257953726106398</v>
      </c>
      <c r="P64" s="1">
        <v>-0.01569545745683043</v>
      </c>
      <c r="Q64" s="1">
        <v>-0.01525413481145499</v>
      </c>
      <c r="R64" s="1">
        <v>-0.01565102642216565</v>
      </c>
      <c r="S64" s="1">
        <v>-0.008759455825302132</v>
      </c>
      <c r="T64" s="1">
        <v>0.0003829955257161899</v>
      </c>
      <c r="U64" s="1">
        <v>-0.004319536256980783</v>
      </c>
      <c r="V64" s="1">
        <v>-0.002430186867927397</v>
      </c>
      <c r="W64" s="1">
        <v>-0.01853561662442527</v>
      </c>
      <c r="X64" s="1">
        <v>-0.00546430929722308</v>
      </c>
      <c r="Y64" s="1">
        <v>-0.006064053680918779</v>
      </c>
      <c r="Z64" s="1">
        <v>-0.01988400572711257</v>
      </c>
    </row>
    <row r="65" spans="1:26">
      <c r="A65" s="11">
        <v>42466</v>
      </c>
      <c r="B65" s="1">
        <v>0.05134153424686838</v>
      </c>
      <c r="C65" s="1">
        <v>0.007084954156881595</v>
      </c>
      <c r="D65" s="1">
        <v>0.02202837666695689</v>
      </c>
      <c r="E65" s="1">
        <v>0.01186133038514603</v>
      </c>
      <c r="F65" s="1">
        <v>0.01750347648503014</v>
      </c>
      <c r="G65" s="1">
        <v>0.01023866834016562</v>
      </c>
      <c r="H65" s="1">
        <v>0.003105546506232182</v>
      </c>
      <c r="I65" s="1">
        <v>0.003549477846485072</v>
      </c>
      <c r="J65" s="1">
        <v>0.02761496068445979</v>
      </c>
      <c r="K65" s="1">
        <v>-0.005082187129311522</v>
      </c>
      <c r="L65" s="1">
        <v>0.00771060428047643</v>
      </c>
      <c r="M65" s="1">
        <v>0.0009168242624171263</v>
      </c>
      <c r="N65" s="1">
        <v>0.01001104144536047</v>
      </c>
      <c r="O65" s="1">
        <v>0.01014461039384074</v>
      </c>
      <c r="P65" s="1">
        <v>0.01026417505313204</v>
      </c>
      <c r="Q65" s="1">
        <v>0.00860552648909696</v>
      </c>
      <c r="R65" s="1">
        <v>0.005867912138638465</v>
      </c>
      <c r="S65" s="1">
        <v>-0.0004382565907228297</v>
      </c>
      <c r="T65" s="1">
        <v>0.01228971299943238</v>
      </c>
      <c r="U65" s="1">
        <v>0.002218045637390587</v>
      </c>
      <c r="V65" s="1">
        <v>0.0008527489717666814</v>
      </c>
      <c r="W65" s="1">
        <v>0.02638307264728956</v>
      </c>
      <c r="X65" s="1">
        <v>0.0140105626133491</v>
      </c>
      <c r="Y65" s="1">
        <v>-9.351804657875551E-05</v>
      </c>
      <c r="Z65" s="1">
        <v>0.0131024417051373</v>
      </c>
    </row>
    <row r="66" spans="1:26">
      <c r="A66" s="11">
        <v>42467</v>
      </c>
      <c r="B66" s="1">
        <v>-0.01145469337712302</v>
      </c>
      <c r="C66" s="1">
        <v>-0.007269671513421838</v>
      </c>
      <c r="D66" s="1">
        <v>-0.0116056874810555</v>
      </c>
      <c r="E66" s="1">
        <v>-0.00390770556203468</v>
      </c>
      <c r="F66" s="1">
        <v>-0.01286169165256457</v>
      </c>
      <c r="G66" s="1">
        <v>0.0004829141875946075</v>
      </c>
      <c r="H66" s="1">
        <v>-0.006657716172699724</v>
      </c>
      <c r="I66" s="1">
        <v>-0.002096199646248631</v>
      </c>
      <c r="J66" s="1">
        <v>-0.02361577904565704</v>
      </c>
      <c r="K66" s="1">
        <v>-0.005391242267608787</v>
      </c>
      <c r="L66" s="1">
        <v>-0.02533583266121886</v>
      </c>
      <c r="M66" s="1">
        <v>-0.0004577934514664594</v>
      </c>
      <c r="N66" s="1">
        <v>-0.002360080158712585</v>
      </c>
      <c r="O66" s="1">
        <v>-0.009384495441586704</v>
      </c>
      <c r="P66" s="1">
        <v>-0.01197398372648262</v>
      </c>
      <c r="Q66" s="1">
        <v>-0.0008533690279187711</v>
      </c>
      <c r="R66" s="1">
        <v>-0.01354933955721505</v>
      </c>
      <c r="S66" s="1">
        <v>0.00036550103973787</v>
      </c>
      <c r="T66" s="1">
        <v>0.006740650630485234</v>
      </c>
      <c r="U66" s="1">
        <v>-0.001293838945598202</v>
      </c>
      <c r="V66" s="1">
        <v>-0.007301967016980049</v>
      </c>
      <c r="W66" s="1">
        <v>-0.02108777190395528</v>
      </c>
      <c r="X66" s="1">
        <v>-0.001083955952810411</v>
      </c>
      <c r="Y66" s="1">
        <v>-0.02840045571037797</v>
      </c>
      <c r="Z66" s="1">
        <v>-0.02795175584004483</v>
      </c>
    </row>
    <row r="67" spans="1:26">
      <c r="A67" s="11">
        <v>42468</v>
      </c>
      <c r="B67" s="1">
        <v>0.02988401473691304</v>
      </c>
      <c r="C67" s="1">
        <v>0.006929131328877958</v>
      </c>
      <c r="D67" s="1">
        <v>0.002635762235610128</v>
      </c>
      <c r="E67" s="1">
        <v>-0.003168378641577485</v>
      </c>
      <c r="F67" s="1">
        <v>0.003257511842690741</v>
      </c>
      <c r="G67" s="1">
        <v>0.008683378287225318</v>
      </c>
      <c r="H67" s="1">
        <v>0.005480638499695933</v>
      </c>
      <c r="I67" s="1">
        <v>0.001706562384368837</v>
      </c>
      <c r="J67" s="1">
        <v>0.005838336888278839</v>
      </c>
      <c r="K67" s="1">
        <v>0.01055630153841758</v>
      </c>
      <c r="L67" s="1">
        <v>0.007327504207948365</v>
      </c>
      <c r="M67" s="1">
        <v>0.01947318702954259</v>
      </c>
      <c r="N67" s="1">
        <v>0.006150310260615965</v>
      </c>
      <c r="O67" s="1">
        <v>0.005650697937453542</v>
      </c>
      <c r="P67" s="1">
        <v>-0.0007343987230350457</v>
      </c>
      <c r="Q67" s="1">
        <v>0.005550955539031399</v>
      </c>
      <c r="R67" s="1">
        <v>0.004387735995724951</v>
      </c>
      <c r="S67" s="1">
        <v>0.0008034866595127976</v>
      </c>
      <c r="T67" s="1">
        <v>0.01451838760252055</v>
      </c>
      <c r="U67" s="1">
        <v>-0.002332073995587214</v>
      </c>
      <c r="V67" s="1">
        <v>-0.008459193151331146</v>
      </c>
      <c r="W67" s="1">
        <v>0.001126524764112347</v>
      </c>
      <c r="X67" s="1">
        <v>-0.005152698773076558</v>
      </c>
      <c r="Y67" s="1">
        <v>0.003461512274310241</v>
      </c>
      <c r="Z67" s="1">
        <v>0.007296190640693201</v>
      </c>
    </row>
    <row r="68" spans="1:26">
      <c r="A68" s="11">
        <v>42471</v>
      </c>
      <c r="B68" s="1">
        <v>-0.01401547945562587</v>
      </c>
      <c r="C68" s="1">
        <v>0.0002346525221290641</v>
      </c>
      <c r="D68" s="1">
        <v>0.002389809525357611</v>
      </c>
      <c r="E68" s="1">
        <v>-0.001361966095819289</v>
      </c>
      <c r="F68" s="1">
        <v>-0.002597788961196001</v>
      </c>
      <c r="G68" s="1">
        <v>-0.002391546870701866</v>
      </c>
      <c r="H68" s="1">
        <v>-0.004983487709692813</v>
      </c>
      <c r="I68" s="1">
        <v>-0.007338757891158121</v>
      </c>
      <c r="J68" s="1">
        <v>0.005804448562122477</v>
      </c>
      <c r="K68" s="1">
        <v>0.006211068382424356</v>
      </c>
      <c r="L68" s="1">
        <v>0.007966579556691666</v>
      </c>
      <c r="M68" s="1">
        <v>-0.002921618612214627</v>
      </c>
      <c r="N68" s="1">
        <v>-0.00768048643484498</v>
      </c>
      <c r="O68" s="1">
        <v>0.003139955390978555</v>
      </c>
      <c r="P68" s="1">
        <v>-0.002021480712224744</v>
      </c>
      <c r="Q68" s="1">
        <v>-0.003397080685969334</v>
      </c>
      <c r="R68" s="1">
        <v>0.001329283577375051</v>
      </c>
      <c r="S68" s="1">
        <v>-0.006568457710592335</v>
      </c>
      <c r="T68" s="1">
        <v>-0.007643569919738247</v>
      </c>
      <c r="U68" s="1">
        <v>-0.002857584534034174</v>
      </c>
      <c r="V68" s="1">
        <v>-0.01372399873676533</v>
      </c>
      <c r="W68" s="1">
        <v>-0.003866951560744014</v>
      </c>
      <c r="X68" s="1">
        <v>0.003816578889571653</v>
      </c>
      <c r="Y68" s="1">
        <v>-0.01092384345669695</v>
      </c>
      <c r="Z68" s="1">
        <v>0.01065205665340918</v>
      </c>
    </row>
    <row r="69" spans="1:26">
      <c r="A69" s="11">
        <v>42472</v>
      </c>
      <c r="B69" s="1">
        <v>0.06686716282790428</v>
      </c>
      <c r="C69" s="1">
        <v>0.01219603729282692</v>
      </c>
      <c r="D69" s="1">
        <v>0.002146298225028431</v>
      </c>
      <c r="E69" s="1">
        <v>0.01303408732029121</v>
      </c>
      <c r="F69" s="1">
        <v>0.004557582950823313</v>
      </c>
      <c r="G69" s="1">
        <v>0.01917581513458733</v>
      </c>
      <c r="H69" s="1">
        <v>0.001408679731946139</v>
      </c>
      <c r="I69" s="1">
        <v>0.01122167211458858</v>
      </c>
      <c r="J69" s="1">
        <v>0.007419296781651319</v>
      </c>
      <c r="K69" s="1">
        <v>0.009259274674828788</v>
      </c>
      <c r="L69" s="1">
        <v>0.01855682466479669</v>
      </c>
      <c r="M69" s="1">
        <v>0.006310734411325791</v>
      </c>
      <c r="N69" s="1">
        <v>0.00805552342959226</v>
      </c>
      <c r="O69" s="1">
        <v>0.0131797035093224</v>
      </c>
      <c r="P69" s="1">
        <v>0.006260592451942548</v>
      </c>
      <c r="Q69" s="1">
        <v>0.006817207144827142</v>
      </c>
      <c r="R69" s="1">
        <v>0.01764070840094245</v>
      </c>
      <c r="S69" s="1">
        <v>0.01436193171929956</v>
      </c>
      <c r="T69" s="1">
        <v>0.01000986522883829</v>
      </c>
      <c r="U69" s="1">
        <v>0.007293916483663843</v>
      </c>
      <c r="V69" s="1">
        <v>0.01266156553698727</v>
      </c>
      <c r="W69" s="1">
        <v>0.005435170008946777</v>
      </c>
      <c r="X69" s="1">
        <v>0.008962813084746557</v>
      </c>
      <c r="Y69" s="1">
        <v>0.006587708025650452</v>
      </c>
      <c r="Z69" s="1">
        <v>0.03246177367061853</v>
      </c>
    </row>
    <row r="70" spans="1:26">
      <c r="A70" s="11">
        <v>42473</v>
      </c>
      <c r="B70" s="1">
        <v>-0.01557525039272134</v>
      </c>
      <c r="C70" s="1">
        <v>0.01289869539739019</v>
      </c>
      <c r="D70" s="1">
        <v>0.007375706097701107</v>
      </c>
      <c r="E70" s="1">
        <v>0.01092159063081555</v>
      </c>
      <c r="F70" s="1">
        <v>0.003726556736321607</v>
      </c>
      <c r="G70" s="1">
        <v>-0.002822259526127913</v>
      </c>
      <c r="H70" s="1">
        <v>-0.01828716207160497</v>
      </c>
      <c r="I70" s="1">
        <v>0.02428195956882395</v>
      </c>
      <c r="J70" s="1">
        <v>0.03437014385623249</v>
      </c>
      <c r="K70" s="1">
        <v>0.02057289858673128</v>
      </c>
      <c r="L70" s="1">
        <v>0.04234135213394419</v>
      </c>
      <c r="M70" s="1">
        <v>0.02665135557233178</v>
      </c>
      <c r="N70" s="1">
        <v>-0.02742059675442721</v>
      </c>
      <c r="O70" s="1">
        <v>0.01056909868976086</v>
      </c>
      <c r="P70" s="1">
        <v>0.01280856803879704</v>
      </c>
      <c r="Q70" s="1">
        <v>-0.009733373769581499</v>
      </c>
      <c r="R70" s="1">
        <v>0.03560101129372728</v>
      </c>
      <c r="S70" s="1">
        <v>-0.0153894654878719</v>
      </c>
      <c r="T70" s="1">
        <v>-0.001948407451874745</v>
      </c>
      <c r="U70" s="1">
        <v>-0.01086118476961762</v>
      </c>
      <c r="V70" s="1">
        <v>0.009655969304488421</v>
      </c>
      <c r="W70" s="1">
        <v>0.01839472195725067</v>
      </c>
      <c r="X70" s="1">
        <v>0.02449515751373044</v>
      </c>
      <c r="Y70" s="1">
        <v>-0.01270415613073539</v>
      </c>
      <c r="Z70" s="1">
        <v>0.03429939537718574</v>
      </c>
    </row>
    <row r="71" spans="1:26">
      <c r="A71" s="11">
        <v>42474</v>
      </c>
      <c r="B71" s="1">
        <v>0.009721790949174691</v>
      </c>
      <c r="C71" s="1">
        <v>-0.002211191617088604</v>
      </c>
      <c r="D71" s="1">
        <v>0.007321597682756975</v>
      </c>
      <c r="E71" s="1">
        <v>0.004439866141738635</v>
      </c>
      <c r="F71" s="1">
        <v>-0.001775857615028409</v>
      </c>
      <c r="G71" s="1">
        <v>-0.01132080045802475</v>
      </c>
      <c r="H71" s="1">
        <v>-0.01671712975737949</v>
      </c>
      <c r="I71" s="1">
        <v>-0.01019653628663586</v>
      </c>
      <c r="J71" s="1">
        <v>-0.007120158513903019</v>
      </c>
      <c r="K71" s="1">
        <v>0.008716365952158522</v>
      </c>
      <c r="L71" s="1">
        <v>0.01294695170075855</v>
      </c>
      <c r="M71" s="1">
        <v>0.01897908194468112</v>
      </c>
      <c r="N71" s="1">
        <v>-0.00773332762292589</v>
      </c>
      <c r="O71" s="1">
        <v>-0.002896364980040533</v>
      </c>
      <c r="P71" s="1">
        <v>0.0001805688563865093</v>
      </c>
      <c r="Q71" s="1">
        <v>0.001282241701879405</v>
      </c>
      <c r="R71" s="1">
        <v>0.004499791721880531</v>
      </c>
      <c r="S71" s="1">
        <v>-0.01750581815756436</v>
      </c>
      <c r="T71" s="1">
        <v>-0.008684767141044714</v>
      </c>
      <c r="U71" s="1">
        <v>0.004444752827419185</v>
      </c>
      <c r="V71" s="1">
        <v>0.002696978314501219</v>
      </c>
      <c r="W71" s="1">
        <v>-0.002964199612428997</v>
      </c>
      <c r="X71" s="1">
        <v>-0.002627500357094026</v>
      </c>
      <c r="Y71" s="1">
        <v>0.001364631507354996</v>
      </c>
      <c r="Z71" s="1">
        <v>0.009870276738043193</v>
      </c>
    </row>
    <row r="72" spans="1:26">
      <c r="A72" s="11">
        <v>42475</v>
      </c>
      <c r="B72" s="1">
        <v>-0.01736828598331652</v>
      </c>
      <c r="C72" s="1">
        <v>0.002139757049290703</v>
      </c>
      <c r="D72" s="1">
        <v>0.0009378319892718867</v>
      </c>
      <c r="E72" s="1">
        <v>0.002651770995210301</v>
      </c>
      <c r="F72" s="1">
        <v>0.00210228742625973</v>
      </c>
      <c r="G72" s="1">
        <v>0.001431009759795376</v>
      </c>
      <c r="H72" s="1">
        <v>0.004210178752012794</v>
      </c>
      <c r="I72" s="1">
        <v>-0.002832936490847593</v>
      </c>
      <c r="J72" s="1">
        <v>-0.002390261371750801</v>
      </c>
      <c r="K72" s="1">
        <v>-0.006480750730967211</v>
      </c>
      <c r="L72" s="1">
        <v>-0.01150313983060025</v>
      </c>
      <c r="M72" s="1">
        <v>0.00706542515301023</v>
      </c>
      <c r="N72" s="1">
        <v>0.001461605472419469</v>
      </c>
      <c r="O72" s="1">
        <v>0.005648061286865236</v>
      </c>
      <c r="P72" s="1">
        <v>0.005238696688629974</v>
      </c>
      <c r="Q72" s="1">
        <v>0.01066996274784127</v>
      </c>
      <c r="R72" s="1">
        <v>-0.0005377758588229753</v>
      </c>
      <c r="S72" s="1">
        <v>0.002957048871650159</v>
      </c>
      <c r="T72" s="1">
        <v>0.006553703593634497</v>
      </c>
      <c r="U72" s="1">
        <v>0.001561349134832524</v>
      </c>
      <c r="V72" s="1">
        <v>0.01002689980040228</v>
      </c>
      <c r="W72" s="1">
        <v>0.004978729628922762</v>
      </c>
      <c r="X72" s="1">
        <v>-0.00553233780133533</v>
      </c>
      <c r="Y72" s="1">
        <v>-0.0001945348429699401</v>
      </c>
      <c r="Z72" s="1">
        <v>-0.001563821052462111</v>
      </c>
    </row>
    <row r="73" spans="1:26">
      <c r="A73" s="11">
        <v>42478</v>
      </c>
      <c r="B73" s="1">
        <v>0.02670502086861837</v>
      </c>
      <c r="C73" s="1">
        <v>0.006406014755341971</v>
      </c>
      <c r="D73" s="1">
        <v>0.009604531084701273</v>
      </c>
      <c r="E73" s="1">
        <v>0.01190347480685472</v>
      </c>
      <c r="F73" s="1">
        <v>0.008230212168217621</v>
      </c>
      <c r="G73" s="1">
        <v>0.001429789531682379</v>
      </c>
      <c r="H73" s="1">
        <v>0.005159370369563598</v>
      </c>
      <c r="I73" s="1">
        <v>0.01136382287648141</v>
      </c>
      <c r="J73" s="1">
        <v>0.01198070444607846</v>
      </c>
      <c r="K73" s="1">
        <v>0.004348706593751306</v>
      </c>
      <c r="L73" s="1">
        <v>0.006465144713008408</v>
      </c>
      <c r="M73" s="1">
        <v>0.001275173841626343</v>
      </c>
      <c r="N73" s="1">
        <v>0.007944094781381139</v>
      </c>
      <c r="O73" s="1">
        <v>0.01171371187082015</v>
      </c>
      <c r="P73" s="1">
        <v>0.01455497219204416</v>
      </c>
      <c r="Q73" s="1">
        <v>0.005911805533970638</v>
      </c>
      <c r="R73" s="1">
        <v>0.002510129203987299</v>
      </c>
      <c r="S73" s="1">
        <v>0.01739171379165705</v>
      </c>
      <c r="T73" s="1">
        <v>0.001146718345145015</v>
      </c>
      <c r="U73" s="1">
        <v>0.004418186089898635</v>
      </c>
      <c r="V73" s="1">
        <v>0.009927359164774385</v>
      </c>
      <c r="W73" s="1">
        <v>0.007774476967841393</v>
      </c>
      <c r="X73" s="1">
        <v>0.004768340213555877</v>
      </c>
      <c r="Y73" s="1">
        <v>0.007399931128463155</v>
      </c>
      <c r="Z73" s="1">
        <v>0.007047766088657648</v>
      </c>
    </row>
    <row r="74" spans="1:26">
      <c r="A74" s="11">
        <v>42479</v>
      </c>
      <c r="B74" s="1">
        <v>0.02956571148581455</v>
      </c>
      <c r="C74" s="1">
        <v>0.005379648199481446</v>
      </c>
      <c r="D74" s="1">
        <v>0.006264139527201174</v>
      </c>
      <c r="E74" s="1">
        <v>0.0007261417845256801</v>
      </c>
      <c r="F74" s="1">
        <v>-0.003201627055259282</v>
      </c>
      <c r="G74" s="1">
        <v>-0.0009516631872431569</v>
      </c>
      <c r="H74" s="1">
        <v>-0.008341396178768501</v>
      </c>
      <c r="I74" s="1">
        <v>0.0515831279423169</v>
      </c>
      <c r="J74" s="1">
        <v>0.008681713448890793</v>
      </c>
      <c r="K74" s="1">
        <v>-0.005953607371075753</v>
      </c>
      <c r="L74" s="1">
        <v>0.01686202981387952</v>
      </c>
      <c r="M74" s="1">
        <v>0.0006368670747556315</v>
      </c>
      <c r="N74" s="1">
        <v>-0.007399013481442451</v>
      </c>
      <c r="O74" s="1">
        <v>0.004282133470628002</v>
      </c>
      <c r="P74" s="1">
        <v>-0.001239594935100508</v>
      </c>
      <c r="Q74" s="1">
        <v>0.006717263200213708</v>
      </c>
      <c r="R74" s="1">
        <v>0.003576317015101083</v>
      </c>
      <c r="S74" s="1">
        <v>-0.03345530340089753</v>
      </c>
      <c r="T74" s="1">
        <v>0.005155894305229003</v>
      </c>
      <c r="U74" s="1">
        <v>0.006985492458502884</v>
      </c>
      <c r="V74" s="1">
        <v>0.006713229971033075</v>
      </c>
      <c r="W74" s="1">
        <v>-0.006007946665996577</v>
      </c>
      <c r="X74" s="1">
        <v>0.00316370535358157</v>
      </c>
      <c r="Y74" s="1">
        <v>0.0067658251170295</v>
      </c>
      <c r="Z74" s="1">
        <v>0.02216208338783798</v>
      </c>
    </row>
    <row r="75" spans="1:26">
      <c r="A75" s="11">
        <v>42480</v>
      </c>
      <c r="B75" s="1">
        <v>-0.001643131864016656</v>
      </c>
      <c r="C75" s="1">
        <v>-0.01590278579391036</v>
      </c>
      <c r="D75" s="1">
        <v>-0.002536403016528466</v>
      </c>
      <c r="E75" s="1">
        <v>0.004643839295296992</v>
      </c>
      <c r="F75" s="1">
        <v>-0.01316598886252784</v>
      </c>
      <c r="G75" s="1">
        <v>-0.01999990616326042</v>
      </c>
      <c r="H75" s="1">
        <v>-0.006793722715102035</v>
      </c>
      <c r="I75" s="1">
        <v>0.02306939787287798</v>
      </c>
      <c r="J75" s="1">
        <v>0.001565149772744467</v>
      </c>
      <c r="K75" s="1">
        <v>0.003695853695916851</v>
      </c>
      <c r="L75" s="1">
        <v>0.01452914720308773</v>
      </c>
      <c r="M75" s="1">
        <v>-0.001697200590617287</v>
      </c>
      <c r="N75" s="1">
        <v>-0.003727177401484871</v>
      </c>
      <c r="O75" s="1">
        <v>-0.005527210639101776</v>
      </c>
      <c r="P75" s="1">
        <v>-0.01418680825993679</v>
      </c>
      <c r="Q75" s="1">
        <v>-0.03794816709772286</v>
      </c>
      <c r="R75" s="1">
        <v>0.005523836453215747</v>
      </c>
      <c r="S75" s="1">
        <v>-0.002618605673017749</v>
      </c>
      <c r="T75" s="1">
        <v>0.005766220984356751</v>
      </c>
      <c r="U75" s="1">
        <v>-0.005138783669073277</v>
      </c>
      <c r="V75" s="1">
        <v>-0.0132175827822737</v>
      </c>
      <c r="W75" s="1">
        <v>0.005838456373627565</v>
      </c>
      <c r="X75" s="1">
        <v>0.04888273141532151</v>
      </c>
      <c r="Y75" s="1">
        <v>-0.006336475383402651</v>
      </c>
      <c r="Z75" s="1">
        <v>0.02358260993456929</v>
      </c>
    </row>
    <row r="76" spans="1:26">
      <c r="A76" s="11">
        <v>42481</v>
      </c>
      <c r="B76" s="1">
        <v>0.001828957949513432</v>
      </c>
      <c r="C76" s="1">
        <v>0.001302023484839543</v>
      </c>
      <c r="D76" s="1">
        <v>-0.005778721751051541</v>
      </c>
      <c r="E76" s="1">
        <v>0.01343327115612047</v>
      </c>
      <c r="F76" s="1">
        <v>-0.008460881419105504</v>
      </c>
      <c r="G76" s="1">
        <v>-0.00145782063546307</v>
      </c>
      <c r="H76" s="1">
        <v>-0.02556993900299442</v>
      </c>
      <c r="I76" s="1">
        <v>-0.01732734412017911</v>
      </c>
      <c r="J76" s="1">
        <v>-0.01640631366894518</v>
      </c>
      <c r="K76" s="1">
        <v>0.0594656724930327</v>
      </c>
      <c r="L76" s="1">
        <v>-0.009962652214969503</v>
      </c>
      <c r="M76" s="1">
        <v>0.0144528064472087</v>
      </c>
      <c r="N76" s="1">
        <v>-0.02114465350305506</v>
      </c>
      <c r="O76" s="1">
        <v>-0.01143408469608587</v>
      </c>
      <c r="P76" s="1">
        <v>0.003417718386770519</v>
      </c>
      <c r="Q76" s="1">
        <v>-0.04074573218790178</v>
      </c>
      <c r="R76" s="1">
        <v>-0.009214580743991729</v>
      </c>
      <c r="S76" s="1">
        <v>-0.02930115967706326</v>
      </c>
      <c r="T76" s="1">
        <v>-0.008833286843234922</v>
      </c>
      <c r="U76" s="1">
        <v>-0.0222108270427156</v>
      </c>
      <c r="V76" s="1">
        <v>-0.001447830690475826</v>
      </c>
      <c r="W76" s="1">
        <v>0.006214107450269735</v>
      </c>
      <c r="X76" s="1">
        <v>-0.00901995838851477</v>
      </c>
      <c r="Y76" s="1">
        <v>-0.03323672240540809</v>
      </c>
      <c r="Z76" s="1">
        <v>-0.007060048346727354</v>
      </c>
    </row>
    <row r="77" spans="1:26">
      <c r="A77" s="11">
        <v>42482</v>
      </c>
      <c r="B77" s="1">
        <v>0.02592180450368065</v>
      </c>
      <c r="C77" s="1">
        <v>0.002371012527954131</v>
      </c>
      <c r="D77" s="1">
        <v>0.007207542560799363</v>
      </c>
      <c r="E77" s="1">
        <v>0.007411537408964053</v>
      </c>
      <c r="F77" s="1">
        <v>0.002625402061460891</v>
      </c>
      <c r="G77" s="1">
        <v>0.01265153052970169</v>
      </c>
      <c r="H77" s="1">
        <v>0.01353779475386263</v>
      </c>
      <c r="I77" s="1">
        <v>0</v>
      </c>
      <c r="J77" s="1">
        <v>0.001588336530223833</v>
      </c>
      <c r="K77" s="1">
        <v>0.009011416023517071</v>
      </c>
      <c r="L77" s="1">
        <v>0.005817692135954955</v>
      </c>
      <c r="M77" s="1">
        <v>-0.01005691793790309</v>
      </c>
      <c r="N77" s="1">
        <v>0.005649210765699353</v>
      </c>
      <c r="O77" s="1">
        <v>-0.000963806255066646</v>
      </c>
      <c r="P77" s="1">
        <v>-0.07171031345494994</v>
      </c>
      <c r="Q77" s="1">
        <v>0.005422769110477788</v>
      </c>
      <c r="R77" s="1">
        <v>0.01037361033445339</v>
      </c>
      <c r="S77" s="1">
        <v>0.007252047164353792</v>
      </c>
      <c r="T77" s="1">
        <v>0.005817759454802784</v>
      </c>
      <c r="U77" s="1">
        <v>0.005547220729205993</v>
      </c>
      <c r="V77" s="1">
        <v>-0.005075481758614497</v>
      </c>
      <c r="W77" s="1">
        <v>-0.003393470992126169</v>
      </c>
      <c r="X77" s="1">
        <v>0.005815236702831239</v>
      </c>
      <c r="Y77" s="1">
        <v>0.01039396707231655</v>
      </c>
      <c r="Z77" s="1">
        <v>0.02095778252521963</v>
      </c>
    </row>
    <row r="78" spans="1:26">
      <c r="A78" s="11">
        <v>42485</v>
      </c>
      <c r="B78" s="1">
        <v>-0.03185047664601193</v>
      </c>
      <c r="C78" s="1">
        <v>-0.002289250152870737</v>
      </c>
      <c r="D78" s="1">
        <v>0.007156068925917136</v>
      </c>
      <c r="E78" s="1">
        <v>-0.000707365883911848</v>
      </c>
      <c r="F78" s="1">
        <v>-0.001636623002268522</v>
      </c>
      <c r="G78" s="1">
        <v>0.01201417895006096</v>
      </c>
      <c r="H78" s="1">
        <v>0.006596733279347289</v>
      </c>
      <c r="I78" s="1">
        <v>-0.004709597501917795</v>
      </c>
      <c r="J78" s="1">
        <v>-0.003171959844694761</v>
      </c>
      <c r="K78" s="1">
        <v>-0.00127610979624071</v>
      </c>
      <c r="L78" s="1">
        <v>-0.005784042358213615</v>
      </c>
      <c r="M78" s="1">
        <v>-0.00846546187823094</v>
      </c>
      <c r="N78" s="1">
        <v>0.01156630530528369</v>
      </c>
      <c r="O78" s="1">
        <v>-0.001607917927616831</v>
      </c>
      <c r="P78" s="1">
        <v>0.006373133739887793</v>
      </c>
      <c r="Q78" s="1">
        <v>0.003595382304566463</v>
      </c>
      <c r="R78" s="1">
        <v>-0.007788816832692502</v>
      </c>
      <c r="S78" s="1">
        <v>0.006032851683625662</v>
      </c>
      <c r="T78" s="1">
        <v>0.0005014114318602214</v>
      </c>
      <c r="U78" s="1">
        <v>0.003677002086016845</v>
      </c>
      <c r="V78" s="1">
        <v>0.003279159524684161</v>
      </c>
      <c r="W78" s="1">
        <v>-0.001974295916036151</v>
      </c>
      <c r="X78" s="1">
        <v>-0.0198588367670266</v>
      </c>
      <c r="Y78" s="1">
        <v>0.004154217406655336</v>
      </c>
      <c r="Z78" s="1">
        <v>0.0003664280960595789</v>
      </c>
    </row>
    <row r="79" spans="1:26">
      <c r="A79" s="11">
        <v>42486</v>
      </c>
      <c r="B79" s="1">
        <v>0.02701704997562016</v>
      </c>
      <c r="C79" s="1">
        <v>0.0190442059902951</v>
      </c>
      <c r="D79" s="1">
        <v>0.007792772793968172</v>
      </c>
      <c r="E79" s="1">
        <v>0.003256404858499318</v>
      </c>
      <c r="F79" s="1">
        <v>0.0008199137508455578</v>
      </c>
      <c r="G79" s="1">
        <v>0.001898952655157604</v>
      </c>
      <c r="H79" s="1">
        <v>-0.0008192102823718628</v>
      </c>
      <c r="I79" s="1">
        <v>0.0122554877599903</v>
      </c>
      <c r="J79" s="1">
        <v>0.01272864667981888</v>
      </c>
      <c r="K79" s="1">
        <v>0.00766460673041558</v>
      </c>
      <c r="L79" s="1">
        <v>0.005188794938635333</v>
      </c>
      <c r="M79" s="1">
        <v>-0.01430105355217182</v>
      </c>
      <c r="N79" s="1">
        <v>0.00212360991342786</v>
      </c>
      <c r="O79" s="1">
        <v>0.00724721017924268</v>
      </c>
      <c r="P79" s="1">
        <v>-0.01285742771085296</v>
      </c>
      <c r="Q79" s="1">
        <v>-0.001791102177548076</v>
      </c>
      <c r="R79" s="1">
        <v>0.05138279791937217</v>
      </c>
      <c r="S79" s="1">
        <v>-0.006499283499751152</v>
      </c>
      <c r="T79" s="1">
        <v>0.002907251406320643</v>
      </c>
      <c r="U79" s="1">
        <v>-0.003140265906657502</v>
      </c>
      <c r="V79" s="1">
        <v>0</v>
      </c>
      <c r="W79" s="1">
        <v>-0.006481821323322645</v>
      </c>
      <c r="X79" s="1">
        <v>0.01949190101757536</v>
      </c>
      <c r="Y79" s="1">
        <v>-0.006304029090918539</v>
      </c>
      <c r="Z79" s="1">
        <v>0.005862670828935101</v>
      </c>
    </row>
    <row r="80" spans="1:26">
      <c r="A80" s="11">
        <v>42487</v>
      </c>
      <c r="B80" s="1">
        <v>0.0297065045885192</v>
      </c>
      <c r="C80" s="1">
        <v>0.02882003392363552</v>
      </c>
      <c r="D80" s="1">
        <v>0.004776138783909811</v>
      </c>
      <c r="E80" s="1">
        <v>-0.008890775867674061</v>
      </c>
      <c r="F80" s="1">
        <v>0.004094820491578277</v>
      </c>
      <c r="G80" s="1">
        <v>0.01563963194451801</v>
      </c>
      <c r="H80" s="1">
        <v>0.01065756104653026</v>
      </c>
      <c r="I80" s="1">
        <v>0.01546368747924554</v>
      </c>
      <c r="J80" s="1">
        <v>0.002356785285741791</v>
      </c>
      <c r="K80" s="1">
        <v>0.007099593152059658</v>
      </c>
      <c r="L80" s="1">
        <v>0.002815506912072996</v>
      </c>
      <c r="M80" s="1">
        <v>-0.01320905541987261</v>
      </c>
      <c r="N80" s="1">
        <v>0.003260319032234449</v>
      </c>
      <c r="O80" s="1">
        <v>-0.004956636728958519</v>
      </c>
      <c r="P80" s="1">
        <v>-0.009719864535750578</v>
      </c>
      <c r="Q80" s="1">
        <v>0.01603786135463947</v>
      </c>
      <c r="R80" s="1">
        <v>0.02205986469284071</v>
      </c>
      <c r="S80" s="1">
        <v>-0.03348789586291623</v>
      </c>
      <c r="T80" s="1">
        <v>-0.004464842485446652</v>
      </c>
      <c r="U80" s="1">
        <v>0.01653954725227225</v>
      </c>
      <c r="V80" s="1">
        <v>0.00835371188303502</v>
      </c>
      <c r="W80" s="1">
        <v>0.01050718853205046</v>
      </c>
      <c r="X80" s="1">
        <v>0.003270479286120898</v>
      </c>
      <c r="Y80" s="1">
        <v>0.02478183879297036</v>
      </c>
      <c r="Z80" s="1">
        <v>0.01420797715911659</v>
      </c>
    </row>
    <row r="81" spans="1:26">
      <c r="A81" s="11">
        <v>42488</v>
      </c>
      <c r="B81" s="1">
        <v>-0.03667024097184457</v>
      </c>
      <c r="C81" s="1">
        <v>-0.01663252542576532</v>
      </c>
      <c r="D81" s="1">
        <v>0.001810808538824649</v>
      </c>
      <c r="E81" s="1">
        <v>0.02890533157064223</v>
      </c>
      <c r="F81" s="1">
        <v>-0.00244675168519648</v>
      </c>
      <c r="G81" s="1">
        <v>-0.003265854904187737</v>
      </c>
      <c r="H81" s="1">
        <v>-0.002433708418220992</v>
      </c>
      <c r="I81" s="1">
        <v>-0.009207666691957939</v>
      </c>
      <c r="J81" s="1">
        <v>-0.01489035650166715</v>
      </c>
      <c r="K81" s="1">
        <v>-0.008056538964804738</v>
      </c>
      <c r="L81" s="1">
        <v>-0.007955119543596401</v>
      </c>
      <c r="M81" s="1">
        <v>-0.0331358362123223</v>
      </c>
      <c r="N81" s="1">
        <v>0.01039789861190399</v>
      </c>
      <c r="O81" s="1">
        <v>0.00932039980331778</v>
      </c>
      <c r="P81" s="1">
        <v>-0.02041610869130706</v>
      </c>
      <c r="Q81" s="1">
        <v>0.002667644697462279</v>
      </c>
      <c r="R81" s="1">
        <v>-0.01079238118010684</v>
      </c>
      <c r="S81" s="1">
        <v>0.003223148364520423</v>
      </c>
      <c r="T81" s="1">
        <v>-0.0306911195891012</v>
      </c>
      <c r="U81" s="1">
        <v>-0.002066223943333112</v>
      </c>
      <c r="V81" s="1">
        <v>-0.02353212562558815</v>
      </c>
      <c r="W81" s="1">
        <v>-0.01236940848540458</v>
      </c>
      <c r="X81" s="1">
        <v>-0.01454363225510369</v>
      </c>
      <c r="Y81" s="1">
        <v>-0.01296205094748948</v>
      </c>
      <c r="Z81" s="1">
        <v>-0.01185339905729732</v>
      </c>
    </row>
    <row r="82" spans="1:26">
      <c r="A82" s="11">
        <v>42489</v>
      </c>
      <c r="B82" s="1">
        <v>-0.0185819034280279</v>
      </c>
      <c r="C82" s="1">
        <v>0</v>
      </c>
      <c r="D82" s="1">
        <v>-0.0009041215629504995</v>
      </c>
      <c r="E82" s="1">
        <v>-0.001107099016950053</v>
      </c>
      <c r="F82" s="1">
        <v>-0.006378111575329082</v>
      </c>
      <c r="G82" s="1">
        <v>0.004213195286307814</v>
      </c>
      <c r="H82" s="1">
        <v>0.003578218924042975</v>
      </c>
      <c r="I82" s="1">
        <v>0.00214442761901612</v>
      </c>
      <c r="J82" s="1">
        <v>-0.02386610404434153</v>
      </c>
      <c r="K82" s="1">
        <v>-0.02233492377831803</v>
      </c>
      <c r="L82" s="1">
        <v>-0.006289050585346012</v>
      </c>
      <c r="M82" s="1">
        <v>0.01248290712756894</v>
      </c>
      <c r="N82" s="1">
        <v>0.008361014298836178</v>
      </c>
      <c r="O82" s="1">
        <v>0.005413189078544045</v>
      </c>
      <c r="P82" s="1">
        <v>-0.0006017430834439619</v>
      </c>
      <c r="Q82" s="1">
        <v>0.007095260862819197</v>
      </c>
      <c r="R82" s="1">
        <v>-0.01124517105687628</v>
      </c>
      <c r="S82" s="1">
        <v>-0.01686688413743964</v>
      </c>
      <c r="T82" s="1">
        <v>-0.007941893048198256</v>
      </c>
      <c r="U82" s="1">
        <v>0.004658712920381891</v>
      </c>
      <c r="V82" s="1">
        <v>-0.02250101187148923</v>
      </c>
      <c r="W82" s="1">
        <v>-0.007362960007766928</v>
      </c>
      <c r="X82" s="1">
        <v>-0.0157761100849253</v>
      </c>
      <c r="Y82" s="1">
        <v>-0.001567555646673324</v>
      </c>
      <c r="Z82" s="1">
        <v>0.0003633645567682198</v>
      </c>
    </row>
    <row r="83" spans="1:26">
      <c r="A83" s="11">
        <v>42492</v>
      </c>
      <c r="B83" s="1">
        <v>-0.002940940257784463</v>
      </c>
      <c r="C83" s="1">
        <v>-0.005860805127854363</v>
      </c>
      <c r="D83" s="1">
        <v>0.01108078117660583</v>
      </c>
      <c r="E83" s="1">
        <v>-0.003048125676049507</v>
      </c>
      <c r="F83" s="1">
        <v>0.007735468549328273</v>
      </c>
      <c r="G83" s="1">
        <v>0.01165434288641998</v>
      </c>
      <c r="H83" s="1">
        <v>0.01523229246001523</v>
      </c>
      <c r="I83" s="1">
        <v>0.002140160411822967</v>
      </c>
      <c r="J83" s="1">
        <v>-0.01222547742018509</v>
      </c>
      <c r="K83" s="1">
        <v>-0.005192026318840859</v>
      </c>
      <c r="L83" s="1">
        <v>0.009335099799623103</v>
      </c>
      <c r="M83" s="1">
        <v>-0.01344976204716208</v>
      </c>
      <c r="N83" s="1">
        <v>0.006538315250727011</v>
      </c>
      <c r="O83" s="1">
        <v>0.007917588769492445</v>
      </c>
      <c r="P83" s="1">
        <v>0.01483886915912813</v>
      </c>
      <c r="Q83" s="1">
        <v>0.01100861638863648</v>
      </c>
      <c r="R83" s="1">
        <v>-0.004073844873608068</v>
      </c>
      <c r="S83" s="1">
        <v>0.03169816447065887</v>
      </c>
      <c r="T83" s="1">
        <v>0.007657041243835927</v>
      </c>
      <c r="U83" s="1">
        <v>0.007212324318790042</v>
      </c>
      <c r="V83" s="1">
        <v>0.007799143562814859</v>
      </c>
      <c r="W83" s="1">
        <v>0.01559797413443897</v>
      </c>
      <c r="X83" s="1">
        <v>0.008531619520199873</v>
      </c>
      <c r="Y83" s="1">
        <v>0.007459490355389287</v>
      </c>
      <c r="Z83" s="1">
        <v>-0.0007269299902921134</v>
      </c>
    </row>
    <row r="84" spans="1:26">
      <c r="A84" s="11">
        <v>42493</v>
      </c>
      <c r="B84" s="1">
        <v>-0.03890127551185441</v>
      </c>
      <c r="C84" s="1">
        <v>-0.0113422465631281</v>
      </c>
      <c r="D84" s="1">
        <v>-0.007156574640077129</v>
      </c>
      <c r="E84" s="1">
        <v>-0.01153407819851371</v>
      </c>
      <c r="F84" s="1">
        <v>-0.004572866567177813</v>
      </c>
      <c r="G84" s="1">
        <v>-0.01198100504129451</v>
      </c>
      <c r="H84" s="1">
        <v>-0.008459700282339111</v>
      </c>
      <c r="I84" s="1">
        <v>-0.01055891945931042</v>
      </c>
      <c r="J84" s="1">
        <v>-0.03382836891401575</v>
      </c>
      <c r="K84" s="1">
        <v>-0.01383103381812756</v>
      </c>
      <c r="L84" s="1">
        <v>-0.01928200885342302</v>
      </c>
      <c r="M84" s="1">
        <v>-0.01976805492738298</v>
      </c>
      <c r="N84" s="1">
        <v>0.0012675085095879</v>
      </c>
      <c r="O84" s="1">
        <v>-0.001571394212646959</v>
      </c>
      <c r="P84" s="1">
        <v>-0.01640008095322509</v>
      </c>
      <c r="Q84" s="1">
        <v>0.006532880056000279</v>
      </c>
      <c r="R84" s="1">
        <v>-0.01380606804026807</v>
      </c>
      <c r="S84" s="1">
        <v>0.002692051542897866</v>
      </c>
      <c r="T84" s="1">
        <v>-0.001761409741123821</v>
      </c>
      <c r="U84" s="1">
        <v>-0.004859154567938395</v>
      </c>
      <c r="V84" s="1">
        <v>-0.001623270317435144</v>
      </c>
      <c r="W84" s="1">
        <v>-0.01112650808015203</v>
      </c>
      <c r="X84" s="1">
        <v>-0.008716046088694918</v>
      </c>
      <c r="Y84" s="1">
        <v>-0.01247067165290361</v>
      </c>
      <c r="Z84" s="1">
        <v>-0.02436340377033741</v>
      </c>
    </row>
    <row r="85" spans="1:26">
      <c r="A85" s="11">
        <v>42494</v>
      </c>
      <c r="B85" s="1">
        <v>-0.02685612300282758</v>
      </c>
      <c r="C85" s="1">
        <v>-0.0120763788015591</v>
      </c>
      <c r="D85" s="1">
        <v>0.01644486328859163</v>
      </c>
      <c r="E85" s="1">
        <v>-0.004920543999501703</v>
      </c>
      <c r="F85" s="1">
        <v>-0.0009843207295213707</v>
      </c>
      <c r="G85" s="1">
        <v>0.01119401455696356</v>
      </c>
      <c r="H85" s="1">
        <v>0.004024306334452055</v>
      </c>
      <c r="I85" s="1">
        <v>-0.01462810773114898</v>
      </c>
      <c r="J85" s="1">
        <v>-0.01024759609086379</v>
      </c>
      <c r="K85" s="1">
        <v>-0.01217258600329452</v>
      </c>
      <c r="L85" s="1">
        <v>-0.01582484247164551</v>
      </c>
      <c r="M85" s="1">
        <v>-0.0343072848612278</v>
      </c>
      <c r="N85" s="1">
        <v>0.0004746681342822079</v>
      </c>
      <c r="O85" s="1">
        <v>-0.002989464349141491</v>
      </c>
      <c r="P85" s="1">
        <v>0.00180783281122987</v>
      </c>
      <c r="Q85" s="1">
        <v>0.01817436751374202</v>
      </c>
      <c r="R85" s="1">
        <v>-0.0340481327608293</v>
      </c>
      <c r="S85" s="1">
        <v>0.0167033626782378</v>
      </c>
      <c r="T85" s="1">
        <v>0</v>
      </c>
      <c r="U85" s="1">
        <v>-0.0007706783133544226</v>
      </c>
      <c r="V85" s="1">
        <v>-0.003499992283419795</v>
      </c>
      <c r="W85" s="1">
        <v>-0.002208648983867301</v>
      </c>
      <c r="X85" s="1">
        <v>-0.01603283413002876</v>
      </c>
      <c r="Y85" s="1">
        <v>0.003156989470777027</v>
      </c>
      <c r="Z85" s="1">
        <v>-0.03354462705793004</v>
      </c>
    </row>
    <row r="86" spans="1:26">
      <c r="A86" s="11">
        <v>42495</v>
      </c>
      <c r="B86" s="1">
        <v>0.08062279786143511</v>
      </c>
      <c r="C86" s="1">
        <v>0.009091560094659723</v>
      </c>
      <c r="D86" s="1">
        <v>0.003989562022868265</v>
      </c>
      <c r="E86" s="1">
        <v>0.005227593289675925</v>
      </c>
      <c r="F86" s="1">
        <v>0.002627731810420419</v>
      </c>
      <c r="G86" s="1">
        <v>-0.001383854089834546</v>
      </c>
      <c r="H86" s="1">
        <v>0.01106319937409705</v>
      </c>
      <c r="I86" s="1">
        <v>-0.01192506912459579</v>
      </c>
      <c r="J86" s="1">
        <v>-0.01207895973127115</v>
      </c>
      <c r="K86" s="1">
        <v>-0.002410816290850604</v>
      </c>
      <c r="L86" s="1">
        <v>-0.005359223565869486</v>
      </c>
      <c r="M86" s="1">
        <v>-0.003120788930107254</v>
      </c>
      <c r="N86" s="1">
        <v>-0.006168002539650774</v>
      </c>
      <c r="O86" s="1">
        <v>0.001420490062946644</v>
      </c>
      <c r="P86" s="1">
        <v>0.001403923339012181</v>
      </c>
      <c r="Q86" s="1">
        <v>-0.002125397916363236</v>
      </c>
      <c r="R86" s="1">
        <v>-0.005009934321245191</v>
      </c>
      <c r="S86" s="1">
        <v>0.01001981932385876</v>
      </c>
      <c r="T86" s="1">
        <v>-0.0004153398018936771</v>
      </c>
      <c r="U86" s="1">
        <v>-0.003601060329496142</v>
      </c>
      <c r="V86" s="1">
        <v>-0.01982192547728812</v>
      </c>
      <c r="W86" s="1">
        <v>0.004081383942682759</v>
      </c>
      <c r="X86" s="1">
        <v>0.003679264460314746</v>
      </c>
      <c r="Y86" s="1">
        <v>0</v>
      </c>
      <c r="Z86" s="1">
        <v>-0.001927922782839486</v>
      </c>
    </row>
    <row r="87" spans="1:26">
      <c r="A87" s="11">
        <v>42496</v>
      </c>
      <c r="B87" s="1">
        <v>-0.01787648272363429</v>
      </c>
      <c r="C87" s="1">
        <v>0.008934024418930653</v>
      </c>
      <c r="D87" s="1">
        <v>-0.005077741620926224</v>
      </c>
      <c r="E87" s="1">
        <v>0.0009837855472987211</v>
      </c>
      <c r="F87" s="1">
        <v>0.006060323904609088</v>
      </c>
      <c r="G87" s="1">
        <v>-0.0009237248645516116</v>
      </c>
      <c r="H87" s="1">
        <v>0.01363778266120175</v>
      </c>
      <c r="I87" s="1">
        <v>0.003078667207531582</v>
      </c>
      <c r="J87" s="1">
        <v>0.01222664488245484</v>
      </c>
      <c r="K87" s="1">
        <v>0.01127796292203742</v>
      </c>
      <c r="L87" s="1">
        <v>0.005878194022856276</v>
      </c>
      <c r="M87" s="1">
        <v>0.004816340693083232</v>
      </c>
      <c r="N87" s="1">
        <v>0.001432531299037976</v>
      </c>
      <c r="O87" s="1">
        <v>-0.003625159904954378</v>
      </c>
      <c r="P87" s="1">
        <v>0.009010812766124365</v>
      </c>
      <c r="Q87" s="1">
        <v>-0.002981085664941596</v>
      </c>
      <c r="R87" s="1">
        <v>-0.001258156747838801</v>
      </c>
      <c r="S87" s="1">
        <v>0.01249712512704515</v>
      </c>
      <c r="T87" s="1">
        <v>0.005538389755502582</v>
      </c>
      <c r="U87" s="1">
        <v>0.006452959881370512</v>
      </c>
      <c r="V87" s="1">
        <v>0.007807420051825886</v>
      </c>
      <c r="W87" s="1">
        <v>0.01260867463810889</v>
      </c>
      <c r="X87" s="1">
        <v>0.001047524098424013</v>
      </c>
      <c r="Y87" s="1">
        <v>0.005507296267032613</v>
      </c>
      <c r="Z87" s="1">
        <v>0.004250532589410216</v>
      </c>
    </row>
    <row r="88" spans="1:26">
      <c r="A88" s="11">
        <v>42499</v>
      </c>
      <c r="B88" s="1">
        <v>-0.03194648805361844</v>
      </c>
      <c r="C88" s="1">
        <v>-0.008704752840972496</v>
      </c>
      <c r="D88" s="1">
        <v>0.001775051114998982</v>
      </c>
      <c r="E88" s="1">
        <v>0.001684820941829868</v>
      </c>
      <c r="F88" s="1">
        <v>0</v>
      </c>
      <c r="G88" s="1">
        <v>0.00231163197228379</v>
      </c>
      <c r="H88" s="1">
        <v>0.01595734447716479</v>
      </c>
      <c r="I88" s="1">
        <v>-0.01068128186449802</v>
      </c>
      <c r="J88" s="1">
        <v>-0.0138046934828373</v>
      </c>
      <c r="K88" s="1">
        <v>0.0005312090783209378</v>
      </c>
      <c r="L88" s="1">
        <v>-0.006331316666477238</v>
      </c>
      <c r="M88" s="1">
        <v>0.01102290494286451</v>
      </c>
      <c r="N88" s="1">
        <v>0.01159962686386184</v>
      </c>
      <c r="O88" s="1">
        <v>0.003163515284028806</v>
      </c>
      <c r="P88" s="1">
        <v>-0.00635076568813886</v>
      </c>
      <c r="Q88" s="1">
        <v>0.008116066113843079</v>
      </c>
      <c r="R88" s="1">
        <v>0.005401216206125214</v>
      </c>
      <c r="S88" s="1">
        <v>0.005582509136248026</v>
      </c>
      <c r="T88" s="1">
        <v>0.004544767010032924</v>
      </c>
      <c r="U88" s="1">
        <v>-0.003333942941953549</v>
      </c>
      <c r="V88" s="1">
        <v>0.01511327900763115</v>
      </c>
      <c r="W88" s="1">
        <v>0.003334073905697288</v>
      </c>
      <c r="X88" s="1">
        <v>-0.004708369065286488</v>
      </c>
      <c r="Y88" s="1">
        <v>-0.0007823091248032599</v>
      </c>
      <c r="Z88" s="1">
        <v>0.001153846381021451</v>
      </c>
    </row>
    <row r="89" spans="1:26">
      <c r="A89" s="11">
        <v>42500</v>
      </c>
      <c r="B89" s="1">
        <v>0.0186106167811888</v>
      </c>
      <c r="C89" s="1">
        <v>0.01983337183081701</v>
      </c>
      <c r="D89" s="1">
        <v>0.007752323650568105</v>
      </c>
      <c r="E89" s="1">
        <v>0.002663461675136425</v>
      </c>
      <c r="F89" s="1">
        <v>0.01986358457078019</v>
      </c>
      <c r="G89" s="1">
        <v>0.01937266755210065</v>
      </c>
      <c r="H89" s="1">
        <v>0.007545492973509704</v>
      </c>
      <c r="I89" s="1">
        <v>0.04008439408592568</v>
      </c>
      <c r="J89" s="1">
        <v>0.01574794037726668</v>
      </c>
      <c r="K89" s="1">
        <v>0.0159235219949021</v>
      </c>
      <c r="L89" s="1">
        <v>0.01355988660628649</v>
      </c>
      <c r="M89" s="1">
        <v>0.01564351469015124</v>
      </c>
      <c r="N89" s="1">
        <v>0.01476637950906956</v>
      </c>
      <c r="O89" s="1">
        <v>0.01529493418746575</v>
      </c>
      <c r="P89" s="1">
        <v>0.01897367430184849</v>
      </c>
      <c r="Q89" s="1">
        <v>-0.002965703829442057</v>
      </c>
      <c r="R89" s="1">
        <v>0.03169756660955692</v>
      </c>
      <c r="S89" s="1">
        <v>0.0006047091991649989</v>
      </c>
      <c r="T89" s="1">
        <v>0.0143931642755708</v>
      </c>
      <c r="U89" s="1">
        <v>0.01157988432966905</v>
      </c>
      <c r="V89" s="1">
        <v>0.001501608019640388</v>
      </c>
      <c r="W89" s="1">
        <v>0.009290497839104184</v>
      </c>
      <c r="X89" s="1">
        <v>0.007096065705901378</v>
      </c>
      <c r="Y89" s="1">
        <v>0.009005213469843287</v>
      </c>
      <c r="Z89" s="1">
        <v>0.02459675440876175</v>
      </c>
    </row>
    <row r="90" spans="1:26">
      <c r="A90" s="11">
        <v>42501</v>
      </c>
      <c r="B90" s="1">
        <v>0.01732923488937721</v>
      </c>
      <c r="C90" s="1">
        <v>-0.004714366005710291</v>
      </c>
      <c r="D90" s="1">
        <v>0.01956013519414102</v>
      </c>
      <c r="E90" s="1">
        <v>-0.01006596202595433</v>
      </c>
      <c r="F90" s="1">
        <v>-0.009099943104721397</v>
      </c>
      <c r="G90" s="1">
        <v>-0.004072302421216478</v>
      </c>
      <c r="H90" s="1">
        <v>0.00045864859805822</v>
      </c>
      <c r="I90" s="1">
        <v>0.001073964245648984</v>
      </c>
      <c r="J90" s="1">
        <v>0.006890807191056947</v>
      </c>
      <c r="K90" s="1">
        <v>0.005225115026116223</v>
      </c>
      <c r="L90" s="1">
        <v>-0.003707168129233551</v>
      </c>
      <c r="M90" s="1">
        <v>-0.01726959106728243</v>
      </c>
      <c r="N90" s="1">
        <v>0.0001546740913420663</v>
      </c>
      <c r="O90" s="1">
        <v>-0.007609619972089976</v>
      </c>
      <c r="P90" s="1">
        <v>0.0005879364752172656</v>
      </c>
      <c r="Q90" s="1">
        <v>0.01104942265050912</v>
      </c>
      <c r="R90" s="1">
        <v>-0.01162963300710884</v>
      </c>
      <c r="S90" s="1">
        <v>-0.0213633413696579</v>
      </c>
      <c r="T90" s="1">
        <v>-0.006756695151742709</v>
      </c>
      <c r="U90" s="1">
        <v>-0.00330647547801044</v>
      </c>
      <c r="V90" s="1">
        <v>-0.05434140019189415</v>
      </c>
      <c r="W90" s="1">
        <v>-0.005778039539528046</v>
      </c>
      <c r="X90" s="1">
        <v>-0.004436494425225757</v>
      </c>
      <c r="Y90" s="1">
        <v>-0.007566510425622952</v>
      </c>
      <c r="Z90" s="1">
        <v>0</v>
      </c>
    </row>
    <row r="91" spans="1:26">
      <c r="A91" s="11">
        <v>42502</v>
      </c>
      <c r="B91" s="1">
        <v>0.005369179473162511</v>
      </c>
      <c r="C91" s="1">
        <v>0.01067653622505116</v>
      </c>
      <c r="D91" s="1">
        <v>-0.01638253040665505</v>
      </c>
      <c r="E91" s="1">
        <v>0.006637279892022896</v>
      </c>
      <c r="F91" s="1">
        <v>0.003060971511180233</v>
      </c>
      <c r="G91" s="1">
        <v>0.01645817093282687</v>
      </c>
      <c r="H91" s="1">
        <v>0.01588747453295847</v>
      </c>
      <c r="I91" s="1">
        <v>0.002979699301033589</v>
      </c>
      <c r="J91" s="1">
        <v>-0.01112084201960784</v>
      </c>
      <c r="K91" s="1">
        <v>0.005716710579651396</v>
      </c>
      <c r="L91" s="1">
        <v>-0.0006470289327654699</v>
      </c>
      <c r="M91" s="1">
        <v>-0.02113474797178694</v>
      </c>
      <c r="N91" s="1">
        <v>0.006345740251941123</v>
      </c>
      <c r="O91" s="1">
        <v>0.007354949645542064</v>
      </c>
      <c r="P91" s="1">
        <v>0.009010837306529185</v>
      </c>
      <c r="Q91" s="1">
        <v>0.007146025347826379</v>
      </c>
      <c r="R91" s="1">
        <v>-0.0001755798993686719</v>
      </c>
      <c r="S91" s="1">
        <v>0.02086546687146273</v>
      </c>
      <c r="T91" s="1">
        <v>0.007415115827672958</v>
      </c>
      <c r="U91" s="1">
        <v>0.009443337249852135</v>
      </c>
      <c r="V91" s="1">
        <v>-0.001320998212226532</v>
      </c>
      <c r="W91" s="1">
        <v>0.006419950455504253</v>
      </c>
      <c r="X91" s="1">
        <v>-0.007601523103922148</v>
      </c>
      <c r="Y91" s="1">
        <v>0.006255896936167016</v>
      </c>
      <c r="Z91" s="1">
        <v>-0.009752625367248191</v>
      </c>
    </row>
    <row r="92" spans="1:26">
      <c r="A92" s="11">
        <v>42503</v>
      </c>
      <c r="B92" s="1">
        <v>-0.02357258554547514</v>
      </c>
      <c r="C92" s="1">
        <v>-0.01711048291144235</v>
      </c>
      <c r="D92" s="1">
        <v>-0.002410777264832742</v>
      </c>
      <c r="E92" s="1">
        <v>-0.001402359393523289</v>
      </c>
      <c r="F92" s="1">
        <v>-0.006745866543840573</v>
      </c>
      <c r="G92" s="1">
        <v>-0.004974974852252845</v>
      </c>
      <c r="H92" s="1">
        <v>-0.006015093208736055</v>
      </c>
      <c r="I92" s="1">
        <v>-0.01996411802060361</v>
      </c>
      <c r="J92" s="1">
        <v>-0.005190164072882197</v>
      </c>
      <c r="K92" s="1">
        <v>-0.008527085687890734</v>
      </c>
      <c r="L92" s="1">
        <v>-0.009227689982316822</v>
      </c>
      <c r="M92" s="1">
        <v>0.008248530590639458</v>
      </c>
      <c r="N92" s="1">
        <v>-0.006767166702658867</v>
      </c>
      <c r="O92" s="1">
        <v>-0.006524730438433823</v>
      </c>
      <c r="P92" s="1">
        <v>-0.00834760107561594</v>
      </c>
      <c r="Q92" s="1">
        <v>0.006677716902731445</v>
      </c>
      <c r="R92" s="1">
        <v>-0.01598436111097767</v>
      </c>
      <c r="S92" s="1">
        <v>-0.01057855732082424</v>
      </c>
      <c r="T92" s="1">
        <v>-0.01016311500245515</v>
      </c>
      <c r="U92" s="1">
        <v>-0.01011385276555832</v>
      </c>
      <c r="V92" s="1">
        <v>-0.02275168024388829</v>
      </c>
      <c r="W92" s="1">
        <v>-0.006916275299949204</v>
      </c>
      <c r="X92" s="1">
        <v>-0.01347109325775919</v>
      </c>
      <c r="Y92" s="1">
        <v>-0.01029696696596782</v>
      </c>
      <c r="Z92" s="1">
        <v>-0.01969677014254956</v>
      </c>
    </row>
    <row r="93" spans="1:26">
      <c r="A93" s="11">
        <v>42506</v>
      </c>
      <c r="B93" s="1">
        <v>0.03357239754913421</v>
      </c>
      <c r="C93" s="1">
        <v>0.01528915573140677</v>
      </c>
      <c r="D93" s="1">
        <v>-0.001098402362262996</v>
      </c>
      <c r="E93" s="1">
        <v>0.02318071561924362</v>
      </c>
      <c r="F93" s="1">
        <v>0.002587621962811149</v>
      </c>
      <c r="G93" s="1">
        <v>0.01090877771268262</v>
      </c>
      <c r="H93" s="1">
        <v>-0.003328162920641087</v>
      </c>
      <c r="I93" s="1">
        <v>0.014065741928728</v>
      </c>
      <c r="J93" s="1">
        <v>0.01217419803276765</v>
      </c>
      <c r="K93" s="1">
        <v>0.04847579392871659</v>
      </c>
      <c r="L93" s="1">
        <v>0.007516262606144242</v>
      </c>
      <c r="M93" s="1">
        <v>0.01612116244731943</v>
      </c>
      <c r="N93" s="1">
        <v>0.002787389569103293</v>
      </c>
      <c r="O93" s="1">
        <v>0.007818757550335009</v>
      </c>
      <c r="P93" s="1">
        <v>0.01468250596683718</v>
      </c>
      <c r="Q93" s="1">
        <v>0.007462653094825189</v>
      </c>
      <c r="R93" s="1">
        <v>0.01767193997655347</v>
      </c>
      <c r="S93" s="1">
        <v>0.01176042712443115</v>
      </c>
      <c r="T93" s="1">
        <v>0.01538368887284847</v>
      </c>
      <c r="U93" s="1">
        <v>0.00332057949211273</v>
      </c>
      <c r="V93" s="1">
        <v>0.01759454465743238</v>
      </c>
      <c r="W93" s="1">
        <v>0.01589004253921611</v>
      </c>
      <c r="X93" s="1">
        <v>0.01874203926407181</v>
      </c>
      <c r="Y93" s="1">
        <v>0.00569262235934942</v>
      </c>
      <c r="Z93" s="1">
        <v>0.01391005202762607</v>
      </c>
    </row>
    <row r="94" spans="1:26">
      <c r="A94" s="11">
        <v>42507</v>
      </c>
      <c r="B94" s="1">
        <v>0.005839487682088196</v>
      </c>
      <c r="C94" s="1">
        <v>-0.01177871968254007</v>
      </c>
      <c r="D94" s="1">
        <v>-0.01913355166116026</v>
      </c>
      <c r="E94" s="1">
        <v>-0.02224397162777103</v>
      </c>
      <c r="F94" s="1">
        <v>-0.02532261579393369</v>
      </c>
      <c r="G94" s="1">
        <v>-0.01079106043313338</v>
      </c>
      <c r="H94" s="1">
        <v>-0.03142095701989278</v>
      </c>
      <c r="I94" s="1">
        <v>-0.005141869485570494</v>
      </c>
      <c r="J94" s="1">
        <v>-0.009450289975241999</v>
      </c>
      <c r="K94" s="1">
        <v>-0.002734495713484608</v>
      </c>
      <c r="L94" s="1">
        <v>0</v>
      </c>
      <c r="M94" s="1">
        <v>-0.0007103110002825153</v>
      </c>
      <c r="N94" s="1">
        <v>-0.01358872926560251</v>
      </c>
      <c r="O94" s="1">
        <v>-0.006361490881669485</v>
      </c>
      <c r="P94" s="1">
        <v>-0.0186518853367994</v>
      </c>
      <c r="Q94" s="1">
        <v>-0.01646092858652992</v>
      </c>
      <c r="R94" s="1">
        <v>-0.006517259360061867</v>
      </c>
      <c r="S94" s="1">
        <v>-0.02539882931237136</v>
      </c>
      <c r="T94" s="1">
        <v>-0.01679666191784501</v>
      </c>
      <c r="U94" s="1">
        <v>-0.00432780909301278</v>
      </c>
      <c r="V94" s="1">
        <v>-0.01340310137713119</v>
      </c>
      <c r="W94" s="1">
        <v>-0.009451398059427407</v>
      </c>
      <c r="X94" s="1">
        <v>0.005781919203023067</v>
      </c>
      <c r="Y94" s="1">
        <v>-0.006441608830643708</v>
      </c>
      <c r="Z94" s="1">
        <v>0.0007643400787800125</v>
      </c>
    </row>
    <row r="95" spans="1:26">
      <c r="A95" s="11">
        <v>42508</v>
      </c>
      <c r="B95" s="1">
        <v>0.02703146419967806</v>
      </c>
      <c r="C95" s="1">
        <v>-0.01184367733503766</v>
      </c>
      <c r="D95" s="1">
        <v>0.01076243720498682</v>
      </c>
      <c r="E95" s="1">
        <v>-0.001685212647909773</v>
      </c>
      <c r="F95" s="1">
        <v>-0.0008273841061171572</v>
      </c>
      <c r="G95" s="1">
        <v>-0.02136370338005533</v>
      </c>
      <c r="H95" s="1">
        <v>-0.005328083200161537</v>
      </c>
      <c r="I95" s="1">
        <v>-0.007211965075210824</v>
      </c>
      <c r="J95" s="1">
        <v>0.003468953504764283</v>
      </c>
      <c r="K95" s="1">
        <v>0.001994165598104836</v>
      </c>
      <c r="L95" s="1">
        <v>0.03859864155848913</v>
      </c>
      <c r="M95" s="1">
        <v>0.01658738427771089</v>
      </c>
      <c r="N95" s="1">
        <v>-0.01393252552323487</v>
      </c>
      <c r="O95" s="1">
        <v>0.00702682000641075</v>
      </c>
      <c r="P95" s="1">
        <v>0.005939673498108533</v>
      </c>
      <c r="Q95" s="1">
        <v>-0.0188284789065194</v>
      </c>
      <c r="R95" s="1">
        <v>-0.02074468583159572</v>
      </c>
      <c r="S95" s="1">
        <v>-0.01711602350161823</v>
      </c>
      <c r="T95" s="1">
        <v>-0.002089971137508972</v>
      </c>
      <c r="U95" s="1">
        <v>-0.01687545535091173</v>
      </c>
      <c r="V95" s="1">
        <v>-0.07621263954237234</v>
      </c>
      <c r="W95" s="1">
        <v>0.008668061898934987</v>
      </c>
      <c r="X95" s="1">
        <v>-0.002090567251770037</v>
      </c>
      <c r="Y95" s="1">
        <v>-0.01001943287283358</v>
      </c>
      <c r="Z95" s="1">
        <v>0.04351121349955589</v>
      </c>
    </row>
    <row r="96" spans="1:26">
      <c r="A96" s="11">
        <v>42509</v>
      </c>
      <c r="B96" s="1">
        <v>0.006536390511028278</v>
      </c>
      <c r="C96" s="1">
        <v>-0.02221548056170985</v>
      </c>
      <c r="D96" s="1">
        <v>-0.04259106418353042</v>
      </c>
      <c r="E96" s="1">
        <v>-0.01069053911862705</v>
      </c>
      <c r="F96" s="1">
        <v>-0.002153296174871588</v>
      </c>
      <c r="G96" s="1">
        <v>0.01672083409755687</v>
      </c>
      <c r="H96" s="1">
        <v>0.008035283133716042</v>
      </c>
      <c r="I96" s="1">
        <v>-0.004237322355386763</v>
      </c>
      <c r="J96" s="1">
        <v>-0.01123606761558282</v>
      </c>
      <c r="K96" s="1">
        <v>0.003731507350409613</v>
      </c>
      <c r="L96" s="1">
        <v>-0.01014983113802614</v>
      </c>
      <c r="M96" s="1">
        <v>-0.01701645594862677</v>
      </c>
      <c r="N96" s="1">
        <v>0.00571531483917731</v>
      </c>
      <c r="O96" s="1">
        <v>-0.004807043571920855</v>
      </c>
      <c r="P96" s="1">
        <v>-0.009643823253461914</v>
      </c>
      <c r="Q96" s="1">
        <v>0.00298512400265194</v>
      </c>
      <c r="R96" s="1">
        <v>-0.03422047750062884</v>
      </c>
      <c r="S96" s="1">
        <v>-0.01583776288949446</v>
      </c>
      <c r="T96" s="1">
        <v>-0.00992362865612828</v>
      </c>
      <c r="U96" s="1">
        <v>-0.0002602338623372003</v>
      </c>
      <c r="V96" s="1">
        <v>-0.01382337237121101</v>
      </c>
      <c r="W96" s="1">
        <v>-0.01125855938764597</v>
      </c>
      <c r="X96" s="1">
        <v>-0.01728227324583531</v>
      </c>
      <c r="Y96" s="1">
        <v>-0.01508260820709928</v>
      </c>
      <c r="Z96" s="1">
        <v>-0.01463063753479932</v>
      </c>
    </row>
    <row r="97" spans="1:26">
      <c r="A97" s="11">
        <v>42510</v>
      </c>
      <c r="B97" s="1">
        <v>0.00228162771433893</v>
      </c>
      <c r="C97" s="1">
        <v>-0.005387282402338323</v>
      </c>
      <c r="D97" s="1">
        <v>-0.005561018070950108</v>
      </c>
      <c r="E97" s="1">
        <v>0.006256141009929772</v>
      </c>
      <c r="F97" s="1">
        <v>0.02506237782966525</v>
      </c>
      <c r="G97" s="1">
        <v>0.008222712525520759</v>
      </c>
      <c r="H97" s="1">
        <v>-0.06377011478798211</v>
      </c>
      <c r="I97" s="1">
        <v>-0.05483188739133238</v>
      </c>
      <c r="J97" s="1">
        <v>0.01923078069188522</v>
      </c>
      <c r="K97" s="1">
        <v>0.01933021406855762</v>
      </c>
      <c r="L97" s="1">
        <v>0.001892704918808663</v>
      </c>
      <c r="M97" s="1">
        <v>0.0004742832075954606</v>
      </c>
      <c r="N97" s="1">
        <v>-0.006156318875555677</v>
      </c>
      <c r="O97" s="1">
        <v>0.0003114416904752559</v>
      </c>
      <c r="P97" s="1">
        <v>0.005961927712582193</v>
      </c>
      <c r="Q97" s="1">
        <v>0.01275489569474586</v>
      </c>
      <c r="R97" s="1">
        <v>0.0009376137258851891</v>
      </c>
      <c r="S97" s="1">
        <v>0.01032824847957126</v>
      </c>
      <c r="T97" s="1">
        <v>0.004404865212485287</v>
      </c>
      <c r="U97" s="1">
        <v>0.0002603016016282655</v>
      </c>
      <c r="V97" s="1">
        <v>0.02385926863418475</v>
      </c>
      <c r="W97" s="1">
        <v>0.002897212385516656</v>
      </c>
      <c r="X97" s="1">
        <v>0.01039232980715754</v>
      </c>
      <c r="Y97" s="1">
        <v>0.0006045462837922511</v>
      </c>
      <c r="Z97" s="1">
        <v>0.008537438383783291</v>
      </c>
    </row>
    <row r="98" spans="1:26">
      <c r="A98" s="11">
        <v>42513</v>
      </c>
      <c r="B98" s="1">
        <v>0.008579745061921606</v>
      </c>
      <c r="C98" s="1">
        <v>0.001491286096759747</v>
      </c>
      <c r="D98" s="1">
        <v>-0.005125680561415491</v>
      </c>
      <c r="E98" s="1">
        <v>-0.005228410437850939</v>
      </c>
      <c r="F98" s="1">
        <v>0.0008094806427831891</v>
      </c>
      <c r="G98" s="1">
        <v>-0.004077736042952251</v>
      </c>
      <c r="H98" s="1">
        <v>0</v>
      </c>
      <c r="I98" s="1">
        <v>0.001800446893947871</v>
      </c>
      <c r="J98" s="1">
        <v>0.0008580374320437123</v>
      </c>
      <c r="K98" s="1">
        <v>0.00145892887550203</v>
      </c>
      <c r="L98" s="1">
        <v>-0.0007870781883220213</v>
      </c>
      <c r="M98" s="1">
        <v>0.0004742641241719525</v>
      </c>
      <c r="N98" s="1">
        <v>0.004447001259805683</v>
      </c>
      <c r="O98" s="1">
        <v>0.0042058561823477</v>
      </c>
      <c r="P98" s="1">
        <v>-0.01165532417787418</v>
      </c>
      <c r="Q98" s="1">
        <v>-0.005877290513242706</v>
      </c>
      <c r="R98" s="1">
        <v>-0.003746323514354333</v>
      </c>
      <c r="S98" s="1">
        <v>-0.00202078845576692</v>
      </c>
      <c r="T98" s="1">
        <v>0.0107382996778902</v>
      </c>
      <c r="U98" s="1">
        <v>-0.003381165616056947</v>
      </c>
      <c r="V98" s="1">
        <v>-0.0106322821772592</v>
      </c>
      <c r="W98" s="1">
        <v>-6.699317208547217E-05</v>
      </c>
      <c r="X98" s="1">
        <v>-0.006856619950441623</v>
      </c>
      <c r="Y98" s="1">
        <v>-0.01047107582162943</v>
      </c>
      <c r="Z98" s="1">
        <v>-0.001104311597385665</v>
      </c>
    </row>
    <row r="99" spans="1:26">
      <c r="A99" s="11">
        <v>42514</v>
      </c>
      <c r="B99" s="1">
        <v>0.01128457109731973</v>
      </c>
      <c r="C99" s="1">
        <v>-0.0006268335208153841</v>
      </c>
      <c r="D99" s="1">
        <v>0.022482136142983</v>
      </c>
      <c r="E99" s="1">
        <v>0.0117901348174243</v>
      </c>
      <c r="F99" s="1">
        <v>0.01019251051911207</v>
      </c>
      <c r="G99" s="1">
        <v>0.002274857422552179</v>
      </c>
      <c r="H99" s="1">
        <v>0.016861643914309</v>
      </c>
      <c r="I99" s="1">
        <v>0.02259888509713015</v>
      </c>
      <c r="J99" s="1">
        <v>0.0205653120978293</v>
      </c>
      <c r="K99" s="1">
        <v>0.0281623348717277</v>
      </c>
      <c r="L99" s="1">
        <v>0.01701839304373798</v>
      </c>
      <c r="M99" s="1">
        <v>0.01397757845504732</v>
      </c>
      <c r="N99" s="1">
        <v>0.008697358679071954</v>
      </c>
      <c r="O99" s="1">
        <v>0.01644179034716697</v>
      </c>
      <c r="P99" s="1">
        <v>0.03118101225770964</v>
      </c>
      <c r="Q99" s="1">
        <v>0.01646981976064144</v>
      </c>
      <c r="R99" s="1">
        <v>0.01842430857649124</v>
      </c>
      <c r="S99" s="1">
        <v>0.01000525303177269</v>
      </c>
      <c r="T99" s="1">
        <v>-0.002733143517141823</v>
      </c>
      <c r="U99" s="1">
        <v>0.004697414265774302</v>
      </c>
      <c r="V99" s="1">
        <v>0.01118833192795221</v>
      </c>
      <c r="W99" s="1">
        <v>0.01236191375329887</v>
      </c>
      <c r="X99" s="1">
        <v>0.0164628096999806</v>
      </c>
      <c r="Y99" s="1">
        <v>0.008953949677066309</v>
      </c>
      <c r="Z99" s="1">
        <v>0.01584398993941005</v>
      </c>
    </row>
    <row r="100" spans="1:26">
      <c r="A100" s="11">
        <v>42515</v>
      </c>
      <c r="B100" s="1">
        <v>-0.005836494495636502</v>
      </c>
      <c r="C100" s="1">
        <v>0.01066659147378268</v>
      </c>
      <c r="D100" s="1">
        <v>-0.00366434351073297</v>
      </c>
      <c r="E100" s="1">
        <v>-0.007581133056177247</v>
      </c>
      <c r="F100" s="1">
        <v>0.002562586994202309</v>
      </c>
      <c r="G100" s="1">
        <v>0.004085019486733454</v>
      </c>
      <c r="H100" s="1">
        <v>-0.004268749711989983</v>
      </c>
      <c r="I100" s="1">
        <v>0.01067297962362224</v>
      </c>
      <c r="J100" s="1">
        <v>0.02434943175996018</v>
      </c>
      <c r="K100" s="1">
        <v>0.008028596791372022</v>
      </c>
      <c r="L100" s="1">
        <v>0.0151846570309857</v>
      </c>
      <c r="M100" s="1">
        <v>-0.006308474217723181</v>
      </c>
      <c r="N100" s="1">
        <v>0.00203768910149793</v>
      </c>
      <c r="O100" s="1">
        <v>0.001678476711492793</v>
      </c>
      <c r="P100" s="1">
        <v>0.01027341677160765</v>
      </c>
      <c r="Q100" s="1">
        <v>-0.004985618891920729</v>
      </c>
      <c r="R100" s="1">
        <v>0.02399857666608241</v>
      </c>
      <c r="S100" s="1">
        <v>-0.004127611345953519</v>
      </c>
      <c r="T100" s="1">
        <v>-0.002294788875288112</v>
      </c>
      <c r="U100" s="1">
        <v>0.003116744945235395</v>
      </c>
      <c r="V100" s="1">
        <v>0.008588839843824969</v>
      </c>
      <c r="W100" s="1">
        <v>0.003185908807079141</v>
      </c>
      <c r="X100" s="1">
        <v>0.004702421865523831</v>
      </c>
      <c r="Y100" s="1">
        <v>0.005445737258267913</v>
      </c>
      <c r="Z100" s="1">
        <v>0.02176282916038375</v>
      </c>
    </row>
    <row r="101" spans="1:26">
      <c r="A101" s="11">
        <v>42516</v>
      </c>
      <c r="B101" s="1">
        <v>0.002071907134317819</v>
      </c>
      <c r="C101" s="1">
        <v>0.003492138632881669</v>
      </c>
      <c r="D101" s="1">
        <v>-0.001609007810404961</v>
      </c>
      <c r="E101" s="1">
        <v>0.0005656877628077428</v>
      </c>
      <c r="F101" s="1">
        <v>-0.004952062130968216</v>
      </c>
      <c r="G101" s="1">
        <v>0.01039850938954423</v>
      </c>
      <c r="H101" s="1">
        <v>0.01005785167248696</v>
      </c>
      <c r="I101" s="1">
        <v>-0.002733218703525941</v>
      </c>
      <c r="J101" s="1">
        <v>0.06885216291679264</v>
      </c>
      <c r="K101" s="1">
        <v>-0.001405855543985979</v>
      </c>
      <c r="L101" s="1">
        <v>-0.007478537093022042</v>
      </c>
      <c r="M101" s="1">
        <v>-0.01739932496864871</v>
      </c>
      <c r="N101" s="1">
        <v>0.001251886821935777</v>
      </c>
      <c r="O101" s="1">
        <v>-0.001066426579256596</v>
      </c>
      <c r="P101" s="1">
        <v>-0.004412835956642658</v>
      </c>
      <c r="Q101" s="1">
        <v>0.003757922331350638</v>
      </c>
      <c r="R101" s="1">
        <v>0</v>
      </c>
      <c r="S101" s="1">
        <v>0.003157698159428346</v>
      </c>
      <c r="T101" s="1">
        <v>-0.009716824753819631</v>
      </c>
      <c r="U101" s="1">
        <v>0.005696745137943493</v>
      </c>
      <c r="V101" s="1">
        <v>-0.005340464643128318</v>
      </c>
      <c r="W101" s="1">
        <v>0.0002642937389749633</v>
      </c>
      <c r="X101" s="1">
        <v>-0.005460313678793072</v>
      </c>
      <c r="Y101" s="1">
        <v>0.006218679895057644</v>
      </c>
      <c r="Z101" s="1">
        <v>-0.0117147579054544</v>
      </c>
    </row>
    <row r="102" spans="1:26">
      <c r="A102" s="11">
        <v>42517</v>
      </c>
      <c r="B102" s="1">
        <v>0.004480261935846164</v>
      </c>
      <c r="C102" s="1">
        <v>-0.0006959066875966702</v>
      </c>
      <c r="D102" s="1">
        <v>-0.002763171220900529</v>
      </c>
      <c r="E102" s="1">
        <v>0.008200406416645656</v>
      </c>
      <c r="F102" s="1">
        <v>0.009471841309265372</v>
      </c>
      <c r="G102" s="1">
        <v>0.007158393452707079</v>
      </c>
      <c r="H102" s="1">
        <v>-0.001142667542705755</v>
      </c>
      <c r="I102" s="1">
        <v>0.002864690136409997</v>
      </c>
      <c r="J102" s="1">
        <v>0.009969634854894993</v>
      </c>
      <c r="K102" s="1">
        <v>0.001172954912999735</v>
      </c>
      <c r="L102" s="1">
        <v>0.006150907786126814</v>
      </c>
      <c r="M102" s="1">
        <v>0.01292187941088674</v>
      </c>
      <c r="N102" s="1">
        <v>-0.0006252211532673524</v>
      </c>
      <c r="O102" s="1">
        <v>0.005490523584539719</v>
      </c>
      <c r="P102" s="1">
        <v>0.008286978232811659</v>
      </c>
      <c r="Q102" s="1">
        <v>0.003327747573256712</v>
      </c>
      <c r="R102" s="1">
        <v>0.00288482593162942</v>
      </c>
      <c r="S102" s="1">
        <v>0.004289087861829355</v>
      </c>
      <c r="T102" s="1">
        <v>0.01168433291716098</v>
      </c>
      <c r="U102" s="1">
        <v>0.003861461918119646</v>
      </c>
      <c r="V102" s="1">
        <v>-0.0001452441906655277</v>
      </c>
      <c r="W102" s="1">
        <v>0.006151215757647988</v>
      </c>
      <c r="X102" s="1">
        <v>-0.0002612931654690787</v>
      </c>
      <c r="Y102" s="1">
        <v>0.009170710194901011</v>
      </c>
      <c r="Z102" s="1">
        <v>0.011494375128138</v>
      </c>
    </row>
    <row r="103" spans="1:26">
      <c r="A103" s="11">
        <v>42521</v>
      </c>
      <c r="B103" s="1">
        <v>-0.01972900701418145</v>
      </c>
      <c r="C103" s="1">
        <v>-0.02375792369148089</v>
      </c>
      <c r="D103" s="1">
        <v>-0.003463353561885874</v>
      </c>
      <c r="E103" s="1">
        <v>0.005468970076970558</v>
      </c>
      <c r="F103" s="1">
        <v>0.006679097457461758</v>
      </c>
      <c r="G103" s="1">
        <v>0.0008886585955125703</v>
      </c>
      <c r="H103" s="1">
        <v>-0.01013256642988414</v>
      </c>
      <c r="I103" s="1">
        <v>0.02223672492370499</v>
      </c>
      <c r="J103" s="1">
        <v>0.01594528713558319</v>
      </c>
      <c r="K103" s="1">
        <v>-0.001405944929034897</v>
      </c>
      <c r="L103" s="1">
        <v>-0.002445688947886882</v>
      </c>
      <c r="M103" s="1">
        <v>0.003543267525106142</v>
      </c>
      <c r="N103" s="1">
        <v>-0.005002904844284672</v>
      </c>
      <c r="O103" s="1">
        <v>0.002123124901362461</v>
      </c>
      <c r="P103" s="1">
        <v>0.01299687715048603</v>
      </c>
      <c r="Q103" s="1">
        <v>-0.01077958228790443</v>
      </c>
      <c r="R103" s="1">
        <v>0.002156765342951728</v>
      </c>
      <c r="S103" s="1">
        <v>-0.005955507699716756</v>
      </c>
      <c r="T103" s="1">
        <v>-0.002399068712451546</v>
      </c>
      <c r="U103" s="1">
        <v>0.00410396445871708</v>
      </c>
      <c r="V103" s="1">
        <v>-0.001741601228847922</v>
      </c>
      <c r="W103" s="1">
        <v>-0.002366475186439176</v>
      </c>
      <c r="X103" s="1">
        <v>-0.004707137049833277</v>
      </c>
      <c r="Y103" s="1">
        <v>0.005531231593524089</v>
      </c>
      <c r="Z103" s="1">
        <v>-0.00497164318676846</v>
      </c>
    </row>
    <row r="104" spans="1:26">
      <c r="A104" s="11">
        <v>42522</v>
      </c>
      <c r="B104" s="1">
        <v>-0.01697576941240786</v>
      </c>
      <c r="C104" s="1">
        <v>0.002060947880937247</v>
      </c>
      <c r="D104" s="1">
        <v>0.006971722463116725</v>
      </c>
      <c r="E104" s="1">
        <v>0.002370998598784091</v>
      </c>
      <c r="F104" s="1">
        <v>0.006793276688348504</v>
      </c>
      <c r="G104" s="1">
        <v>0.002662907890276456</v>
      </c>
      <c r="H104" s="1">
        <v>0.008089884489788979</v>
      </c>
      <c r="I104" s="1">
        <v>0.006561931943535493</v>
      </c>
      <c r="J104" s="1">
        <v>0.004484380339291105</v>
      </c>
      <c r="K104" s="1">
        <v>0.01454718767854879</v>
      </c>
      <c r="L104" s="1">
        <v>0.006435079486728723</v>
      </c>
      <c r="M104" s="1">
        <v>0.001412568498077471</v>
      </c>
      <c r="N104" s="1">
        <v>0.01115608156318593</v>
      </c>
      <c r="O104" s="1">
        <v>0.001513837931235162</v>
      </c>
      <c r="P104" s="1">
        <v>-0.002830431440357106</v>
      </c>
      <c r="Q104" s="1">
        <v>0.007124950331486524</v>
      </c>
      <c r="R104" s="1">
        <v>-0.001435094498885792</v>
      </c>
      <c r="S104" s="1">
        <v>0.01213987580866926</v>
      </c>
      <c r="T104" s="1">
        <v>0.0008588090305929885</v>
      </c>
      <c r="U104" s="1">
        <v>-0.01072762647705328</v>
      </c>
      <c r="V104" s="1">
        <v>-0.005379211382100291</v>
      </c>
      <c r="W104" s="1">
        <v>0.008499371249858223</v>
      </c>
      <c r="X104" s="1">
        <v>0.00341539464099716</v>
      </c>
      <c r="Y104" s="1">
        <v>-0.009233483143926025</v>
      </c>
      <c r="Z104" s="1">
        <v>0.0132048565696179</v>
      </c>
    </row>
    <row r="105" spans="1:26">
      <c r="A105" s="11">
        <v>42523</v>
      </c>
      <c r="B105" s="1">
        <v>-0.005874974351429918</v>
      </c>
      <c r="C105" s="1">
        <v>0.003480783070696658</v>
      </c>
      <c r="D105" s="1">
        <v>0.002307989616157302</v>
      </c>
      <c r="E105" s="1">
        <v>0.01572274837997178</v>
      </c>
      <c r="F105" s="1">
        <v>-0.001098308147823968</v>
      </c>
      <c r="G105" s="1">
        <v>0.0004426975237714625</v>
      </c>
      <c r="H105" s="1">
        <v>-0.005404493506308228</v>
      </c>
      <c r="I105" s="1">
        <v>0.01484978804207282</v>
      </c>
      <c r="J105" s="1">
        <v>0.007440330193441147</v>
      </c>
      <c r="K105" s="1">
        <v>0.004625393552998736</v>
      </c>
      <c r="L105" s="1">
        <v>0.001826816543459397</v>
      </c>
      <c r="M105" s="1">
        <v>-0.008697820550454205</v>
      </c>
      <c r="N105" s="1">
        <v>-0.0006209201639334472</v>
      </c>
      <c r="O105" s="1">
        <v>0.004080156085600306</v>
      </c>
      <c r="P105" s="1">
        <v>-0.007000997548497589</v>
      </c>
      <c r="Q105" s="1">
        <v>-0.001664676229258033</v>
      </c>
      <c r="R105" s="1">
        <v>0.01041872092586349</v>
      </c>
      <c r="S105" s="1">
        <v>0.004634347674517425</v>
      </c>
      <c r="T105" s="1">
        <v>0.00236850347044415</v>
      </c>
      <c r="U105" s="1">
        <v>0.002840015768338588</v>
      </c>
      <c r="V105" s="1">
        <v>-0.00131591688013033</v>
      </c>
      <c r="W105" s="1">
        <v>0.003201520041227646</v>
      </c>
      <c r="X105" s="1">
        <v>0.008379483563223378</v>
      </c>
      <c r="Y105" s="1">
        <v>0.006741720214652469</v>
      </c>
      <c r="Z105" s="1">
        <v>0.009862641969525354</v>
      </c>
    </row>
    <row r="106" spans="1:26">
      <c r="A106" s="11">
        <v>42524</v>
      </c>
      <c r="B106" s="1">
        <v>-0.02256437335385775</v>
      </c>
      <c r="C106" s="1">
        <v>0.004178111599015155</v>
      </c>
      <c r="D106" s="1">
        <v>0.001151183452952509</v>
      </c>
      <c r="E106" s="1">
        <v>-0.001506943558958085</v>
      </c>
      <c r="F106" s="1">
        <v>-0.001570974783189238</v>
      </c>
      <c r="G106" s="1">
        <v>0.01371685182448656</v>
      </c>
      <c r="H106" s="1">
        <v>0.01580771053792884</v>
      </c>
      <c r="I106" s="1">
        <v>0.01796319918413447</v>
      </c>
      <c r="J106" s="1">
        <v>-0.00738538052374027</v>
      </c>
      <c r="K106" s="1">
        <v>-0.00414356989553144</v>
      </c>
      <c r="L106" s="1">
        <v>-0.01777848854015951</v>
      </c>
      <c r="M106" s="1">
        <v>-0.01138248820416077</v>
      </c>
      <c r="N106" s="1">
        <v>0.01539379958175857</v>
      </c>
      <c r="O106" s="1">
        <v>-0.004063576061005714</v>
      </c>
      <c r="P106" s="1">
        <v>-0.01314786079972141</v>
      </c>
      <c r="Q106" s="1">
        <v>0.01959157105215348</v>
      </c>
      <c r="R106" s="1">
        <v>-0.02400004694184854</v>
      </c>
      <c r="S106" s="1">
        <v>0.008837674424709174</v>
      </c>
      <c r="T106" s="1">
        <v>-0.003526834714932425</v>
      </c>
      <c r="U106" s="1">
        <v>0.009526203089752716</v>
      </c>
      <c r="V106" s="1">
        <v>0.004830575759678046</v>
      </c>
      <c r="W106" s="1">
        <v>-0.004428489921095791</v>
      </c>
      <c r="X106" s="1">
        <v>0.03765240295418959</v>
      </c>
      <c r="Y106" s="1">
        <v>0.002954468276625155</v>
      </c>
      <c r="Z106" s="1">
        <v>-0.01151036642598924</v>
      </c>
    </row>
    <row r="107" spans="1:26">
      <c r="A107" s="11">
        <v>42527</v>
      </c>
      <c r="B107" s="1">
        <v>0.01905483298010724</v>
      </c>
      <c r="C107" s="1">
        <v>0.0354845281843843</v>
      </c>
      <c r="D107" s="1">
        <v>0.01126969264362687</v>
      </c>
      <c r="E107" s="1">
        <v>0.01920701076723108</v>
      </c>
      <c r="F107" s="1">
        <v>-0.002517431177352702</v>
      </c>
      <c r="G107" s="1">
        <v>0.006983535265107088</v>
      </c>
      <c r="H107" s="1">
        <v>-0.004376838618154744</v>
      </c>
      <c r="I107" s="1">
        <v>0.02232113463862739</v>
      </c>
      <c r="J107" s="1">
        <v>0.01711304352766652</v>
      </c>
      <c r="K107" s="1">
        <v>0.001387094975976444</v>
      </c>
      <c r="L107" s="1">
        <v>0.00990076954420438</v>
      </c>
      <c r="M107" s="1">
        <v>0.004328106089197092</v>
      </c>
      <c r="N107" s="1">
        <v>-0.001531462253556048</v>
      </c>
      <c r="O107" s="1">
        <v>0.00196466270472806</v>
      </c>
      <c r="P107" s="1">
        <v>0.006564943553655</v>
      </c>
      <c r="Q107" s="1">
        <v>-0.001226450907389154</v>
      </c>
      <c r="R107" s="1">
        <v>0.01566491887230148</v>
      </c>
      <c r="S107" s="1">
        <v>-0.01095047362972712</v>
      </c>
      <c r="T107" s="1">
        <v>0.008487724008613862</v>
      </c>
      <c r="U107" s="1">
        <v>0.003315169579432453</v>
      </c>
      <c r="V107" s="1">
        <v>0.002330439327664635</v>
      </c>
      <c r="W107" s="1">
        <v>0.002092962647170848</v>
      </c>
      <c r="X107" s="1">
        <v>0.004504334397881449</v>
      </c>
      <c r="Y107" s="1">
        <v>-0.004123967469121248</v>
      </c>
      <c r="Z107" s="1">
        <v>0.02787595510281538</v>
      </c>
    </row>
    <row r="108" spans="1:26">
      <c r="A108" s="11">
        <v>42528</v>
      </c>
      <c r="B108" s="1">
        <v>0.04656555661356143</v>
      </c>
      <c r="C108" s="1">
        <v>0.0002273082531911719</v>
      </c>
      <c r="D108" s="1">
        <v>-0.0009097785211304998</v>
      </c>
      <c r="E108" s="1">
        <v>-0.005114654658437301</v>
      </c>
      <c r="F108" s="1">
        <v>-0.002365708311552583</v>
      </c>
      <c r="G108" s="1">
        <v>0.001734175195043486</v>
      </c>
      <c r="H108" s="1">
        <v>0.004558943863525844</v>
      </c>
      <c r="I108" s="1">
        <v>-0.001943642808284629</v>
      </c>
      <c r="J108" s="1">
        <v>0.001462949356176635</v>
      </c>
      <c r="K108" s="1">
        <v>0.002308188395454991</v>
      </c>
      <c r="L108" s="1">
        <v>-0.00336991839283074</v>
      </c>
      <c r="M108" s="1">
        <v>0.03112267338758534</v>
      </c>
      <c r="N108" s="1">
        <v>-0.001533811227555026</v>
      </c>
      <c r="O108" s="1">
        <v>0.004524724535202695</v>
      </c>
      <c r="P108" s="1">
        <v>-0.0005751524680600584</v>
      </c>
      <c r="Q108" s="1">
        <v>0.0004092469726093562</v>
      </c>
      <c r="R108" s="1">
        <v>0.007532376321519596</v>
      </c>
      <c r="S108" s="1">
        <v>-0.006682058062350893</v>
      </c>
      <c r="T108" s="1">
        <v>0.001226689871564268</v>
      </c>
      <c r="U108" s="1">
        <v>0.01143892252839485</v>
      </c>
      <c r="V108" s="1">
        <v>-0.008283783231210373</v>
      </c>
      <c r="W108" s="1">
        <v>-0.003263796104533867</v>
      </c>
      <c r="X108" s="1">
        <v>-0.004733126506665131</v>
      </c>
      <c r="Y108" s="1">
        <v>0.02050858703504987</v>
      </c>
      <c r="Z108" s="1">
        <v>-0.003433010637110212</v>
      </c>
    </row>
    <row r="109" spans="1:26">
      <c r="A109" s="11">
        <v>42529</v>
      </c>
      <c r="B109" s="1">
        <v>-0.02078643943807046</v>
      </c>
      <c r="C109" s="1">
        <v>0.00811051286731157</v>
      </c>
      <c r="D109" s="1">
        <v>0.01525162588077644</v>
      </c>
      <c r="E109" s="1">
        <v>-0.006765120616490372</v>
      </c>
      <c r="F109" s="1">
        <v>-0.0004743474683234217</v>
      </c>
      <c r="G109" s="1">
        <v>0.006490930928564564</v>
      </c>
      <c r="H109" s="1">
        <v>0</v>
      </c>
      <c r="I109" s="1">
        <v>-0.001488705496285436</v>
      </c>
      <c r="J109" s="1">
        <v>0.01314800759391299</v>
      </c>
      <c r="K109" s="1">
        <v>0.0004606218536826745</v>
      </c>
      <c r="L109" s="1">
        <v>0.002920455530506461</v>
      </c>
      <c r="M109" s="1">
        <v>0.00998398701589065</v>
      </c>
      <c r="N109" s="1">
        <v>0.007987572012670086</v>
      </c>
      <c r="O109" s="1">
        <v>-0.0003003307065422289</v>
      </c>
      <c r="P109" s="1">
        <v>-0.001151879593195626</v>
      </c>
      <c r="Q109" s="1">
        <v>0.008183318601502787</v>
      </c>
      <c r="R109" s="1">
        <v>0.01281559529776355</v>
      </c>
      <c r="S109" s="1">
        <v>-0.01443151264989762</v>
      </c>
      <c r="T109" s="1">
        <v>0.005002946560056953</v>
      </c>
      <c r="U109" s="1">
        <v>0.001758931764018756</v>
      </c>
      <c r="V109" s="1">
        <v>0.005568905236637667</v>
      </c>
      <c r="W109" s="1">
        <v>0.009496908204966514</v>
      </c>
      <c r="X109" s="1">
        <v>-0.003506507581791163</v>
      </c>
      <c r="Y109" s="1">
        <v>-0.004444089932327699</v>
      </c>
      <c r="Z109" s="1">
        <v>0.002755799092925226</v>
      </c>
    </row>
    <row r="110" spans="1:26">
      <c r="A110" s="11">
        <v>42530</v>
      </c>
      <c r="B110" s="1">
        <v>-0.02052640149246976</v>
      </c>
      <c r="C110" s="1">
        <v>0.0007517837498034474</v>
      </c>
      <c r="D110" s="1">
        <v>0.003363152559173743</v>
      </c>
      <c r="E110" s="1">
        <v>-0.009262924616087465</v>
      </c>
      <c r="F110" s="1">
        <v>-0.004587283316894952</v>
      </c>
      <c r="G110" s="1">
        <v>0.005588839880122043</v>
      </c>
      <c r="H110" s="1">
        <v>0.01312794019492913</v>
      </c>
      <c r="I110" s="1">
        <v>-0.00263845858678835</v>
      </c>
      <c r="J110" s="1">
        <v>-0.002162978742522914</v>
      </c>
      <c r="K110" s="1">
        <v>0.005755358464683447</v>
      </c>
      <c r="L110" s="1">
        <v>-0.007662807946149042</v>
      </c>
      <c r="M110" s="1">
        <v>0.0158621565604955</v>
      </c>
      <c r="N110" s="1">
        <v>0.00365777499172415</v>
      </c>
      <c r="O110" s="1">
        <v>0.0007510180436336444</v>
      </c>
      <c r="P110" s="1">
        <v>-0.008070378994487037</v>
      </c>
      <c r="Q110" s="1">
        <v>0.01542237980444106</v>
      </c>
      <c r="R110" s="1">
        <v>-0.01546546936308435</v>
      </c>
      <c r="S110" s="1">
        <v>-0.02607150745444509</v>
      </c>
      <c r="T110" s="1">
        <v>-0.007687050235637205</v>
      </c>
      <c r="U110" s="1">
        <v>0.005770362064225543</v>
      </c>
      <c r="V110" s="1">
        <v>-0.01355314212370284</v>
      </c>
      <c r="W110" s="1">
        <v>6.408173073735313E-05</v>
      </c>
      <c r="X110" s="1">
        <v>-0.01055508140612726</v>
      </c>
      <c r="Y110" s="1">
        <v>0.008345935945108129</v>
      </c>
      <c r="Z110" s="1">
        <v>-0.01408426126136708</v>
      </c>
    </row>
    <row r="111" spans="1:26">
      <c r="A111" s="11">
        <v>42531</v>
      </c>
      <c r="B111" s="1">
        <v>-0.04137569917402628</v>
      </c>
      <c r="C111" s="1">
        <v>-0.01472575167284262</v>
      </c>
      <c r="D111" s="1">
        <v>-0.005810436514962269</v>
      </c>
      <c r="E111" s="1">
        <v>-0.001100171864440114</v>
      </c>
      <c r="F111" s="1">
        <v>-0.002065621267152595</v>
      </c>
      <c r="G111" s="1">
        <v>-0.01068856323621215</v>
      </c>
      <c r="H111" s="1">
        <v>0.003039669732213257</v>
      </c>
      <c r="I111" s="1">
        <v>-0.0147208174453588</v>
      </c>
      <c r="J111" s="1">
        <v>-0.02456623991834173</v>
      </c>
      <c r="K111" s="1">
        <v>-0.004577516312789354</v>
      </c>
      <c r="L111" s="1">
        <v>-0.01405399587080047</v>
      </c>
      <c r="M111" s="1">
        <v>-0.0126726590017846</v>
      </c>
      <c r="N111" s="1">
        <v>0.00409947197796523</v>
      </c>
      <c r="O111" s="1">
        <v>-0.004202668197177073</v>
      </c>
      <c r="P111" s="1">
        <v>-0.002712236618778507</v>
      </c>
      <c r="Q111" s="1">
        <v>-0.004796527508556192</v>
      </c>
      <c r="R111" s="1">
        <v>-0.02017146232735945</v>
      </c>
      <c r="S111" s="1">
        <v>-0.01483089345665523</v>
      </c>
      <c r="T111" s="1">
        <v>-0.003344517486321474</v>
      </c>
      <c r="U111" s="1">
        <v>0.005986908525665191</v>
      </c>
      <c r="V111" s="1">
        <v>0.002807000160362838</v>
      </c>
      <c r="W111" s="1">
        <v>-0.01524445460707402</v>
      </c>
      <c r="X111" s="1">
        <v>-0.0157483269649652</v>
      </c>
      <c r="Y111" s="1">
        <v>0.01385982428127708</v>
      </c>
      <c r="Z111" s="1">
        <v>-0.0247388867260826</v>
      </c>
    </row>
    <row r="112" spans="1:26">
      <c r="A112" s="11">
        <v>42534</v>
      </c>
      <c r="B112" s="1">
        <v>0.005979054332960532</v>
      </c>
      <c r="C112" s="1">
        <v>-0.009303136308352</v>
      </c>
      <c r="D112" s="1">
        <v>-0.001797689175249917</v>
      </c>
      <c r="E112" s="1">
        <v>-0.005918827294650209</v>
      </c>
      <c r="F112" s="1">
        <v>-0.006528694931446144</v>
      </c>
      <c r="G112" s="1">
        <v>-0.007346526282460464</v>
      </c>
      <c r="H112" s="1">
        <v>-0.009250562081956515</v>
      </c>
      <c r="I112" s="1">
        <v>-0.004085369985567633</v>
      </c>
      <c r="J112" s="1">
        <v>-0.02586734398070678</v>
      </c>
      <c r="K112" s="1">
        <v>-0.004369216103594531</v>
      </c>
      <c r="L112" s="1">
        <v>-0.008928640654852105</v>
      </c>
      <c r="M112" s="1">
        <v>-0.03369245794645459</v>
      </c>
      <c r="N112" s="1">
        <v>-0.01105743629067324</v>
      </c>
      <c r="O112" s="1">
        <v>-0.008138178100368321</v>
      </c>
      <c r="P112" s="1">
        <v>-0.02602962050367086</v>
      </c>
      <c r="Q112" s="1">
        <v>0.002409769549096552</v>
      </c>
      <c r="R112" s="1">
        <v>-0.00619410997326264</v>
      </c>
      <c r="S112" s="1">
        <v>0.001499939189062216</v>
      </c>
      <c r="T112" s="1">
        <v>-0.002054280365049621</v>
      </c>
      <c r="U112" s="1">
        <v>-0.003471462259408975</v>
      </c>
      <c r="V112" s="1">
        <v>-0.01458436004009855</v>
      </c>
      <c r="W112" s="1">
        <v>-0.007451606058018867</v>
      </c>
      <c r="X112" s="1">
        <v>-0.01935480200772799</v>
      </c>
      <c r="Y112" s="1">
        <v>-0.001898968510275711</v>
      </c>
      <c r="Z112" s="1">
        <v>-0.0167915690033541</v>
      </c>
    </row>
    <row r="113" spans="1:26">
      <c r="A113" s="11">
        <v>42535</v>
      </c>
      <c r="B113" s="1">
        <v>0.01708737247350922</v>
      </c>
      <c r="C113" s="1">
        <v>0.004464283128644553</v>
      </c>
      <c r="D113" s="1">
        <v>0.0006754479589146101</v>
      </c>
      <c r="E113" s="1">
        <v>0.01218475964526644</v>
      </c>
      <c r="F113" s="1">
        <v>0.004007298452410657</v>
      </c>
      <c r="G113" s="1">
        <v>0.004353280215432243</v>
      </c>
      <c r="H113" s="1">
        <v>0.004829629206163144</v>
      </c>
      <c r="I113" s="1">
        <v>-0.001992637595006896</v>
      </c>
      <c r="J113" s="1">
        <v>0.001535225153221909</v>
      </c>
      <c r="K113" s="1">
        <v>0</v>
      </c>
      <c r="L113" s="1">
        <v>-0.01880830156247359</v>
      </c>
      <c r="M113" s="1">
        <v>-0.05407986038897716</v>
      </c>
      <c r="N113" s="1">
        <v>0.007094161263164089</v>
      </c>
      <c r="O113" s="1">
        <v>-0.001671543447052226</v>
      </c>
      <c r="P113" s="1">
        <v>-0.006182742394642338</v>
      </c>
      <c r="Q113" s="1">
        <v>0.01001582882164875</v>
      </c>
      <c r="R113" s="1">
        <v>-0.008066348385293298</v>
      </c>
      <c r="S113" s="1">
        <v>-0.009277784173262638</v>
      </c>
      <c r="T113" s="1">
        <v>0.002401780940457732</v>
      </c>
      <c r="U113" s="1">
        <v>0.004727110293304859</v>
      </c>
      <c r="V113" s="1">
        <v>-0.002242592715330005</v>
      </c>
      <c r="W113" s="1">
        <v>-0.01687463090953178</v>
      </c>
      <c r="X113" s="1">
        <v>-0.01131577166334796</v>
      </c>
      <c r="Y113" s="1">
        <v>0.007989436128635896</v>
      </c>
      <c r="Z113" s="1">
        <v>-0.02543603249020854</v>
      </c>
    </row>
    <row r="114" spans="1:26">
      <c r="A114" s="11">
        <v>42536</v>
      </c>
      <c r="B114" s="1">
        <v>-0.004199781549625747</v>
      </c>
      <c r="C114" s="1">
        <v>-0.002605377947019094</v>
      </c>
      <c r="D114" s="1">
        <v>-0.005175474339009223</v>
      </c>
      <c r="E114" s="1">
        <v>-0.007250138719677723</v>
      </c>
      <c r="F114" s="1">
        <v>-0.004630010960023356</v>
      </c>
      <c r="G114" s="1">
        <v>-0.005201042604105588</v>
      </c>
      <c r="H114" s="1">
        <v>-0.009772998748261097</v>
      </c>
      <c r="I114" s="1">
        <v>-0.003757894097193959</v>
      </c>
      <c r="J114" s="1">
        <v>-0.003831454911349952</v>
      </c>
      <c r="K114" s="1">
        <v>-0.005773729524737647</v>
      </c>
      <c r="L114" s="1">
        <v>-0.001771973392211246</v>
      </c>
      <c r="M114" s="1">
        <v>0.001504744086015863</v>
      </c>
      <c r="N114" s="1">
        <v>0.0004597020361116755</v>
      </c>
      <c r="O114" s="1">
        <v>-0.005479450531680419</v>
      </c>
      <c r="P114" s="1">
        <v>-0.002809840183507939</v>
      </c>
      <c r="Q114" s="1">
        <v>-0.001189650065364867</v>
      </c>
      <c r="R114" s="1">
        <v>-0.004435543147214283</v>
      </c>
      <c r="S114" s="1">
        <v>0.02229953421719566</v>
      </c>
      <c r="T114" s="1">
        <v>-0.00421045672221243</v>
      </c>
      <c r="U114" s="1">
        <v>-0.002228632628471949</v>
      </c>
      <c r="V114" s="1">
        <v>0.007940844060332131</v>
      </c>
      <c r="W114" s="1">
        <v>-0.003851706435282543</v>
      </c>
      <c r="X114" s="1">
        <v>0.01357476590057671</v>
      </c>
      <c r="Y114" s="1">
        <v>-0.002830629380087268</v>
      </c>
      <c r="Z114" s="1">
        <v>0.003728123566975716</v>
      </c>
    </row>
    <row r="115" spans="1:26">
      <c r="A115" s="11">
        <v>42537</v>
      </c>
      <c r="B115" s="1">
        <v>-0.02805807748504552</v>
      </c>
      <c r="C115" s="1">
        <v>-0.006069379793622987</v>
      </c>
      <c r="D115" s="1">
        <v>0.008142749733780263</v>
      </c>
      <c r="E115" s="1">
        <v>-0.01157511247158161</v>
      </c>
      <c r="F115" s="1">
        <v>0.01202901421361036</v>
      </c>
      <c r="G115" s="1">
        <v>0.003921548840930988</v>
      </c>
      <c r="H115" s="1">
        <v>0.01520836968860606</v>
      </c>
      <c r="I115" s="1">
        <v>0.003418208519539556</v>
      </c>
      <c r="J115" s="1">
        <v>-0.001538767568358579</v>
      </c>
      <c r="K115" s="1">
        <v>0.004413397707202282</v>
      </c>
      <c r="L115" s="1">
        <v>0.004034155668451778</v>
      </c>
      <c r="M115" s="1">
        <v>-0.004005935345411271</v>
      </c>
      <c r="N115" s="1">
        <v>0.009490162229105037</v>
      </c>
      <c r="O115" s="1">
        <v>0.01025401014123206</v>
      </c>
      <c r="P115" s="1">
        <v>0.0140877442245102</v>
      </c>
      <c r="Q115" s="1">
        <v>0.00675112630550001</v>
      </c>
      <c r="R115" s="1">
        <v>0.006311930770721785</v>
      </c>
      <c r="S115" s="1">
        <v>0.00369714082921746</v>
      </c>
      <c r="T115" s="1">
        <v>-0.001305910650502784</v>
      </c>
      <c r="U115" s="1">
        <v>0.004963919705027298</v>
      </c>
      <c r="V115" s="1">
        <v>-0.004310834795268725</v>
      </c>
      <c r="W115" s="1">
        <v>-0.001221250201196677</v>
      </c>
      <c r="X115" s="1">
        <v>0.002100961951535307</v>
      </c>
      <c r="Y115" s="1">
        <v>0.01173364236547969</v>
      </c>
      <c r="Z115" s="1">
        <v>-0.01820156581826538</v>
      </c>
    </row>
    <row r="116" spans="1:26">
      <c r="A116" s="11">
        <v>42538</v>
      </c>
      <c r="B116" s="1">
        <v>0.01641467937303687</v>
      </c>
      <c r="C116" s="1">
        <v>0.003478436543495445</v>
      </c>
      <c r="D116" s="1">
        <v>-0.002916601356176107</v>
      </c>
      <c r="E116" s="1">
        <v>-0.01477776005541664</v>
      </c>
      <c r="F116" s="1">
        <v>-0.01156880140528183</v>
      </c>
      <c r="G116" s="1">
        <v>0.002603848981328039</v>
      </c>
      <c r="H116" s="1">
        <v>-0.004940200167040221</v>
      </c>
      <c r="I116" s="1">
        <v>0.01033872687461113</v>
      </c>
      <c r="J116" s="1">
        <v>0.01078589138540131</v>
      </c>
      <c r="K116" s="1">
        <v>-0.005781741941248475</v>
      </c>
      <c r="L116" s="1">
        <v>0.0009645096915023021</v>
      </c>
      <c r="M116" s="1">
        <v>-0.001005647911987984</v>
      </c>
      <c r="N116" s="1">
        <v>-0.008339809086020278</v>
      </c>
      <c r="O116" s="1">
        <v>-0.002272301746289451</v>
      </c>
      <c r="P116" s="1">
        <v>-0.005159607696527013</v>
      </c>
      <c r="Q116" s="1">
        <v>-0.003550176493953283</v>
      </c>
      <c r="R116" s="1">
        <v>0.002951268677174435</v>
      </c>
      <c r="S116" s="1">
        <v>-0.01223792776855592</v>
      </c>
      <c r="T116" s="1">
        <v>-0.007675354026873138</v>
      </c>
      <c r="U116" s="1">
        <v>0.005927446398008129</v>
      </c>
      <c r="V116" s="1">
        <v>0.007763428529443006</v>
      </c>
      <c r="W116" s="1">
        <v>-0.006724395413276518</v>
      </c>
      <c r="X116" s="1">
        <v>0.002096658511305582</v>
      </c>
      <c r="Y116" s="1">
        <v>0.005985889565516045</v>
      </c>
      <c r="Z116" s="1">
        <v>0.007566753455672481</v>
      </c>
    </row>
    <row r="117" spans="1:26">
      <c r="A117" s="11">
        <v>42541</v>
      </c>
      <c r="B117" s="1">
        <v>0.02691696035755586</v>
      </c>
      <c r="C117" s="1">
        <v>0.02256975103100034</v>
      </c>
      <c r="D117" s="1">
        <v>0.0117013342938217</v>
      </c>
      <c r="E117" s="1">
        <v>0.004103723936658366</v>
      </c>
      <c r="F117" s="1">
        <v>0.001442780367848728</v>
      </c>
      <c r="G117" s="1">
        <v>0.005195198465900663</v>
      </c>
      <c r="H117" s="1">
        <v>-0.0004805229672492084</v>
      </c>
      <c r="I117" s="1">
        <v>-0.004767890911343553</v>
      </c>
      <c r="J117" s="1">
        <v>-0.003810910777503285</v>
      </c>
      <c r="K117" s="1">
        <v>0.00395432876784918</v>
      </c>
      <c r="L117" s="1">
        <v>0.001445009211130888</v>
      </c>
      <c r="M117" s="1">
        <v>0.007045859100469176</v>
      </c>
      <c r="N117" s="1">
        <v>0.007339299931443</v>
      </c>
      <c r="O117" s="1">
        <v>0.009261725369829055</v>
      </c>
      <c r="P117" s="1">
        <v>-0.001197318317400886</v>
      </c>
      <c r="Q117" s="1">
        <v>-0.00672995494316786</v>
      </c>
      <c r="R117" s="1">
        <v>0.01029987983195291</v>
      </c>
      <c r="S117" s="1">
        <v>-0.001615733852199486</v>
      </c>
      <c r="T117" s="1">
        <v>0.004335449329196051</v>
      </c>
      <c r="U117" s="1">
        <v>0.001227826658962705</v>
      </c>
      <c r="V117" s="1">
        <v>0.007259633372902474</v>
      </c>
      <c r="W117" s="1">
        <v>0.01456499077136919</v>
      </c>
      <c r="X117" s="1">
        <v>0.01595144813056315</v>
      </c>
      <c r="Y117" s="1">
        <v>-0.0003718689855437551</v>
      </c>
      <c r="Z117" s="1">
        <v>0.001501985536882966</v>
      </c>
    </row>
    <row r="118" spans="1:26">
      <c r="A118" s="11">
        <v>42542</v>
      </c>
      <c r="B118" s="1">
        <v>0.02368042085660971</v>
      </c>
      <c r="C118" s="1">
        <v>-0.009265507288948815</v>
      </c>
      <c r="D118" s="1">
        <v>0.00111161131249804</v>
      </c>
      <c r="E118" s="1">
        <v>0.004087029877785087</v>
      </c>
      <c r="F118" s="1">
        <v>0.001280755841209347</v>
      </c>
      <c r="G118" s="1">
        <v>0.01205808052902779</v>
      </c>
      <c r="H118" s="1">
        <v>0.00704961520684666</v>
      </c>
      <c r="I118" s="1">
        <v>-0.0175251901305874</v>
      </c>
      <c r="J118" s="1">
        <v>0.01989271015149696</v>
      </c>
      <c r="K118" s="1">
        <v>0.0004636345285513599</v>
      </c>
      <c r="L118" s="1">
        <v>0.009299405803825822</v>
      </c>
      <c r="M118" s="1">
        <v>0.01249375306936762</v>
      </c>
      <c r="N118" s="1">
        <v>0.004553874509048761</v>
      </c>
      <c r="O118" s="1">
        <v>0.004062085988547404</v>
      </c>
      <c r="P118" s="1">
        <v>0.0223687336741587</v>
      </c>
      <c r="Q118" s="1">
        <v>0.008370111462313812</v>
      </c>
      <c r="R118" s="1">
        <v>-0.006371814937509934</v>
      </c>
      <c r="S118" s="1">
        <v>0.0007054242385449161</v>
      </c>
      <c r="T118" s="1">
        <v>-0.007114273512283553</v>
      </c>
      <c r="U118" s="1">
        <v>0.007111171766805535</v>
      </c>
      <c r="V118" s="1">
        <v>0.004559295697122323</v>
      </c>
      <c r="W118" s="1">
        <v>0.003639940901000172</v>
      </c>
      <c r="X118" s="1">
        <v>-0.008236688473354681</v>
      </c>
      <c r="Y118" s="1">
        <v>0.006324124500005857</v>
      </c>
      <c r="Z118" s="1">
        <v>0.005624692520765029</v>
      </c>
    </row>
    <row r="119" spans="1:26">
      <c r="A119" s="11">
        <v>42543</v>
      </c>
      <c r="B119" s="1">
        <v>-0.003531610030519494</v>
      </c>
      <c r="C119" s="1">
        <v>0.001900704390278118</v>
      </c>
      <c r="D119" s="1">
        <v>-0.001554805326717257</v>
      </c>
      <c r="E119" s="1">
        <v>0.01487707988519604</v>
      </c>
      <c r="F119" s="1">
        <v>0.001599363340961002</v>
      </c>
      <c r="G119" s="1">
        <v>-0.01106341786158915</v>
      </c>
      <c r="H119" s="1">
        <v>-0.004136636489087353</v>
      </c>
      <c r="I119" s="1">
        <v>-0.002021570277063844</v>
      </c>
      <c r="J119" s="1">
        <v>-0.05401352268895332</v>
      </c>
      <c r="K119" s="1">
        <v>0.006716258116676643</v>
      </c>
      <c r="L119" s="1">
        <v>-0.003812662943011413</v>
      </c>
      <c r="M119" s="1">
        <v>-0.006416533082396869</v>
      </c>
      <c r="N119" s="1">
        <v>-0.0004532420350671362</v>
      </c>
      <c r="O119" s="1">
        <v>0.001049123626727821</v>
      </c>
      <c r="P119" s="1">
        <v>-0.003906870806331231</v>
      </c>
      <c r="Q119" s="1">
        <v>-0.001976495442358561</v>
      </c>
      <c r="R119" s="1">
        <v>0.00476388740226863</v>
      </c>
      <c r="S119" s="1">
        <v>-0.004105741336100088</v>
      </c>
      <c r="T119" s="1">
        <v>0.008417324035920659</v>
      </c>
      <c r="U119" s="1">
        <v>0.005600166876160273</v>
      </c>
      <c r="V119" s="1">
        <v>0.008199021456153366</v>
      </c>
      <c r="W119" s="1">
        <v>0.006312447694804213</v>
      </c>
      <c r="X119" s="1">
        <v>-0.00545037539647486</v>
      </c>
      <c r="Y119" s="1">
        <v>-0.001293629736577095</v>
      </c>
      <c r="Z119" s="1">
        <v>0.00559256606259706</v>
      </c>
    </row>
    <row r="120" spans="1:26">
      <c r="A120" s="11">
        <v>42544</v>
      </c>
      <c r="B120" s="1">
        <v>0.03065757883942943</v>
      </c>
      <c r="C120" s="1">
        <v>0.01350836461271276</v>
      </c>
      <c r="D120" s="1">
        <v>0.02269647464446711</v>
      </c>
      <c r="E120" s="1">
        <v>0.004563511903527884</v>
      </c>
      <c r="F120" s="1">
        <v>0.004948644836747063</v>
      </c>
      <c r="G120" s="1">
        <v>0.01075721050404899</v>
      </c>
      <c r="H120" s="1">
        <v>0.0007990994404805107</v>
      </c>
      <c r="I120" s="1">
        <v>0.004408813588306248</v>
      </c>
      <c r="J120" s="1">
        <v>0.02696295842327534</v>
      </c>
      <c r="K120" s="1">
        <v>0.01150218006614567</v>
      </c>
      <c r="L120" s="1">
        <v>0.02136841506884779</v>
      </c>
      <c r="M120" s="1">
        <v>-0.01664180997846088</v>
      </c>
      <c r="N120" s="1">
        <v>0.002418618614584034</v>
      </c>
      <c r="O120" s="1">
        <v>0.0164646940040869</v>
      </c>
      <c r="P120" s="1">
        <v>0.01804268727577085</v>
      </c>
      <c r="Q120" s="1">
        <v>-0.002772218292962259</v>
      </c>
      <c r="R120" s="1">
        <v>0.0275345553994566</v>
      </c>
      <c r="S120" s="1">
        <v>0.003622947712852431</v>
      </c>
      <c r="T120" s="1">
        <v>-0.003414660720844509</v>
      </c>
      <c r="U120" s="1">
        <v>0.0140437740861783</v>
      </c>
      <c r="V120" s="1">
        <v>0.01336055975906936</v>
      </c>
      <c r="W120" s="1">
        <v>0.01528219596539793</v>
      </c>
      <c r="X120" s="1">
        <v>0.002609678822190986</v>
      </c>
      <c r="Y120" s="1">
        <v>0.01184505167389061</v>
      </c>
      <c r="Z120" s="1">
        <v>0.04412323829183706</v>
      </c>
    </row>
    <row r="121" spans="1:26">
      <c r="A121" s="11">
        <v>42545</v>
      </c>
      <c r="B121" s="1">
        <v>-0.05674014822645346</v>
      </c>
      <c r="C121" s="1">
        <v>-0.05263953302014368</v>
      </c>
      <c r="D121" s="1">
        <v>-0.04590919168078322</v>
      </c>
      <c r="E121" s="1">
        <v>-0.02794595094506791</v>
      </c>
      <c r="F121" s="1">
        <v>-0.02065116390339838</v>
      </c>
      <c r="G121" s="1">
        <v>-0.00638558987160931</v>
      </c>
      <c r="H121" s="1">
        <v>-0.003831558275312785</v>
      </c>
      <c r="I121" s="1">
        <v>-0.03049009376746548</v>
      </c>
      <c r="J121" s="1">
        <v>-0.05328181799497278</v>
      </c>
      <c r="K121" s="1">
        <v>-0.05390050654231804</v>
      </c>
      <c r="L121" s="1">
        <v>-0.06947706477591209</v>
      </c>
      <c r="M121" s="1">
        <v>-0.03233156503083379</v>
      </c>
      <c r="N121" s="1">
        <v>0.01070743232375881</v>
      </c>
      <c r="O121" s="1">
        <v>-0.04461811448736375</v>
      </c>
      <c r="P121" s="1">
        <v>-0.04006930413317411</v>
      </c>
      <c r="Q121" s="1">
        <v>0.005162373264433251</v>
      </c>
      <c r="R121" s="1">
        <v>-0.07772837373675023</v>
      </c>
      <c r="S121" s="1">
        <v>0.00132822255149212</v>
      </c>
      <c r="T121" s="1">
        <v>-0.01792809247474147</v>
      </c>
      <c r="U121" s="1">
        <v>-0.008596099319399197</v>
      </c>
      <c r="V121" s="1">
        <v>-0.006162127562512887</v>
      </c>
      <c r="W121" s="1">
        <v>-0.04463028461762664</v>
      </c>
      <c r="X121" s="1">
        <v>-0.06533034800339876</v>
      </c>
      <c r="Y121" s="1">
        <v>-0.00438990337915246</v>
      </c>
      <c r="Z121" s="1">
        <v>-0.1019174615675529</v>
      </c>
    </row>
    <row r="122" spans="1:26">
      <c r="A122" s="11">
        <v>42548</v>
      </c>
      <c r="B122" s="1">
        <v>-0.05213260279323662</v>
      </c>
      <c r="C122" s="1">
        <v>-0.03019278961627769</v>
      </c>
      <c r="D122" s="1">
        <v>-0.03420777274579334</v>
      </c>
      <c r="E122" s="1">
        <v>-0.004106898143400151</v>
      </c>
      <c r="F122" s="1">
        <v>0.0131384797016334</v>
      </c>
      <c r="G122" s="1">
        <v>-0.007283909774639552</v>
      </c>
      <c r="H122" s="1">
        <v>0.01874993979668993</v>
      </c>
      <c r="I122" s="1">
        <v>-0.01394995387998299</v>
      </c>
      <c r="J122" s="1">
        <v>-0.05791197354454436</v>
      </c>
      <c r="K122" s="1">
        <v>-0.03317303627469459</v>
      </c>
      <c r="L122" s="1">
        <v>-0.03338931746863572</v>
      </c>
      <c r="M122" s="1">
        <v>-0.04045948191473481</v>
      </c>
      <c r="N122" s="1">
        <v>0.01357785382317922</v>
      </c>
      <c r="O122" s="1">
        <v>-0.0177251016412131</v>
      </c>
      <c r="P122" s="1">
        <v>-0.0280955390772516</v>
      </c>
      <c r="Q122" s="1">
        <v>0.003556100641296966</v>
      </c>
      <c r="R122" s="1">
        <v>-0.0594573747967988</v>
      </c>
      <c r="S122" s="1">
        <v>0.03683890274818502</v>
      </c>
      <c r="T122" s="1">
        <v>-0.01208793935998975</v>
      </c>
      <c r="U122" s="1">
        <v>0.01228315900204824</v>
      </c>
      <c r="V122" s="1">
        <v>0.001441729428557137</v>
      </c>
      <c r="W122" s="1">
        <v>-0.03040950389967167</v>
      </c>
      <c r="X122" s="1">
        <v>-0.0442777444277227</v>
      </c>
      <c r="Y122" s="1">
        <v>0.0056956523320566</v>
      </c>
      <c r="Z122" s="1">
        <v>-0.06722033499692903</v>
      </c>
    </row>
    <row r="123" spans="1:26">
      <c r="A123" s="11">
        <v>42549</v>
      </c>
      <c r="B123" s="1">
        <v>0.04192294938107688</v>
      </c>
      <c r="C123" s="1">
        <v>0.00969850355996571</v>
      </c>
      <c r="D123" s="1">
        <v>0.02432123104084494</v>
      </c>
      <c r="E123" s="1">
        <v>0.0240327242111058</v>
      </c>
      <c r="F123" s="1">
        <v>0.00976637879232678</v>
      </c>
      <c r="G123" s="1">
        <v>0.01942202787397318</v>
      </c>
      <c r="H123" s="1">
        <v>-0.01289886167532706</v>
      </c>
      <c r="I123" s="1">
        <v>0.01750416572743196</v>
      </c>
      <c r="J123" s="1">
        <v>0.02077914664378921</v>
      </c>
      <c r="K123" s="1">
        <v>0.01790133579748576</v>
      </c>
      <c r="L123" s="1">
        <v>0.03315375317950764</v>
      </c>
      <c r="M123" s="1">
        <v>0.01822667067311512</v>
      </c>
      <c r="N123" s="1">
        <v>-0.0002943771594002831</v>
      </c>
      <c r="O123" s="1">
        <v>0.02918571878267251</v>
      </c>
      <c r="P123" s="1">
        <v>0.02085521827639436</v>
      </c>
      <c r="Q123" s="1">
        <v>0.007480617493502262</v>
      </c>
      <c r="R123" s="1">
        <v>0.01943499194938902</v>
      </c>
      <c r="S123" s="1">
        <v>0.01171012477852496</v>
      </c>
      <c r="T123" s="1">
        <v>0.03474583570340406</v>
      </c>
      <c r="U123" s="1">
        <v>-0.0002380066629615873</v>
      </c>
      <c r="V123" s="1">
        <v>0.004175594115089831</v>
      </c>
      <c r="W123" s="1">
        <v>0.01575231046597314</v>
      </c>
      <c r="X123" s="1">
        <v>0.005827336929673077</v>
      </c>
      <c r="Y123" s="1">
        <v>0.001461027551201477</v>
      </c>
      <c r="Z123" s="1">
        <v>0.0339128125674284</v>
      </c>
    </row>
    <row r="124" spans="1:26">
      <c r="A124" s="11">
        <v>42550</v>
      </c>
      <c r="B124" s="1">
        <v>0.03008498966021467</v>
      </c>
      <c r="C124" s="1">
        <v>0.02502211177917735</v>
      </c>
      <c r="D124" s="1">
        <v>0.03319522471693448</v>
      </c>
      <c r="E124" s="1">
        <v>0.01912611130643849</v>
      </c>
      <c r="F124" s="1">
        <v>0.01379415874531897</v>
      </c>
      <c r="G124" s="1">
        <v>0.01608813964736511</v>
      </c>
      <c r="H124" s="1">
        <v>0.00111535898178583</v>
      </c>
      <c r="I124" s="1">
        <v>0.001597276011119808</v>
      </c>
      <c r="J124" s="1">
        <v>0.03307928046838104</v>
      </c>
      <c r="K124" s="1">
        <v>0.0185637511278649</v>
      </c>
      <c r="L124" s="1">
        <v>0.02822623289164272</v>
      </c>
      <c r="M124" s="1">
        <v>0.0390057823662413</v>
      </c>
      <c r="N124" s="1">
        <v>-0.001178081014110877</v>
      </c>
      <c r="O124" s="1">
        <v>0.01799035015576678</v>
      </c>
      <c r="P124" s="1">
        <v>0.0222487634572659</v>
      </c>
      <c r="Q124" s="1">
        <v>0.01055074166180825</v>
      </c>
      <c r="R124" s="1">
        <v>0.01625518875325449</v>
      </c>
      <c r="S124" s="1">
        <v>0.003436383931108677</v>
      </c>
      <c r="T124" s="1">
        <v>0.001206515269159603</v>
      </c>
      <c r="U124" s="1">
        <v>0.01237543333528546</v>
      </c>
      <c r="V124" s="1">
        <v>0.003728428553116947</v>
      </c>
      <c r="W124" s="1">
        <v>0.01404165329345441</v>
      </c>
      <c r="X124" s="1">
        <v>0.01477460981337386</v>
      </c>
      <c r="Y124" s="1">
        <v>0.004378313333652795</v>
      </c>
      <c r="Z124" s="1">
        <v>0.02460018562623323</v>
      </c>
    </row>
    <row r="125" spans="1:26">
      <c r="A125" s="11">
        <v>42551</v>
      </c>
      <c r="B125" s="1">
        <v>-0.002508608286501346</v>
      </c>
      <c r="C125" s="1">
        <v>0.02267894573250628</v>
      </c>
      <c r="D125" s="1">
        <v>0.008924452304564401</v>
      </c>
      <c r="E125" s="1">
        <v>0.007534382519691851</v>
      </c>
      <c r="F125" s="1">
        <v>0.01954961682150613</v>
      </c>
      <c r="G125" s="1">
        <v>0</v>
      </c>
      <c r="H125" s="1">
        <v>0.05905755869827112</v>
      </c>
      <c r="I125" s="1">
        <v>-0.005766073001213012</v>
      </c>
      <c r="J125" s="1">
        <v>0.03037749490796626</v>
      </c>
      <c r="K125" s="1">
        <v>0.02158301309373112</v>
      </c>
      <c r="L125" s="1">
        <v>0.0153592233358697</v>
      </c>
      <c r="M125" s="1">
        <v>0.008228297826904596</v>
      </c>
      <c r="N125" s="1">
        <v>0.01665965407695014</v>
      </c>
      <c r="O125" s="1">
        <v>0.02531104514107674</v>
      </c>
      <c r="P125" s="1">
        <v>0.01246553933801309</v>
      </c>
      <c r="Q125" s="1">
        <v>0.0255219986759736</v>
      </c>
      <c r="R125" s="1">
        <v>0.024289375411638</v>
      </c>
      <c r="S125" s="1">
        <v>0.006220584577086186</v>
      </c>
      <c r="T125" s="1">
        <v>0.01122564654593816</v>
      </c>
      <c r="U125" s="1">
        <v>0.01574927367856871</v>
      </c>
      <c r="V125" s="1">
        <v>-0.002571534642928586</v>
      </c>
      <c r="W125" s="1">
        <v>0.017911546382267</v>
      </c>
      <c r="X125" s="1">
        <v>0.04367628865205431</v>
      </c>
      <c r="Y125" s="1">
        <v>0.01416633501477493</v>
      </c>
      <c r="Z125" s="1">
        <v>0.005602094684726167</v>
      </c>
    </row>
    <row r="126" spans="1:26">
      <c r="A126" s="11">
        <v>42552</v>
      </c>
      <c r="B126" s="1">
        <v>0.01796308572389416</v>
      </c>
      <c r="C126" s="1">
        <v>-0.001385811953442451</v>
      </c>
      <c r="D126" s="1">
        <v>0.005086104679147274</v>
      </c>
      <c r="E126" s="1">
        <v>0.003127092321410174</v>
      </c>
      <c r="F126" s="1">
        <v>0.005622662900763409</v>
      </c>
      <c r="G126" s="1">
        <v>0.002083005739121679</v>
      </c>
      <c r="H126" s="1">
        <v>-0.00706461813489867</v>
      </c>
      <c r="I126" s="1">
        <v>-0.001726969652941168</v>
      </c>
      <c r="J126" s="1">
        <v>0.01434268386723669</v>
      </c>
      <c r="K126" s="1">
        <v>0.006572412920512249</v>
      </c>
      <c r="L126" s="1">
        <v>-0.00648742242227951</v>
      </c>
      <c r="M126" s="1">
        <v>0.009946696300324076</v>
      </c>
      <c r="N126" s="1">
        <v>0.0008696072435050439</v>
      </c>
      <c r="O126" s="1">
        <v>-0.005112358104352732</v>
      </c>
      <c r="P126" s="1">
        <v>-0.0001954832059313238</v>
      </c>
      <c r="Q126" s="1">
        <v>0.005278823990844561</v>
      </c>
      <c r="R126" s="1">
        <v>-0.0005783366129072931</v>
      </c>
      <c r="S126" s="1">
        <v>-0.006846875991245227</v>
      </c>
      <c r="T126" s="1">
        <v>0.0004427600341669891</v>
      </c>
      <c r="U126" s="1">
        <v>0.006017398183925993</v>
      </c>
      <c r="V126" s="1">
        <v>0.003294028004479976</v>
      </c>
      <c r="W126" s="1">
        <v>0.009948376400852998</v>
      </c>
      <c r="X126" s="1">
        <v>-0.004922880201205682</v>
      </c>
      <c r="Y126" s="1">
        <v>0.006984315249805251</v>
      </c>
      <c r="Z126" s="1">
        <v>-0.008356481448562381</v>
      </c>
    </row>
    <row r="127" spans="1:26">
      <c r="A127" s="11">
        <v>42556</v>
      </c>
      <c r="B127" s="1">
        <v>-0.03529221437557373</v>
      </c>
      <c r="C127" s="1">
        <v>-0.02097326350346962</v>
      </c>
      <c r="D127" s="1">
        <v>-0.00308019359253775</v>
      </c>
      <c r="E127" s="1">
        <v>0</v>
      </c>
      <c r="F127" s="1">
        <v>-0.004135908415981548</v>
      </c>
      <c r="G127" s="1">
        <v>0</v>
      </c>
      <c r="H127" s="1">
        <v>0.01710575149058347</v>
      </c>
      <c r="I127" s="1">
        <v>-0.02138469130515663</v>
      </c>
      <c r="J127" s="1">
        <v>-0.02906514387116732</v>
      </c>
      <c r="K127" s="1">
        <v>-0.03008366291833409</v>
      </c>
      <c r="L127" s="1">
        <v>-0.0279135911098406</v>
      </c>
      <c r="M127" s="1">
        <v>-0.009848733934930687</v>
      </c>
      <c r="N127" s="1">
        <v>0.008548315013850338</v>
      </c>
      <c r="O127" s="1">
        <v>-0.007634943800732374</v>
      </c>
      <c r="P127" s="1">
        <v>0.0001955214270867867</v>
      </c>
      <c r="Q127" s="1">
        <v>0.004126454470782637</v>
      </c>
      <c r="R127" s="1">
        <v>-0.02623479585183974</v>
      </c>
      <c r="S127" s="1">
        <v>0.02324275982971202</v>
      </c>
      <c r="T127" s="1">
        <v>0.002927000723510931</v>
      </c>
      <c r="U127" s="1">
        <v>-0.002760639666823494</v>
      </c>
      <c r="V127" s="1">
        <v>-0.004425441799393082</v>
      </c>
      <c r="W127" s="1">
        <v>-0.0132682320129015</v>
      </c>
      <c r="X127" s="1">
        <v>-0.01814227068703289</v>
      </c>
      <c r="Y127" s="1">
        <v>0.00533493478004976</v>
      </c>
      <c r="Z127" s="1">
        <v>-0.05938995163848548</v>
      </c>
    </row>
    <row r="128" spans="1:26">
      <c r="A128" s="11">
        <v>42557</v>
      </c>
      <c r="B128" s="1">
        <v>0.01152395577767629</v>
      </c>
      <c r="C128" s="1">
        <v>-7.868946417877165E-05</v>
      </c>
      <c r="D128" s="1">
        <v>0.01500775602895255</v>
      </c>
      <c r="E128" s="1">
        <v>0.001084513275256827</v>
      </c>
      <c r="F128" s="1">
        <v>0.001384442954817988</v>
      </c>
      <c r="G128" s="1">
        <v>0</v>
      </c>
      <c r="H128" s="1">
        <v>0.005358137830844711</v>
      </c>
      <c r="I128" s="1">
        <v>0.003789688291272464</v>
      </c>
      <c r="J128" s="1">
        <v>0.01941707350959287</v>
      </c>
      <c r="K128" s="1">
        <v>-0.0007213343612378909</v>
      </c>
      <c r="L128" s="1">
        <v>0.0107471601486151</v>
      </c>
      <c r="M128" s="1">
        <v>-0.002040093119417663</v>
      </c>
      <c r="N128" s="1">
        <v>0.001580439227604424</v>
      </c>
      <c r="O128" s="1">
        <v>-0.007101686088101355</v>
      </c>
      <c r="P128" s="1">
        <v>0.004104049104300067</v>
      </c>
      <c r="Q128" s="1">
        <v>-0.004482773813756391</v>
      </c>
      <c r="R128" s="1">
        <v>0.006140975756153244</v>
      </c>
      <c r="S128" s="1">
        <v>-0.006198475647528956</v>
      </c>
      <c r="T128" s="1">
        <v>0.01740994904711179</v>
      </c>
      <c r="U128" s="1">
        <v>0.009025627480396814</v>
      </c>
      <c r="V128" s="1">
        <v>0.01104139785402469</v>
      </c>
      <c r="W128" s="1">
        <v>0.01263180696998289</v>
      </c>
      <c r="X128" s="1">
        <v>0.001399816742994942</v>
      </c>
      <c r="Y128" s="1">
        <v>0.005271368977617152</v>
      </c>
      <c r="Z128" s="1">
        <v>0.02346413432035299</v>
      </c>
    </row>
    <row r="129" spans="1:26">
      <c r="A129" s="11">
        <v>42558</v>
      </c>
      <c r="B129" s="1">
        <v>-0.007233450831329424</v>
      </c>
      <c r="C129" s="1">
        <v>0.001654057580986468</v>
      </c>
      <c r="D129" s="1">
        <v>0.002826644529468014</v>
      </c>
      <c r="E129" s="1">
        <v>0.002978289886981234</v>
      </c>
      <c r="F129" s="1">
        <v>0.0178183604383082</v>
      </c>
      <c r="G129" s="1">
        <v>-0.02203739997001697</v>
      </c>
      <c r="H129" s="1">
        <v>-0.006067964038102724</v>
      </c>
      <c r="I129" s="1">
        <v>-0.001258385200300194</v>
      </c>
      <c r="J129" s="1">
        <v>0.0198412553739995</v>
      </c>
      <c r="K129" s="1">
        <v>0.004090512007213887</v>
      </c>
      <c r="L129" s="1">
        <v>0.006479696158018466</v>
      </c>
      <c r="M129" s="1">
        <v>0.01840003231162579</v>
      </c>
      <c r="N129" s="1">
        <v>-0.006023973253062032</v>
      </c>
      <c r="O129" s="1">
        <v>0.0004494877051131052</v>
      </c>
      <c r="P129" s="1">
        <v>0</v>
      </c>
      <c r="Q129" s="1">
        <v>-0.02288916158950438</v>
      </c>
      <c r="R129" s="1">
        <v>-0.000787133638639359</v>
      </c>
      <c r="S129" s="1">
        <v>-0.01685200378105545</v>
      </c>
      <c r="T129" s="1">
        <v>0.00770539225613498</v>
      </c>
      <c r="U129" s="1">
        <v>-0.01856151468569989</v>
      </c>
      <c r="V129" s="1">
        <v>-0.005956675284921831</v>
      </c>
      <c r="W129" s="1">
        <v>-0.0003355266208338037</v>
      </c>
      <c r="X129" s="1">
        <v>-0.001677345499656258</v>
      </c>
      <c r="Y129" s="1">
        <v>-0.01564164793436862</v>
      </c>
      <c r="Z129" s="1">
        <v>0.01750768914825884</v>
      </c>
    </row>
    <row r="130" spans="1:26">
      <c r="A130" s="11">
        <v>42559</v>
      </c>
      <c r="B130" s="1">
        <v>0.004917992497608381</v>
      </c>
      <c r="C130" s="1">
        <v>0.02296143528431149</v>
      </c>
      <c r="D130" s="1">
        <v>0.01149215485932098</v>
      </c>
      <c r="E130" s="1">
        <v>0.01619871393320427</v>
      </c>
      <c r="F130" s="1">
        <v>0.01282842875057288</v>
      </c>
      <c r="G130" s="1">
        <v>0.01615620958919539</v>
      </c>
      <c r="H130" s="1">
        <v>0.004040191822666905</v>
      </c>
      <c r="I130" s="1">
        <v>0.02015829164337402</v>
      </c>
      <c r="J130" s="1">
        <v>0.0178991395190391</v>
      </c>
      <c r="K130" s="1">
        <v>0.02492168727361799</v>
      </c>
      <c r="L130" s="1">
        <v>0.02063398223876178</v>
      </c>
      <c r="M130" s="1">
        <v>0.01731513865280143</v>
      </c>
      <c r="N130" s="1">
        <v>0.007647989920609</v>
      </c>
      <c r="O130" s="1">
        <v>0.005538992284756405</v>
      </c>
      <c r="P130" s="1">
        <v>0.01790581541261238</v>
      </c>
      <c r="Q130" s="1">
        <v>0.00345610422362741</v>
      </c>
      <c r="R130" s="1">
        <v>0.02699491309466961</v>
      </c>
      <c r="S130" s="1">
        <v>0.01402815917712985</v>
      </c>
      <c r="T130" s="1">
        <v>0.01463060555648665</v>
      </c>
      <c r="U130" s="1">
        <v>0.007328573702067853</v>
      </c>
      <c r="V130" s="1">
        <v>0.01740598805925542</v>
      </c>
      <c r="W130" s="1">
        <v>0.02435271382875825</v>
      </c>
      <c r="X130" s="1">
        <v>0.03584432287907768</v>
      </c>
      <c r="Y130" s="1">
        <v>0.009389554496660013</v>
      </c>
      <c r="Z130" s="1">
        <v>0.01351892314600689</v>
      </c>
    </row>
    <row r="131" spans="1:26">
      <c r="A131" s="11">
        <v>42562</v>
      </c>
      <c r="B131" s="1">
        <v>-0.001087628297542387</v>
      </c>
      <c r="C131" s="1">
        <v>0.01498947873918666</v>
      </c>
      <c r="D131" s="1">
        <v>-0.003429762921283941</v>
      </c>
      <c r="E131" s="1">
        <v>0.001461237837248497</v>
      </c>
      <c r="F131" s="1">
        <v>0.004469958489364823</v>
      </c>
      <c r="G131" s="1">
        <v>-0.003765452687333637</v>
      </c>
      <c r="H131" s="1">
        <v>-0.005812376892730176</v>
      </c>
      <c r="I131" s="1">
        <v>0.0002471915525685819</v>
      </c>
      <c r="J131" s="1">
        <v>0.006116081914655513</v>
      </c>
      <c r="K131" s="1">
        <v>0.004442951550768237</v>
      </c>
      <c r="L131" s="1">
        <v>0.007116141351627192</v>
      </c>
      <c r="M131" s="1">
        <v>0.01233349767458547</v>
      </c>
      <c r="N131" s="1">
        <v>0.0005724055747498014</v>
      </c>
      <c r="O131" s="1">
        <v>-0.0002978964587651012</v>
      </c>
      <c r="P131" s="1">
        <v>0.005544543391370782</v>
      </c>
      <c r="Q131" s="1">
        <v>-0.002296032822454164</v>
      </c>
      <c r="R131" s="1">
        <v>0.01688422366498532</v>
      </c>
      <c r="S131" s="1">
        <v>-0.003031356637869576</v>
      </c>
      <c r="T131" s="1">
        <v>0.002186223224508899</v>
      </c>
      <c r="U131" s="1">
        <v>-0.002347004778539108</v>
      </c>
      <c r="V131" s="1">
        <v>0.01724855876783837</v>
      </c>
      <c r="W131" s="1">
        <v>-0.002292178099171593</v>
      </c>
      <c r="X131" s="1">
        <v>0.03379337362567392</v>
      </c>
      <c r="Y131" s="1">
        <v>0.0005365738607769899</v>
      </c>
      <c r="Z131" s="1">
        <v>0.007679587180787983</v>
      </c>
    </row>
    <row r="132" spans="1:26">
      <c r="A132" s="11">
        <v>42563</v>
      </c>
      <c r="B132" s="1">
        <v>0.04409381311274285</v>
      </c>
      <c r="C132" s="1">
        <v>-0.009315267996080512</v>
      </c>
      <c r="D132" s="1">
        <v>0.00774340507925908</v>
      </c>
      <c r="E132" s="1">
        <v>0.0107445620388622</v>
      </c>
      <c r="F132" s="1">
        <v>-0.003856630627843138</v>
      </c>
      <c r="G132" s="1">
        <v>-0.004619934201472997</v>
      </c>
      <c r="H132" s="1">
        <v>-0.003597549983136661</v>
      </c>
      <c r="I132" s="1">
        <v>0.0176564055785422</v>
      </c>
      <c r="J132" s="1">
        <v>0.04255334657918364</v>
      </c>
      <c r="K132" s="1">
        <v>0.003258638096135469</v>
      </c>
      <c r="L132" s="1">
        <v>0.01493504186152195</v>
      </c>
      <c r="M132" s="1">
        <v>0.04385939553746288</v>
      </c>
      <c r="N132" s="1">
        <v>-0.01431215090843851</v>
      </c>
      <c r="O132" s="1">
        <v>0.002233975971228874</v>
      </c>
      <c r="P132" s="1">
        <v>0.0117895836730828</v>
      </c>
      <c r="Q132" s="1">
        <v>-0.008055468848367942</v>
      </c>
      <c r="R132" s="1">
        <v>0.02150923926336246</v>
      </c>
      <c r="S132" s="1">
        <v>-0.002961977620932532</v>
      </c>
      <c r="T132" s="1">
        <v>-0.004915783346282621</v>
      </c>
      <c r="U132" s="1">
        <v>-0.002351929489730287</v>
      </c>
      <c r="V132" s="1">
        <v>0.01350976799207348</v>
      </c>
      <c r="W132" s="1">
        <v>0.0133909623201196</v>
      </c>
      <c r="X132" s="1">
        <v>0.003137497386935806</v>
      </c>
      <c r="Y132" s="1">
        <v>-0.008224533214402641</v>
      </c>
      <c r="Z132" s="1">
        <v>0.02727645254164712</v>
      </c>
    </row>
    <row r="133" spans="1:26">
      <c r="A133" s="11">
        <v>42564</v>
      </c>
      <c r="B133" s="1">
        <v>-0.01737930020349832</v>
      </c>
      <c r="C133" s="1">
        <v>-0.005351293868510409</v>
      </c>
      <c r="D133" s="1">
        <v>-0.000640269911284963</v>
      </c>
      <c r="E133" s="1">
        <v>0.004986611171306832</v>
      </c>
      <c r="F133" s="1">
        <v>-0.004765477007711683</v>
      </c>
      <c r="G133" s="1">
        <v>0.01012657019025109</v>
      </c>
      <c r="H133" s="1">
        <v>0.003761160564982546</v>
      </c>
      <c r="I133" s="1">
        <v>0.006551868743773559</v>
      </c>
      <c r="J133" s="1">
        <v>0.006559397555622404</v>
      </c>
      <c r="K133" s="1">
        <v>0.00487231888831885</v>
      </c>
      <c r="L133" s="1">
        <v>-0.0006331696925390151</v>
      </c>
      <c r="M133" s="1">
        <v>-0.01027056310966146</v>
      </c>
      <c r="N133" s="1">
        <v>0.003049105415521725</v>
      </c>
      <c r="O133" s="1">
        <v>-0.003714994077878231</v>
      </c>
      <c r="P133" s="1">
        <v>0.005637953364192594</v>
      </c>
      <c r="Q133" s="1">
        <v>0.007733861692288624</v>
      </c>
      <c r="R133" s="1">
        <v>-0.004432932379701549</v>
      </c>
      <c r="S133" s="1">
        <v>0.00254090386382777</v>
      </c>
      <c r="T133" s="1">
        <v>0.003958520972888069</v>
      </c>
      <c r="U133" s="1">
        <v>0.004244135202279065</v>
      </c>
      <c r="V133" s="1">
        <v>-0.004760128406394948</v>
      </c>
      <c r="W133" s="1">
        <v>0.002720828649678264</v>
      </c>
      <c r="X133" s="1">
        <v>0.0002609176073009589</v>
      </c>
      <c r="Y133" s="1">
        <v>0.009554762417109952</v>
      </c>
      <c r="Z133" s="1">
        <v>-0.002342958674578677</v>
      </c>
    </row>
    <row r="134" spans="1:26">
      <c r="A134" s="11">
        <v>42565</v>
      </c>
      <c r="B134" s="1">
        <v>0.006013451025435268</v>
      </c>
      <c r="C134" s="1">
        <v>0.01106765152034095</v>
      </c>
      <c r="D134" s="1">
        <v>0.002776344039507217</v>
      </c>
      <c r="E134" s="1">
        <v>0.002480862546427653</v>
      </c>
      <c r="F134" s="1">
        <v>0.002842968984995586</v>
      </c>
      <c r="G134" s="1">
        <v>-0.01169598421935314</v>
      </c>
      <c r="H134" s="1">
        <v>-0.00284787640823525</v>
      </c>
      <c r="I134" s="1">
        <v>0.008196868943171953</v>
      </c>
      <c r="J134" s="1">
        <v>-0.0007238659352154508</v>
      </c>
      <c r="K134" s="1">
        <v>0.0006928060362265676</v>
      </c>
      <c r="L134" s="1">
        <v>0.0151999663813136</v>
      </c>
      <c r="M134" s="1">
        <v>0.01816007544784393</v>
      </c>
      <c r="N134" s="1">
        <v>-0.002315812496381575</v>
      </c>
      <c r="O134" s="1">
        <v>-0.001341951232863514</v>
      </c>
      <c r="P134" s="1">
        <v>0.004298205951810852</v>
      </c>
      <c r="Q134" s="1">
        <v>-0.001918348579914797</v>
      </c>
      <c r="R134" s="1">
        <v>0.003154169678055263</v>
      </c>
      <c r="S134" s="1">
        <v>-0.009280378629323183</v>
      </c>
      <c r="T134" s="1">
        <v>-0.002085409427653562</v>
      </c>
      <c r="U134" s="1">
        <v>0.004226317755442022</v>
      </c>
      <c r="V134" s="1">
        <v>0.004372957448376846</v>
      </c>
      <c r="W134" s="1">
        <v>0.01892743166647715</v>
      </c>
      <c r="X134" s="1">
        <v>0.005212152927985825</v>
      </c>
      <c r="Y134" s="1">
        <v>-0.002856928190862584</v>
      </c>
      <c r="Z134" s="1">
        <v>0.01839514570129519</v>
      </c>
    </row>
    <row r="135" spans="1:26">
      <c r="A135" s="11">
        <v>42566</v>
      </c>
      <c r="B135" s="1">
        <v>0.004219461709955574</v>
      </c>
      <c r="C135" s="1">
        <v>0.006385442140180997</v>
      </c>
      <c r="D135" s="1">
        <v>-0.003833817849943522</v>
      </c>
      <c r="E135" s="1">
        <v>-0.01002999787703374</v>
      </c>
      <c r="F135" s="1">
        <v>-0.002088955269459403</v>
      </c>
      <c r="G135" s="1">
        <v>0.01690574425796099</v>
      </c>
      <c r="H135" s="1">
        <v>0.001352638399783057</v>
      </c>
      <c r="I135" s="1">
        <v>-0.00274997675993105</v>
      </c>
      <c r="J135" s="1">
        <v>0.003623224232916389</v>
      </c>
      <c r="K135" s="1">
        <v>-0.003460803233571452</v>
      </c>
      <c r="L135" s="1">
        <v>0.0009352760789835823</v>
      </c>
      <c r="M135" s="1">
        <v>-0.0002313936719497978</v>
      </c>
      <c r="N135" s="1">
        <v>0.00710952738701609</v>
      </c>
      <c r="O135" s="1">
        <v>-0.006571154812076485</v>
      </c>
      <c r="P135" s="1">
        <v>-0.0007442973733855496</v>
      </c>
      <c r="Q135" s="1">
        <v>0.00346009036793915</v>
      </c>
      <c r="R135" s="1">
        <v>-0.004808744053355962</v>
      </c>
      <c r="S135" s="1">
        <v>-0.009643099758947393</v>
      </c>
      <c r="T135" s="1">
        <v>-0.001142978871643829</v>
      </c>
      <c r="U135" s="1">
        <v>0.002805726980406709</v>
      </c>
      <c r="V135" s="1">
        <v>-0.006122935525126549</v>
      </c>
      <c r="W135" s="1">
        <v>-0.004374711786946373</v>
      </c>
      <c r="X135" s="1">
        <v>0.004666935388453419</v>
      </c>
      <c r="Y135" s="1">
        <v>0</v>
      </c>
      <c r="Z135" s="1">
        <v>-0.0003841766694688831</v>
      </c>
    </row>
    <row r="136" spans="1:26">
      <c r="A136" s="11">
        <v>42569</v>
      </c>
      <c r="B136" s="1">
        <v>-0.01383056273591543</v>
      </c>
      <c r="C136" s="1">
        <v>0.0078555486929206</v>
      </c>
      <c r="D136" s="1">
        <v>-0.004704075883305459</v>
      </c>
      <c r="E136" s="1">
        <v>-0.0005260564570455095</v>
      </c>
      <c r="F136" s="1">
        <v>-0.0002989904827547241</v>
      </c>
      <c r="G136" s="1">
        <v>-0.00457127606221841</v>
      </c>
      <c r="H136" s="1">
        <v>-0.0007504232253516818</v>
      </c>
      <c r="I136" s="1">
        <v>0.004915594443130944</v>
      </c>
      <c r="J136" s="1">
        <v>0.006498122399368311</v>
      </c>
      <c r="K136" s="1">
        <v>-0.0009265056161755769</v>
      </c>
      <c r="L136" s="1">
        <v>-0.003427867601213164</v>
      </c>
      <c r="M136" s="1">
        <v>0.000463295750329884</v>
      </c>
      <c r="N136" s="1">
        <v>-0.003457754736627239</v>
      </c>
      <c r="O136" s="1">
        <v>-0.0009022854803125702</v>
      </c>
      <c r="P136" s="1">
        <v>0.004841737715902683</v>
      </c>
      <c r="Q136" s="1">
        <v>0.001149386474908809</v>
      </c>
      <c r="R136" s="1">
        <v>0.01356636161220881</v>
      </c>
      <c r="S136" s="1">
        <v>-0.00147049796308496</v>
      </c>
      <c r="T136" s="1">
        <v>0.004413207723236834</v>
      </c>
      <c r="U136" s="1">
        <v>-0.0009327439123556491</v>
      </c>
      <c r="V136" s="1">
        <v>0.01259530542298992</v>
      </c>
      <c r="W136" s="1">
        <v>6.363669928455273E-05</v>
      </c>
      <c r="X136" s="1">
        <v>0.006193608501026571</v>
      </c>
      <c r="Y136" s="1">
        <v>0.001611450907200274</v>
      </c>
      <c r="Z136" s="1">
        <v>-0.005767220178086618</v>
      </c>
    </row>
    <row r="137" spans="1:26">
      <c r="A137" s="11">
        <v>42570</v>
      </c>
      <c r="B137" s="1">
        <v>-0.02165820138222929</v>
      </c>
      <c r="C137" s="1">
        <v>0.00921828776855893</v>
      </c>
      <c r="D137" s="1">
        <v>-0.007518469855489984</v>
      </c>
      <c r="E137" s="1">
        <v>-0.006450812984014842</v>
      </c>
      <c r="F137" s="1">
        <v>0.003439774294575759</v>
      </c>
      <c r="G137" s="1">
        <v>-0.00125311617048407</v>
      </c>
      <c r="H137" s="1">
        <v>0.0009010522142771649</v>
      </c>
      <c r="I137" s="1">
        <v>-0.006681221584046493</v>
      </c>
      <c r="J137" s="1">
        <v>0.007890787584243331</v>
      </c>
      <c r="K137" s="1">
        <v>0.001390512150571954</v>
      </c>
      <c r="L137" s="1">
        <v>-0.001563417579946602</v>
      </c>
      <c r="M137" s="1">
        <v>-0.01065297358200934</v>
      </c>
      <c r="N137" s="1">
        <v>0.00072286044495673</v>
      </c>
      <c r="O137" s="1">
        <v>-0.001655216892740174</v>
      </c>
      <c r="P137" s="1">
        <v>-0.01612312604439103</v>
      </c>
      <c r="Q137" s="1">
        <v>-0.003061781025500698</v>
      </c>
      <c r="R137" s="1">
        <v>-0.01631819068599005</v>
      </c>
      <c r="S137" s="1">
        <v>0.003542399818523556</v>
      </c>
      <c r="T137" s="1">
        <v>0.005695476352763684</v>
      </c>
      <c r="U137" s="1">
        <v>-0.001866874304983224</v>
      </c>
      <c r="V137" s="1">
        <v>-0.0001351865542863484</v>
      </c>
      <c r="W137" s="1">
        <v>-0.002610439416464549</v>
      </c>
      <c r="X137" s="1">
        <v>-0.007181100250333694</v>
      </c>
      <c r="Y137" s="1">
        <v>-0.004112149794719633</v>
      </c>
      <c r="Z137" s="1">
        <v>0.0007736008726872967</v>
      </c>
    </row>
    <row r="138" spans="1:26">
      <c r="A138" s="11">
        <v>42571</v>
      </c>
      <c r="B138" s="1">
        <v>-0.004739172857619489</v>
      </c>
      <c r="C138" s="1">
        <v>0.0004455470533637484</v>
      </c>
      <c r="D138" s="1">
        <v>0.01082258815513693</v>
      </c>
      <c r="E138" s="1">
        <v>0.003312230957050799</v>
      </c>
      <c r="F138" s="1">
        <v>0.0004475935765324568</v>
      </c>
      <c r="G138" s="1">
        <v>0.008361435647872728</v>
      </c>
      <c r="H138" s="1">
        <v>-0.03076685824523351</v>
      </c>
      <c r="I138" s="1">
        <v>-0.005404699059900042</v>
      </c>
      <c r="J138" s="1">
        <v>0.00782910668696446</v>
      </c>
      <c r="K138" s="1">
        <v>0.005231937845134205</v>
      </c>
      <c r="L138" s="1">
        <v>0.001096323501821317</v>
      </c>
      <c r="M138" s="1">
        <v>-0.01615147143277917</v>
      </c>
      <c r="N138" s="1">
        <v>-0.003033909388715395</v>
      </c>
      <c r="O138" s="1">
        <v>0.001206175828367906</v>
      </c>
      <c r="P138" s="1">
        <v>0.05311740625650363</v>
      </c>
      <c r="Q138" s="1">
        <v>-0.006909455672083453</v>
      </c>
      <c r="R138" s="1">
        <v>0.02460368593497453</v>
      </c>
      <c r="S138" s="1">
        <v>-0.0008724999730681526</v>
      </c>
      <c r="T138" s="1">
        <v>0.01003272508640318</v>
      </c>
      <c r="U138" s="1">
        <v>-0.001402566964418095</v>
      </c>
      <c r="V138" s="1">
        <v>0.007167540899988278</v>
      </c>
      <c r="W138" s="1">
        <v>0.00670322882102492</v>
      </c>
      <c r="X138" s="1">
        <v>0.01446648251873439</v>
      </c>
      <c r="Y138" s="1">
        <v>-0.001436392311747081</v>
      </c>
      <c r="Z138" s="1">
        <v>0.003477575913478859</v>
      </c>
    </row>
    <row r="139" spans="1:26">
      <c r="A139" s="11">
        <v>42572</v>
      </c>
      <c r="B139" s="1">
        <v>-0.02197780017453854</v>
      </c>
      <c r="C139" s="1">
        <v>-0.008833058124512516</v>
      </c>
      <c r="D139" s="1">
        <v>-0.01284805656140631</v>
      </c>
      <c r="E139" s="1">
        <v>-0.002905132057281934</v>
      </c>
      <c r="F139" s="1">
        <v>-0.001490078598676337</v>
      </c>
      <c r="G139" s="1">
        <v>0.00497517377593093</v>
      </c>
      <c r="H139" s="1">
        <v>-0.01920055538684184</v>
      </c>
      <c r="I139" s="1">
        <v>-0.007124665273304687</v>
      </c>
      <c r="J139" s="1">
        <v>-0.01129911104932479</v>
      </c>
      <c r="K139" s="1">
        <v>0.03169105673002037</v>
      </c>
      <c r="L139" s="1">
        <v>-0.003754008641010054</v>
      </c>
      <c r="M139" s="1">
        <v>-0.1120630950887146</v>
      </c>
      <c r="N139" s="1">
        <v>-0.004057004566822453</v>
      </c>
      <c r="O139" s="1">
        <v>-0.007075164632218356</v>
      </c>
      <c r="P139" s="1">
        <v>-0.001967163226611612</v>
      </c>
      <c r="Q139" s="1">
        <v>0.002318904143122413</v>
      </c>
      <c r="R139" s="1">
        <v>-0.004730088419524381</v>
      </c>
      <c r="S139" s="1">
        <v>-0.001071726352964264</v>
      </c>
      <c r="T139" s="1">
        <v>-0.06879197470208043</v>
      </c>
      <c r="U139" s="1">
        <v>-0.004449085982008882</v>
      </c>
      <c r="V139" s="1">
        <v>-0.001879954597270306</v>
      </c>
      <c r="W139" s="1">
        <v>-0.009448761464310951</v>
      </c>
      <c r="X139" s="1">
        <v>-0.001527947604446078</v>
      </c>
      <c r="Y139" s="1">
        <v>-0.004494742331980106</v>
      </c>
      <c r="Z139" s="1">
        <v>0.00115494541236516</v>
      </c>
    </row>
    <row r="140" spans="1:26">
      <c r="A140" s="11">
        <v>42573</v>
      </c>
      <c r="B140" s="1">
        <v>0.004681438398942861</v>
      </c>
      <c r="C140" s="1">
        <v>-0.000449442704821057</v>
      </c>
      <c r="D140" s="1">
        <v>0.004772539405529574</v>
      </c>
      <c r="E140" s="1">
        <v>0.002383983649530297</v>
      </c>
      <c r="F140" s="1">
        <v>0.006565152926510942</v>
      </c>
      <c r="G140" s="1">
        <v>0.01856437699394342</v>
      </c>
      <c r="H140" s="1">
        <v>0.0006310450051556504</v>
      </c>
      <c r="I140" s="1">
        <v>-0.02554146524283329</v>
      </c>
      <c r="J140" s="1">
        <v>0.007857162296043496</v>
      </c>
      <c r="K140" s="1">
        <v>0.0260088002024299</v>
      </c>
      <c r="L140" s="1">
        <v>0.005495234793988057</v>
      </c>
      <c r="M140" s="1">
        <v>0.01366588938967017</v>
      </c>
      <c r="N140" s="1">
        <v>0.001891067215600728</v>
      </c>
      <c r="O140" s="1">
        <v>0.007883465774658482</v>
      </c>
      <c r="P140" s="1">
        <v>0.01379922081805574</v>
      </c>
      <c r="Q140" s="1">
        <v>0.0127268573568462</v>
      </c>
      <c r="R140" s="1">
        <v>0.005301260823495468</v>
      </c>
      <c r="S140" s="1">
        <v>0.008305117241611537</v>
      </c>
      <c r="T140" s="1">
        <v>0.01015050346663338</v>
      </c>
      <c r="U140" s="1">
        <v>0.01387602436860114</v>
      </c>
      <c r="V140" s="1">
        <v>0.007801925436287993</v>
      </c>
      <c r="W140" s="1">
        <v>0.00441726034091694</v>
      </c>
      <c r="X140" s="1">
        <v>0.01555733028597861</v>
      </c>
      <c r="Y140" s="1">
        <v>0.01318416545575429</v>
      </c>
      <c r="Z140" s="1">
        <v>0.01192335178885129</v>
      </c>
    </row>
    <row r="141" spans="1:26">
      <c r="A141" s="11">
        <v>42576</v>
      </c>
      <c r="B141" s="1">
        <v>-0.03131426963739903</v>
      </c>
      <c r="C141" s="1">
        <v>-0.003970818315940594</v>
      </c>
      <c r="D141" s="1">
        <v>-0.004749870461580596</v>
      </c>
      <c r="E141" s="1">
        <v>-0.001585349361061361</v>
      </c>
      <c r="F141" s="1">
        <v>0.0001480142491305791</v>
      </c>
      <c r="G141" s="1">
        <v>-0.007290472852669705</v>
      </c>
      <c r="H141" s="1">
        <v>0.005680153523841991</v>
      </c>
      <c r="I141" s="1">
        <v>-0.0274582142193881</v>
      </c>
      <c r="J141" s="1">
        <v>0.003543237910845543</v>
      </c>
      <c r="K141" s="1">
        <v>-0.01289313482083787</v>
      </c>
      <c r="L141" s="1">
        <v>-0.002654628611128085</v>
      </c>
      <c r="M141" s="1">
        <v>-0.01242405082705678</v>
      </c>
      <c r="N141" s="1">
        <v>-0.0008712041978022889</v>
      </c>
      <c r="O141" s="1">
        <v>-0.003609947224883836</v>
      </c>
      <c r="P141" s="1">
        <v>0.002828097519465889</v>
      </c>
      <c r="Q141" s="1">
        <v>-0.007997185691601127</v>
      </c>
      <c r="R141" s="1">
        <v>0.01654537343530071</v>
      </c>
      <c r="S141" s="1">
        <v>-0.007015183582824824</v>
      </c>
      <c r="T141" s="1">
        <v>0.005483853668641014</v>
      </c>
      <c r="U141" s="1">
        <v>-0.003943637508719733</v>
      </c>
      <c r="V141" s="1">
        <v>0.0184196711897</v>
      </c>
      <c r="W141" s="1">
        <v>0.0005736784163912212</v>
      </c>
      <c r="X141" s="1">
        <v>-0.01682585076918941</v>
      </c>
      <c r="Y141" s="1">
        <v>-0.004099571537593216</v>
      </c>
      <c r="Z141" s="1">
        <v>-0.000380039071160021</v>
      </c>
    </row>
    <row r="142" spans="1:26">
      <c r="A142" s="11">
        <v>42577</v>
      </c>
      <c r="B142" s="1">
        <v>0.01500899295644054</v>
      </c>
      <c r="C142" s="1">
        <v>0.01436750687391686</v>
      </c>
      <c r="D142" s="1">
        <v>0.0414312315179981</v>
      </c>
      <c r="E142" s="1">
        <v>-0.006617513851753465</v>
      </c>
      <c r="F142" s="1">
        <v>-0.004297569325530604</v>
      </c>
      <c r="G142" s="1">
        <v>-0.007751818125886434</v>
      </c>
      <c r="H142" s="1">
        <v>-0.01772820037513156</v>
      </c>
      <c r="I142" s="1">
        <v>0.01373154133379395</v>
      </c>
      <c r="J142" s="1">
        <v>0.001412710905973613</v>
      </c>
      <c r="K142" s="1">
        <v>0.009076806407588345</v>
      </c>
      <c r="L142" s="1">
        <v>0.004070488646611414</v>
      </c>
      <c r="M142" s="1">
        <v>0.02462501526966521</v>
      </c>
      <c r="N142" s="1">
        <v>-0.01264548043203972</v>
      </c>
      <c r="O142" s="1">
        <v>0.006038559800470189</v>
      </c>
      <c r="P142" s="1">
        <v>0.0005292014825870606</v>
      </c>
      <c r="Q142" s="1">
        <v>-0.0107483347789441</v>
      </c>
      <c r="R142" s="1">
        <v>0.04382022571405852</v>
      </c>
      <c r="S142" s="1">
        <v>-0.006072305068601458</v>
      </c>
      <c r="T142" s="1">
        <v>-0.007757732854672517</v>
      </c>
      <c r="U142" s="1">
        <v>-0.01304161780069391</v>
      </c>
      <c r="V142" s="1">
        <v>-0.001048256469923681</v>
      </c>
      <c r="W142" s="1">
        <v>0.01216706091117725</v>
      </c>
      <c r="X142" s="1">
        <v>0.01047246924217182</v>
      </c>
      <c r="Y142" s="1">
        <v>-0.01897340470130027</v>
      </c>
      <c r="Z142" s="1">
        <v>0.0110264878357762</v>
      </c>
    </row>
    <row r="143" spans="1:26">
      <c r="A143" s="11">
        <v>42578</v>
      </c>
      <c r="B143" s="1">
        <v>-0.01876772496735857</v>
      </c>
      <c r="C143" s="1">
        <v>0.008231005325824325</v>
      </c>
      <c r="D143" s="1">
        <v>0.006457260096786488</v>
      </c>
      <c r="E143" s="1">
        <v>0.01878489887060097</v>
      </c>
      <c r="F143" s="1">
        <v>0.01101489258436161</v>
      </c>
      <c r="G143" s="1">
        <v>-0.01726990627959601</v>
      </c>
      <c r="H143" s="1">
        <v>-0.01868717831646638</v>
      </c>
      <c r="I143" s="1">
        <v>-0.006836485161978434</v>
      </c>
      <c r="J143" s="1">
        <v>-0.01339953398476379</v>
      </c>
      <c r="K143" s="1">
        <v>0.003510497265175383</v>
      </c>
      <c r="L143" s="1">
        <v>0.003118933505300125</v>
      </c>
      <c r="M143" s="1">
        <v>-0.02089837352025092</v>
      </c>
      <c r="N143" s="1">
        <v>-0.01737084653284049</v>
      </c>
      <c r="O143" s="1">
        <v>-0.002551406269288514</v>
      </c>
      <c r="P143" s="1">
        <v>-0.01004273183691307</v>
      </c>
      <c r="Q143" s="1">
        <v>-0.005662942397536175</v>
      </c>
      <c r="R143" s="1">
        <v>0.01233723316511037</v>
      </c>
      <c r="S143" s="1">
        <v>-0.008984589534524079</v>
      </c>
      <c r="T143" s="1">
        <v>-0.0020485761030824</v>
      </c>
      <c r="U143" s="1">
        <v>0.008967046494659403</v>
      </c>
      <c r="V143" s="1">
        <v>-0.01272638433731099</v>
      </c>
      <c r="W143" s="1">
        <v>6.309354161460057E-05</v>
      </c>
      <c r="X143" s="1">
        <v>-0.007330439114653808</v>
      </c>
      <c r="Y143" s="1">
        <v>0.009305189695870908</v>
      </c>
      <c r="Z143" s="1">
        <v>0.05227540898244065</v>
      </c>
    </row>
    <row r="144" spans="1:26">
      <c r="A144" s="11">
        <v>42579</v>
      </c>
      <c r="B144" s="1">
        <v>0.001545351034120124</v>
      </c>
      <c r="C144" s="1">
        <v>-0.02169740885957394</v>
      </c>
      <c r="D144" s="1">
        <v>-0.002069366907043402</v>
      </c>
      <c r="E144" s="1">
        <v>-0.0236691306911776</v>
      </c>
      <c r="F144" s="1">
        <v>-0.0008832368090747611</v>
      </c>
      <c r="G144" s="1">
        <v>-0.005438962745296427</v>
      </c>
      <c r="H144" s="1">
        <v>0.002441431289093243</v>
      </c>
      <c r="I144" s="1">
        <v>-0.003568881976895089</v>
      </c>
      <c r="J144" s="1">
        <v>-0.003573631842910041</v>
      </c>
      <c r="K144" s="1">
        <v>-0.007214806966736598</v>
      </c>
      <c r="L144" s="1">
        <v>-0.003575270510935979</v>
      </c>
      <c r="M144" s="1">
        <v>-0.0002668690095993798</v>
      </c>
      <c r="N144" s="1">
        <v>0.005393263946821936</v>
      </c>
      <c r="O144" s="1">
        <v>0.001203793284876742</v>
      </c>
      <c r="P144" s="1">
        <v>0.0003560376578291002</v>
      </c>
      <c r="Q144" s="1">
        <v>0.01138987302536965</v>
      </c>
      <c r="R144" s="1">
        <v>-0.009309541143135425</v>
      </c>
      <c r="S144" s="1">
        <v>-0.03852034619515243</v>
      </c>
      <c r="T144" s="1">
        <v>0.01912395846598081</v>
      </c>
      <c r="U144" s="1">
        <v>-0.004209752046506088</v>
      </c>
      <c r="V144" s="1">
        <v>-0.006113009442461292</v>
      </c>
      <c r="W144" s="1">
        <v>-0.0005036287375126403</v>
      </c>
      <c r="X144" s="1">
        <v>-0.001782228024341581</v>
      </c>
      <c r="Y144" s="1">
        <v>-0.008315459799103864</v>
      </c>
      <c r="Z144" s="1">
        <v>0.005718338506042864</v>
      </c>
    </row>
    <row r="145" spans="1:26">
      <c r="A145" s="11">
        <v>42580</v>
      </c>
      <c r="B145" s="1">
        <v>0.01273151498384961</v>
      </c>
      <c r="C145" s="1">
        <v>0.004886887635150883</v>
      </c>
      <c r="D145" s="1">
        <v>-0.00414787123003435</v>
      </c>
      <c r="E145" s="1">
        <v>0.002008870043458844</v>
      </c>
      <c r="F145" s="1">
        <v>-0.008989107465136148</v>
      </c>
      <c r="G145" s="1">
        <v>0.006309927118968828</v>
      </c>
      <c r="H145" s="1">
        <v>0.01104078314823886</v>
      </c>
      <c r="I145" s="1">
        <v>-0.005884817185396796</v>
      </c>
      <c r="J145" s="1">
        <v>0.00502145433568324</v>
      </c>
      <c r="K145" s="1">
        <v>0.003523076890205701</v>
      </c>
      <c r="L145" s="1">
        <v>-0.002028096300674687</v>
      </c>
      <c r="M145" s="1">
        <v>-0.01227670910515855</v>
      </c>
      <c r="N145" s="1">
        <v>0.008791833820423811</v>
      </c>
      <c r="O145" s="1">
        <v>-0.01202107009673237</v>
      </c>
      <c r="P145" s="1">
        <v>0.008361523074264632</v>
      </c>
      <c r="Q145" s="1">
        <v>-0.003494745561874679</v>
      </c>
      <c r="R145" s="1">
        <v>0.00751742112262388</v>
      </c>
      <c r="S145" s="1">
        <v>0.001257061383876934</v>
      </c>
      <c r="T145" s="1">
        <v>0.006176852397188126</v>
      </c>
      <c r="U145" s="1">
        <v>0.01667465696139736</v>
      </c>
      <c r="V145" s="1">
        <v>0.007219959258320419</v>
      </c>
      <c r="W145" s="1">
        <v>0.0001262427015937817</v>
      </c>
      <c r="X145" s="1">
        <v>-0.005102284944022095</v>
      </c>
      <c r="Y145" s="1">
        <v>0.01002566288644524</v>
      </c>
      <c r="Z145" s="1">
        <v>-0.009239522375820153</v>
      </c>
    </row>
    <row r="146" spans="1:26">
      <c r="A146" s="11">
        <v>42583</v>
      </c>
      <c r="B146" s="1">
        <v>-0.05009514108103319</v>
      </c>
      <c r="C146" s="1">
        <v>-0.003366728723434242</v>
      </c>
      <c r="D146" s="1">
        <v>0.009995741393322488</v>
      </c>
      <c r="E146" s="1">
        <v>0.01844661816274962</v>
      </c>
      <c r="F146" s="1">
        <v>0.00431194021999004</v>
      </c>
      <c r="G146" s="1">
        <v>-0.01045107941823564</v>
      </c>
      <c r="H146" s="1">
        <v>-0.003533119758321268</v>
      </c>
      <c r="I146" s="1">
        <v>-0.0002572160382143807</v>
      </c>
      <c r="J146" s="1">
        <v>0.01213429180740744</v>
      </c>
      <c r="K146" s="1">
        <v>0.004169505504356907</v>
      </c>
      <c r="L146" s="1">
        <v>-0.002657533526281841</v>
      </c>
      <c r="M146" s="1">
        <v>0.0008107743843028814</v>
      </c>
      <c r="N146" s="1">
        <v>-0.0007386692862058064</v>
      </c>
      <c r="O146" s="1">
        <v>0.002889513086231865</v>
      </c>
      <c r="P146" s="1">
        <v>-0.001764035637638273</v>
      </c>
      <c r="Q146" s="1">
        <v>0.005845649832364019</v>
      </c>
      <c r="R146" s="1">
        <v>-0.007291599618278966</v>
      </c>
      <c r="S146" s="1">
        <v>0.000209455943485759</v>
      </c>
      <c r="T146" s="1">
        <v>-0.007906806897233443</v>
      </c>
      <c r="U146" s="1">
        <v>-0.002541285935682702</v>
      </c>
      <c r="V146" s="1">
        <v>0.002389792214603004</v>
      </c>
      <c r="W146" s="1">
        <v>0.004532589505510609</v>
      </c>
      <c r="X146" s="1">
        <v>-0.008462039619885453</v>
      </c>
      <c r="Y146" s="1">
        <v>-0.016422917873266</v>
      </c>
      <c r="Z146" s="1">
        <v>-0.01901001256560686</v>
      </c>
    </row>
    <row r="147" spans="1:26">
      <c r="A147" s="11">
        <v>42584</v>
      </c>
      <c r="B147" s="1">
        <v>0.001403551348946319</v>
      </c>
      <c r="C147" s="1">
        <v>-0.01208627635286008</v>
      </c>
      <c r="D147" s="1">
        <v>-0.0004123558099903279</v>
      </c>
      <c r="E147" s="1">
        <v>-0.01496252497357753</v>
      </c>
      <c r="F147" s="1">
        <v>-0.009475608021829784</v>
      </c>
      <c r="G147" s="1">
        <v>-0.008449744599748454</v>
      </c>
      <c r="H147" s="1">
        <v>-0.01192553522178563</v>
      </c>
      <c r="I147" s="1">
        <v>0.0001287562742771087</v>
      </c>
      <c r="J147" s="1">
        <v>-0.008462497492940924</v>
      </c>
      <c r="K147" s="1">
        <v>-0.01638960085918517</v>
      </c>
      <c r="L147" s="1">
        <v>-0.002351162750913294</v>
      </c>
      <c r="M147" s="1">
        <v>-0.04049699368061543</v>
      </c>
      <c r="N147" s="1">
        <v>-0.004582410163593398</v>
      </c>
      <c r="O147" s="1">
        <v>0.002274970059385151</v>
      </c>
      <c r="P147" s="1">
        <v>0</v>
      </c>
      <c r="Q147" s="1">
        <v>0.005036827196043037</v>
      </c>
      <c r="R147" s="1">
        <v>-0.01229922742643219</v>
      </c>
      <c r="S147" s="1">
        <v>-0.01933285780544036</v>
      </c>
      <c r="T147" s="1">
        <v>0.01469576414717322</v>
      </c>
      <c r="U147" s="1">
        <v>-0.0004627699300346899</v>
      </c>
      <c r="V147" s="1">
        <v>-0.02145382753489844</v>
      </c>
      <c r="W147" s="1">
        <v>-0.0195534835902117</v>
      </c>
      <c r="X147" s="1">
        <v>-0.01189489424738244</v>
      </c>
      <c r="Y147" s="1">
        <v>-0.009174342720818185</v>
      </c>
      <c r="Z147" s="1">
        <v>-0.01133471672448216</v>
      </c>
    </row>
    <row r="148" spans="1:26">
      <c r="A148" s="11">
        <v>42585</v>
      </c>
      <c r="B148" s="1">
        <v>0.03584270456582273</v>
      </c>
      <c r="C148" s="1">
        <v>0.002051581792942292</v>
      </c>
      <c r="D148" s="1">
        <v>-0.007425374494027692</v>
      </c>
      <c r="E148" s="1">
        <v>-0.003330621668565681</v>
      </c>
      <c r="F148" s="1">
        <v>-0.0008969399147338297</v>
      </c>
      <c r="G148" s="1">
        <v>0.001278184191287002</v>
      </c>
      <c r="H148" s="1">
        <v>-0.007176971594627046</v>
      </c>
      <c r="I148" s="1">
        <v>0.007850588252905633</v>
      </c>
      <c r="J148" s="1">
        <v>0.01778101633702156</v>
      </c>
      <c r="K148" s="1">
        <v>0.003796382647052843</v>
      </c>
      <c r="L148" s="1">
        <v>0.01586815491203897</v>
      </c>
      <c r="M148" s="1">
        <v>0.009566770509838785</v>
      </c>
      <c r="N148" s="1">
        <v>-0.01440454231638655</v>
      </c>
      <c r="O148" s="1">
        <v>0.001210783312057373</v>
      </c>
      <c r="P148" s="1">
        <v>0.006892889749672504</v>
      </c>
      <c r="Q148" s="1">
        <v>-0.02313000223568118</v>
      </c>
      <c r="R148" s="1">
        <v>-0.001210680964694455</v>
      </c>
      <c r="S148" s="1">
        <v>-0.003840289833491495</v>
      </c>
      <c r="T148" s="1">
        <v>-0.0007292516689269002</v>
      </c>
      <c r="U148" s="1">
        <v>-0.000463806954753565</v>
      </c>
      <c r="V148" s="1">
        <v>0.00284146455844847</v>
      </c>
      <c r="W148" s="1">
        <v>-0.002812761524347174</v>
      </c>
      <c r="X148" s="1">
        <v>0.01334708628764258</v>
      </c>
      <c r="Y148" s="1">
        <v>-0.001851591952882647</v>
      </c>
      <c r="Z148" s="1">
        <v>0.01590277101218107</v>
      </c>
    </row>
    <row r="149" spans="1:26">
      <c r="A149" s="11">
        <v>42586</v>
      </c>
      <c r="B149" s="1">
        <v>-0.02996304906641167</v>
      </c>
      <c r="C149" s="1">
        <v>-0.005004646741745722</v>
      </c>
      <c r="D149" s="1">
        <v>-0.0008314094011747653</v>
      </c>
      <c r="E149" s="1">
        <v>0.006951740756810043</v>
      </c>
      <c r="F149" s="1">
        <v>0.005087064451607226</v>
      </c>
      <c r="G149" s="1">
        <v>0.004255772343392694</v>
      </c>
      <c r="H149" s="1">
        <v>0.00410718594775572</v>
      </c>
      <c r="I149" s="1">
        <v>-0.007278260529781311</v>
      </c>
      <c r="J149" s="1">
        <v>-0.01118151604665096</v>
      </c>
      <c r="K149" s="1">
        <v>-0.007341730146857239</v>
      </c>
      <c r="L149" s="1">
        <v>-0.001546491931594951</v>
      </c>
      <c r="M149" s="1">
        <v>0.01505017913058393</v>
      </c>
      <c r="N149" s="1">
        <v>0.003766896837058109</v>
      </c>
      <c r="O149" s="1">
        <v>0.00196466297678799</v>
      </c>
      <c r="P149" s="1">
        <v>0.007372143861440916</v>
      </c>
      <c r="Q149" s="1">
        <v>0.001183831604144592</v>
      </c>
      <c r="R149" s="1">
        <v>-0.00692668527004181</v>
      </c>
      <c r="S149" s="1">
        <v>-0.01242283672915001</v>
      </c>
      <c r="T149" s="1">
        <v>-0.004908211473997448</v>
      </c>
      <c r="U149" s="1">
        <v>-0.001390655397803142</v>
      </c>
      <c r="V149" s="1">
        <v>0.0005398646163019549</v>
      </c>
      <c r="W149" s="1">
        <v>0.002692472880872376</v>
      </c>
      <c r="X149" s="1">
        <v>-0.003874278373328433</v>
      </c>
      <c r="Y149" s="1">
        <v>0.0005563625573574704</v>
      </c>
      <c r="Z149" s="1">
        <v>0.009464688299133606</v>
      </c>
    </row>
    <row r="150" spans="1:26">
      <c r="A150" s="11">
        <v>42587</v>
      </c>
      <c r="B150" s="1">
        <v>-0.01076127919989323</v>
      </c>
      <c r="C150" s="1">
        <v>0.003962938066921939</v>
      </c>
      <c r="D150" s="1">
        <v>-0.0004158650377845685</v>
      </c>
      <c r="E150" s="1">
        <v>-0.1598515200050308</v>
      </c>
      <c r="F150" s="1">
        <v>0.003125497385593867</v>
      </c>
      <c r="G150" s="1">
        <v>-0.03940721187048235</v>
      </c>
      <c r="H150" s="1">
        <v>0.003272344699907004</v>
      </c>
      <c r="I150" s="1">
        <v>0.007717412020996628</v>
      </c>
      <c r="J150" s="1">
        <v>0.009187583075475736</v>
      </c>
      <c r="K150" s="1">
        <v>0.01568814092729043</v>
      </c>
      <c r="L150" s="1">
        <v>0.02695152995651418</v>
      </c>
      <c r="M150" s="1">
        <v>0.03926406990741427</v>
      </c>
      <c r="N150" s="1">
        <v>-0.00135097540608331</v>
      </c>
      <c r="O150" s="1">
        <v>0.004977152537625651</v>
      </c>
      <c r="P150" s="1">
        <v>0.009932263893027482</v>
      </c>
      <c r="Q150" s="1">
        <v>-0.02049693138175246</v>
      </c>
      <c r="R150" s="1">
        <v>0.01063695244431417</v>
      </c>
      <c r="S150" s="1">
        <v>0.009585991213556966</v>
      </c>
      <c r="T150" s="1">
        <v>0.001166338729948091</v>
      </c>
      <c r="U150" s="1">
        <v>0.001857260378437475</v>
      </c>
      <c r="V150" s="1">
        <v>0.01079069617631845</v>
      </c>
      <c r="W150" s="1">
        <v>0.006968210946722175</v>
      </c>
      <c r="X150" s="1">
        <v>0.01140814227013753</v>
      </c>
      <c r="Y150" s="1">
        <v>-0.005377482583662996</v>
      </c>
      <c r="Z150" s="1">
        <v>0.04183201595490793</v>
      </c>
    </row>
    <row r="151" spans="1:26">
      <c r="A151" s="11">
        <v>42590</v>
      </c>
      <c r="B151" s="1">
        <v>0.02074932215385639</v>
      </c>
      <c r="C151" s="1">
        <v>0.003491964983368678</v>
      </c>
      <c r="D151" s="1">
        <v>-0.001664801983244701</v>
      </c>
      <c r="E151" s="1">
        <v>-0.04709216626390478</v>
      </c>
      <c r="F151" s="1">
        <v>-0.004748271112176683</v>
      </c>
      <c r="G151" s="1">
        <v>0.001764889711516116</v>
      </c>
      <c r="H151" s="1">
        <v>0.0004891880489883427</v>
      </c>
      <c r="I151" s="1">
        <v>0.007403847405775377</v>
      </c>
      <c r="J151" s="1">
        <v>-0.001400365962809569</v>
      </c>
      <c r="K151" s="1">
        <v>-0.003310139859238337</v>
      </c>
      <c r="L151" s="1">
        <v>-0.003016475905793903</v>
      </c>
      <c r="M151" s="1">
        <v>-0.01056766780531215</v>
      </c>
      <c r="N151" s="1">
        <v>-0.0006012585778097934</v>
      </c>
      <c r="O151" s="1">
        <v>0.006603973864985457</v>
      </c>
      <c r="P151" s="1">
        <v>0.001725152372548777</v>
      </c>
      <c r="Q151" s="1">
        <v>-0.001609355913691934</v>
      </c>
      <c r="R151" s="1">
        <v>0.002760250429178157</v>
      </c>
      <c r="S151" s="1">
        <v>-0.009709872763808414</v>
      </c>
      <c r="T151" s="1">
        <v>-0.009354921437532027</v>
      </c>
      <c r="U151" s="1">
        <v>-0.005329313516340806</v>
      </c>
      <c r="V151" s="1">
        <v>0.0008005118398999311</v>
      </c>
      <c r="W151" s="1">
        <v>-0.006285423217100017</v>
      </c>
      <c r="X151" s="1">
        <v>0.002563519173107043</v>
      </c>
      <c r="Y151" s="1">
        <v>-0.0009318267714483186</v>
      </c>
      <c r="Z151" s="1">
        <v>-0.005192470696593898</v>
      </c>
    </row>
    <row r="152" spans="1:26">
      <c r="A152" s="11">
        <v>42591</v>
      </c>
      <c r="B152" s="1">
        <v>-0.008683630783589136</v>
      </c>
      <c r="C152" s="1">
        <v>0.003252877480999006</v>
      </c>
      <c r="D152" s="1">
        <v>0.003543243319134248</v>
      </c>
      <c r="E152" s="1">
        <v>0.02172447775468611</v>
      </c>
      <c r="F152" s="1">
        <v>-0.002534652186988784</v>
      </c>
      <c r="G152" s="1">
        <v>-0.000440474061802365</v>
      </c>
      <c r="H152" s="1">
        <v>-0.0001629233075882697</v>
      </c>
      <c r="I152" s="1">
        <v>-0.0003800219124806548</v>
      </c>
      <c r="J152" s="1">
        <v>-0.0007014017328402788</v>
      </c>
      <c r="K152" s="1">
        <v>-0.009740813711394569</v>
      </c>
      <c r="L152" s="1">
        <v>-0.003479683122320942</v>
      </c>
      <c r="M152" s="1">
        <v>0.0002667359154879811</v>
      </c>
      <c r="N152" s="1">
        <v>0.001955237190621073</v>
      </c>
      <c r="O152" s="1">
        <v>-0.001342227697029075</v>
      </c>
      <c r="P152" s="1">
        <v>0.00241117301165894</v>
      </c>
      <c r="Q152" s="1">
        <v>0.003224534273859492</v>
      </c>
      <c r="R152" s="1">
        <v>-0.00309693805839939</v>
      </c>
      <c r="S152" s="1">
        <v>0.005813760725038364</v>
      </c>
      <c r="T152" s="1">
        <v>-0.007661964488647643</v>
      </c>
      <c r="U152" s="1">
        <v>0.0034941174065517</v>
      </c>
      <c r="V152" s="1">
        <v>-0.03186660224872151</v>
      </c>
      <c r="W152" s="1">
        <v>0.001022172161017743</v>
      </c>
      <c r="X152" s="1">
        <v>0.001022568191731299</v>
      </c>
      <c r="Y152" s="1">
        <v>0.001305993678929696</v>
      </c>
      <c r="Z152" s="1">
        <v>0.002087793743102528</v>
      </c>
    </row>
    <row r="153" spans="1:26">
      <c r="A153" s="11">
        <v>42592</v>
      </c>
      <c r="B153" s="1">
        <v>-0.0288671446481743</v>
      </c>
      <c r="C153" s="1">
        <v>0.005702164417997313</v>
      </c>
      <c r="D153" s="1">
        <v>0.009345769281584593</v>
      </c>
      <c r="E153" s="1">
        <v>-0.01671794686535599</v>
      </c>
      <c r="F153" s="1">
        <v>0.004783284904313456</v>
      </c>
      <c r="G153" s="1">
        <v>-0.00176220891960599</v>
      </c>
      <c r="H153" s="1">
        <v>-0.0004889390514744019</v>
      </c>
      <c r="I153" s="1">
        <v>-0.009380424062445325</v>
      </c>
      <c r="J153" s="1">
        <v>-0.004210795382574406</v>
      </c>
      <c r="K153" s="1">
        <v>-0.001117631130842844</v>
      </c>
      <c r="L153" s="1">
        <v>-0.008957191108259099</v>
      </c>
      <c r="M153" s="1">
        <v>-0.01254653774439507</v>
      </c>
      <c r="N153" s="1">
        <v>0.003302052086444407</v>
      </c>
      <c r="O153" s="1">
        <v>0.002538048344992383</v>
      </c>
      <c r="P153" s="1">
        <v>-0.003092930445756426</v>
      </c>
      <c r="Q153" s="1">
        <v>0.004821044439898614</v>
      </c>
      <c r="R153" s="1">
        <v>0.0003462808771566017</v>
      </c>
      <c r="S153" s="1">
        <v>0.001854503211970115</v>
      </c>
      <c r="T153" s="1">
        <v>0.003962382955629451</v>
      </c>
      <c r="U153" s="1">
        <v>0.002785301783615246</v>
      </c>
      <c r="V153" s="1">
        <v>0.00605979881364993</v>
      </c>
      <c r="W153" s="1">
        <v>-0.004276263468374619</v>
      </c>
      <c r="X153" s="1">
        <v>-0.0007660686227577429</v>
      </c>
      <c r="Y153" s="1">
        <v>0.002795168653104252</v>
      </c>
      <c r="Z153" s="1">
        <v>-0.0170139353912564</v>
      </c>
    </row>
    <row r="154" spans="1:26">
      <c r="A154" s="11">
        <v>42593</v>
      </c>
      <c r="B154" s="1">
        <v>0.01660544890214477</v>
      </c>
      <c r="C154" s="1">
        <v>0.005443223771579353</v>
      </c>
      <c r="D154" s="1">
        <v>0.008847635558963729</v>
      </c>
      <c r="E154" s="1">
        <v>0.006437694642735137</v>
      </c>
      <c r="F154" s="1">
        <v>0.006843253617261791</v>
      </c>
      <c r="G154" s="1">
        <v>0.001765319781871444</v>
      </c>
      <c r="H154" s="1">
        <v>-0.003588799143544152</v>
      </c>
      <c r="I154" s="1">
        <v>-0.002047173255703805</v>
      </c>
      <c r="J154" s="1">
        <v>0.007752245028070703</v>
      </c>
      <c r="K154" s="1">
        <v>-0.004252773552913092</v>
      </c>
      <c r="L154" s="1">
        <v>0.002757491105639609</v>
      </c>
      <c r="M154" s="1">
        <v>0.006758465963077276</v>
      </c>
      <c r="N154" s="1">
        <v>-0.001496347223166272</v>
      </c>
      <c r="O154" s="1">
        <v>0.003276281620595789</v>
      </c>
      <c r="P154" s="1">
        <v>0.004826118977362848</v>
      </c>
      <c r="Q154" s="1">
        <v>0.0004000270458537347</v>
      </c>
      <c r="R154" s="1">
        <v>0.003118509925987167</v>
      </c>
      <c r="S154" s="1">
        <v>-0.006199272217552232</v>
      </c>
      <c r="T154" s="1">
        <v>0.0009442901874752163</v>
      </c>
      <c r="U154" s="1">
        <v>0.004398213142242202</v>
      </c>
      <c r="V154" s="1">
        <v>0.01314156201980277</v>
      </c>
      <c r="W154" s="1">
        <v>0.009294486418237602</v>
      </c>
      <c r="X154" s="1">
        <v>0.006901781736070811</v>
      </c>
      <c r="Y154" s="1">
        <v>0.0009296114797092692</v>
      </c>
      <c r="Z154" s="1">
        <v>-0.001059662363366298</v>
      </c>
    </row>
    <row r="155" spans="1:26">
      <c r="A155" s="11">
        <v>42594</v>
      </c>
      <c r="B155" s="1">
        <v>-0.01169609383146164</v>
      </c>
      <c r="C155" s="1">
        <v>0.0007517771318099609</v>
      </c>
      <c r="D155" s="1">
        <v>-0.008973854108699886</v>
      </c>
      <c r="E155" s="1">
        <v>-0.005576237592426314</v>
      </c>
      <c r="F155" s="1">
        <v>-0.00251204118755155</v>
      </c>
      <c r="G155" s="1">
        <v>0.005703528290061488</v>
      </c>
      <c r="H155" s="1">
        <v>-0.002128006165862839</v>
      </c>
      <c r="I155" s="1">
        <v>-0.01269359321441998</v>
      </c>
      <c r="J155" s="1">
        <v>-0.001398690725709195</v>
      </c>
      <c r="K155" s="1">
        <v>-0.01528383556419111</v>
      </c>
      <c r="L155" s="1">
        <v>-0.00213890174345277</v>
      </c>
      <c r="M155" s="1">
        <v>-0.01933410173800298</v>
      </c>
      <c r="N155" s="1">
        <v>0</v>
      </c>
      <c r="O155" s="1">
        <v>0.0002970121321195229</v>
      </c>
      <c r="P155" s="1">
        <v>-0.006174805314345444</v>
      </c>
      <c r="Q155" s="1">
        <v>-0.0003998670882037203</v>
      </c>
      <c r="R155" s="1">
        <v>-0.003281038158309824</v>
      </c>
      <c r="S155" s="1">
        <v>-0.002859443598188016</v>
      </c>
      <c r="T155" s="1">
        <v>-0.003134041952157718</v>
      </c>
      <c r="U155" s="1">
        <v>-0.002534962122297091</v>
      </c>
      <c r="V155" s="1">
        <v>0.02432099064188797</v>
      </c>
      <c r="W155" s="1">
        <v>-0.01251127137069852</v>
      </c>
      <c r="X155" s="1">
        <v>-0.004569780012573132</v>
      </c>
      <c r="Y155" s="1">
        <v>-0.003898825469957012</v>
      </c>
      <c r="Z155" s="1">
        <v>-0.004950366802655926</v>
      </c>
    </row>
    <row r="156" spans="1:26">
      <c r="A156" s="11">
        <v>42597</v>
      </c>
      <c r="B156" s="1">
        <v>0.01775171688804278</v>
      </c>
      <c r="C156" s="1">
        <v>0.01172042090321668</v>
      </c>
      <c r="D156" s="1">
        <v>-0.003704510626608482</v>
      </c>
      <c r="E156" s="1">
        <v>-0.009896365383227801</v>
      </c>
      <c r="F156" s="1">
        <v>0.00014821747563043</v>
      </c>
      <c r="G156" s="1">
        <v>-0.005316820089238505</v>
      </c>
      <c r="H156" s="1">
        <v>-0.005741319791323307</v>
      </c>
      <c r="I156" s="1">
        <v>0.01662302054263121</v>
      </c>
      <c r="J156" s="1">
        <v>0.01680666226401173</v>
      </c>
      <c r="K156" s="1">
        <v>0.007760412456876864</v>
      </c>
      <c r="L156" s="1">
        <v>0.006124073398954932</v>
      </c>
      <c r="M156" s="1">
        <v>0.009857698755783018</v>
      </c>
      <c r="N156" s="1">
        <v>-0.007191714890968814</v>
      </c>
      <c r="O156" s="1">
        <v>-0.0002969239421064529</v>
      </c>
      <c r="P156" s="1">
        <v>0.00310658521607432</v>
      </c>
      <c r="Q156" s="1">
        <v>-0.01839296262692813</v>
      </c>
      <c r="R156" s="1">
        <v>0.0194068766731248</v>
      </c>
      <c r="S156" s="1">
        <v>-0.004692298376132165</v>
      </c>
      <c r="T156" s="1">
        <v>0.001757802752510917</v>
      </c>
      <c r="U156" s="1">
        <v>-0.006007499499208979</v>
      </c>
      <c r="V156" s="1">
        <v>0.004255051067049598</v>
      </c>
      <c r="W156" s="1">
        <v>0.003086829899665355</v>
      </c>
      <c r="X156" s="1">
        <v>0.02805399033735223</v>
      </c>
      <c r="Y156" s="1">
        <v>-0.0007460649533781449</v>
      </c>
      <c r="Z156" s="1">
        <v>0.0174128901923396</v>
      </c>
    </row>
    <row r="157" spans="1:26">
      <c r="A157" s="11">
        <v>42598</v>
      </c>
      <c r="B157" s="1">
        <v>0.02185252124976733</v>
      </c>
      <c r="C157" s="1">
        <v>0.002524829097420689</v>
      </c>
      <c r="D157" s="1">
        <v>-0.003512046436310978</v>
      </c>
      <c r="E157" s="1">
        <v>-0.01032787397243162</v>
      </c>
      <c r="F157" s="1">
        <v>-0.003110228837329143</v>
      </c>
      <c r="G157" s="1">
        <v>-0.01425385681961366</v>
      </c>
      <c r="H157" s="1">
        <v>-0.00791951256178558</v>
      </c>
      <c r="I157" s="1">
        <v>-0.001660872870931529</v>
      </c>
      <c r="J157" s="1">
        <v>-0.007575870362526715</v>
      </c>
      <c r="K157" s="1">
        <v>-0.004303251500286542</v>
      </c>
      <c r="L157" s="1">
        <v>-0.0001521850328435326</v>
      </c>
      <c r="M157" s="1">
        <v>-0.007069090171346493</v>
      </c>
      <c r="N157" s="1">
        <v>0</v>
      </c>
      <c r="O157" s="1">
        <v>-0.00475003647753991</v>
      </c>
      <c r="P157" s="1">
        <v>-0.005540158787936345</v>
      </c>
      <c r="Q157" s="1">
        <v>-0.009368534343283108</v>
      </c>
      <c r="R157" s="1">
        <v>0.0008503662071062124</v>
      </c>
      <c r="S157" s="1">
        <v>-0.006765919444000068</v>
      </c>
      <c r="T157" s="1">
        <v>-0.01619789589967102</v>
      </c>
      <c r="U157" s="1">
        <v>-0.02463966274579166</v>
      </c>
      <c r="V157" s="1">
        <v>-0.000662030475903741</v>
      </c>
      <c r="W157" s="1">
        <v>-0.006410853771382286</v>
      </c>
      <c r="X157" s="1">
        <v>-0.002728853662715913</v>
      </c>
      <c r="Y157" s="1">
        <v>-0.01585485566303602</v>
      </c>
      <c r="Z157" s="1">
        <v>0.003152549309293207</v>
      </c>
    </row>
    <row r="158" spans="1:26">
      <c r="A158" s="11">
        <v>42599</v>
      </c>
      <c r="B158" s="1">
        <v>0.01294824380080528</v>
      </c>
      <c r="C158" s="1">
        <v>-0.002073951337049018</v>
      </c>
      <c r="D158" s="1">
        <v>-0.005389518205980992</v>
      </c>
      <c r="E158" s="1">
        <v>-0.01868422237625855</v>
      </c>
      <c r="F158" s="1">
        <v>0.006834182775126374</v>
      </c>
      <c r="G158" s="1">
        <v>0.02078613660307704</v>
      </c>
      <c r="H158" s="1">
        <v>0.004989424242642704</v>
      </c>
      <c r="I158" s="1">
        <v>-0.009213138316257474</v>
      </c>
      <c r="J158" s="1">
        <v>0.006246063277464575</v>
      </c>
      <c r="K158" s="1">
        <v>0.005004404944216168</v>
      </c>
      <c r="L158" s="1">
        <v>0.002739294539168435</v>
      </c>
      <c r="M158" s="1">
        <v>0.009036138879849887</v>
      </c>
      <c r="N158" s="1">
        <v>0.003018080849322535</v>
      </c>
      <c r="O158" s="1">
        <v>0.001193109004541615</v>
      </c>
      <c r="P158" s="1">
        <v>0.002089058886899364</v>
      </c>
      <c r="Q158" s="1">
        <v>0.01644740955644197</v>
      </c>
      <c r="R158" s="1">
        <v>0.003396481389307038</v>
      </c>
      <c r="S158" s="1">
        <v>0.001582009562872466</v>
      </c>
      <c r="T158" s="1">
        <v>-0.01045828960220219</v>
      </c>
      <c r="U158" s="1">
        <v>-0.002383482788889446</v>
      </c>
      <c r="V158" s="1">
        <v>-0.06425554042538439</v>
      </c>
      <c r="W158" s="1">
        <v>-0.001936121673003832</v>
      </c>
      <c r="X158" s="1">
        <v>0.005224051107231897</v>
      </c>
      <c r="Y158" s="1">
        <v>0.007770639336682317</v>
      </c>
      <c r="Z158" s="1">
        <v>0.001745438178487158</v>
      </c>
    </row>
    <row r="159" spans="1:26">
      <c r="A159" s="11">
        <v>42600</v>
      </c>
      <c r="B159" s="1">
        <v>0.03815646399106387</v>
      </c>
      <c r="C159" s="1">
        <v>0.002078261550370275</v>
      </c>
      <c r="D159" s="1">
        <v>0.0006250047651732427</v>
      </c>
      <c r="E159" s="1">
        <v>0.006518419834682154</v>
      </c>
      <c r="F159" s="1">
        <v>-0.005312552276055094</v>
      </c>
      <c r="G159" s="1">
        <v>0.01018137800290697</v>
      </c>
      <c r="H159" s="1">
        <v>0.00645392236055109</v>
      </c>
      <c r="I159" s="1">
        <v>-0.006327817239890288</v>
      </c>
      <c r="J159" s="1">
        <v>0.0006893264168368329</v>
      </c>
      <c r="K159" s="1">
        <v>0.01652319395902446</v>
      </c>
      <c r="L159" s="1">
        <v>0.0009104531801034099</v>
      </c>
      <c r="M159" s="1">
        <v>-0.0002710471066512676</v>
      </c>
      <c r="N159" s="1">
        <v>-0.002256778405019366</v>
      </c>
      <c r="O159" s="1">
        <v>-0.0002978710475499691</v>
      </c>
      <c r="P159" s="1">
        <v>0.0006947022460497276</v>
      </c>
      <c r="Q159" s="1">
        <v>0.01092234901775324</v>
      </c>
      <c r="R159" s="1">
        <v>0.007786006454934435</v>
      </c>
      <c r="S159" s="1">
        <v>-0.005089927472598954</v>
      </c>
      <c r="T159" s="1">
        <v>0.003233181089787651</v>
      </c>
      <c r="U159" s="1">
        <v>-0.01098855553205835</v>
      </c>
      <c r="V159" s="1">
        <v>-0.004672065115052693</v>
      </c>
      <c r="W159" s="1">
        <v>-0.008534038780279807</v>
      </c>
      <c r="X159" s="1">
        <v>0.003217079817937174</v>
      </c>
      <c r="Y159" s="1">
        <v>-0.005642471294295959</v>
      </c>
      <c r="Z159" s="1">
        <v>0.01359376598450446</v>
      </c>
    </row>
    <row r="160" spans="1:26">
      <c r="A160" s="11">
        <v>42601</v>
      </c>
      <c r="B160" s="1">
        <v>-0.002052213307186967</v>
      </c>
      <c r="C160" s="1">
        <v>-0.004147964097208967</v>
      </c>
      <c r="D160" s="1">
        <v>-0.001249414598247123</v>
      </c>
      <c r="E160" s="1">
        <v>0.01039516791123551</v>
      </c>
      <c r="F160" s="1">
        <v>-0.01661425664786065</v>
      </c>
      <c r="G160" s="1">
        <v>0.0004387275578254801</v>
      </c>
      <c r="H160" s="1">
        <v>0.003452466828386402</v>
      </c>
      <c r="I160" s="1">
        <v>0.1349102538012037</v>
      </c>
      <c r="J160" s="1">
        <v>-0.006202736895385641</v>
      </c>
      <c r="K160" s="1">
        <v>0.001113717263556468</v>
      </c>
      <c r="L160" s="1">
        <v>-0.001364512739037926</v>
      </c>
      <c r="M160" s="1">
        <v>-0.01330108486918524</v>
      </c>
      <c r="N160" s="1">
        <v>0.0003018000780150576</v>
      </c>
      <c r="O160" s="1">
        <v>-0.0008940824655530033</v>
      </c>
      <c r="P160" s="1">
        <v>0.0003474083175427634</v>
      </c>
      <c r="Q160" s="1">
        <v>-0.01480560968764832</v>
      </c>
      <c r="R160" s="1">
        <v>0.006382085306781304</v>
      </c>
      <c r="S160" s="1">
        <v>-0.01195170708723869</v>
      </c>
      <c r="T160" s="1">
        <v>-0.002807033277274384</v>
      </c>
      <c r="U160" s="1">
        <v>-0.009420515746279334</v>
      </c>
      <c r="V160" s="1">
        <v>-0.002560441248642631</v>
      </c>
      <c r="W160" s="1">
        <v>0.001499272342636582</v>
      </c>
      <c r="X160" s="1">
        <v>0.002959971884655355</v>
      </c>
      <c r="Y160" s="1">
        <v>-0.007943543773026307</v>
      </c>
      <c r="Z160" s="1">
        <v>0.005158136999194429</v>
      </c>
    </row>
    <row r="161" spans="1:26">
      <c r="A161" s="11">
        <v>42604</v>
      </c>
      <c r="B161" s="1">
        <v>-0.006356290954718458</v>
      </c>
      <c r="C161" s="1">
        <v>0.004090794872702697</v>
      </c>
      <c r="D161" s="1">
        <v>0.0006255818311089456</v>
      </c>
      <c r="E161" s="1">
        <v>-0.00050603866956489</v>
      </c>
      <c r="F161" s="1">
        <v>0.002262426138393892</v>
      </c>
      <c r="G161" s="1">
        <v>0.004818074577644937</v>
      </c>
      <c r="H161" s="1">
        <v>0.004588200567366529</v>
      </c>
      <c r="I161" s="1">
        <v>0.007329258824615437</v>
      </c>
      <c r="J161" s="1">
        <v>-0.003467160448530016</v>
      </c>
      <c r="K161" s="1">
        <v>-0.01379021066575692</v>
      </c>
      <c r="L161" s="1">
        <v>-0.0009109432281166896</v>
      </c>
      <c r="M161" s="1">
        <v>-0.001925803750725819</v>
      </c>
      <c r="N161" s="1">
        <v>0.0001506234934762762</v>
      </c>
      <c r="O161" s="1">
        <v>0.00372884672136542</v>
      </c>
      <c r="P161" s="1">
        <v>0.000867846381050752</v>
      </c>
      <c r="Q161" s="1">
        <v>0.008123121393069477</v>
      </c>
      <c r="R161" s="1">
        <v>-0.0001664857585421675</v>
      </c>
      <c r="S161" s="1">
        <v>0.01227495950388469</v>
      </c>
      <c r="T161" s="1">
        <v>0.0004175954432599216</v>
      </c>
      <c r="U161" s="1">
        <v>-0.002438077929429294</v>
      </c>
      <c r="V161" s="1">
        <v>0.003850300560975128</v>
      </c>
      <c r="W161" s="1">
        <v>0.002670033956300388</v>
      </c>
      <c r="X161" s="1">
        <v>0.002951141192897522</v>
      </c>
      <c r="Y161" s="1">
        <v>0.001906621212853565</v>
      </c>
      <c r="Z161" s="1">
        <v>0.001026490187339135</v>
      </c>
    </row>
    <row r="162" spans="1:26">
      <c r="A162" s="11">
        <v>42605</v>
      </c>
      <c r="B162" s="1">
        <v>0.004515457302403769</v>
      </c>
      <c r="C162" s="1">
        <v>-0.006296581366163512</v>
      </c>
      <c r="D162" s="1">
        <v>0</v>
      </c>
      <c r="E162" s="1">
        <v>0.01012497240956578</v>
      </c>
      <c r="F162" s="1">
        <v>-0.01173944228648638</v>
      </c>
      <c r="G162" s="1">
        <v>-0.003923241431498248</v>
      </c>
      <c r="H162" s="1">
        <v>-0.01402734688940754</v>
      </c>
      <c r="I162" s="1">
        <v>0.001477585077102717</v>
      </c>
      <c r="J162" s="1">
        <v>0.01391783410182446</v>
      </c>
      <c r="K162" s="1">
        <v>0.01759114475467571</v>
      </c>
      <c r="L162" s="1">
        <v>-0.0004559999963809069</v>
      </c>
      <c r="M162" s="1">
        <v>0.01130097899524296</v>
      </c>
      <c r="N162" s="1">
        <v>0.001808595610494512</v>
      </c>
      <c r="O162" s="1">
        <v>-0.002526317466222894</v>
      </c>
      <c r="P162" s="1">
        <v>0.003814840594772662</v>
      </c>
      <c r="Q162" s="1">
        <v>-0.004834537407930384</v>
      </c>
      <c r="R162" s="1">
        <v>0.001836037440021254</v>
      </c>
      <c r="S162" s="1">
        <v>-0.001190331185519922</v>
      </c>
      <c r="T162" s="1">
        <v>0.0112541684404015</v>
      </c>
      <c r="U162" s="1">
        <v>-0.00146689322010618</v>
      </c>
      <c r="V162" s="1">
        <v>0.0093764292612315</v>
      </c>
      <c r="W162" s="1">
        <v>0.003636584412655797</v>
      </c>
      <c r="X162" s="1">
        <v>0.005394711049375278</v>
      </c>
      <c r="Y162" s="1">
        <v>0.001522120824168249</v>
      </c>
      <c r="Z162" s="1">
        <v>0.0006835380598115837</v>
      </c>
    </row>
    <row r="163" spans="1:26">
      <c r="A163" s="11">
        <v>42606</v>
      </c>
      <c r="B163" s="1">
        <v>-0.0121747399878086</v>
      </c>
      <c r="C163" s="1">
        <v>-0.006336664975768347</v>
      </c>
      <c r="D163" s="1">
        <v>-0.01917449906174906</v>
      </c>
      <c r="E163" s="1">
        <v>-0.0212161779504213</v>
      </c>
      <c r="F163" s="1">
        <v>0.0004566176262446042</v>
      </c>
      <c r="G163" s="1">
        <v>-0.003938807743209538</v>
      </c>
      <c r="H163" s="1">
        <v>0.004631859723777332</v>
      </c>
      <c r="I163" s="1">
        <v>-0.007605456012493961</v>
      </c>
      <c r="J163" s="1">
        <v>-0.01166790800910678</v>
      </c>
      <c r="K163" s="1">
        <v>-0.02105482191903907</v>
      </c>
      <c r="L163" s="1">
        <v>0.002736644713666747</v>
      </c>
      <c r="M163" s="1">
        <v>-0.000817511265495896</v>
      </c>
      <c r="N163" s="1">
        <v>-0.004513672092956722</v>
      </c>
      <c r="O163" s="1">
        <v>0.0005961480983451839</v>
      </c>
      <c r="P163" s="1">
        <v>0.001036187299741087</v>
      </c>
      <c r="Q163" s="1">
        <v>0.002429224141728525</v>
      </c>
      <c r="R163" s="1">
        <v>-0.004498508848539196</v>
      </c>
      <c r="S163" s="1">
        <v>-0.01139037167409895</v>
      </c>
      <c r="T163" s="1">
        <v>-0.01483890679564703</v>
      </c>
      <c r="U163" s="1">
        <v>0.0004895999288667685</v>
      </c>
      <c r="V163" s="1">
        <v>0.009570794777905789</v>
      </c>
      <c r="W163" s="1">
        <v>-0.02128781186300732</v>
      </c>
      <c r="X163" s="1">
        <v>0</v>
      </c>
      <c r="Y163" s="1">
        <v>-0.001899976606410059</v>
      </c>
      <c r="Z163" s="1">
        <v>0</v>
      </c>
    </row>
    <row r="164" spans="1:26">
      <c r="A164" s="11">
        <v>42607</v>
      </c>
      <c r="B164" s="1">
        <v>-0.004361191875651094</v>
      </c>
      <c r="C164" s="1">
        <v>-0.002325949019612028</v>
      </c>
      <c r="D164" s="1">
        <v>0.000849662533342288</v>
      </c>
      <c r="E164" s="1">
        <v>0.00290137559204795</v>
      </c>
      <c r="F164" s="1">
        <v>-0.001979005818855906</v>
      </c>
      <c r="G164" s="1">
        <v>-0.002196790698785644</v>
      </c>
      <c r="H164" s="1">
        <v>0.006586538313797741</v>
      </c>
      <c r="I164" s="1">
        <v>-0.001487019209659879</v>
      </c>
      <c r="J164" s="1">
        <v>-0.002083185364278761</v>
      </c>
      <c r="K164" s="1">
        <v>-0.001132145655835304</v>
      </c>
      <c r="L164" s="1">
        <v>0.001819701370380233</v>
      </c>
      <c r="M164" s="1">
        <v>0.0008181801369750996</v>
      </c>
      <c r="N164" s="1">
        <v>-0.00362761125765021</v>
      </c>
      <c r="O164" s="1">
        <v>0.006550273121346928</v>
      </c>
      <c r="P164" s="1">
        <v>0.003796483234225434</v>
      </c>
      <c r="Q164" s="1">
        <v>-0.002826979793839501</v>
      </c>
      <c r="R164" s="1">
        <v>0.003012557917474679</v>
      </c>
      <c r="S164" s="1">
        <v>0.008082898252171233</v>
      </c>
      <c r="T164" s="1">
        <v>-0.001045646550830948</v>
      </c>
      <c r="U164" s="1">
        <v>0.004893479256427913</v>
      </c>
      <c r="V164" s="1">
        <v>-0.01282628440548117</v>
      </c>
      <c r="W164" s="1">
        <v>0.0005950311368116967</v>
      </c>
      <c r="X164" s="1">
        <v>-0.003170503115039081</v>
      </c>
      <c r="Y164" s="1">
        <v>0.004188141765501863</v>
      </c>
      <c r="Z164" s="1">
        <v>0.004781324206939441</v>
      </c>
    </row>
    <row r="165" spans="1:26">
      <c r="A165" s="11">
        <v>42608</v>
      </c>
      <c r="B165" s="1">
        <v>-0.003046652659391302</v>
      </c>
      <c r="C165" s="1">
        <v>-0.005639988898111348</v>
      </c>
      <c r="D165" s="1">
        <v>0.001698829601499696</v>
      </c>
      <c r="E165" s="1">
        <v>0.0001702632166704632</v>
      </c>
      <c r="F165" s="1">
        <v>-0.0007628884412574921</v>
      </c>
      <c r="G165" s="1">
        <v>-0.01717331092104246</v>
      </c>
      <c r="H165" s="1">
        <v>-0.01063297726955192</v>
      </c>
      <c r="I165" s="1">
        <v>-0.00630092750899347</v>
      </c>
      <c r="J165" s="1">
        <v>0.001391971450905194</v>
      </c>
      <c r="K165" s="1">
        <v>-0.009519397604956459</v>
      </c>
      <c r="L165" s="1">
        <v>0.002270232279438122</v>
      </c>
      <c r="M165" s="1">
        <v>-0.01144751162211255</v>
      </c>
      <c r="N165" s="1">
        <v>-0.001365437780412759</v>
      </c>
      <c r="O165" s="1">
        <v>-0.006212024340971345</v>
      </c>
      <c r="P165" s="1">
        <v>-0.00240662520204149</v>
      </c>
      <c r="Q165" s="1">
        <v>-0.02025133947585633</v>
      </c>
      <c r="R165" s="1">
        <v>-0.00133515979994614</v>
      </c>
      <c r="S165" s="1">
        <v>-0.007708096739158288</v>
      </c>
      <c r="T165" s="1">
        <v>-0.002408668581067586</v>
      </c>
      <c r="U165" s="1">
        <v>-0.009495594630810955</v>
      </c>
      <c r="V165" s="1">
        <v>-0.006496104083130394</v>
      </c>
      <c r="W165" s="1">
        <v>0.006673300723672781</v>
      </c>
      <c r="X165" s="1">
        <v>0.001712645701211102</v>
      </c>
      <c r="Y165" s="1">
        <v>-0.01289114160847782</v>
      </c>
      <c r="Z165" s="1">
        <v>0.008497456058464081</v>
      </c>
    </row>
    <row r="166" spans="1:26">
      <c r="A166" s="11">
        <v>42611</v>
      </c>
      <c r="B166" s="1">
        <v>0.009168829157404801</v>
      </c>
      <c r="C166" s="1">
        <v>0.005067079765588067</v>
      </c>
      <c r="D166" s="1">
        <v>0.004874622640590687</v>
      </c>
      <c r="E166" s="1">
        <v>-0.0001702342320425432</v>
      </c>
      <c r="F166" s="1">
        <v>0.002290251447265801</v>
      </c>
      <c r="G166" s="1">
        <v>0.01568114595240311</v>
      </c>
      <c r="H166" s="1">
        <v>0.01058198561206436</v>
      </c>
      <c r="I166" s="1">
        <v>0.002190611799286923</v>
      </c>
      <c r="J166" s="1">
        <v>0.002779509781378753</v>
      </c>
      <c r="K166" s="1">
        <v>0.01327241597754103</v>
      </c>
      <c r="L166" s="1">
        <v>0.01102367773479607</v>
      </c>
      <c r="M166" s="1">
        <v>0.004963297340061734</v>
      </c>
      <c r="N166" s="1">
        <v>0.004101448705238653</v>
      </c>
      <c r="O166" s="1">
        <v>0.01086461155141527</v>
      </c>
      <c r="P166" s="1">
        <v>0.00120610446395597</v>
      </c>
      <c r="Q166" s="1">
        <v>0.002480331303330807</v>
      </c>
      <c r="R166" s="1">
        <v>0.007185040167383416</v>
      </c>
      <c r="S166" s="1">
        <v>0.00776797302671528</v>
      </c>
      <c r="T166" s="1">
        <v>0.003008826962837885</v>
      </c>
      <c r="U166" s="1">
        <v>0.007865771532542531</v>
      </c>
      <c r="V166" s="1">
        <v>0.0099504417924412</v>
      </c>
      <c r="W166" s="1">
        <v>0.007547961391416447</v>
      </c>
      <c r="X166" s="1">
        <v>0.006595056716165226</v>
      </c>
      <c r="Y166" s="1">
        <v>0.00825793412247644</v>
      </c>
      <c r="Z166" s="1">
        <v>0.0114594890657489</v>
      </c>
    </row>
    <row r="167" spans="1:26">
      <c r="A167" s="11">
        <v>42612</v>
      </c>
      <c r="B167" s="1">
        <v>-0.007571286792811605</v>
      </c>
      <c r="C167" s="1">
        <v>-0.01572613917596044</v>
      </c>
      <c r="D167" s="1">
        <v>-0.01096764893135127</v>
      </c>
      <c r="E167" s="1">
        <v>-0.02586788059519918</v>
      </c>
      <c r="F167" s="1">
        <v>-0.001675685360700618</v>
      </c>
      <c r="G167" s="1">
        <v>-0.008822278094227309</v>
      </c>
      <c r="H167" s="1">
        <v>-0.006380973378409927</v>
      </c>
      <c r="I167" s="1">
        <v>-0.01391950772088613</v>
      </c>
      <c r="J167" s="1">
        <v>-0.003464944159878636</v>
      </c>
      <c r="K167" s="1">
        <v>-0.00632348539077987</v>
      </c>
      <c r="L167" s="1">
        <v>0.0082152916986169</v>
      </c>
      <c r="M167" s="1">
        <v>0.02002726472622784</v>
      </c>
      <c r="N167" s="1">
        <v>-0.003328261850775061</v>
      </c>
      <c r="O167" s="1">
        <v>-0.002944532280372281</v>
      </c>
      <c r="P167" s="1">
        <v>-0.003614250350278403</v>
      </c>
      <c r="Q167" s="1">
        <v>-0.016082750642604</v>
      </c>
      <c r="R167" s="1">
        <v>0.003649671603849658</v>
      </c>
      <c r="S167" s="1">
        <v>-0.008726787938165947</v>
      </c>
      <c r="T167" s="1">
        <v>0.0001050582071453476</v>
      </c>
      <c r="U167" s="1">
        <v>-0.002682979339425851</v>
      </c>
      <c r="V167" s="1">
        <v>-0.00928932852939135</v>
      </c>
      <c r="W167" s="1">
        <v>-0.002279729294429322</v>
      </c>
      <c r="X167" s="1">
        <v>0.0007283375191704522</v>
      </c>
      <c r="Y167" s="1">
        <v>-0.004380749169396791</v>
      </c>
      <c r="Z167" s="1">
        <v>0.01066303193862606</v>
      </c>
    </row>
    <row r="168" spans="1:26">
      <c r="A168" s="11">
        <v>42613</v>
      </c>
      <c r="B168" s="1">
        <v>-0.05206944544537329</v>
      </c>
      <c r="C168" s="1">
        <v>-0.01039675014316754</v>
      </c>
      <c r="D168" s="1">
        <v>-0.0006416264278542583</v>
      </c>
      <c r="E168" s="1">
        <v>0.002620618559070698</v>
      </c>
      <c r="F168" s="1">
        <v>-0.00442409120292897</v>
      </c>
      <c r="G168" s="1">
        <v>0</v>
      </c>
      <c r="H168" s="1">
        <v>-0.0001645866326731582</v>
      </c>
      <c r="I168" s="1">
        <v>-0.01364911200296437</v>
      </c>
      <c r="J168" s="1">
        <v>-0.0006954547214066409</v>
      </c>
      <c r="K168" s="1">
        <v>-0.007272549666889838</v>
      </c>
      <c r="L168" s="1">
        <v>0</v>
      </c>
      <c r="M168" s="1">
        <v>-0.008068764756111291</v>
      </c>
      <c r="N168" s="1">
        <v>0.003187607488278399</v>
      </c>
      <c r="O168" s="1">
        <v>-0.001329345074517541</v>
      </c>
      <c r="P168" s="1">
        <v>-0.007427703431811095</v>
      </c>
      <c r="Q168" s="1">
        <v>0.003353251908255972</v>
      </c>
      <c r="R168" s="1">
        <v>-0.0109094035498668</v>
      </c>
      <c r="S168" s="1">
        <v>0.0007593775202856534</v>
      </c>
      <c r="T168" s="1">
        <v>-0.01046404522223865</v>
      </c>
      <c r="U168" s="1">
        <v>-0.0002441573445208789</v>
      </c>
      <c r="V168" s="1">
        <v>-0.002841200301767821</v>
      </c>
      <c r="W168" s="1">
        <v>-0.00633374811447962</v>
      </c>
      <c r="X168" s="1">
        <v>-0.009457370374833518</v>
      </c>
      <c r="Y168" s="1">
        <v>0.001148174866307139</v>
      </c>
      <c r="Z168" s="1">
        <v>0.008572511245330983</v>
      </c>
    </row>
    <row r="169" spans="1:26">
      <c r="A169" s="11">
        <v>42614</v>
      </c>
      <c r="B169" s="1">
        <v>0.001810851766543164</v>
      </c>
      <c r="C169" s="1">
        <v>0.00347622064072306</v>
      </c>
      <c r="D169" s="1">
        <v>-0.01176994196045433</v>
      </c>
      <c r="E169" s="1">
        <v>-0.01097758088780265</v>
      </c>
      <c r="F169" s="1">
        <v>0.009653897022401381</v>
      </c>
      <c r="G169" s="1">
        <v>-0.001334946833128403</v>
      </c>
      <c r="H169" s="1">
        <v>-0.06274693753835681</v>
      </c>
      <c r="I169" s="1">
        <v>-0.01182725446422905</v>
      </c>
      <c r="J169" s="1">
        <v>0.009046827217089382</v>
      </c>
      <c r="K169" s="1">
        <v>0.03044861953200306</v>
      </c>
      <c r="L169" s="1">
        <v>-0.004296396373287603</v>
      </c>
      <c r="M169" s="1">
        <v>-0.007863104354301598</v>
      </c>
      <c r="N169" s="1">
        <v>0.003480167738984186</v>
      </c>
      <c r="O169" s="1">
        <v>0.002366425929128724</v>
      </c>
      <c r="P169" s="1">
        <v>0.002262234368018756</v>
      </c>
      <c r="Q169" s="1">
        <v>-0.004595216309732475</v>
      </c>
      <c r="R169" s="1">
        <v>-0.004846418950586351</v>
      </c>
      <c r="S169" s="1">
        <v>0.009690289419686637</v>
      </c>
      <c r="T169" s="1">
        <v>0.005498737594715752</v>
      </c>
      <c r="U169" s="1">
        <v>0.001956651983865854</v>
      </c>
      <c r="V169" s="1">
        <v>0.005556097307205743</v>
      </c>
      <c r="W169" s="1">
        <v>-0.00814768606335281</v>
      </c>
      <c r="X169" s="1">
        <v>-0.0009790123459127997</v>
      </c>
      <c r="Y169" s="1">
        <v>0.004395040793926386</v>
      </c>
      <c r="Z169" s="1">
        <v>-0.000653902285462582</v>
      </c>
    </row>
    <row r="170" spans="1:26">
      <c r="A170" s="11">
        <v>42615</v>
      </c>
      <c r="B170" s="1">
        <v>0.0301267696221279</v>
      </c>
      <c r="C170" s="1">
        <v>0.009699865468490332</v>
      </c>
      <c r="D170" s="1">
        <v>0.002165713445120065</v>
      </c>
      <c r="E170" s="1">
        <v>-0.007223193571407993</v>
      </c>
      <c r="F170" s="1">
        <v>0.004097618393539948</v>
      </c>
      <c r="G170" s="1">
        <v>0.008467124340707066</v>
      </c>
      <c r="H170" s="1">
        <v>0.01440818013803447</v>
      </c>
      <c r="I170" s="1">
        <v>0.005984352784032643</v>
      </c>
      <c r="J170" s="1">
        <v>-0.0006897923038448051</v>
      </c>
      <c r="K170" s="1">
        <v>0.01288601291434421</v>
      </c>
      <c r="L170" s="1">
        <v>0.004165976187989306</v>
      </c>
      <c r="M170" s="1">
        <v>0.008198749847315723</v>
      </c>
      <c r="N170" s="1">
        <v>0.008443929505417058</v>
      </c>
      <c r="O170" s="1">
        <v>0.007522829586906088</v>
      </c>
      <c r="P170" s="1">
        <v>0.00138912821798165</v>
      </c>
      <c r="Q170" s="1">
        <v>0.01258945295416858</v>
      </c>
      <c r="R170" s="1">
        <v>-0.005709208855635084</v>
      </c>
      <c r="S170" s="1">
        <v>0.003007398928245753</v>
      </c>
      <c r="T170" s="1">
        <v>0.004066886360401645</v>
      </c>
      <c r="U170" s="1">
        <v>-0.0002442354640420641</v>
      </c>
      <c r="V170" s="1">
        <v>0.003258599658079397</v>
      </c>
      <c r="W170" s="1">
        <v>0.001523735051641717</v>
      </c>
      <c r="X170" s="1">
        <v>0.007596131475989365</v>
      </c>
      <c r="Y170" s="1">
        <v>0.006088257641086781</v>
      </c>
      <c r="Z170" s="1">
        <v>0.01308468787502415</v>
      </c>
    </row>
    <row r="171" spans="1:26">
      <c r="A171" s="11">
        <v>42619</v>
      </c>
      <c r="B171" s="1">
        <v>0.007408592586112484</v>
      </c>
      <c r="C171" s="1">
        <v>0.01395233156743303</v>
      </c>
      <c r="D171" s="1">
        <v>-0.007130611923951147</v>
      </c>
      <c r="E171" s="1">
        <v>0.01082499495820688</v>
      </c>
      <c r="F171" s="1">
        <v>0.00272059762482435</v>
      </c>
      <c r="G171" s="1">
        <v>0.007511787180133123</v>
      </c>
      <c r="H171" s="1">
        <v>-0.0005193237495820791</v>
      </c>
      <c r="I171" s="1">
        <v>0.004996859132324172</v>
      </c>
      <c r="J171" s="1">
        <v>0.009661893405507493</v>
      </c>
      <c r="K171" s="1">
        <v>0.02433668307997205</v>
      </c>
      <c r="L171" s="1">
        <v>-0.0007406752361821534</v>
      </c>
      <c r="M171" s="1">
        <v>0.001626391985050324</v>
      </c>
      <c r="N171" s="1">
        <v>0.004784553607391828</v>
      </c>
      <c r="O171" s="1">
        <v>-0.001756943141071443</v>
      </c>
      <c r="P171" s="1">
        <v>-0.001040363666919175</v>
      </c>
      <c r="Q171" s="1">
        <v>0.01201831349639226</v>
      </c>
      <c r="R171" s="1">
        <v>-0.02313811178924141</v>
      </c>
      <c r="S171" s="1">
        <v>-0.01067079158553086</v>
      </c>
      <c r="T171" s="1">
        <v>-0.004538865866628994</v>
      </c>
      <c r="U171" s="1">
        <v>0.006837909871821202</v>
      </c>
      <c r="V171" s="1">
        <v>-0.01002668555772379</v>
      </c>
      <c r="W171" s="1">
        <v>-0.001190380297038995</v>
      </c>
      <c r="X171" s="1">
        <v>-0.009970654132018919</v>
      </c>
      <c r="Y171" s="1">
        <v>0.01191379870153941</v>
      </c>
      <c r="Z171" s="1">
        <v>-0.01872769722098588</v>
      </c>
    </row>
    <row r="172" spans="1:26">
      <c r="A172" s="11">
        <v>42620</v>
      </c>
      <c r="B172" s="1">
        <v>0.06696338285014347</v>
      </c>
      <c r="C172" s="1">
        <v>-0.002631605528778391</v>
      </c>
      <c r="D172" s="1">
        <v>-0.001088131485862509</v>
      </c>
      <c r="E172" s="1">
        <v>-0.006846543793703974</v>
      </c>
      <c r="F172" s="1">
        <v>0.0001507519129733126</v>
      </c>
      <c r="G172" s="1">
        <v>0.02149128627854902</v>
      </c>
      <c r="H172" s="1">
        <v>-0.01022511092495459</v>
      </c>
      <c r="I172" s="1">
        <v>-0.005327067789829276</v>
      </c>
      <c r="J172" s="1">
        <v>0.004100961958029892</v>
      </c>
      <c r="K172" s="1">
        <v>-0.03435606302087402</v>
      </c>
      <c r="L172" s="1">
        <v>-0.004151767944140738</v>
      </c>
      <c r="M172" s="1">
        <v>0.04681998847690649</v>
      </c>
      <c r="N172" s="1">
        <v>-0.007142598983889581</v>
      </c>
      <c r="O172" s="1">
        <v>-0.001466285331210404</v>
      </c>
      <c r="P172" s="1">
        <v>0.0008679223390339885</v>
      </c>
      <c r="Q172" s="1">
        <v>-0.001638123332070363</v>
      </c>
      <c r="R172" s="1">
        <v>-0.006051179943150742</v>
      </c>
      <c r="S172" s="1">
        <v>0.00695267545505196</v>
      </c>
      <c r="T172" s="1">
        <v>0.00476932448451417</v>
      </c>
      <c r="U172" s="1">
        <v>0.0009701133837318743</v>
      </c>
      <c r="V172" s="1">
        <v>0.002853395300163042</v>
      </c>
      <c r="W172" s="1">
        <v>-0.003311708975027861</v>
      </c>
      <c r="X172" s="1">
        <v>0.002949036473604894</v>
      </c>
      <c r="Y172" s="1">
        <v>0.003737277208060608</v>
      </c>
      <c r="Z172" s="1">
        <v>0.006252116573608024</v>
      </c>
    </row>
    <row r="173" spans="1:26">
      <c r="A173" s="11">
        <v>42621</v>
      </c>
      <c r="B173" s="1">
        <v>0.07110487373189089</v>
      </c>
      <c r="C173" s="1">
        <v>0.001960063296172265</v>
      </c>
      <c r="D173" s="1">
        <v>0.003703812831743036</v>
      </c>
      <c r="E173" s="1">
        <v>0.004242183561655066</v>
      </c>
      <c r="F173" s="1">
        <v>-0.002863536285068191</v>
      </c>
      <c r="G173" s="1">
        <v>0.01502804457460805</v>
      </c>
      <c r="H173" s="1">
        <v>-0.01663470156157265</v>
      </c>
      <c r="I173" s="1">
        <v>-0.005237073998549002</v>
      </c>
      <c r="J173" s="1">
        <v>-0.004084212756885419</v>
      </c>
      <c r="K173" s="1">
        <v>0.01355343350156213</v>
      </c>
      <c r="L173" s="1">
        <v>0.00133978080840258</v>
      </c>
      <c r="M173" s="1">
        <v>0.002068132605201889</v>
      </c>
      <c r="N173" s="1">
        <v>-0.004796256423506451</v>
      </c>
      <c r="O173" s="1">
        <v>-0.002056734650003778</v>
      </c>
      <c r="P173" s="1">
        <v>-0.003989248854012084</v>
      </c>
      <c r="Q173" s="1">
        <v>0.0004102565646695311</v>
      </c>
      <c r="R173" s="1">
        <v>-0.0001738086513970449</v>
      </c>
      <c r="S173" s="1">
        <v>-0.01296847911227683</v>
      </c>
      <c r="T173" s="1">
        <v>-0.01095999792020097</v>
      </c>
      <c r="U173" s="1">
        <v>-0.001938407812387632</v>
      </c>
      <c r="V173" s="1">
        <v>-0.01194872582699869</v>
      </c>
      <c r="W173" s="1">
        <v>0.0009972836757337067</v>
      </c>
      <c r="X173" s="1">
        <v>0.0002451330481403335</v>
      </c>
      <c r="Y173" s="1">
        <v>-0.002047578434095754</v>
      </c>
      <c r="Z173" s="1">
        <v>0.00359705582828429</v>
      </c>
    </row>
    <row r="174" spans="1:26">
      <c r="A174" s="11">
        <v>42622</v>
      </c>
      <c r="B174" s="1">
        <v>0.005927015343936137</v>
      </c>
      <c r="C174" s="1">
        <v>-0.03288184228563018</v>
      </c>
      <c r="D174" s="1">
        <v>-0.02127217017890648</v>
      </c>
      <c r="E174" s="1">
        <v>-0.02024299936601304</v>
      </c>
      <c r="F174" s="1">
        <v>-0.01587049865917511</v>
      </c>
      <c r="G174" s="1">
        <v>-0.04357028025683951</v>
      </c>
      <c r="H174" s="1">
        <v>-0.02154562313358221</v>
      </c>
      <c r="I174" s="1">
        <v>-0.01615169937600158</v>
      </c>
      <c r="J174" s="1">
        <v>-0.03827755349688111</v>
      </c>
      <c r="K174" s="1">
        <v>-0.04513153109252221</v>
      </c>
      <c r="L174" s="1">
        <v>-0.00892181477734455</v>
      </c>
      <c r="M174" s="1">
        <v>-0.03663551243604946</v>
      </c>
      <c r="N174" s="1">
        <v>-0.04277075256479479</v>
      </c>
      <c r="O174" s="1">
        <v>-0.02870158868464356</v>
      </c>
      <c r="P174" s="1">
        <v>-0.02124296899182709</v>
      </c>
      <c r="Q174" s="1">
        <v>-0.04182040947775922</v>
      </c>
      <c r="R174" s="1">
        <v>-0.02383436644275139</v>
      </c>
      <c r="S174" s="1">
        <v>-0.01982045832087331</v>
      </c>
      <c r="T174" s="1">
        <v>-0.03162181479872683</v>
      </c>
      <c r="U174" s="1">
        <v>-0.03593108480425955</v>
      </c>
      <c r="V174" s="1">
        <v>-0.006622727209703139</v>
      </c>
      <c r="W174" s="1">
        <v>-0.04626636846107701</v>
      </c>
      <c r="X174" s="1">
        <v>-0.02425284939943861</v>
      </c>
      <c r="Y174" s="1">
        <v>-0.03320901537311083</v>
      </c>
      <c r="Z174" s="1">
        <v>-0.003910132154205659</v>
      </c>
    </row>
    <row r="175" spans="1:26">
      <c r="A175" s="11">
        <v>42625</v>
      </c>
      <c r="B175" s="1">
        <v>0.008417216294670515</v>
      </c>
      <c r="C175" s="1">
        <v>0.01237063200040711</v>
      </c>
      <c r="D175" s="1">
        <v>0.01419381293410948</v>
      </c>
      <c r="E175" s="1">
        <v>0.01185782390833556</v>
      </c>
      <c r="F175" s="1">
        <v>0.009983010764390787</v>
      </c>
      <c r="G175" s="1">
        <v>0.01503778779274079</v>
      </c>
      <c r="H175" s="1">
        <v>0.0189264786704777</v>
      </c>
      <c r="I175" s="1">
        <v>0.01045809195613168</v>
      </c>
      <c r="J175" s="1">
        <v>0.03900758492287615</v>
      </c>
      <c r="K175" s="1">
        <v>0.008752947158470192</v>
      </c>
      <c r="L175" s="1">
        <v>0.006151407195525982</v>
      </c>
      <c r="M175" s="1">
        <v>0.01285456476750158</v>
      </c>
      <c r="N175" s="1">
        <v>0.01746351260895418</v>
      </c>
      <c r="O175" s="1">
        <v>0.01833602620399954</v>
      </c>
      <c r="P175" s="1">
        <v>0.01494409330266033</v>
      </c>
      <c r="Q175" s="1">
        <v>0.01412053906381816</v>
      </c>
      <c r="R175" s="1">
        <v>0.01889140905171693</v>
      </c>
      <c r="S175" s="1">
        <v>0.01024100185632304</v>
      </c>
      <c r="T175" s="1">
        <v>0.01807666063651303</v>
      </c>
      <c r="U175" s="1">
        <v>0.02518264295494022</v>
      </c>
      <c r="V175" s="1">
        <v>0.004347653764999571</v>
      </c>
      <c r="W175" s="1">
        <v>0.01893058246911328</v>
      </c>
      <c r="X175" s="1">
        <v>0.01481287813566112</v>
      </c>
      <c r="Y175" s="1">
        <v>0.01447290742560114</v>
      </c>
      <c r="Z175" s="1">
        <v>0.01210360899135221</v>
      </c>
    </row>
    <row r="176" spans="1:26">
      <c r="A176" s="11">
        <v>42626</v>
      </c>
      <c r="B176" s="1">
        <v>-0.03989940447277041</v>
      </c>
      <c r="C176" s="1">
        <v>-0.01045200910246857</v>
      </c>
      <c r="D176" s="1">
        <v>-0.007654148712232467</v>
      </c>
      <c r="E176" s="1">
        <v>-0.01278402025695546</v>
      </c>
      <c r="F176" s="1">
        <v>-0.0150546252896796</v>
      </c>
      <c r="G176" s="1">
        <v>-0.0222222776468497</v>
      </c>
      <c r="H176" s="1">
        <v>-0.009823020925975645</v>
      </c>
      <c r="I176" s="1">
        <v>-0.02407015006343549</v>
      </c>
      <c r="J176" s="1">
        <v>-0.02139411462220753</v>
      </c>
      <c r="K176" s="1">
        <v>-0.02711492590878717</v>
      </c>
      <c r="L176" s="1">
        <v>-0.007903010166064872</v>
      </c>
      <c r="M176" s="1">
        <v>-0.01797972391355807</v>
      </c>
      <c r="N176" s="1">
        <v>-0.007961439148599925</v>
      </c>
      <c r="O176" s="1">
        <v>-0.01592260717795912</v>
      </c>
      <c r="P176" s="1">
        <v>-0.009114948960578073</v>
      </c>
      <c r="Q176" s="1">
        <v>-0.01983098539198014</v>
      </c>
      <c r="R176" s="1">
        <v>-0.01416815360304302</v>
      </c>
      <c r="S176" s="1">
        <v>-0.01940654429975175</v>
      </c>
      <c r="T176" s="1">
        <v>-0.02004674011781715</v>
      </c>
      <c r="U176" s="1">
        <v>-0.01817767992397157</v>
      </c>
      <c r="V176" s="1">
        <v>-0.005194629921820404</v>
      </c>
      <c r="W176" s="1">
        <v>-0.007521234102328966</v>
      </c>
      <c r="X176" s="1">
        <v>-0.01583386401691789</v>
      </c>
      <c r="Y176" s="1">
        <v>-0.02130500793425272</v>
      </c>
      <c r="Z176" s="1">
        <v>-0.02230129984714413</v>
      </c>
    </row>
    <row r="177" spans="1:26">
      <c r="A177" s="11">
        <v>42627</v>
      </c>
      <c r="B177" s="1">
        <v>-0.01321523117479506</v>
      </c>
      <c r="C177" s="1">
        <v>-0.00846542058169264</v>
      </c>
      <c r="D177" s="1">
        <v>0.001102289937741752</v>
      </c>
      <c r="E177" s="1">
        <v>-0.006654625311160678</v>
      </c>
      <c r="F177" s="1">
        <v>0.006175671199579291</v>
      </c>
      <c r="G177" s="1">
        <v>-0.0004458089896890449</v>
      </c>
      <c r="H177" s="1">
        <v>0.0009016538868835688</v>
      </c>
      <c r="I177" s="1">
        <v>-0.006412723450625379</v>
      </c>
      <c r="J177" s="1">
        <v>0.006346681041761171</v>
      </c>
      <c r="K177" s="1">
        <v>-0.007135290410607564</v>
      </c>
      <c r="L177" s="1">
        <v>-0.001954094695257425</v>
      </c>
      <c r="M177" s="1">
        <v>-0.008077222291273167</v>
      </c>
      <c r="N177" s="1">
        <v>-0.006765880633929577</v>
      </c>
      <c r="O177" s="1">
        <v>-0.00453665998377395</v>
      </c>
      <c r="P177" s="1">
        <v>-0.004776351743032814</v>
      </c>
      <c r="Q177" s="1">
        <v>0.008178839256713033</v>
      </c>
      <c r="R177" s="1">
        <v>0.006742180153590738</v>
      </c>
      <c r="S177" s="1">
        <v>0.00162968375949446</v>
      </c>
      <c r="T177" s="1">
        <v>0.00679451568899192</v>
      </c>
      <c r="U177" s="1">
        <v>-0.002001453860551838</v>
      </c>
      <c r="V177" s="1">
        <v>-0.01073426326063032</v>
      </c>
      <c r="W177" s="1">
        <v>0.01860157637948334</v>
      </c>
      <c r="X177" s="1">
        <v>-0.02036182826469934</v>
      </c>
      <c r="Y177" s="1">
        <v>0.0007777765925944813</v>
      </c>
      <c r="Z177" s="1">
        <v>-0.006942134990305937</v>
      </c>
    </row>
    <row r="178" spans="1:26">
      <c r="A178" s="11">
        <v>42628</v>
      </c>
      <c r="B178" s="1">
        <v>0.03436121079463805</v>
      </c>
      <c r="C178" s="1">
        <v>0.0007832927170730031</v>
      </c>
      <c r="D178" s="1">
        <v>0.03609922103067364</v>
      </c>
      <c r="E178" s="1">
        <v>0.01339831277638326</v>
      </c>
      <c r="F178" s="1">
        <v>0.01641842174175689</v>
      </c>
      <c r="G178" s="1">
        <v>0.009808228235369087</v>
      </c>
      <c r="H178" s="1">
        <v>0.005226009168662671</v>
      </c>
      <c r="I178" s="1">
        <v>0.01290789062068809</v>
      </c>
      <c r="J178" s="1">
        <v>0.01611813263410178</v>
      </c>
      <c r="K178" s="1">
        <v>-0.005614687836055565</v>
      </c>
      <c r="L178" s="1">
        <v>0.003614364121838021</v>
      </c>
      <c r="M178" s="1">
        <v>0.004071497536295654</v>
      </c>
      <c r="N178" s="1">
        <v>0.002059498383458758</v>
      </c>
      <c r="O178" s="1">
        <v>0.008658833115213316</v>
      </c>
      <c r="P178" s="1">
        <v>0.01653062320015741</v>
      </c>
      <c r="Q178" s="1">
        <v>0.009820781484701335</v>
      </c>
      <c r="R178" s="1">
        <v>0.003348694823654297</v>
      </c>
      <c r="S178" s="1">
        <v>-0.001394705172317323</v>
      </c>
      <c r="T178" s="1">
        <v>0.004099878010908942</v>
      </c>
      <c r="U178" s="1">
        <v>0.01403890985066858</v>
      </c>
      <c r="V178" s="1">
        <v>0.014809662388511</v>
      </c>
      <c r="W178" s="1">
        <v>0.0145419571736809</v>
      </c>
      <c r="X178" s="1">
        <v>0.01052072975070728</v>
      </c>
      <c r="Y178" s="1">
        <v>0.009516329940717938</v>
      </c>
      <c r="Z178" s="1">
        <v>0.01031952907811462</v>
      </c>
    </row>
    <row r="179" spans="1:26">
      <c r="A179" s="11">
        <v>42629</v>
      </c>
      <c r="B179" s="1">
        <v>-0.002384925760542389</v>
      </c>
      <c r="C179" s="1">
        <v>-0.008374347758846157</v>
      </c>
      <c r="D179" s="1">
        <v>0.004461712744977309</v>
      </c>
      <c r="E179" s="1">
        <v>-0.006610536720693116</v>
      </c>
      <c r="F179" s="1">
        <v>-0.004830865501504578</v>
      </c>
      <c r="G179" s="1">
        <v>0.01766013848057324</v>
      </c>
      <c r="H179" s="1">
        <v>-0.00717074251247285</v>
      </c>
      <c r="I179" s="1">
        <v>0.004166231781986385</v>
      </c>
      <c r="J179" s="1">
        <v>0.00206877953090423</v>
      </c>
      <c r="K179" s="1">
        <v>0.00609824116459956</v>
      </c>
      <c r="L179" s="1">
        <v>-0.01230488327092738</v>
      </c>
      <c r="M179" s="1">
        <v>-0.01081357283229478</v>
      </c>
      <c r="N179" s="1">
        <v>-0.007114865389014624</v>
      </c>
      <c r="O179" s="1">
        <v>-0.007379644653472295</v>
      </c>
      <c r="P179" s="1">
        <v>0.001049020309679127</v>
      </c>
      <c r="Q179" s="1">
        <v>0.01987324155695691</v>
      </c>
      <c r="R179" s="1">
        <v>-0.006323639482183396</v>
      </c>
      <c r="S179" s="1">
        <v>0.0007451438113739162</v>
      </c>
      <c r="T179" s="1">
        <v>-0.009973099264493301</v>
      </c>
      <c r="U179" s="1">
        <v>-0.006180611638755606</v>
      </c>
      <c r="V179" s="1">
        <v>0.0002890980779926</v>
      </c>
      <c r="W179" s="1">
        <v>0.0003329847911133221</v>
      </c>
      <c r="X179" s="1">
        <v>-0.01193471665035595</v>
      </c>
      <c r="Y179" s="1">
        <v>-0.001923798064550564</v>
      </c>
      <c r="Z179" s="1">
        <v>-0.01482713294624316</v>
      </c>
    </row>
    <row r="180" spans="1:26">
      <c r="A180" s="11">
        <v>42632</v>
      </c>
      <c r="B180" s="1">
        <v>-0.01212435731152184</v>
      </c>
      <c r="C180" s="1">
        <v>0.00615632669147792</v>
      </c>
      <c r="D180" s="1">
        <v>-0.0006344756749666614</v>
      </c>
      <c r="E180" s="1">
        <v>-0.009352542315728352</v>
      </c>
      <c r="F180" s="1">
        <v>-0.001061986769141154</v>
      </c>
      <c r="G180" s="1">
        <v>0.01084598747451948</v>
      </c>
      <c r="H180" s="1">
        <v>-0.001264099456498635</v>
      </c>
      <c r="I180" s="1">
        <v>0.001952573769326671</v>
      </c>
      <c r="J180" s="1">
        <v>0.002064600683499895</v>
      </c>
      <c r="K180" s="1">
        <v>-0.007856411751826831</v>
      </c>
      <c r="L180" s="1">
        <v>0.005621161441381695</v>
      </c>
      <c r="M180" s="1">
        <v>0.00300612566554137</v>
      </c>
      <c r="N180" s="1">
        <v>-0.001273586379242353</v>
      </c>
      <c r="O180" s="1">
        <v>0.005462095046642856</v>
      </c>
      <c r="P180" s="1">
        <v>-0.005589512415444031</v>
      </c>
      <c r="Q180" s="1">
        <v>0.01285221748822885</v>
      </c>
      <c r="R180" s="1">
        <v>0.001944658822955248</v>
      </c>
      <c r="S180" s="1">
        <v>0.00516369434659314</v>
      </c>
      <c r="T180" s="1">
        <v>-0.001642330404878378</v>
      </c>
      <c r="U180" s="1">
        <v>-0.003482677628642072</v>
      </c>
      <c r="V180" s="1">
        <v>-0.004911312712897131</v>
      </c>
      <c r="W180" s="1">
        <v>-0.0003328739491508248</v>
      </c>
      <c r="X180" s="1">
        <v>0.004626066113226246</v>
      </c>
      <c r="Y180" s="1">
        <v>-0.01310687843041103</v>
      </c>
      <c r="Z180" s="1">
        <v>0</v>
      </c>
    </row>
    <row r="181" spans="1:26">
      <c r="A181" s="11">
        <v>42633</v>
      </c>
      <c r="B181" s="1">
        <v>-0.006223029435669991</v>
      </c>
      <c r="C181" s="1">
        <v>0.002431761082872352</v>
      </c>
      <c r="D181" s="1">
        <v>0.002962923209172796</v>
      </c>
      <c r="E181" s="1">
        <v>0.008714681082583109</v>
      </c>
      <c r="F181" s="1">
        <v>0.005770879223535808</v>
      </c>
      <c r="G181" s="1">
        <v>0.00729611979844802</v>
      </c>
      <c r="H181" s="1">
        <v>-0.005243016473146511</v>
      </c>
      <c r="I181" s="1">
        <v>0.004384293604597689</v>
      </c>
      <c r="J181" s="1">
        <v>-0.001373564593268428</v>
      </c>
      <c r="K181" s="1">
        <v>-0.005882700210729563</v>
      </c>
      <c r="L181" s="1">
        <v>0.004079445566568252</v>
      </c>
      <c r="M181" s="1">
        <v>0.003269623832060864</v>
      </c>
      <c r="N181" s="1">
        <v>0.003985720934071013</v>
      </c>
      <c r="O181" s="1">
        <v>0.007997594333275737</v>
      </c>
      <c r="P181" s="1">
        <v>-0.002107698082191689</v>
      </c>
      <c r="Q181" s="1">
        <v>0.00695869235565505</v>
      </c>
      <c r="R181" s="1">
        <v>0.01058508732385333</v>
      </c>
      <c r="S181" s="1">
        <v>0.003563400874462719</v>
      </c>
      <c r="T181" s="1">
        <v>0.005995753703041284</v>
      </c>
      <c r="U181" s="1">
        <v>-0.002496212214508908</v>
      </c>
      <c r="V181" s="1">
        <v>-0.003919495295080511</v>
      </c>
      <c r="W181" s="1">
        <v>0.01080002997072405</v>
      </c>
      <c r="X181" s="1">
        <v>-0.004604764169741205</v>
      </c>
      <c r="Y181" s="1">
        <v>0.001367211998952067</v>
      </c>
      <c r="Z181" s="1">
        <v>-0.001003318314632962</v>
      </c>
    </row>
    <row r="182" spans="1:26">
      <c r="A182" s="11">
        <v>42634</v>
      </c>
      <c r="B182" s="1">
        <v>0.05914072170312523</v>
      </c>
      <c r="C182" s="1">
        <v>0.02167624628536835</v>
      </c>
      <c r="D182" s="1">
        <v>0.01118367796775166</v>
      </c>
      <c r="E182" s="1">
        <v>0.006659514534473887</v>
      </c>
      <c r="F182" s="1">
        <v>0.01404193525909325</v>
      </c>
      <c r="G182" s="1">
        <v>0.02343435010814643</v>
      </c>
      <c r="H182" s="1">
        <v>0.0123587737596782</v>
      </c>
      <c r="I182" s="1">
        <v>0.007033286927902616</v>
      </c>
      <c r="J182" s="1">
        <v>0.03094918566481231</v>
      </c>
      <c r="K182" s="1">
        <v>0.01388299341932409</v>
      </c>
      <c r="L182" s="1">
        <v>0.005717595397079611</v>
      </c>
      <c r="M182" s="1">
        <v>0.0024443434535939</v>
      </c>
      <c r="N182" s="1">
        <v>0.008416832242294836</v>
      </c>
      <c r="O182" s="1">
        <v>0.0124246858144772</v>
      </c>
      <c r="P182" s="1">
        <v>0.01672221353849412</v>
      </c>
      <c r="Q182" s="1">
        <v>0.03170701138189469</v>
      </c>
      <c r="R182" s="1">
        <v>0.00872954214178745</v>
      </c>
      <c r="S182" s="1">
        <v>0.003182260367140088</v>
      </c>
      <c r="T182" s="1">
        <v>0.01166531665983772</v>
      </c>
      <c r="U182" s="1">
        <v>0.01526548159987517</v>
      </c>
      <c r="V182" s="1">
        <v>0.01238702158485916</v>
      </c>
      <c r="W182" s="1">
        <v>0.02506264237078915</v>
      </c>
      <c r="X182" s="1">
        <v>0.00950883786654555</v>
      </c>
      <c r="Y182" s="1">
        <v>0.0117027593176422</v>
      </c>
      <c r="Z182" s="1">
        <v>0.004017303893103286</v>
      </c>
    </row>
    <row r="183" spans="1:26">
      <c r="A183" s="11">
        <v>42635</v>
      </c>
      <c r="B183" s="1">
        <v>0.001806514083909638</v>
      </c>
      <c r="C183" s="1">
        <v>0.01003342633598958</v>
      </c>
      <c r="D183" s="1">
        <v>0.005842994292733827</v>
      </c>
      <c r="E183" s="1">
        <v>0.008760920275458828</v>
      </c>
      <c r="F183" s="1">
        <v>0.002084285977559164</v>
      </c>
      <c r="G183" s="1">
        <v>0.003746734199591817</v>
      </c>
      <c r="H183" s="1">
        <v>-0.005565403443462791</v>
      </c>
      <c r="I183" s="1">
        <v>0.01336502142824814</v>
      </c>
      <c r="J183" s="1">
        <v>0.008672325050399721</v>
      </c>
      <c r="K183" s="1">
        <v>0.009203090429040328</v>
      </c>
      <c r="L183" s="1">
        <v>0.008228736671742398</v>
      </c>
      <c r="M183" s="1">
        <v>0.01137892664575357</v>
      </c>
      <c r="N183" s="1">
        <v>0.009763533074587549</v>
      </c>
      <c r="O183" s="1">
        <v>0.008576278984637309</v>
      </c>
      <c r="P183" s="1">
        <v>0.001038817038265361</v>
      </c>
      <c r="Q183" s="1">
        <v>-0.004333773600849078</v>
      </c>
      <c r="R183" s="1">
        <v>0.01159576254879657</v>
      </c>
      <c r="S183" s="1">
        <v>0.01962931019826186</v>
      </c>
      <c r="T183" s="1">
        <v>0.004454459752170736</v>
      </c>
      <c r="U183" s="1">
        <v>0.01330999295449664</v>
      </c>
      <c r="V183" s="1">
        <v>-0.01309891609544078</v>
      </c>
      <c r="W183" s="1">
        <v>0.01441237609432799</v>
      </c>
      <c r="X183" s="1">
        <v>0.01120164696527759</v>
      </c>
      <c r="Y183" s="1">
        <v>0.009253583674384558</v>
      </c>
      <c r="Z183" s="1">
        <v>0.009670260983053014</v>
      </c>
    </row>
    <row r="184" spans="1:26">
      <c r="A184" s="11">
        <v>42636</v>
      </c>
      <c r="B184" s="1">
        <v>-0.01606550052102318</v>
      </c>
      <c r="C184" s="1">
        <v>-0.0006823220732479207</v>
      </c>
      <c r="D184" s="1">
        <v>-0.01472993141335022</v>
      </c>
      <c r="E184" s="1">
        <v>0.00106365716562129</v>
      </c>
      <c r="F184" s="1">
        <v>-0.00222855230248431</v>
      </c>
      <c r="G184" s="1">
        <v>0.003318034711648155</v>
      </c>
      <c r="H184" s="1">
        <v>-0.009026464204115792</v>
      </c>
      <c r="I184" s="1">
        <v>-0.009743683844138484</v>
      </c>
      <c r="J184" s="1">
        <v>-0.001984037712039033</v>
      </c>
      <c r="K184" s="1">
        <v>-0.0126778171980515</v>
      </c>
      <c r="L184" s="1">
        <v>-0.002077718586515287</v>
      </c>
      <c r="M184" s="1">
        <v>-0.0024107178386642</v>
      </c>
      <c r="N184" s="1">
        <v>-0.003898993796597972</v>
      </c>
      <c r="O184" s="1">
        <v>-0.01260805086001493</v>
      </c>
      <c r="P184" s="1">
        <v>-0.006745340762079555</v>
      </c>
      <c r="Q184" s="1">
        <v>-0.006331259191629468</v>
      </c>
      <c r="R184" s="1">
        <v>-0.008896705221047574</v>
      </c>
      <c r="S184" s="1">
        <v>0.001442739593377373</v>
      </c>
      <c r="T184" s="1">
        <v>0.01208755009872897</v>
      </c>
      <c r="U184" s="1">
        <v>0.0041352493449478</v>
      </c>
      <c r="V184" s="1">
        <v>0.003062994318643097</v>
      </c>
      <c r="W184" s="1">
        <v>0</v>
      </c>
      <c r="X184" s="1">
        <v>-0.006797788302872032</v>
      </c>
      <c r="Y184" s="1">
        <v>0.004011471938635047</v>
      </c>
      <c r="Z184" s="1">
        <v>0.01089824751895851</v>
      </c>
    </row>
    <row r="185" spans="1:26">
      <c r="A185" s="11">
        <v>42639</v>
      </c>
      <c r="B185" s="1">
        <v>-0.001332924682337144</v>
      </c>
      <c r="C185" s="1">
        <v>-0.009181928035622011</v>
      </c>
      <c r="D185" s="1">
        <v>-0.006107048145463811</v>
      </c>
      <c r="E185" s="1">
        <v>-0.01770558033900893</v>
      </c>
      <c r="F185" s="1">
        <v>-0.01995527278646292</v>
      </c>
      <c r="G185" s="1">
        <v>0.002894042050784806</v>
      </c>
      <c r="H185" s="1">
        <v>-0.005648027705245418</v>
      </c>
      <c r="I185" s="1">
        <v>0.002879904493456209</v>
      </c>
      <c r="J185" s="1">
        <v>-0.004638713279330631</v>
      </c>
      <c r="K185" s="1">
        <v>-0.002252514341944734</v>
      </c>
      <c r="L185" s="1">
        <v>-0.02185870071512319</v>
      </c>
      <c r="M185" s="1">
        <v>-0.009935657791474095</v>
      </c>
      <c r="N185" s="1">
        <v>-0.01315133271361479</v>
      </c>
      <c r="O185" s="1">
        <v>-0.005048008520339597</v>
      </c>
      <c r="P185" s="1">
        <v>-0.009228410950636756</v>
      </c>
      <c r="Q185" s="1">
        <v>-0.0003987470217962086</v>
      </c>
      <c r="R185" s="1">
        <v>-0.01277400994986488</v>
      </c>
      <c r="S185" s="1">
        <v>0.00823891232091567</v>
      </c>
      <c r="T185" s="1">
        <v>-0.009505085151881087</v>
      </c>
      <c r="U185" s="1">
        <v>-0.003391377275959617</v>
      </c>
      <c r="V185" s="1">
        <v>-0.02253897876358357</v>
      </c>
      <c r="W185" s="1">
        <v>-0.009514253459011246</v>
      </c>
      <c r="X185" s="1">
        <v>-0.006336558884709187</v>
      </c>
      <c r="Y185" s="1">
        <v>-0.00780051989378383</v>
      </c>
      <c r="Z185" s="1">
        <v>-0.01927509855554432</v>
      </c>
    </row>
    <row r="186" spans="1:26">
      <c r="A186" s="11">
        <v>42640</v>
      </c>
      <c r="B186" s="1">
        <v>-0.00583917497070563</v>
      </c>
      <c r="C186" s="1">
        <v>0.005744279202541502</v>
      </c>
      <c r="D186" s="1">
        <v>0.002754652422828352</v>
      </c>
      <c r="E186" s="1">
        <v>0.004686187672794828</v>
      </c>
      <c r="F186" s="1">
        <v>0.005470453812576492</v>
      </c>
      <c r="G186" s="1">
        <v>-0.01566404455291148</v>
      </c>
      <c r="H186" s="1">
        <v>0.0005495971447899706</v>
      </c>
      <c r="I186" s="1">
        <v>-0.006340611708989141</v>
      </c>
      <c r="J186" s="1">
        <v>0.02130494445361286</v>
      </c>
      <c r="K186" s="1">
        <v>0.0155788246752977</v>
      </c>
      <c r="L186" s="1">
        <v>0.008817401333210517</v>
      </c>
      <c r="M186" s="1">
        <v>0.04529406886975296</v>
      </c>
      <c r="N186" s="1">
        <v>0.004600858377367123</v>
      </c>
      <c r="O186" s="1">
        <v>0.005819970099907756</v>
      </c>
      <c r="P186" s="1">
        <v>0.01845327195027457</v>
      </c>
      <c r="Q186" s="1">
        <v>-0.01633425885672823</v>
      </c>
      <c r="R186" s="1">
        <v>0.003322489699793429</v>
      </c>
      <c r="S186" s="1">
        <v>-0.004509709857221211</v>
      </c>
      <c r="T186" s="1">
        <v>0.00738467242101648</v>
      </c>
      <c r="U186" s="1">
        <v>0.007778318148558228</v>
      </c>
      <c r="V186" s="1">
        <v>0.01591815660356066</v>
      </c>
      <c r="W186" s="1">
        <v>0.017418139278772</v>
      </c>
      <c r="X186" s="1">
        <v>0.009948498317922105</v>
      </c>
      <c r="Y186" s="1">
        <v>0.006519227006030137</v>
      </c>
      <c r="Z186" s="1">
        <v>0.01299176480474329</v>
      </c>
    </row>
    <row r="187" spans="1:26">
      <c r="A187" s="11">
        <v>42641</v>
      </c>
      <c r="B187" s="1">
        <v>0.06897117986593226</v>
      </c>
      <c r="C187" s="1">
        <v>0.006929273133853497</v>
      </c>
      <c r="D187" s="1">
        <v>0.01246546522186986</v>
      </c>
      <c r="E187" s="1">
        <v>-0.0116615128180062</v>
      </c>
      <c r="F187" s="1">
        <v>0.007707139857273226</v>
      </c>
      <c r="G187" s="1">
        <v>0.01005008809979446</v>
      </c>
      <c r="H187" s="1">
        <v>0.005859819449213211</v>
      </c>
      <c r="I187" s="1">
        <v>0.01989045629563879</v>
      </c>
      <c r="J187" s="1">
        <v>0.009778526142882438</v>
      </c>
      <c r="K187" s="1">
        <v>0.02734562755702563</v>
      </c>
      <c r="L187" s="1">
        <v>0.005274209476008318</v>
      </c>
      <c r="M187" s="1">
        <v>-0.01219493611941558</v>
      </c>
      <c r="N187" s="1">
        <v>0.007106760945644108</v>
      </c>
      <c r="O187" s="1">
        <v>-0.002521895483576952</v>
      </c>
      <c r="P187" s="1">
        <v>0.00138072131995326</v>
      </c>
      <c r="Q187" s="1">
        <v>-0.001620421473111811</v>
      </c>
      <c r="R187" s="1">
        <v>0.01969327838318469</v>
      </c>
      <c r="S187" s="1">
        <v>0.0129630044924558</v>
      </c>
      <c r="T187" s="1">
        <v>-0.001628998753229416</v>
      </c>
      <c r="U187" s="1">
        <v>-0.01471287925251485</v>
      </c>
      <c r="V187" s="1">
        <v>-0.006882425970876849</v>
      </c>
      <c r="W187" s="1">
        <v>-0.001510615059419296</v>
      </c>
      <c r="X187" s="1">
        <v>0.01490316850870488</v>
      </c>
      <c r="Y187" s="1">
        <v>-0.008191486005039383</v>
      </c>
      <c r="Z187" s="1">
        <v>0.01446873809524019</v>
      </c>
    </row>
    <row r="188" spans="1:26">
      <c r="A188" s="11">
        <v>42642</v>
      </c>
      <c r="B188" s="1">
        <v>0.0006282306979903396</v>
      </c>
      <c r="C188" s="1">
        <v>-0.009074865065688886</v>
      </c>
      <c r="D188" s="1">
        <v>-0.0208677837098753</v>
      </c>
      <c r="E188" s="1">
        <v>-0.0221453694878635</v>
      </c>
      <c r="F188" s="1">
        <v>-0.006448486741332582</v>
      </c>
      <c r="G188" s="1">
        <v>-0.02238786167260132</v>
      </c>
      <c r="H188" s="1">
        <v>-0.01001257867668481</v>
      </c>
      <c r="I188" s="1">
        <v>-0.002735569887330036</v>
      </c>
      <c r="J188" s="1">
        <v>-0.006456176533953584</v>
      </c>
      <c r="K188" s="1">
        <v>-0.006492257332109785</v>
      </c>
      <c r="L188" s="1">
        <v>-0.01588954099187001</v>
      </c>
      <c r="M188" s="1">
        <v>0.002101383889352437</v>
      </c>
      <c r="N188" s="1">
        <v>-0.01489733679659866</v>
      </c>
      <c r="O188" s="1">
        <v>-0.01234602435232424</v>
      </c>
      <c r="P188" s="1">
        <v>-0.01085664287648069</v>
      </c>
      <c r="Q188" s="1">
        <v>-0.01784984391158395</v>
      </c>
      <c r="R188" s="1">
        <v>-0.01059677232588352</v>
      </c>
      <c r="S188" s="1">
        <v>-0.003719645012728923</v>
      </c>
      <c r="T188" s="1">
        <v>-0.0163876402915224</v>
      </c>
      <c r="U188" s="1">
        <v>-0.002937351202913163</v>
      </c>
      <c r="V188" s="1">
        <v>-0.001474812345108045</v>
      </c>
      <c r="W188" s="1">
        <v>-0.01626363057523361</v>
      </c>
      <c r="X188" s="1">
        <v>-0.01692376766947068</v>
      </c>
      <c r="Y188" s="1">
        <v>0.001152680465241085</v>
      </c>
      <c r="Z188" s="1">
        <v>-0.01069713527910121</v>
      </c>
    </row>
    <row r="189" spans="1:26">
      <c r="A189" s="11">
        <v>42643</v>
      </c>
      <c r="B189" s="1">
        <v>0.002039348677371988</v>
      </c>
      <c r="C189" s="1">
        <v>0.005418639997554653</v>
      </c>
      <c r="D189" s="1">
        <v>0.01449242108045756</v>
      </c>
      <c r="E189" s="1">
        <v>0.0009282881621379691</v>
      </c>
      <c r="F189" s="1">
        <v>0.00135821148072468</v>
      </c>
      <c r="G189" s="1">
        <v>-0.01484289176429154</v>
      </c>
      <c r="H189" s="1">
        <v>0.005884299235748625</v>
      </c>
      <c r="I189" s="1">
        <v>0.01776796182639551</v>
      </c>
      <c r="J189" s="1">
        <v>0.009096667922587676</v>
      </c>
      <c r="K189" s="1">
        <v>0.01350470854244512</v>
      </c>
      <c r="L189" s="1">
        <v>0.0143181539434869</v>
      </c>
      <c r="M189" s="1">
        <v>0.01939709694394365</v>
      </c>
      <c r="N189" s="1">
        <v>0.006526584361652654</v>
      </c>
      <c r="O189" s="1">
        <v>0.01280102091286972</v>
      </c>
      <c r="P189" s="1">
        <v>0.003484241802818477</v>
      </c>
      <c r="Q189" s="1">
        <v>-0.004130506773827536</v>
      </c>
      <c r="R189" s="1">
        <v>0.01537457862991487</v>
      </c>
      <c r="S189" s="1">
        <v>-0.008222802035619869</v>
      </c>
      <c r="T189" s="1">
        <v>-0.002307980515692254</v>
      </c>
      <c r="U189" s="1">
        <v>-0.002946502857199773</v>
      </c>
      <c r="V189" s="1">
        <v>0.01417617446270203</v>
      </c>
      <c r="W189" s="1">
        <v>0.01922400696516458</v>
      </c>
      <c r="X189" s="1">
        <v>0.006328729914886866</v>
      </c>
      <c r="Y189" s="1">
        <v>-0.002686532870259883</v>
      </c>
      <c r="Z189" s="1">
        <v>0.01638288564616697</v>
      </c>
    </row>
    <row r="190" spans="1:26">
      <c r="A190" s="11">
        <v>42646</v>
      </c>
      <c r="B190" s="1">
        <v>0.001252192646634231</v>
      </c>
      <c r="C190" s="1">
        <v>0.004857819495039273</v>
      </c>
      <c r="D190" s="1">
        <v>0.000840311630283086</v>
      </c>
      <c r="E190" s="1">
        <v>0.01372393046959419</v>
      </c>
      <c r="F190" s="1">
        <v>0.001892278764006328</v>
      </c>
      <c r="G190" s="1">
        <v>-0.01420589838900654</v>
      </c>
      <c r="H190" s="1">
        <v>-0.002010835572974767</v>
      </c>
      <c r="I190" s="1">
        <v>0</v>
      </c>
      <c r="J190" s="1">
        <v>0.007727150945724404</v>
      </c>
      <c r="K190" s="1">
        <v>-0.004083577221420498</v>
      </c>
      <c r="L190" s="1">
        <v>-0.001201201693409093</v>
      </c>
      <c r="M190" s="1">
        <v>0.02185646059671198</v>
      </c>
      <c r="N190" s="1">
        <v>-0.006009729787213813</v>
      </c>
      <c r="O190" s="1">
        <v>-0.004311963322272572</v>
      </c>
      <c r="P190" s="1">
        <v>-0.003125034028562679</v>
      </c>
      <c r="Q190" s="1">
        <v>-0.02032377722846135</v>
      </c>
      <c r="R190" s="1">
        <v>-0.0001704135275069074</v>
      </c>
      <c r="S190" s="1">
        <v>-0.02948802157507902</v>
      </c>
      <c r="T190" s="1">
        <v>-0.002963960581563119</v>
      </c>
      <c r="U190" s="1">
        <v>0.003939822487506017</v>
      </c>
      <c r="V190" s="1">
        <v>0</v>
      </c>
      <c r="W190" s="1">
        <v>0.000377078297481015</v>
      </c>
      <c r="X190" s="1">
        <v>0.003270250850188505</v>
      </c>
      <c r="Y190" s="1">
        <v>-0.001923798064550564</v>
      </c>
      <c r="Z190" s="1">
        <v>0.002901442137454469</v>
      </c>
    </row>
    <row r="191" spans="1:26">
      <c r="A191" s="11">
        <v>42647</v>
      </c>
      <c r="B191" s="1">
        <v>-0.002501637908511656</v>
      </c>
      <c r="C191" s="1">
        <v>-0.0009819253943408324</v>
      </c>
      <c r="D191" s="1">
        <v>-0.007346810173848195</v>
      </c>
      <c r="E191" s="1">
        <v>0.01006208329563996</v>
      </c>
      <c r="F191" s="1">
        <v>-0.005439142537232655</v>
      </c>
      <c r="G191" s="1">
        <v>-0.02358079833047932</v>
      </c>
      <c r="H191" s="1">
        <v>-0.0172195984704594</v>
      </c>
      <c r="I191" s="1">
        <v>-0.007615562452607638</v>
      </c>
      <c r="J191" s="1">
        <v>-0.01853037308983851</v>
      </c>
      <c r="K191" s="1">
        <v>-0.01877409155390319</v>
      </c>
      <c r="L191" s="1">
        <v>0.008632304782188127</v>
      </c>
      <c r="M191" s="1">
        <v>-0.01459497332667159</v>
      </c>
      <c r="N191" s="1">
        <v>-0.01702501819168933</v>
      </c>
      <c r="O191" s="1">
        <v>-0.009408859282149629</v>
      </c>
      <c r="P191" s="1">
        <v>-0.003134606029618237</v>
      </c>
      <c r="Q191" s="1">
        <v>-0.02709592674225403</v>
      </c>
      <c r="R191" s="1">
        <v>0.005445283669434309</v>
      </c>
      <c r="S191" s="1">
        <v>-0.01800882288108907</v>
      </c>
      <c r="T191" s="1">
        <v>-0.01754652643724952</v>
      </c>
      <c r="U191" s="1">
        <v>-0.02133911064735095</v>
      </c>
      <c r="V191" s="1">
        <v>-0.0004365811184140478</v>
      </c>
      <c r="W191" s="1">
        <v>-0.009741052451934684</v>
      </c>
      <c r="X191" s="1">
        <v>-0.01680004280339764</v>
      </c>
      <c r="Y191" s="1">
        <v>-0.01195076509944393</v>
      </c>
      <c r="Z191" s="1">
        <v>0.009321789397355396</v>
      </c>
    </row>
    <row r="192" spans="1:26">
      <c r="A192" s="11">
        <v>42648</v>
      </c>
      <c r="B192" s="1">
        <v>0.01348188657099891</v>
      </c>
      <c r="C192" s="1">
        <v>0.01822310122524606</v>
      </c>
      <c r="D192" s="1">
        <v>0.01332211468403477</v>
      </c>
      <c r="E192" s="1">
        <v>-0.0007294120567463702</v>
      </c>
      <c r="F192" s="1">
        <v>-0.0004555476768626221</v>
      </c>
      <c r="G192" s="1">
        <v>-0.0004468223252912518</v>
      </c>
      <c r="H192" s="1">
        <v>0.001677577519540341</v>
      </c>
      <c r="I192" s="1">
        <v>0.004958555133119713</v>
      </c>
      <c r="J192" s="1">
        <v>0.01757803168452043</v>
      </c>
      <c r="K192" s="1">
        <v>0.01055650218947779</v>
      </c>
      <c r="L192" s="1">
        <v>0.01636659262434326</v>
      </c>
      <c r="M192" s="1">
        <v>-0.001532004537459386</v>
      </c>
      <c r="N192" s="1">
        <v>-0.009064200670113265</v>
      </c>
      <c r="O192" s="1">
        <v>-0.0001505948393428769</v>
      </c>
      <c r="P192" s="1">
        <v>0.006988036751869098</v>
      </c>
      <c r="Q192" s="1">
        <v>-0.005656889024781897</v>
      </c>
      <c r="R192" s="1">
        <v>0.01235364602842193</v>
      </c>
      <c r="S192" s="1">
        <v>-0.01772782827179498</v>
      </c>
      <c r="T192" s="1">
        <v>0.004022302881526052</v>
      </c>
      <c r="U192" s="1">
        <v>-0.002660890015168671</v>
      </c>
      <c r="V192" s="1">
        <v>-0.01325604678004577</v>
      </c>
      <c r="W192" s="1">
        <v>0.004505964685079578</v>
      </c>
      <c r="X192" s="1">
        <v>0.009946258793587681</v>
      </c>
      <c r="Y192" s="1">
        <v>-0.00812892643786145</v>
      </c>
      <c r="Z192" s="1">
        <v>0.01337584982794482</v>
      </c>
    </row>
    <row r="193" spans="1:26">
      <c r="A193" s="11">
        <v>42649</v>
      </c>
      <c r="B193" s="1">
        <v>-0.008662105220701988</v>
      </c>
      <c r="C193" s="1">
        <v>-0.001782380816175877</v>
      </c>
      <c r="D193" s="1">
        <v>0.006260483652650306</v>
      </c>
      <c r="E193" s="1">
        <v>0.004745334729628015</v>
      </c>
      <c r="F193" s="1">
        <v>-0.005927136371925767</v>
      </c>
      <c r="G193" s="1">
        <v>-0.002237089327581043</v>
      </c>
      <c r="H193" s="1">
        <v>0.002977240437521234</v>
      </c>
      <c r="I193" s="1">
        <v>0.001997240658472732</v>
      </c>
      <c r="J193" s="1">
        <v>-0.00191929962399684</v>
      </c>
      <c r="K193" s="1">
        <v>-0.006528645588819826</v>
      </c>
      <c r="L193" s="1">
        <v>0.002659185690778054</v>
      </c>
      <c r="M193" s="1">
        <v>0.001790357141516097</v>
      </c>
      <c r="N193" s="1">
        <v>0.009147111928182294</v>
      </c>
      <c r="O193" s="1">
        <v>0.006213880305303565</v>
      </c>
      <c r="P193" s="1">
        <v>0.00173538882950397</v>
      </c>
      <c r="Q193" s="1">
        <v>-0.0004374973179911423</v>
      </c>
      <c r="R193" s="1">
        <v>-0.001002850717006343</v>
      </c>
      <c r="S193" s="1">
        <v>0.01124988756888357</v>
      </c>
      <c r="T193" s="1">
        <v>0.007276983340864795</v>
      </c>
      <c r="U193" s="1">
        <v>-0.00127685119520593</v>
      </c>
      <c r="V193" s="1">
        <v>0.009890733743701086</v>
      </c>
      <c r="W193" s="1">
        <v>0.001010662784938665</v>
      </c>
      <c r="X193" s="1">
        <v>0.007828490281227785</v>
      </c>
      <c r="Y193" s="1">
        <v>-0.0001992379357768082</v>
      </c>
      <c r="Z193" s="1">
        <v>-0.004399579337624804</v>
      </c>
    </row>
    <row r="194" spans="1:26">
      <c r="A194" s="11">
        <v>42650</v>
      </c>
      <c r="B194" s="1">
        <v>-0.01185806584837579</v>
      </c>
      <c r="C194" s="1">
        <v>-0.004240319741995457</v>
      </c>
      <c r="D194" s="1">
        <v>0.00476982723538133</v>
      </c>
      <c r="E194" s="1">
        <v>0.006903007307990316</v>
      </c>
      <c r="F194" s="1">
        <v>-0.0007641212091589189</v>
      </c>
      <c r="G194" s="1">
        <v>-0.01793777432010846</v>
      </c>
      <c r="H194" s="1">
        <v>0.005975910406762486</v>
      </c>
      <c r="I194" s="1">
        <v>0.01184228888986083</v>
      </c>
      <c r="J194" s="1">
        <v>-0.001281821924614568</v>
      </c>
      <c r="K194" s="1">
        <v>-0.007886534588528615</v>
      </c>
      <c r="L194" s="1">
        <v>0.003536322707698325</v>
      </c>
      <c r="M194" s="1">
        <v>-0.01787069296532873</v>
      </c>
      <c r="N194" s="1">
        <v>0.002266203725173277</v>
      </c>
      <c r="O194" s="1">
        <v>0.003916173160051661</v>
      </c>
      <c r="P194" s="1">
        <v>0.001038804504313484</v>
      </c>
      <c r="Q194" s="1">
        <v>-0.01006994182171062</v>
      </c>
      <c r="R194" s="1">
        <v>-0.01221569576237547</v>
      </c>
      <c r="S194" s="1">
        <v>0.003834654852964192</v>
      </c>
      <c r="T194" s="1">
        <v>-0.01944748784829387</v>
      </c>
      <c r="U194" s="1">
        <v>-0.006136491657626308</v>
      </c>
      <c r="V194" s="1">
        <v>0.00920913326189865</v>
      </c>
      <c r="W194" s="1">
        <v>-0.001451701476756773</v>
      </c>
      <c r="X194" s="1">
        <v>-0.03558000651447313</v>
      </c>
      <c r="Y194" s="1">
        <v>-0.006764707923628488</v>
      </c>
      <c r="Z194" s="1">
        <v>0.001577785652242758</v>
      </c>
    </row>
    <row r="195" spans="1:26">
      <c r="A195" s="11">
        <v>42653</v>
      </c>
      <c r="B195" s="1">
        <v>0.01310561079616623</v>
      </c>
      <c r="C195" s="1">
        <v>0.01486733352199421</v>
      </c>
      <c r="D195" s="1">
        <v>-0.003095953627082704</v>
      </c>
      <c r="E195" s="1">
        <v>-0.1013892578920151</v>
      </c>
      <c r="F195" s="1">
        <v>0.006425940099058502</v>
      </c>
      <c r="G195" s="1">
        <v>0.01278557680393022</v>
      </c>
      <c r="H195" s="1">
        <v>0.005197682508808921</v>
      </c>
      <c r="I195" s="1">
        <v>0.01378900338096556</v>
      </c>
      <c r="J195" s="1">
        <v>0.0006415616421777681</v>
      </c>
      <c r="K195" s="1">
        <v>-0.01214390431468859</v>
      </c>
      <c r="L195" s="1">
        <v>0.007781130977936312</v>
      </c>
      <c r="M195" s="1">
        <v>0.03379248236027443</v>
      </c>
      <c r="N195" s="1">
        <v>-0.002745408497639268</v>
      </c>
      <c r="O195" s="1">
        <v>-0.003300617813165374</v>
      </c>
      <c r="P195" s="1">
        <v>0.004152318213534789</v>
      </c>
      <c r="Q195" s="1">
        <v>0.01326852461803152</v>
      </c>
      <c r="R195" s="1">
        <v>-0.008809012294516583</v>
      </c>
      <c r="S195" s="1">
        <v>-0.002169464796447529</v>
      </c>
      <c r="T195" s="1">
        <v>0.007442066713212236</v>
      </c>
      <c r="U195" s="1">
        <v>0.003601497314609903</v>
      </c>
      <c r="V195" s="1">
        <v>-0.002607096548284393</v>
      </c>
      <c r="W195" s="1">
        <v>0.005688846733114872</v>
      </c>
      <c r="X195" s="1">
        <v>0.009612899014296072</v>
      </c>
      <c r="Y195" s="1">
        <v>0.005408342438248726</v>
      </c>
      <c r="Z195" s="1">
        <v>0.002521234381977155</v>
      </c>
    </row>
    <row r="196" spans="1:26">
      <c r="A196" s="11">
        <v>42654</v>
      </c>
      <c r="B196" s="1">
        <v>-0.02010609331881086</v>
      </c>
      <c r="C196" s="1">
        <v>-0.01545945633140355</v>
      </c>
      <c r="D196" s="1">
        <v>-0.02670805336673743</v>
      </c>
      <c r="E196" s="1">
        <v>-0.005219882223927552</v>
      </c>
      <c r="F196" s="1">
        <v>-0.01246597284158524</v>
      </c>
      <c r="G196" s="1">
        <v>-0.0153292062558843</v>
      </c>
      <c r="H196" s="1">
        <v>-0.005540199959999104</v>
      </c>
      <c r="I196" s="1">
        <v>-0.005029272444915134</v>
      </c>
      <c r="J196" s="1">
        <v>-0.009621377724115754</v>
      </c>
      <c r="K196" s="1">
        <v>-0.01117553689818374</v>
      </c>
      <c r="L196" s="1">
        <v>-0.004807557420851927</v>
      </c>
      <c r="M196" s="1">
        <v>0.0005029438829939892</v>
      </c>
      <c r="N196" s="1">
        <v>0.003886833767723363</v>
      </c>
      <c r="O196" s="1">
        <v>-0.01354824357612894</v>
      </c>
      <c r="P196" s="1">
        <v>-0.01464499733869296</v>
      </c>
      <c r="Q196" s="1">
        <v>-0.02313429163562541</v>
      </c>
      <c r="R196" s="1">
        <v>-0.01845827759210827</v>
      </c>
      <c r="S196" s="1">
        <v>-0.008838176087023419</v>
      </c>
      <c r="T196" s="1">
        <v>-0.01229977779074543</v>
      </c>
      <c r="U196" s="1">
        <v>0.002306939836053346</v>
      </c>
      <c r="V196" s="1">
        <v>-0.006825233529176633</v>
      </c>
      <c r="W196" s="1">
        <v>-0.02645960215690879</v>
      </c>
      <c r="X196" s="1">
        <v>-0.02470419729537321</v>
      </c>
      <c r="Y196" s="1">
        <v>-0.005777395555386255</v>
      </c>
      <c r="Z196" s="1">
        <v>-0.01603267769404404</v>
      </c>
    </row>
    <row r="197" spans="1:26">
      <c r="A197" s="11">
        <v>42655</v>
      </c>
      <c r="B197" s="1">
        <v>-0.002544767809794513</v>
      </c>
      <c r="C197" s="1">
        <v>-0.004336653901736098</v>
      </c>
      <c r="D197" s="1">
        <v>-0.0006383090271185887</v>
      </c>
      <c r="E197" s="1">
        <v>0.009283728698098015</v>
      </c>
      <c r="F197" s="1">
        <v>0.004310339942769525</v>
      </c>
      <c r="G197" s="1">
        <v>0.01098906989967663</v>
      </c>
      <c r="H197" s="1">
        <v>0.009284972930516888</v>
      </c>
      <c r="I197" s="1">
        <v>-0.001263571428571475</v>
      </c>
      <c r="J197" s="1">
        <v>-0.005828752647107027</v>
      </c>
      <c r="K197" s="1">
        <v>-0.001130286316152196</v>
      </c>
      <c r="L197" s="1">
        <v>-0.002634978380847808</v>
      </c>
      <c r="M197" s="1">
        <v>0.005528841953692742</v>
      </c>
      <c r="N197" s="1">
        <v>0.008872312150734141</v>
      </c>
      <c r="O197" s="1">
        <v>0.009766751322281442</v>
      </c>
      <c r="P197" s="1">
        <v>-0.001398919099688922</v>
      </c>
      <c r="Q197" s="1">
        <v>0.01385180830752364</v>
      </c>
      <c r="R197" s="1">
        <v>0.0003477657677006807</v>
      </c>
      <c r="S197" s="1">
        <v>0.014543346686406</v>
      </c>
      <c r="T197" s="1">
        <v>0.00605832694071462</v>
      </c>
      <c r="U197" s="1">
        <v>0.005882837362069182</v>
      </c>
      <c r="V197" s="1">
        <v>-0.007749755273858683</v>
      </c>
      <c r="W197" s="1">
        <v>-0.00710142950748438</v>
      </c>
      <c r="X197" s="1">
        <v>0.001847172319932477</v>
      </c>
      <c r="Y197" s="1">
        <v>0.008016052039677035</v>
      </c>
      <c r="Z197" s="1">
        <v>-0.002875487261998932</v>
      </c>
    </row>
    <row r="198" spans="1:26">
      <c r="A198" s="11">
        <v>42656</v>
      </c>
      <c r="B198" s="1">
        <v>-0.0102058252427184</v>
      </c>
      <c r="C198" s="1">
        <v>0.001652134492253987</v>
      </c>
      <c r="D198" s="1">
        <v>0.0157516351195528</v>
      </c>
      <c r="E198" s="1">
        <v>0.004599275794776148</v>
      </c>
      <c r="F198" s="1">
        <v>-0.001839314221122934</v>
      </c>
      <c r="G198" s="1">
        <v>0.01177566042998435</v>
      </c>
      <c r="H198" s="1">
        <v>0.0093838735117584</v>
      </c>
      <c r="I198" s="1">
        <v>-0.006901679949266493</v>
      </c>
      <c r="J198" s="1">
        <v>-0.01302942281108654</v>
      </c>
      <c r="K198" s="1">
        <v>-0.0158406502753522</v>
      </c>
      <c r="L198" s="1">
        <v>-0.005724576488983724</v>
      </c>
      <c r="M198" s="1">
        <v>0.03424165644219457</v>
      </c>
      <c r="N198" s="1">
        <v>0.002398364546799758</v>
      </c>
      <c r="O198" s="1">
        <v>-0.007405303354972359</v>
      </c>
      <c r="P198" s="1">
        <v>-0.003327115396217106</v>
      </c>
      <c r="Q198" s="1">
        <v>0.009255116670533692</v>
      </c>
      <c r="R198" s="1">
        <v>-0.01322852733313973</v>
      </c>
      <c r="S198" s="1">
        <v>0.006862016431114171</v>
      </c>
      <c r="T198" s="1">
        <v>0.001598256217268945</v>
      </c>
      <c r="U198" s="1">
        <v>0.001017154478138993</v>
      </c>
      <c r="V198" s="1">
        <v>0.000442084333904802</v>
      </c>
      <c r="W198" s="1">
        <v>-0.01150858597136828</v>
      </c>
      <c r="X198" s="1">
        <v>-0.0005268340773995073</v>
      </c>
      <c r="Y198" s="1">
        <v>-0.0001991832843230013</v>
      </c>
      <c r="Z198" s="1">
        <v>-0.02723453560277334</v>
      </c>
    </row>
    <row r="199" spans="1:26">
      <c r="A199" s="11">
        <v>42657</v>
      </c>
      <c r="B199" s="1">
        <v>-0.004833006292562447</v>
      </c>
      <c r="C199" s="1">
        <v>0.0008995874518056279</v>
      </c>
      <c r="D199" s="1">
        <v>-0.005658188473528059</v>
      </c>
      <c r="E199" s="1">
        <v>-0.009355289020141044</v>
      </c>
      <c r="F199" s="1">
        <v>0.001228280605795717</v>
      </c>
      <c r="G199" s="1">
        <v>0.001342714750505847</v>
      </c>
      <c r="H199" s="1">
        <v>-0.009661247970175646</v>
      </c>
      <c r="I199" s="1">
        <v>0.0006948512489524106</v>
      </c>
      <c r="J199" s="1">
        <v>-0.04422463079477379</v>
      </c>
      <c r="K199" s="1">
        <v>0.008967587669926225</v>
      </c>
      <c r="L199" s="1">
        <v>-0.003247329961428624</v>
      </c>
      <c r="M199" s="1">
        <v>-0.001450022034699683</v>
      </c>
      <c r="N199" s="1">
        <v>-0.003987932210358092</v>
      </c>
      <c r="O199" s="1">
        <v>0.004719919364288616</v>
      </c>
      <c r="P199" s="1">
        <v>0.008784135452567288</v>
      </c>
      <c r="Q199" s="1">
        <v>-0.00960713048428119</v>
      </c>
      <c r="R199" s="1">
        <v>0.002293209950361197</v>
      </c>
      <c r="S199" s="1">
        <v>-0.0001403459415566521</v>
      </c>
      <c r="T199" s="1">
        <v>-0.003933704405212901</v>
      </c>
      <c r="U199" s="1">
        <v>-0.003810564424203355</v>
      </c>
      <c r="V199" s="1">
        <v>0.003240392764581879</v>
      </c>
      <c r="W199" s="1">
        <v>-0.002104629751807696</v>
      </c>
      <c r="X199" s="1">
        <v>-0.004742987427136303</v>
      </c>
      <c r="Y199" s="1">
        <v>-0.0001988376219791421</v>
      </c>
      <c r="Z199" s="1">
        <v>0.0164688016408181</v>
      </c>
    </row>
    <row r="200" spans="1:26">
      <c r="A200" s="11">
        <v>42660</v>
      </c>
      <c r="B200" s="1">
        <v>0.001295002305819359</v>
      </c>
      <c r="C200" s="1">
        <v>0.003745554010246677</v>
      </c>
      <c r="D200" s="1">
        <v>-0.001686029804371603</v>
      </c>
      <c r="E200" s="1">
        <v>-0.008639739322321649</v>
      </c>
      <c r="F200" s="1">
        <v>-0.002760664427326698</v>
      </c>
      <c r="G200" s="1">
        <v>0.002682061186120022</v>
      </c>
      <c r="H200" s="1">
        <v>-0.01196381496271326</v>
      </c>
      <c r="I200" s="1">
        <v>0.0008104395886836535</v>
      </c>
      <c r="J200" s="1">
        <v>-0.03107733561164128</v>
      </c>
      <c r="K200" s="1">
        <v>-0.003190693717044168</v>
      </c>
      <c r="L200" s="1">
        <v>-0.005183972824445271</v>
      </c>
      <c r="M200" s="1">
        <v>-0.001936309545333081</v>
      </c>
      <c r="N200" s="1">
        <v>-0.0001601389629400929</v>
      </c>
      <c r="O200" s="1">
        <v>-0.01000170660290967</v>
      </c>
      <c r="P200" s="1">
        <v>-0.003483028596387494</v>
      </c>
      <c r="Q200" s="1">
        <v>0.01014144618201662</v>
      </c>
      <c r="R200" s="1">
        <v>-0.0001759304191938371</v>
      </c>
      <c r="S200" s="1">
        <v>0.004248485340689889</v>
      </c>
      <c r="T200" s="1">
        <v>0.004433784740843993</v>
      </c>
      <c r="U200" s="1">
        <v>0.00127515286114499</v>
      </c>
      <c r="V200" s="1">
        <v>-0.01277316282285368</v>
      </c>
      <c r="W200" s="1">
        <v>-0.006130204771271019</v>
      </c>
      <c r="X200" s="1">
        <v>0.00132380358500539</v>
      </c>
      <c r="Y200" s="1">
        <v>0.002983478677682783</v>
      </c>
      <c r="Z200" s="1">
        <v>-0.006804583494457561</v>
      </c>
    </row>
    <row r="201" spans="1:26">
      <c r="A201" s="11">
        <v>42661</v>
      </c>
      <c r="B201" s="1">
        <v>0.01584471288870515</v>
      </c>
      <c r="C201" s="1">
        <v>0.008208702479584939</v>
      </c>
      <c r="D201" s="1">
        <v>0.0145662497645076</v>
      </c>
      <c r="E201" s="1">
        <v>0.0143897053525488</v>
      </c>
      <c r="F201" s="1">
        <v>-0.002153100548089149</v>
      </c>
      <c r="G201" s="1">
        <v>0.003566670629891799</v>
      </c>
      <c r="H201" s="1">
        <v>0.01359919273428356</v>
      </c>
      <c r="I201" s="1">
        <v>0.001619052990111669</v>
      </c>
      <c r="J201" s="1">
        <v>0.01282964544183063</v>
      </c>
      <c r="K201" s="1">
        <v>0.005258667399655526</v>
      </c>
      <c r="L201" s="1">
        <v>0.007890612253876661</v>
      </c>
      <c r="M201" s="1">
        <v>0.0106692118167282</v>
      </c>
      <c r="N201" s="1">
        <v>0.003684333117106142</v>
      </c>
      <c r="O201" s="1">
        <v>-0.002908260908122795</v>
      </c>
      <c r="P201" s="1">
        <v>0.00768991095694993</v>
      </c>
      <c r="Q201" s="1">
        <v>0.006547102033903407</v>
      </c>
      <c r="R201" s="1">
        <v>0.001936009074486655</v>
      </c>
      <c r="S201" s="1">
        <v>0.003347306977978137</v>
      </c>
      <c r="T201" s="1">
        <v>0.004673648318173074</v>
      </c>
      <c r="U201" s="1">
        <v>0.002291983390986241</v>
      </c>
      <c r="V201" s="1">
        <v>0.001784489190543637</v>
      </c>
      <c r="W201" s="1">
        <v>0.005902652201061898</v>
      </c>
      <c r="X201" s="1">
        <v>0.00713908860793655</v>
      </c>
      <c r="Y201" s="1">
        <v>-0.003172697458274643</v>
      </c>
      <c r="Z201" s="1">
        <v>0.0169656826922846</v>
      </c>
    </row>
    <row r="202" spans="1:26">
      <c r="A202" s="11">
        <v>42662</v>
      </c>
      <c r="B202" s="1">
        <v>0.02780432304097524</v>
      </c>
      <c r="C202" s="1">
        <v>0.007994132296460288</v>
      </c>
      <c r="D202" s="1">
        <v>-0.004785429087211135</v>
      </c>
      <c r="E202" s="1">
        <v>-0.003596377689927266</v>
      </c>
      <c r="F202" s="1">
        <v>0.0004623800162355529</v>
      </c>
      <c r="G202" s="1">
        <v>0.005331223221219705</v>
      </c>
      <c r="H202" s="1">
        <v>-0.01617344848350244</v>
      </c>
      <c r="I202" s="1">
        <v>-0.0005776135371609037</v>
      </c>
      <c r="J202" s="1">
        <v>-0.006333659564502603</v>
      </c>
      <c r="K202" s="1">
        <v>0.009324303756363062</v>
      </c>
      <c r="L202" s="1">
        <v>0.009600930060998936</v>
      </c>
      <c r="M202" s="1">
        <v>0.01367559727781043</v>
      </c>
      <c r="N202" s="1">
        <v>-0.01197000709404628</v>
      </c>
      <c r="O202" s="1">
        <v>0.01013187160833695</v>
      </c>
      <c r="P202" s="1">
        <v>-0.002254834942342021</v>
      </c>
      <c r="Q202" s="1">
        <v>-0.00954024526634456</v>
      </c>
      <c r="R202" s="1">
        <v>0.0005272250300227821</v>
      </c>
      <c r="S202" s="1">
        <v>-0.002965081594746843</v>
      </c>
      <c r="T202" s="1">
        <v>0.002399885116610712</v>
      </c>
      <c r="U202" s="1">
        <v>0.0005080310571796698</v>
      </c>
      <c r="V202" s="1">
        <v>0.002523943670586837</v>
      </c>
      <c r="W202" s="1">
        <v>0.0008571386286670979</v>
      </c>
      <c r="X202" s="1">
        <v>0</v>
      </c>
      <c r="Y202" s="1">
        <v>0.002187955067701308</v>
      </c>
      <c r="Z202" s="1">
        <v>0.02887348460837313</v>
      </c>
    </row>
    <row r="203" spans="1:26">
      <c r="A203" s="11">
        <v>42663</v>
      </c>
      <c r="B203" s="1">
        <v>-0.01305970362461673</v>
      </c>
      <c r="C203" s="1">
        <v>-0.002496647956928277</v>
      </c>
      <c r="D203" s="1">
        <v>0.007526342151022547</v>
      </c>
      <c r="E203" s="1">
        <v>0.009825790765732645</v>
      </c>
      <c r="F203" s="1">
        <v>-0.008627401675026847</v>
      </c>
      <c r="G203" s="1">
        <v>0.001325393085168658</v>
      </c>
      <c r="H203" s="1">
        <v>-0.006351915537891162</v>
      </c>
      <c r="I203" s="1">
        <v>-0.005198652988579022</v>
      </c>
      <c r="J203" s="1">
        <v>-0.001416272077503167</v>
      </c>
      <c r="K203" s="1">
        <v>-0.004281167776465811</v>
      </c>
      <c r="L203" s="1">
        <v>-0.001316538235131115</v>
      </c>
      <c r="M203" s="1">
        <v>0.0009466397508359758</v>
      </c>
      <c r="N203" s="1">
        <v>-0.0009689984249867667</v>
      </c>
      <c r="O203" s="1">
        <v>-0.008814454829550455</v>
      </c>
      <c r="P203" s="1">
        <v>-0.004866871009287066</v>
      </c>
      <c r="Q203" s="1">
        <v>-0.002188903182616331</v>
      </c>
      <c r="R203" s="1">
        <v>-0.005618942569030727</v>
      </c>
      <c r="S203" s="1">
        <v>-0.004972942946791514</v>
      </c>
      <c r="T203" s="1">
        <v>0.01594836787024212</v>
      </c>
      <c r="U203" s="1">
        <v>-0.01853723572156774</v>
      </c>
      <c r="V203" s="1">
        <v>0.002665162514206232</v>
      </c>
      <c r="W203" s="1">
        <v>-0.0009223772971925781</v>
      </c>
      <c r="X203" s="1">
        <v>0.0367542867163575</v>
      </c>
      <c r="Y203" s="1">
        <v>-0.02461297371088844</v>
      </c>
      <c r="Z203" s="1">
        <v>0.00592483655383802</v>
      </c>
    </row>
    <row r="204" spans="1:26">
      <c r="A204" s="11">
        <v>42664</v>
      </c>
      <c r="B204" s="1">
        <v>-0.02032128171176506</v>
      </c>
      <c r="C204" s="1">
        <v>-0.001545860172540103</v>
      </c>
      <c r="D204" s="1">
        <v>-0.0002075289624299259</v>
      </c>
      <c r="E204" s="1">
        <v>-0.006751723930663589</v>
      </c>
      <c r="F204" s="1">
        <v>-0.004506541508655704</v>
      </c>
      <c r="G204" s="1">
        <v>0.002647621945443435</v>
      </c>
      <c r="H204" s="1">
        <v>0.002256364556663115</v>
      </c>
      <c r="I204" s="1">
        <v>0.003716459745092271</v>
      </c>
      <c r="J204" s="1">
        <v>-0.02127668061709886</v>
      </c>
      <c r="K204" s="1">
        <v>-0.002941804954713967</v>
      </c>
      <c r="L204" s="1">
        <v>0.003369138380722614</v>
      </c>
      <c r="M204" s="1">
        <v>0.003310820421586369</v>
      </c>
      <c r="N204" s="1">
        <v>0.02991114471922307</v>
      </c>
      <c r="O204" s="1">
        <v>-0.002913235163482186</v>
      </c>
      <c r="P204" s="1">
        <v>0.04209595909948871</v>
      </c>
      <c r="Q204" s="1">
        <v>-0.007898327312886866</v>
      </c>
      <c r="R204" s="1">
        <v>-0.00247237792230437</v>
      </c>
      <c r="S204" s="1">
        <v>-0.01433725270768627</v>
      </c>
      <c r="T204" s="1">
        <v>0.004749206321498445</v>
      </c>
      <c r="U204" s="1">
        <v>-0.0300129001842192</v>
      </c>
      <c r="V204" s="1">
        <v>0.007679873237366852</v>
      </c>
      <c r="W204" s="1">
        <v>-0.006593841297579561</v>
      </c>
      <c r="X204" s="1">
        <v>-0.014686606154653</v>
      </c>
      <c r="Y204" s="1">
        <v>-0.01912893654888448</v>
      </c>
      <c r="Z204" s="1">
        <v>0.002479891518554878</v>
      </c>
    </row>
    <row r="205" spans="1:26">
      <c r="A205" s="11">
        <v>42667</v>
      </c>
      <c r="B205" s="1">
        <v>-0.009808405969150114</v>
      </c>
      <c r="C205" s="1">
        <v>0.01341889038078703</v>
      </c>
      <c r="D205" s="1">
        <v>0.005396503685373144</v>
      </c>
      <c r="E205" s="1">
        <v>-0.01579352146168744</v>
      </c>
      <c r="F205" s="1">
        <v>0.01404937206518087</v>
      </c>
      <c r="G205" s="1">
        <v>-0.007482263720880789</v>
      </c>
      <c r="H205" s="1">
        <v>-0.003376415786367715</v>
      </c>
      <c r="I205" s="1">
        <v>0.003123676800065756</v>
      </c>
      <c r="J205" s="1">
        <v>0.01231906222695089</v>
      </c>
      <c r="K205" s="1">
        <v>0.007489859123757991</v>
      </c>
      <c r="L205" s="1">
        <v>0.005548505701895801</v>
      </c>
      <c r="M205" s="1">
        <v>-0.002357067901162302</v>
      </c>
      <c r="N205" s="1">
        <v>0.01962327337402625</v>
      </c>
      <c r="O205" s="1">
        <v>-0.0009223277322586432</v>
      </c>
      <c r="P205" s="1">
        <v>0.02246069144970764</v>
      </c>
      <c r="Q205" s="1">
        <v>-0.003538520604785989</v>
      </c>
      <c r="R205" s="1">
        <v>-0.002655391188165601</v>
      </c>
      <c r="S205" s="1">
        <v>0.002131933000903752</v>
      </c>
      <c r="T205" s="1">
        <v>0.002670264903670505</v>
      </c>
      <c r="U205" s="1">
        <v>-0.01680476781356988</v>
      </c>
      <c r="V205" s="1">
        <v>0.0004397625010756911</v>
      </c>
      <c r="W205" s="1">
        <v>0.01626218283221514</v>
      </c>
      <c r="X205" s="1">
        <v>0.003084143419772145</v>
      </c>
      <c r="Y205" s="1">
        <v>0.0002071913768182387</v>
      </c>
      <c r="Z205" s="1">
        <v>0.002783015834546987</v>
      </c>
    </row>
    <row r="206" spans="1:26">
      <c r="A206" s="11">
        <v>42668</v>
      </c>
      <c r="B206" s="1">
        <v>-0.01640152678048923</v>
      </c>
      <c r="C206" s="1">
        <v>0.01142225075078507</v>
      </c>
      <c r="D206" s="1">
        <v>0.0148636822297159</v>
      </c>
      <c r="E206" s="1">
        <v>0.006500066408457128</v>
      </c>
      <c r="F206" s="1">
        <v>-0.006773518543252699</v>
      </c>
      <c r="G206" s="1">
        <v>0.005321651690783691</v>
      </c>
      <c r="H206" s="1">
        <v>0.005834598548417169</v>
      </c>
      <c r="I206" s="1">
        <v>-0.002076000702416314</v>
      </c>
      <c r="J206" s="1">
        <v>-0.005011085739077825</v>
      </c>
      <c r="K206" s="1">
        <v>-0.01081333918008742</v>
      </c>
      <c r="L206" s="1">
        <v>-0.001016457122358649</v>
      </c>
      <c r="M206" s="1">
        <v>-0.008976897676301832</v>
      </c>
      <c r="N206" s="1">
        <v>-0.003694926507525009</v>
      </c>
      <c r="O206" s="1">
        <v>-0.03493960625906045</v>
      </c>
      <c r="P206" s="1">
        <v>-0.0001637405468004616</v>
      </c>
      <c r="Q206" s="1">
        <v>0.01287216380612755</v>
      </c>
      <c r="R206" s="1">
        <v>-0.0273338904405549</v>
      </c>
      <c r="S206" s="1">
        <v>0.004018837328513714</v>
      </c>
      <c r="T206" s="1">
        <v>-0.108932096171701</v>
      </c>
      <c r="U206" s="1">
        <v>-0.004340987463590684</v>
      </c>
      <c r="V206" s="1">
        <v>-0.004541535969148969</v>
      </c>
      <c r="W206" s="1">
        <v>-0.03357094233001034</v>
      </c>
      <c r="X206" s="1">
        <v>0.002561837622061747</v>
      </c>
      <c r="Y206" s="1">
        <v>-0.007674475176453033</v>
      </c>
      <c r="Z206" s="1">
        <v>-0.01079268943604039</v>
      </c>
    </row>
    <row r="207" spans="1:26">
      <c r="A207" s="11">
        <v>42669</v>
      </c>
      <c r="B207" s="1">
        <v>0.01832593164188112</v>
      </c>
      <c r="C207" s="1">
        <v>0.04689974509873518</v>
      </c>
      <c r="D207" s="1">
        <v>-0.03498758988588591</v>
      </c>
      <c r="E207" s="1">
        <v>-0.005246832870029583</v>
      </c>
      <c r="F207" s="1">
        <v>-0.03037822803870915</v>
      </c>
      <c r="G207" s="1">
        <v>-0.0004411712891142505</v>
      </c>
      <c r="H207" s="1">
        <v>0.00411690735193071</v>
      </c>
      <c r="I207" s="1">
        <v>0.006010473360710256</v>
      </c>
      <c r="J207" s="1">
        <v>0.0007198738756306611</v>
      </c>
      <c r="K207" s="1">
        <v>0.004098981318395589</v>
      </c>
      <c r="L207" s="1">
        <v>0.004796448394617903</v>
      </c>
      <c r="M207" s="1">
        <v>-0.08462449856453325</v>
      </c>
      <c r="N207" s="1">
        <v>-0.002936433377549341</v>
      </c>
      <c r="O207" s="1">
        <v>0.008293654486153823</v>
      </c>
      <c r="P207" s="1">
        <v>-0.005902668795196298</v>
      </c>
      <c r="Q207" s="1">
        <v>-0.004820633353948223</v>
      </c>
      <c r="R207" s="1">
        <v>0.008393885445637572</v>
      </c>
      <c r="S207" s="1">
        <v>0.0043797827105716</v>
      </c>
      <c r="T207" s="1">
        <v>0.006542676427729655</v>
      </c>
      <c r="U207" s="1">
        <v>-0.007356436351305007</v>
      </c>
      <c r="V207" s="1">
        <v>0.009418515346688805</v>
      </c>
      <c r="W207" s="1">
        <v>0.000473232049722716</v>
      </c>
      <c r="X207" s="1">
        <v>0.01840013292612519</v>
      </c>
      <c r="Y207" s="1">
        <v>-0.004389971874042109</v>
      </c>
      <c r="Z207" s="1">
        <v>0.001870513461618817</v>
      </c>
    </row>
    <row r="208" spans="1:26">
      <c r="A208" s="11">
        <v>42670</v>
      </c>
      <c r="B208" s="1">
        <v>0.0003239855787489088</v>
      </c>
      <c r="C208" s="1">
        <v>-0.01532224633144641</v>
      </c>
      <c r="D208" s="1">
        <v>-0.01306917835459354</v>
      </c>
      <c r="E208" s="1">
        <v>0.05416904556854907</v>
      </c>
      <c r="F208" s="1">
        <v>-0.0172632304110838</v>
      </c>
      <c r="G208" s="1">
        <v>-0.003971719966817222</v>
      </c>
      <c r="H208" s="1">
        <v>-0.01229967724373737</v>
      </c>
      <c r="I208" s="1">
        <v>-0.000459950759653549</v>
      </c>
      <c r="J208" s="1">
        <v>0.005750708477117783</v>
      </c>
      <c r="K208" s="1">
        <v>-0.001814406295492121</v>
      </c>
      <c r="L208" s="1">
        <v>0.001446528840199912</v>
      </c>
      <c r="M208" s="1">
        <v>0.02187468653415969</v>
      </c>
      <c r="N208" s="1">
        <v>-0.001394611384409439</v>
      </c>
      <c r="O208" s="1">
        <v>-0.0006329182693352031</v>
      </c>
      <c r="P208" s="1">
        <v>-0.008741765137352586</v>
      </c>
      <c r="Q208" s="1">
        <v>-0.002883139900282661</v>
      </c>
      <c r="R208" s="1">
        <v>0.0003621658274868267</v>
      </c>
      <c r="S208" s="1">
        <v>-0.05171615425767973</v>
      </c>
      <c r="T208" s="1">
        <v>-0.006540295414075636</v>
      </c>
      <c r="U208" s="1">
        <v>0.002470455223307466</v>
      </c>
      <c r="V208" s="1">
        <v>-0.01414180762546335</v>
      </c>
      <c r="W208" s="1">
        <v>0.007971052449092575</v>
      </c>
      <c r="X208" s="1">
        <v>-0.007026262712093723</v>
      </c>
      <c r="Y208" s="1">
        <v>0.01910609648824191</v>
      </c>
      <c r="Z208" s="1">
        <v>0.007467213475056855</v>
      </c>
    </row>
    <row r="209" spans="1:26">
      <c r="A209" s="11">
        <v>42671</v>
      </c>
      <c r="B209" s="1">
        <v>-0.01588309735369342</v>
      </c>
      <c r="C209" s="1">
        <v>-0.002093426052010239</v>
      </c>
      <c r="D209" s="1">
        <v>0.00811580922351518</v>
      </c>
      <c r="E209" s="1">
        <v>-0.01847596110171779</v>
      </c>
      <c r="F209" s="1">
        <v>0.006505953384406959</v>
      </c>
      <c r="G209" s="1">
        <v>-0.001772042808459551</v>
      </c>
      <c r="H209" s="1">
        <v>0.02283004103857378</v>
      </c>
      <c r="I209" s="1">
        <v>0.00195387798375557</v>
      </c>
      <c r="J209" s="1">
        <v>0.007148121228689908</v>
      </c>
      <c r="K209" s="1">
        <v>-0.005680424306288123</v>
      </c>
      <c r="L209" s="1">
        <v>-0.001733426902102542</v>
      </c>
      <c r="M209" s="1">
        <v>-0.001528881196367959</v>
      </c>
      <c r="N209" s="1">
        <v>0.02250502595166215</v>
      </c>
      <c r="O209" s="1">
        <v>0.004273795280993031</v>
      </c>
      <c r="P209" s="1">
        <v>-0.003826789729712954</v>
      </c>
      <c r="Q209" s="1">
        <v>0.002224007798904859</v>
      </c>
      <c r="R209" s="1">
        <v>0.001989815906352943</v>
      </c>
      <c r="S209" s="1">
        <v>0.02719401498466234</v>
      </c>
      <c r="T209" s="1">
        <v>-0.01159115679530098</v>
      </c>
      <c r="U209" s="1">
        <v>-0.0002738033797835548</v>
      </c>
      <c r="V209" s="1">
        <v>0.01789427537038768</v>
      </c>
      <c r="W209" s="1">
        <v>-0.0134703273680975</v>
      </c>
      <c r="X209" s="1">
        <v>0.006065307484489191</v>
      </c>
      <c r="Y209" s="1">
        <v>-0.006798937391141457</v>
      </c>
      <c r="Z209" s="1">
        <v>-0.008956173592459815</v>
      </c>
    </row>
    <row r="210" spans="1:26">
      <c r="A210" s="11">
        <v>42674</v>
      </c>
      <c r="B210" s="1">
        <v>-0.02042187952568753</v>
      </c>
      <c r="C210" s="1">
        <v>-0.004055780844500867</v>
      </c>
      <c r="D210" s="1">
        <v>0.008262826226635989</v>
      </c>
      <c r="E210" s="1">
        <v>-0.001764479508435168</v>
      </c>
      <c r="F210" s="1">
        <v>-0.0009694234760069254</v>
      </c>
      <c r="G210" s="1">
        <v>0.01198367731941463</v>
      </c>
      <c r="H210" s="1">
        <v>0.002398401414455353</v>
      </c>
      <c r="I210" s="1">
        <v>0.01296356398656751</v>
      </c>
      <c r="J210" s="1">
        <v>0.02838917277385788</v>
      </c>
      <c r="K210" s="1">
        <v>0.032258303731872</v>
      </c>
      <c r="L210" s="1">
        <v>0.00217045702605545</v>
      </c>
      <c r="M210" s="1">
        <v>0.02220520251855373</v>
      </c>
      <c r="N210" s="1">
        <v>0.003643341875091854</v>
      </c>
      <c r="O210" s="1">
        <v>-0.0009459359263558342</v>
      </c>
      <c r="P210" s="1">
        <v>0.0008348726035354304</v>
      </c>
      <c r="Q210" s="1">
        <v>0.03240153233724397</v>
      </c>
      <c r="R210" s="1">
        <v>-0.008485245803385277</v>
      </c>
      <c r="S210" s="1">
        <v>0.02873657886954972</v>
      </c>
      <c r="T210" s="1">
        <v>0.000531000021006367</v>
      </c>
      <c r="U210" s="1">
        <v>0.00766886778914877</v>
      </c>
      <c r="V210" s="1">
        <v>-0.001452797222026625</v>
      </c>
      <c r="W210" s="1">
        <v>-0.001222936179237744</v>
      </c>
      <c r="X210" s="1">
        <v>0.006782030546567785</v>
      </c>
      <c r="Y210" s="1">
        <v>-0.002281111845897077</v>
      </c>
      <c r="Z210" s="1">
        <v>0.003739385013157293</v>
      </c>
    </row>
    <row r="211" spans="1:26">
      <c r="A211" s="11">
        <v>42675</v>
      </c>
      <c r="B211" s="1">
        <v>0.0008407464015560695</v>
      </c>
      <c r="C211" s="1">
        <v>-0.0001401911653250432</v>
      </c>
      <c r="D211" s="1">
        <v>-0.01470877889137623</v>
      </c>
      <c r="E211" s="1">
        <v>-0.00216102779713967</v>
      </c>
      <c r="F211" s="1">
        <v>-0.005984989806838148</v>
      </c>
      <c r="G211" s="1">
        <v>-0.01315796530761315</v>
      </c>
      <c r="H211" s="1">
        <v>-0.01711483517200341</v>
      </c>
      <c r="I211" s="1">
        <v>-0.00237849902869236</v>
      </c>
      <c r="J211" s="1">
        <v>-0.009661953617742913</v>
      </c>
      <c r="K211" s="1">
        <v>0.02331331838837003</v>
      </c>
      <c r="L211" s="1">
        <v>-0.00418715263806968</v>
      </c>
      <c r="M211" s="1">
        <v>-0.009238442781721923</v>
      </c>
      <c r="N211" s="1">
        <v>-0.009679506177487474</v>
      </c>
      <c r="O211" s="1">
        <v>-0.008360934104486684</v>
      </c>
      <c r="P211" s="1">
        <v>-0.002002596377818522</v>
      </c>
      <c r="Q211" s="1">
        <v>-0.03955287336167534</v>
      </c>
      <c r="R211" s="1">
        <v>-0.005826635378413769</v>
      </c>
      <c r="S211" s="1">
        <v>-0.03743200291829984</v>
      </c>
      <c r="T211" s="1">
        <v>-0.01727476506604231</v>
      </c>
      <c r="U211" s="1">
        <v>-0.006251669453697373</v>
      </c>
      <c r="V211" s="1">
        <v>-0.01382225313816321</v>
      </c>
      <c r="W211" s="1">
        <v>-0.006868849273709898</v>
      </c>
      <c r="X211" s="1">
        <v>-0.01322338041100701</v>
      </c>
      <c r="Y211" s="1">
        <v>-0.009147860485491877</v>
      </c>
      <c r="Z211" s="1">
        <v>0.0009317586743453621</v>
      </c>
    </row>
    <row r="212" spans="1:26">
      <c r="A212" s="11">
        <v>42676</v>
      </c>
      <c r="B212" s="1">
        <v>-0.001175973880637282</v>
      </c>
      <c r="C212" s="1">
        <v>-0.0116568295887689</v>
      </c>
      <c r="D212" s="1">
        <v>-0.003199143681864358</v>
      </c>
      <c r="E212" s="1">
        <v>-0.004527431336190824</v>
      </c>
      <c r="F212" s="1">
        <v>0.0003252596322331769</v>
      </c>
      <c r="G212" s="1">
        <v>-0.01733313844817452</v>
      </c>
      <c r="H212" s="1">
        <v>-0.009548516365027182</v>
      </c>
      <c r="I212" s="1">
        <v>0.0007949921544438965</v>
      </c>
      <c r="J212" s="1">
        <v>0.0209057275971134</v>
      </c>
      <c r="K212" s="1">
        <v>0.002181235550882565</v>
      </c>
      <c r="L212" s="1">
        <v>-0.004204615779470733</v>
      </c>
      <c r="M212" s="1">
        <v>-0.00176418761179209</v>
      </c>
      <c r="N212" s="1">
        <v>-0.005498164129883132</v>
      </c>
      <c r="O212" s="1">
        <v>0.001590998385636366</v>
      </c>
      <c r="P212" s="1">
        <v>-0.006187158139308035</v>
      </c>
      <c r="Q212" s="1">
        <v>-0.01119088986652139</v>
      </c>
      <c r="R212" s="1">
        <v>-0.001281961850121638</v>
      </c>
      <c r="S212" s="1">
        <v>-0.002236330358550864</v>
      </c>
      <c r="T212" s="1">
        <v>0.007687807163683891</v>
      </c>
      <c r="U212" s="1">
        <v>-0.005196846662846588</v>
      </c>
      <c r="V212" s="1">
        <v>0.007081621195002885</v>
      </c>
      <c r="W212" s="1">
        <v>-0.001506916302935979</v>
      </c>
      <c r="X212" s="1">
        <v>-0.01390646656315042</v>
      </c>
      <c r="Y212" s="1">
        <v>-0.01510726670330664</v>
      </c>
      <c r="Z212" s="1">
        <v>-0.03970255377673815</v>
      </c>
    </row>
    <row r="213" spans="1:26">
      <c r="A213" s="11">
        <v>42677</v>
      </c>
      <c r="B213" s="1">
        <v>-0.06626296167700807</v>
      </c>
      <c r="C213" s="1">
        <v>-0.005186302627875117</v>
      </c>
      <c r="D213" s="1">
        <v>0.00299544396694218</v>
      </c>
      <c r="E213" s="1">
        <v>-0.007119116194780895</v>
      </c>
      <c r="F213" s="1">
        <v>-0.008459389983618282</v>
      </c>
      <c r="G213" s="1">
        <v>0.01944837415776579</v>
      </c>
      <c r="H213" s="1">
        <v>-0.003213420080143803</v>
      </c>
      <c r="I213" s="1">
        <v>0.001587915239583237</v>
      </c>
      <c r="J213" s="1">
        <v>-0.007508378241855351</v>
      </c>
      <c r="K213" s="1">
        <v>-0.01305927321396894</v>
      </c>
      <c r="L213" s="1">
        <v>-0.004368020089062896</v>
      </c>
      <c r="M213" s="1">
        <v>0.002272172019622154</v>
      </c>
      <c r="N213" s="1">
        <v>-0.0007678006683176086</v>
      </c>
      <c r="O213" s="1">
        <v>0.01080059878111927</v>
      </c>
      <c r="P213" s="1">
        <v>-0.003701865484020517</v>
      </c>
      <c r="Q213" s="1">
        <v>0.002263626472883029</v>
      </c>
      <c r="R213" s="1">
        <v>-0.007152366442030322</v>
      </c>
      <c r="S213" s="1">
        <v>-0.00730783172000482</v>
      </c>
      <c r="T213" s="1">
        <v>-0.003958850050190144</v>
      </c>
      <c r="U213" s="1">
        <v>0.007148798068690843</v>
      </c>
      <c r="V213" s="1">
        <v>-0.02329339485793069</v>
      </c>
      <c r="W213" s="1">
        <v>0.001920239851264327</v>
      </c>
      <c r="X213" s="1">
        <v>0.0005128212244156494</v>
      </c>
      <c r="Y213" s="1">
        <v>-0.001491266529987323</v>
      </c>
      <c r="Z213" s="1">
        <v>0.006783180048538062</v>
      </c>
    </row>
    <row r="214" spans="1:26">
      <c r="A214" s="11">
        <v>42678</v>
      </c>
      <c r="B214" s="1">
        <v>0.01116743007359644</v>
      </c>
      <c r="C214" s="1">
        <v>-0.003428065173863848</v>
      </c>
      <c r="D214" s="1">
        <v>0.002346418973292241</v>
      </c>
      <c r="E214" s="1">
        <v>0.01593359563312702</v>
      </c>
      <c r="F214" s="1">
        <v>-0.004757931633106227</v>
      </c>
      <c r="G214" s="1">
        <v>0.01730271879748901</v>
      </c>
      <c r="H214" s="1">
        <v>-0.002276047025067562</v>
      </c>
      <c r="I214" s="1">
        <v>-0.002717910960802317</v>
      </c>
      <c r="J214" s="1">
        <v>0.01169191049105467</v>
      </c>
      <c r="K214" s="1">
        <v>0.001715663231539155</v>
      </c>
      <c r="L214" s="1">
        <v>-0.009066946521365971</v>
      </c>
      <c r="M214" s="1">
        <v>0.01712872365153739</v>
      </c>
      <c r="N214" s="1">
        <v>-0.01060374416650611</v>
      </c>
      <c r="O214" s="1">
        <v>0.004085681792601381</v>
      </c>
      <c r="P214" s="1">
        <v>-0.008444545215443355</v>
      </c>
      <c r="Q214" s="1">
        <v>-0.009936897503291076</v>
      </c>
      <c r="R214" s="1">
        <v>0.007019252040195711</v>
      </c>
      <c r="S214" s="1">
        <v>0.008244957555650023</v>
      </c>
      <c r="T214" s="1">
        <v>0.004223262457269339</v>
      </c>
      <c r="U214" s="1">
        <v>-0.00354889146545434</v>
      </c>
      <c r="V214" s="1">
        <v>-0.002099781246393428</v>
      </c>
      <c r="W214" s="1">
        <v>0.003354194204137295</v>
      </c>
      <c r="X214" s="1">
        <v>0.001537774185047969</v>
      </c>
      <c r="Y214" s="1">
        <v>0.00448068791259626</v>
      </c>
      <c r="Z214" s="1">
        <v>0.007058019163348916</v>
      </c>
    </row>
    <row r="215" spans="1:26">
      <c r="A215" s="11">
        <v>42681</v>
      </c>
      <c r="B215" s="1">
        <v>0.02333421609753406</v>
      </c>
      <c r="C215" s="1">
        <v>0.02501077963758558</v>
      </c>
      <c r="D215" s="1">
        <v>0.01340707102475691</v>
      </c>
      <c r="E215" s="1">
        <v>0.03156217734314648</v>
      </c>
      <c r="F215" s="1">
        <v>0.01401262433888495</v>
      </c>
      <c r="G215" s="1">
        <v>0.03009156140482649</v>
      </c>
      <c r="H215" s="1">
        <v>0.02356959210099152</v>
      </c>
      <c r="I215" s="1">
        <v>0.01067461660398417</v>
      </c>
      <c r="J215" s="1">
        <v>0.0231136701220962</v>
      </c>
      <c r="K215" s="1">
        <v>0.01687809244392757</v>
      </c>
      <c r="L215" s="1">
        <v>0.03128697297440697</v>
      </c>
      <c r="M215" s="1">
        <v>0.02946967272185952</v>
      </c>
      <c r="N215" s="1">
        <v>0.01382400961940866</v>
      </c>
      <c r="O215" s="1">
        <v>0.01862246846454374</v>
      </c>
      <c r="P215" s="1">
        <v>0.02912594008138458</v>
      </c>
      <c r="Q215" s="1">
        <v>0.01779219776892527</v>
      </c>
      <c r="R215" s="1">
        <v>0.02274397194536837</v>
      </c>
      <c r="S215" s="1">
        <v>0.03061755278937262</v>
      </c>
      <c r="T215" s="1">
        <v>0.02238808670773462</v>
      </c>
      <c r="U215" s="1">
        <v>0.008492965668633223</v>
      </c>
      <c r="V215" s="1">
        <v>0.01503099247126638</v>
      </c>
      <c r="W215" s="1">
        <v>0.03575110356398326</v>
      </c>
      <c r="X215" s="1">
        <v>0.04273251498049002</v>
      </c>
      <c r="Y215" s="1">
        <v>0.008071274072688706</v>
      </c>
      <c r="Z215" s="1">
        <v>0.02739713585571479</v>
      </c>
    </row>
    <row r="216" spans="1:26">
      <c r="A216" s="11">
        <v>42682</v>
      </c>
      <c r="B216" s="1">
        <v>-0.009051529094962207</v>
      </c>
      <c r="C216" s="1">
        <v>0.001831652395809957</v>
      </c>
      <c r="D216" s="1">
        <v>0.009659664924592359</v>
      </c>
      <c r="E216" s="1">
        <v>0.01026238994660744</v>
      </c>
      <c r="F216" s="1">
        <v>0.01642006182710287</v>
      </c>
      <c r="G216" s="1">
        <v>0.003386646533680038</v>
      </c>
      <c r="H216" s="1">
        <v>0.03268338421551564</v>
      </c>
      <c r="I216" s="1">
        <v>-0.0001126799360848807</v>
      </c>
      <c r="J216" s="1">
        <v>0.01528223511241822</v>
      </c>
      <c r="K216" s="1">
        <v>0.05701228434543837</v>
      </c>
      <c r="L216" s="1">
        <v>0.002146681415336582</v>
      </c>
      <c r="M216" s="1">
        <v>0.008660058801598813</v>
      </c>
      <c r="N216" s="1">
        <v>0.008732671892719646</v>
      </c>
      <c r="O216" s="1">
        <v>0.004455266297783922</v>
      </c>
      <c r="P216" s="1">
        <v>0.0008278419391423153</v>
      </c>
      <c r="Q216" s="1">
        <v>0.01210201597215055</v>
      </c>
      <c r="R216" s="1">
        <v>-0.003587191832199355</v>
      </c>
      <c r="S216" s="1">
        <v>0.02196173831585457</v>
      </c>
      <c r="T216" s="1">
        <v>0.01701795260709127</v>
      </c>
      <c r="U216" s="1">
        <v>0.00488983711189106</v>
      </c>
      <c r="V216" s="1">
        <v>-0.007108066063327811</v>
      </c>
      <c r="W216" s="1">
        <v>0.00494070134735769</v>
      </c>
      <c r="X216" s="1">
        <v>-0.0004907034788818043</v>
      </c>
      <c r="Y216" s="1">
        <v>0.004003325102242217</v>
      </c>
      <c r="Z216" s="1">
        <v>0.004651356999010092</v>
      </c>
    </row>
    <row r="217" spans="1:26">
      <c r="A217" s="11">
        <v>42683</v>
      </c>
      <c r="B217" s="1">
        <v>0.01914656212226107</v>
      </c>
      <c r="C217" s="1">
        <v>0.02032337027285092</v>
      </c>
      <c r="D217" s="1">
        <v>-0.03078196836714076</v>
      </c>
      <c r="E217" s="1">
        <v>0.05906671215170478</v>
      </c>
      <c r="F217" s="1">
        <v>0.01487527011155687</v>
      </c>
      <c r="G217" s="1">
        <v>-0.02067504976096846</v>
      </c>
      <c r="H217" s="1">
        <v>-0.01168853506844902</v>
      </c>
      <c r="I217" s="1">
        <v>0.0125859406106823</v>
      </c>
      <c r="J217" s="1">
        <v>0.01897925432665293</v>
      </c>
      <c r="K217" s="1">
        <v>-0.002275570913584879</v>
      </c>
      <c r="L217" s="1">
        <v>0.04598005837927088</v>
      </c>
      <c r="M217" s="1">
        <v>0.01049394972757911</v>
      </c>
      <c r="N217" s="1">
        <v>-0.02733890637227721</v>
      </c>
      <c r="O217" s="1">
        <v>0.02340202517100143</v>
      </c>
      <c r="P217" s="1">
        <v>-0.004961238063126538</v>
      </c>
      <c r="Q217" s="1">
        <v>-0.0141716973865923</v>
      </c>
      <c r="R217" s="1">
        <v>0.04319705809294727</v>
      </c>
      <c r="S217" s="1">
        <v>0.004990962880762062</v>
      </c>
      <c r="T217" s="1">
        <v>0.02200733024131241</v>
      </c>
      <c r="U217" s="1">
        <v>0.01216554600550035</v>
      </c>
      <c r="V217" s="1">
        <v>0.02624890313684425</v>
      </c>
      <c r="W217" s="1">
        <v>-0.003343216982838459</v>
      </c>
      <c r="X217" s="1">
        <v>0.05278662900197251</v>
      </c>
      <c r="Y217" s="1">
        <v>0.004407409393178074</v>
      </c>
      <c r="Z217" s="1">
        <v>0.06851828645752112</v>
      </c>
    </row>
    <row r="218" spans="1:26">
      <c r="A218" s="11">
        <v>42684</v>
      </c>
      <c r="B218" s="1">
        <v>0.005170739906005695</v>
      </c>
      <c r="C218" s="1">
        <v>0.01792011183494635</v>
      </c>
      <c r="D218" s="1">
        <v>0.02660933553034805</v>
      </c>
      <c r="E218" s="1">
        <v>0.006394753843703693</v>
      </c>
      <c r="F218" s="1">
        <v>0.02600437645320985</v>
      </c>
      <c r="G218" s="1">
        <v>-0.003877603111947181</v>
      </c>
      <c r="H218" s="1">
        <v>-0.03002176950126612</v>
      </c>
      <c r="I218" s="1">
        <v>0.006547395374751241</v>
      </c>
      <c r="J218" s="1">
        <v>-0.005137939620587062</v>
      </c>
      <c r="K218" s="1">
        <v>0.03216244450955297</v>
      </c>
      <c r="L218" s="1">
        <v>0.04641610374709382</v>
      </c>
      <c r="M218" s="1">
        <v>0.02997409668613704</v>
      </c>
      <c r="N218" s="1">
        <v>-0.0362271582242718</v>
      </c>
      <c r="O218" s="1">
        <v>0.01330131049669836</v>
      </c>
      <c r="P218" s="1">
        <v>-0.02443080466151581</v>
      </c>
      <c r="Q218" s="1">
        <v>-0.0327942408984232</v>
      </c>
      <c r="R218" s="1">
        <v>0.04089014968388294</v>
      </c>
      <c r="S218" s="1">
        <v>-0.01250787890444072</v>
      </c>
      <c r="T218" s="1">
        <v>0.02820698758880491</v>
      </c>
      <c r="U218" s="1">
        <v>-0.02323722265097694</v>
      </c>
      <c r="V218" s="1">
        <v>0.02514169005058653</v>
      </c>
      <c r="W218" s="1">
        <v>0.01512658377474252</v>
      </c>
      <c r="X218" s="1">
        <v>0.02798520766040768</v>
      </c>
      <c r="Y218" s="1">
        <v>-0.02444646539166129</v>
      </c>
      <c r="Z218" s="1">
        <v>0.05719198440910445</v>
      </c>
    </row>
    <row r="219" spans="1:26">
      <c r="A219" s="11">
        <v>42685</v>
      </c>
      <c r="B219" s="1">
        <v>-0.01028802970967813</v>
      </c>
      <c r="C219" s="1">
        <v>0.005619896967069771</v>
      </c>
      <c r="D219" s="1">
        <v>-0.0213207771053795</v>
      </c>
      <c r="E219" s="1">
        <v>-0.005118445177992093</v>
      </c>
      <c r="F219" s="1">
        <v>0.02089139156478526</v>
      </c>
      <c r="G219" s="1">
        <v>-0.008650676346475428</v>
      </c>
      <c r="H219" s="1">
        <v>0.003564329737940408</v>
      </c>
      <c r="I219" s="1">
        <v>0.004409988059832504</v>
      </c>
      <c r="J219" s="1">
        <v>0.02130361891008392</v>
      </c>
      <c r="K219" s="1">
        <v>-0.02408844308178193</v>
      </c>
      <c r="L219" s="1">
        <v>0.0005224747684720032</v>
      </c>
      <c r="M219" s="1">
        <v>0.00458253702216127</v>
      </c>
      <c r="N219" s="1">
        <v>0.0006478438028116873</v>
      </c>
      <c r="O219" s="1">
        <v>-0.000294948501991521</v>
      </c>
      <c r="P219" s="1">
        <v>0.005451368671393286</v>
      </c>
      <c r="Q219" s="1">
        <v>-0.005573730083448525</v>
      </c>
      <c r="R219" s="1">
        <v>-0.0192277451923486</v>
      </c>
      <c r="S219" s="1">
        <v>-0.002607722298252901</v>
      </c>
      <c r="T219" s="1">
        <v>-0.01226385339925906</v>
      </c>
      <c r="U219" s="1">
        <v>-0.001640438018929102</v>
      </c>
      <c r="V219" s="1">
        <v>0.01148286065718418</v>
      </c>
      <c r="W219" s="1">
        <v>-0.02008407509564114</v>
      </c>
      <c r="X219" s="1">
        <v>0.01429230375288948</v>
      </c>
      <c r="Y219" s="1">
        <v>0</v>
      </c>
      <c r="Z219" s="1">
        <v>0.01010970178890491</v>
      </c>
    </row>
    <row r="220" spans="1:26">
      <c r="A220" s="11">
        <v>42688</v>
      </c>
      <c r="B220" s="1">
        <v>0.02096322345461776</v>
      </c>
      <c r="C220" s="1">
        <v>0.009897873089234288</v>
      </c>
      <c r="D220" s="1">
        <v>-0.03844512220035323</v>
      </c>
      <c r="E220" s="1">
        <v>0.003370487115453846</v>
      </c>
      <c r="F220" s="1">
        <v>0.01203705095653773</v>
      </c>
      <c r="G220" s="1">
        <v>0.01314969313523107</v>
      </c>
      <c r="H220" s="1">
        <v>0.0183177472925955</v>
      </c>
      <c r="I220" s="1">
        <v>0.005708105603561275</v>
      </c>
      <c r="J220" s="1">
        <v>0.01769925063434719</v>
      </c>
      <c r="K220" s="1">
        <v>-0.002038100675979759</v>
      </c>
      <c r="L220" s="1">
        <v>0.03677082553953426</v>
      </c>
      <c r="M220" s="1">
        <v>0.03444377300282642</v>
      </c>
      <c r="N220" s="1">
        <v>-0.009228915544206351</v>
      </c>
      <c r="O220" s="1">
        <v>-0.002508301999560758</v>
      </c>
      <c r="P220" s="1">
        <v>-0.01524865168019995</v>
      </c>
      <c r="Q220" s="1">
        <v>0.007005833453480825</v>
      </c>
      <c r="R220" s="1">
        <v>0.006421993248939106</v>
      </c>
      <c r="S220" s="1">
        <v>0.0105986464805552</v>
      </c>
      <c r="T220" s="1">
        <v>0.006188804968288553</v>
      </c>
      <c r="U220" s="1">
        <v>-0.01040833514562967</v>
      </c>
      <c r="V220" s="1">
        <v>0.02007079180731042</v>
      </c>
      <c r="W220" s="1">
        <v>-0.02135533501978337</v>
      </c>
      <c r="X220" s="1">
        <v>0.009617461242686032</v>
      </c>
      <c r="Y220" s="1">
        <v>-0.01092288862603552</v>
      </c>
      <c r="Z220" s="1">
        <v>0.04174551627893908</v>
      </c>
    </row>
    <row r="221" spans="1:26">
      <c r="A221" s="11">
        <v>42689</v>
      </c>
      <c r="B221" s="1">
        <v>0.07568285124576857</v>
      </c>
      <c r="C221" s="1">
        <v>-0.01253403847860934</v>
      </c>
      <c r="D221" s="1">
        <v>0.02332319828310547</v>
      </c>
      <c r="E221" s="1">
        <v>0.002298512901906413</v>
      </c>
      <c r="F221" s="1">
        <v>-0.004162554382225458</v>
      </c>
      <c r="G221" s="1">
        <v>0.01350181858028621</v>
      </c>
      <c r="H221" s="1">
        <v>0.008443087261717608</v>
      </c>
      <c r="I221" s="1">
        <v>-0.004038398818593358</v>
      </c>
      <c r="J221" s="1">
        <v>-0.0142858188523235</v>
      </c>
      <c r="K221" s="1">
        <v>0.009757263346012124</v>
      </c>
      <c r="L221" s="1">
        <v>-0.001886372974690409</v>
      </c>
      <c r="M221" s="1">
        <v>0.0198455184780606</v>
      </c>
      <c r="N221" s="1">
        <v>0.01013242929931968</v>
      </c>
      <c r="O221" s="1">
        <v>0.001775132424731929</v>
      </c>
      <c r="P221" s="1">
        <v>0.01974683387115728</v>
      </c>
      <c r="Q221" s="1">
        <v>0.01623418326647053</v>
      </c>
      <c r="R221" s="1">
        <v>0.01813605935844054</v>
      </c>
      <c r="S221" s="1">
        <v>-0.02000464498262777</v>
      </c>
      <c r="T221" s="1">
        <v>0.008922137672052077</v>
      </c>
      <c r="U221" s="1">
        <v>0.01771402480564532</v>
      </c>
      <c r="V221" s="1">
        <v>-0.01011497304577347</v>
      </c>
      <c r="W221" s="1">
        <v>0.00432371533257192</v>
      </c>
      <c r="X221" s="1">
        <v>-0.000221276412088578</v>
      </c>
      <c r="Y221" s="1">
        <v>0.02576859966891831</v>
      </c>
      <c r="Z221" s="1">
        <v>0.008587405077530974</v>
      </c>
    </row>
    <row r="222" spans="1:26">
      <c r="A222" s="11">
        <v>42690</v>
      </c>
      <c r="B222" s="1">
        <v>-0.01482869232104211</v>
      </c>
      <c r="C222" s="1">
        <v>-0.0112756994863964</v>
      </c>
      <c r="D222" s="1">
        <v>-0.0006514293108426106</v>
      </c>
      <c r="E222" s="1">
        <v>-0.00864342533254836</v>
      </c>
      <c r="F222" s="1">
        <v>0.007315056304116441</v>
      </c>
      <c r="G222" s="1">
        <v>-0.002148448101668032</v>
      </c>
      <c r="H222" s="1">
        <v>-0.008918620712655922</v>
      </c>
      <c r="I222" s="1">
        <v>0</v>
      </c>
      <c r="J222" s="1">
        <v>-0.004410724059128457</v>
      </c>
      <c r="K222" s="1">
        <v>0.0002248321148614618</v>
      </c>
      <c r="L222" s="1">
        <v>-0.02469791370122576</v>
      </c>
      <c r="M222" s="1">
        <v>-0.008648708706549768</v>
      </c>
      <c r="N222" s="1">
        <v>0.01375177480131162</v>
      </c>
      <c r="O222" s="1">
        <v>-0.0004430467712599473</v>
      </c>
      <c r="P222" s="1">
        <v>0.01324958379409313</v>
      </c>
      <c r="Q222" s="1">
        <v>-0.007302648694303082</v>
      </c>
      <c r="R222" s="1">
        <v>-0.001490109162405995</v>
      </c>
      <c r="S222" s="1">
        <v>-0.01843291686083992</v>
      </c>
      <c r="T222" s="1">
        <v>-0.01098529625212319</v>
      </c>
      <c r="U222" s="1">
        <v>0.01033453455663236</v>
      </c>
      <c r="V222" s="1">
        <v>0.0642497303412537</v>
      </c>
      <c r="W222" s="1">
        <v>0.005583052860819615</v>
      </c>
      <c r="X222" s="1">
        <v>-0.01130112774877312</v>
      </c>
      <c r="Y222" s="1">
        <v>0.01182176539035895</v>
      </c>
      <c r="Z222" s="1">
        <v>-0.03354004199705618</v>
      </c>
    </row>
    <row r="223" spans="1:26">
      <c r="A223" s="11">
        <v>42691</v>
      </c>
      <c r="B223" s="1">
        <v>-0.01681349002582522</v>
      </c>
      <c r="C223" s="1">
        <v>-0.007579783901309534</v>
      </c>
      <c r="D223" s="1">
        <v>0.02302341185728718</v>
      </c>
      <c r="E223" s="1">
        <v>0.008540829358947066</v>
      </c>
      <c r="F223" s="1">
        <v>0.01511782747836898</v>
      </c>
      <c r="G223" s="1">
        <v>0</v>
      </c>
      <c r="H223" s="1">
        <v>-0.004224120663408382</v>
      </c>
      <c r="I223" s="1">
        <v>0.005698916462162806</v>
      </c>
      <c r="J223" s="1">
        <v>0.005696199956739978</v>
      </c>
      <c r="K223" s="1">
        <v>0.005167309184231694</v>
      </c>
      <c r="L223" s="1">
        <v>0.008010692122501162</v>
      </c>
      <c r="M223" s="1">
        <v>0.01832054123687543</v>
      </c>
      <c r="N223" s="1">
        <v>0.002393831849663908</v>
      </c>
      <c r="O223" s="1">
        <v>0.02023611909649681</v>
      </c>
      <c r="P223" s="1">
        <v>0.01659693273723262</v>
      </c>
      <c r="Q223" s="1">
        <v>-0.006437040361518709</v>
      </c>
      <c r="R223" s="1">
        <v>-0.004643409194437509</v>
      </c>
      <c r="S223" s="1">
        <v>-0.01729029654856329</v>
      </c>
      <c r="T223" s="1">
        <v>0.002786465802959492</v>
      </c>
      <c r="U223" s="1">
        <v>0.006998902732338275</v>
      </c>
      <c r="V223" s="1">
        <v>0.00131517390286584</v>
      </c>
      <c r="W223" s="1">
        <v>-0.004080642620885144</v>
      </c>
      <c r="X223" s="1">
        <v>-0.001120488849862489</v>
      </c>
      <c r="Y223" s="1">
        <v>-0.001877720091335466</v>
      </c>
      <c r="Z223" s="1">
        <v>0.01201281652788011</v>
      </c>
    </row>
    <row r="224" spans="1:26">
      <c r="A224" s="11">
        <v>42692</v>
      </c>
      <c r="B224" s="1">
        <v>0.01107476321124312</v>
      </c>
      <c r="C224" s="1">
        <v>0.007018453790781587</v>
      </c>
      <c r="D224" s="1">
        <v>-0.002547885127831551</v>
      </c>
      <c r="E224" s="1">
        <v>0.001411208774468209</v>
      </c>
      <c r="F224" s="1">
        <v>-0.002190120686966668</v>
      </c>
      <c r="G224" s="1">
        <v>0.005167864757624097</v>
      </c>
      <c r="H224" s="1">
        <v>0.0001847600980142694</v>
      </c>
      <c r="I224" s="1">
        <v>0.002070295780600029</v>
      </c>
      <c r="J224" s="1">
        <v>-0.001258765044964472</v>
      </c>
      <c r="K224" s="1">
        <v>-0.0006704535564711067</v>
      </c>
      <c r="L224" s="1">
        <v>-0.00397319980836619</v>
      </c>
      <c r="M224" s="1">
        <v>0.007924695233020751</v>
      </c>
      <c r="N224" s="1">
        <v>-0.0006367219459005868</v>
      </c>
      <c r="O224" s="1">
        <v>0.002316791329394219</v>
      </c>
      <c r="P224" s="1">
        <v>-0.004782611938733639</v>
      </c>
      <c r="Q224" s="1">
        <v>0.00462775192619258</v>
      </c>
      <c r="R224" s="1">
        <v>-0.003998846601945161</v>
      </c>
      <c r="S224" s="1">
        <v>-0.003128009740065552</v>
      </c>
      <c r="T224" s="1">
        <v>-0.009211787372977231</v>
      </c>
      <c r="U224" s="1">
        <v>0.004009207673060899</v>
      </c>
      <c r="V224" s="1">
        <v>0.0007882691384684115</v>
      </c>
      <c r="W224" s="1">
        <v>-0.02062050233229773</v>
      </c>
      <c r="X224" s="1">
        <v>-0.007404181109121555</v>
      </c>
      <c r="Y224" s="1">
        <v>0.004807742942517956</v>
      </c>
      <c r="Z224" s="1">
        <v>0.007913570490308386</v>
      </c>
    </row>
    <row r="225" spans="1:26">
      <c r="A225" s="11">
        <v>42695</v>
      </c>
      <c r="B225" s="1">
        <v>0.01916888395911664</v>
      </c>
      <c r="C225" s="1">
        <v>0.004577948545113397</v>
      </c>
      <c r="D225" s="1">
        <v>0.001702897387624969</v>
      </c>
      <c r="E225" s="1">
        <v>-0.0005283136502607366</v>
      </c>
      <c r="F225" s="1">
        <v>-0.002048501857486396</v>
      </c>
      <c r="G225" s="1">
        <v>0.007711942858723786</v>
      </c>
      <c r="H225" s="1">
        <v>0.01493595429012728</v>
      </c>
      <c r="I225" s="1">
        <v>0.003697273858196182</v>
      </c>
      <c r="J225" s="1">
        <v>0.00819160988643497</v>
      </c>
      <c r="K225" s="1">
        <v>0.003131378002802387</v>
      </c>
      <c r="L225" s="1">
        <v>0.004375353941117543</v>
      </c>
      <c r="M225" s="1">
        <v>0.006374953993687482</v>
      </c>
      <c r="N225" s="1">
        <v>0.01465623250037629</v>
      </c>
      <c r="O225" s="1">
        <v>-0.0002889866451875056</v>
      </c>
      <c r="P225" s="1">
        <v>0.00845089005506594</v>
      </c>
      <c r="Q225" s="1">
        <v>0.008290826801252038</v>
      </c>
      <c r="R225" s="1">
        <v>0.006022146993400312</v>
      </c>
      <c r="S225" s="1">
        <v>-0.01000130616787698</v>
      </c>
      <c r="T225" s="1">
        <v>0.02247478375649803</v>
      </c>
      <c r="U225" s="1">
        <v>0.004792329508224169</v>
      </c>
      <c r="V225" s="1">
        <v>0.004199718267112074</v>
      </c>
      <c r="W225" s="1">
        <v>0.002468925811653699</v>
      </c>
      <c r="X225" s="1">
        <v>0.00723328443223914</v>
      </c>
      <c r="Y225" s="1">
        <v>0.004992423647893984</v>
      </c>
      <c r="Z225" s="1">
        <v>0.008636647819715515</v>
      </c>
    </row>
    <row r="226" spans="1:26">
      <c r="A226" s="11">
        <v>42696</v>
      </c>
      <c r="B226" s="1">
        <v>-0.01264420633876284</v>
      </c>
      <c r="C226" s="1">
        <v>0.01700436129818028</v>
      </c>
      <c r="D226" s="1">
        <v>-0.01869945983350696</v>
      </c>
      <c r="E226" s="1">
        <v>-0.003173092970069291</v>
      </c>
      <c r="F226" s="1">
        <v>0.01202363600587963</v>
      </c>
      <c r="G226" s="1">
        <v>0.004251879625234434</v>
      </c>
      <c r="H226" s="1">
        <v>0.03597387890010784</v>
      </c>
      <c r="I226" s="1">
        <v>-0.003141745195861079</v>
      </c>
      <c r="J226" s="1">
        <v>-0.00312502667869019</v>
      </c>
      <c r="K226" s="1">
        <v>0.008918442455157161</v>
      </c>
      <c r="L226" s="1">
        <v>0.006149913092469372</v>
      </c>
      <c r="M226" s="1">
        <v>-0.005489706572229469</v>
      </c>
      <c r="N226" s="1">
        <v>0.00816486694182772</v>
      </c>
      <c r="O226" s="1">
        <v>0.002745285224184491</v>
      </c>
      <c r="P226" s="1">
        <v>0.004272139440118394</v>
      </c>
      <c r="Q226" s="1">
        <v>-0.002740944183187932</v>
      </c>
      <c r="R226" s="1">
        <v>0.01014334271258988</v>
      </c>
      <c r="S226" s="1">
        <v>0.01569838746001206</v>
      </c>
      <c r="T226" s="1">
        <v>0.009919642889850255</v>
      </c>
      <c r="U226" s="1">
        <v>0.02146252759892531</v>
      </c>
      <c r="V226" s="1">
        <v>0.01777582488349827</v>
      </c>
      <c r="W226" s="1">
        <v>-0.02168708442037226</v>
      </c>
      <c r="X226" s="1">
        <v>0.01458718313370611</v>
      </c>
      <c r="Y226" s="1">
        <v>0.02442587993746259</v>
      </c>
      <c r="Z226" s="1">
        <v>0.003113419622861047</v>
      </c>
    </row>
    <row r="227" spans="1:26">
      <c r="A227" s="11">
        <v>42697</v>
      </c>
      <c r="B227" s="1">
        <v>0.01888910992241088</v>
      </c>
      <c r="C227" s="1">
        <v>0.001471432870498335</v>
      </c>
      <c r="D227" s="1">
        <v>0.008228574335144456</v>
      </c>
      <c r="E227" s="1">
        <v>0.003537095651673372</v>
      </c>
      <c r="F227" s="1">
        <v>-0.000869214294731524</v>
      </c>
      <c r="G227" s="1">
        <v>-0.0004235620292378783</v>
      </c>
      <c r="H227" s="1">
        <v>-0.003507721923161622</v>
      </c>
      <c r="I227" s="1">
        <v>0.1104226195682458</v>
      </c>
      <c r="J227" s="1">
        <v>-0.0677114901504996</v>
      </c>
      <c r="K227" s="1">
        <v>0.007955919076817475</v>
      </c>
      <c r="L227" s="1">
        <v>0.004201908357304385</v>
      </c>
      <c r="M227" s="1">
        <v>0.005732346085765005</v>
      </c>
      <c r="N227" s="1">
        <v>-0.002959298855261805</v>
      </c>
      <c r="O227" s="1">
        <v>0.0008645107338749458</v>
      </c>
      <c r="P227" s="1">
        <v>-0.01178021327427825</v>
      </c>
      <c r="Q227" s="1">
        <v>-0.008703204419072685</v>
      </c>
      <c r="R227" s="1">
        <v>0.02024700948734792</v>
      </c>
      <c r="S227" s="1">
        <v>-0.001657830432686636</v>
      </c>
      <c r="T227" s="1">
        <v>0.01350535283849208</v>
      </c>
      <c r="U227" s="1">
        <v>0.004669711778033658</v>
      </c>
      <c r="V227" s="1">
        <v>0.007833584130183091</v>
      </c>
      <c r="W227" s="1">
        <v>0.003566612850607553</v>
      </c>
      <c r="X227" s="1">
        <v>0.01260776295100552</v>
      </c>
      <c r="Y227" s="1">
        <v>0.01495241993567231</v>
      </c>
      <c r="Z227" s="1">
        <v>0.01189860861179382</v>
      </c>
    </row>
    <row r="228" spans="1:26">
      <c r="A228" s="11">
        <v>42699</v>
      </c>
      <c r="B228" s="1">
        <v>-0.01272577383591067</v>
      </c>
      <c r="C228" s="1">
        <v>0.002003651195431333</v>
      </c>
      <c r="D228" s="1">
        <v>0.003436612618073598</v>
      </c>
      <c r="E228" s="1">
        <v>0.004052747402025325</v>
      </c>
      <c r="F228" s="1">
        <v>0.002900130377380572</v>
      </c>
      <c r="G228" s="1">
        <v>0.01440078276138035</v>
      </c>
      <c r="H228" s="1">
        <v>0.01231971485489991</v>
      </c>
      <c r="I228" s="1">
        <v>0.01712803512720829</v>
      </c>
      <c r="J228" s="1">
        <v>0.0208474837287338</v>
      </c>
      <c r="K228" s="1">
        <v>0.006139175892053483</v>
      </c>
      <c r="L228" s="1">
        <v>-0.0003804216803509064</v>
      </c>
      <c r="M228" s="1">
        <v>0.001688643616432062</v>
      </c>
      <c r="N228" s="1">
        <v>0.007185658840888953</v>
      </c>
      <c r="O228" s="1">
        <v>0.004462867419317673</v>
      </c>
      <c r="P228" s="1">
        <v>0.002152302628232405</v>
      </c>
      <c r="Q228" s="1">
        <v>0.02310510828025714</v>
      </c>
      <c r="R228" s="1">
        <v>0.0003224129988363966</v>
      </c>
      <c r="S228" s="1">
        <v>0.004737245066052553</v>
      </c>
      <c r="T228" s="1">
        <v>0.009397854561845831</v>
      </c>
      <c r="U228" s="1">
        <v>0.01239313837655409</v>
      </c>
      <c r="V228" s="1">
        <v>0.001656416471319533</v>
      </c>
      <c r="W228" s="1">
        <v>0.00466839835249222</v>
      </c>
      <c r="X228" s="1">
        <v>0.003713670922586676</v>
      </c>
      <c r="Y228" s="1">
        <v>0.008759627510872114</v>
      </c>
      <c r="Z228" s="1">
        <v>-0.0005113831778698064</v>
      </c>
    </row>
    <row r="229" spans="1:26">
      <c r="A229" s="11">
        <v>42702</v>
      </c>
      <c r="B229" s="1">
        <v>-0.02371102128956704</v>
      </c>
      <c r="C229" s="1">
        <v>-0.001799570454839583</v>
      </c>
      <c r="D229" s="1">
        <v>-0.002354644862650135</v>
      </c>
      <c r="E229" s="1">
        <v>-0.008248775706719225</v>
      </c>
      <c r="F229" s="1">
        <v>-0.01229042497679678</v>
      </c>
      <c r="G229" s="1">
        <v>0.009185566554084312</v>
      </c>
      <c r="H229" s="1">
        <v>-0.002607662422385193</v>
      </c>
      <c r="I229" s="1">
        <v>-0.02136256266985659</v>
      </c>
      <c r="J229" s="1">
        <v>-0.006587758246960229</v>
      </c>
      <c r="K229" s="1">
        <v>-0.02004860015856513</v>
      </c>
      <c r="L229" s="1">
        <v>-0.006469504793131686</v>
      </c>
      <c r="M229" s="1">
        <v>0.00147548182039503</v>
      </c>
      <c r="N229" s="1">
        <v>0.005427948851857378</v>
      </c>
      <c r="O229" s="1">
        <v>-0.01232584728095598</v>
      </c>
      <c r="P229" s="1">
        <v>0.001321600530360234</v>
      </c>
      <c r="Q229" s="1">
        <v>0.003161825611022628</v>
      </c>
      <c r="R229" s="1">
        <v>-0.0161290514212028</v>
      </c>
      <c r="S229" s="1">
        <v>0.01827650193205987</v>
      </c>
      <c r="T229" s="1">
        <v>-0.003455041638870116</v>
      </c>
      <c r="U229" s="1">
        <v>0.008416205009426747</v>
      </c>
      <c r="V229" s="1">
        <v>-0.01132185887230186</v>
      </c>
      <c r="W229" s="1">
        <v>-0.02677193146335033</v>
      </c>
      <c r="X229" s="1">
        <v>-0.005440871522008894</v>
      </c>
      <c r="Y229" s="1">
        <v>0.008880972933321685</v>
      </c>
      <c r="Z229" s="1">
        <v>-0.01764667936597353</v>
      </c>
    </row>
    <row r="230" spans="1:26">
      <c r="A230" s="11">
        <v>42703</v>
      </c>
      <c r="B230" s="1">
        <v>-0.009942940833104097</v>
      </c>
      <c r="C230" s="1">
        <v>0.01248564044757638</v>
      </c>
      <c r="D230" s="1">
        <v>-0.03969077990139991</v>
      </c>
      <c r="E230" s="1">
        <v>-0.002654217759154309</v>
      </c>
      <c r="F230" s="1">
        <v>0.02678986013296969</v>
      </c>
      <c r="G230" s="1">
        <v>-0.003309581053550503</v>
      </c>
      <c r="H230" s="1">
        <v>0.004880964873858584</v>
      </c>
      <c r="I230" s="1">
        <v>-0.0132743718382291</v>
      </c>
      <c r="J230" s="1">
        <v>0.004642055622612551</v>
      </c>
      <c r="K230" s="1">
        <v>0.00911765938824427</v>
      </c>
      <c r="L230" s="1">
        <v>0.007660765520631108</v>
      </c>
      <c r="M230" s="1">
        <v>-0.005892232332844527</v>
      </c>
      <c r="N230" s="1">
        <v>0.005398528214758391</v>
      </c>
      <c r="O230" s="1">
        <v>0.001015658200552938</v>
      </c>
      <c r="P230" s="1">
        <v>0.007919559667751264</v>
      </c>
      <c r="Q230" s="1">
        <v>0.00720371566979261</v>
      </c>
      <c r="R230" s="1">
        <v>0.004425891360471779</v>
      </c>
      <c r="S230" s="1">
        <v>0.0005729961454077337</v>
      </c>
      <c r="T230" s="1">
        <v>0.00839377629526572</v>
      </c>
      <c r="U230" s="1">
        <v>-0.001517407767307133</v>
      </c>
      <c r="V230" s="1">
        <v>0.008878162312262017</v>
      </c>
      <c r="W230" s="1">
        <v>0.006770320441922273</v>
      </c>
      <c r="X230" s="1">
        <v>0.006126754302976156</v>
      </c>
      <c r="Y230" s="1">
        <v>-0.003129811254760084</v>
      </c>
      <c r="Z230" s="1">
        <v>0.002343166148949916</v>
      </c>
    </row>
    <row r="231" spans="1:26">
      <c r="A231" s="11">
        <v>42704</v>
      </c>
      <c r="B231" s="1">
        <v>0.08577545708589018</v>
      </c>
      <c r="C231" s="1">
        <v>-0.007122115045242849</v>
      </c>
      <c r="D231" s="1">
        <v>-0.00582603013052585</v>
      </c>
      <c r="E231" s="1">
        <v>0.001419607664335798</v>
      </c>
      <c r="F231" s="1">
        <v>-0.008982099450761116</v>
      </c>
      <c r="G231" s="1">
        <v>-0.009547481865807339</v>
      </c>
      <c r="H231" s="1">
        <v>-0.01318323944188227</v>
      </c>
      <c r="I231" s="1">
        <v>-0.001494782203673828</v>
      </c>
      <c r="J231" s="1">
        <v>0.01650143370243318</v>
      </c>
      <c r="K231" s="1">
        <v>-0.008814388054697586</v>
      </c>
      <c r="L231" s="1">
        <v>0.01583931012730044</v>
      </c>
      <c r="M231" s="1">
        <v>-0.01333635354047535</v>
      </c>
      <c r="N231" s="1">
        <v>-0.01917757943461873</v>
      </c>
      <c r="O231" s="1">
        <v>0.004783890592382933</v>
      </c>
      <c r="P231" s="1">
        <v>-0.01358639392223193</v>
      </c>
      <c r="Q231" s="1">
        <v>-0.01922245029172132</v>
      </c>
      <c r="R231" s="1">
        <v>0.01436252698346463</v>
      </c>
      <c r="S231" s="1">
        <v>-0.001479374203909201</v>
      </c>
      <c r="T231" s="1">
        <v>-0.02768532158305592</v>
      </c>
      <c r="U231" s="1">
        <v>-0.02152983720974044</v>
      </c>
      <c r="V231" s="1">
        <v>-0.01492196982584904</v>
      </c>
      <c r="W231" s="1">
        <v>-0.008211485702012467</v>
      </c>
      <c r="X231" s="1">
        <v>0.001087515122941918</v>
      </c>
      <c r="Y231" s="1">
        <v>-0.02080025047637735</v>
      </c>
      <c r="Z231" s="1">
        <v>0.03350647345697899</v>
      </c>
    </row>
    <row r="232" spans="1:26">
      <c r="A232" s="11">
        <v>42705</v>
      </c>
      <c r="B232" s="1">
        <v>-0.01228203686721274</v>
      </c>
      <c r="C232" s="1">
        <v>0.01215472222228287</v>
      </c>
      <c r="D232" s="1">
        <v>-0.0166777504426846</v>
      </c>
      <c r="E232" s="1">
        <v>-0.01133960434662329</v>
      </c>
      <c r="F232" s="1">
        <v>0.005035164982806428</v>
      </c>
      <c r="G232" s="1">
        <v>-0.002514623262577897</v>
      </c>
      <c r="H232" s="1">
        <v>0.004569969029653009</v>
      </c>
      <c r="I232" s="1">
        <v>0.02495015474170215</v>
      </c>
      <c r="J232" s="1">
        <v>-0.02207788413226153</v>
      </c>
      <c r="K232" s="1">
        <v>0.01667422537013374</v>
      </c>
      <c r="L232" s="1">
        <v>0.02020641068795714</v>
      </c>
      <c r="M232" s="1">
        <v>0.009869135403518525</v>
      </c>
      <c r="N232" s="1">
        <v>-0.01626741722854341</v>
      </c>
      <c r="O232" s="1">
        <v>-0.005915270037381459</v>
      </c>
      <c r="P232" s="1">
        <v>-0.01759067416401072</v>
      </c>
      <c r="Q232" s="1">
        <v>-0.01048266401190467</v>
      </c>
      <c r="R232" s="1">
        <v>0.01432055680299205</v>
      </c>
      <c r="S232" s="1">
        <v>-0.006879579651051571</v>
      </c>
      <c r="T232" s="1">
        <v>-0.01038430951915514</v>
      </c>
      <c r="U232" s="1">
        <v>0.00647171820118575</v>
      </c>
      <c r="V232" s="1">
        <v>0.007509639037349247</v>
      </c>
      <c r="W232" s="1">
        <v>-0.003425525023664222</v>
      </c>
      <c r="X232" s="1">
        <v>0.04019132439582562</v>
      </c>
      <c r="Y232" s="1">
        <v>-0.000601757309988793</v>
      </c>
      <c r="Z232" s="1">
        <v>0.01558159652124558</v>
      </c>
    </row>
    <row r="233" spans="1:26">
      <c r="A233" s="11">
        <v>42706</v>
      </c>
      <c r="B233" s="1">
        <v>-0.0004606163608102953</v>
      </c>
      <c r="C233" s="1">
        <v>-0.0009186332430756172</v>
      </c>
      <c r="D233" s="1">
        <v>0.008709826676807975</v>
      </c>
      <c r="E233" s="1">
        <v>0.002867318887072923</v>
      </c>
      <c r="F233" s="1">
        <v>-0.01545938693110349</v>
      </c>
      <c r="G233" s="1">
        <v>0.01260470457892526</v>
      </c>
      <c r="H233" s="1">
        <v>0.008398925487160591</v>
      </c>
      <c r="I233" s="1">
        <v>-0.0116845396575066</v>
      </c>
      <c r="J233" s="1">
        <v>0.00398397305164977</v>
      </c>
      <c r="K233" s="1">
        <v>-0.008966020457358725</v>
      </c>
      <c r="L233" s="1">
        <v>-0.002322826167597603</v>
      </c>
      <c r="M233" s="1">
        <v>0.0178457850199587</v>
      </c>
      <c r="N233" s="1">
        <v>0.01749074235145454</v>
      </c>
      <c r="O233" s="1">
        <v>-0.007402519187623025</v>
      </c>
      <c r="P233" s="1">
        <v>0.0008447106903728407</v>
      </c>
      <c r="Q233" s="1">
        <v>-0.0009213228637807713</v>
      </c>
      <c r="R233" s="1">
        <v>0.000951754530036153</v>
      </c>
      <c r="S233" s="1">
        <v>0.007793250469800395</v>
      </c>
      <c r="T233" s="1">
        <v>-0.003084349266238906</v>
      </c>
      <c r="U233" s="1">
        <v>-0.006944535839720323</v>
      </c>
      <c r="V233" s="1">
        <v>0.001541709836467176</v>
      </c>
      <c r="W233" s="1">
        <v>0.01632863443898525</v>
      </c>
      <c r="X233" s="1">
        <v>-0.00814553605329138</v>
      </c>
      <c r="Y233" s="1">
        <v>-0.001202879216043673</v>
      </c>
      <c r="Z233" s="1">
        <v>-0.004206739041820673</v>
      </c>
    </row>
    <row r="234" spans="1:26">
      <c r="A234" s="11">
        <v>42709</v>
      </c>
      <c r="B234" s="1">
        <v>0.01996638050837163</v>
      </c>
      <c r="C234" s="1">
        <v>-0.000591077497091641</v>
      </c>
      <c r="D234" s="1">
        <v>-0.002726817790334235</v>
      </c>
      <c r="E234" s="1">
        <v>-0.007326910721255797</v>
      </c>
      <c r="F234" s="1">
        <v>-0.001454051209605622</v>
      </c>
      <c r="G234" s="1">
        <v>-0.004978843942815669</v>
      </c>
      <c r="H234" s="1">
        <v>-0.001561327230341747</v>
      </c>
      <c r="I234" s="1">
        <v>-0.002068914698859614</v>
      </c>
      <c r="J234" s="1">
        <v>0.02843920240993136</v>
      </c>
      <c r="K234" s="1">
        <v>-0.01522507461135247</v>
      </c>
      <c r="L234" s="1">
        <v>0.02034339418080866</v>
      </c>
      <c r="M234" s="1">
        <v>-0.01753289671441605</v>
      </c>
      <c r="N234" s="1">
        <v>-0.007188905746380425</v>
      </c>
      <c r="O234" s="1">
        <v>0.004386920464169775</v>
      </c>
      <c r="P234" s="1">
        <v>0.0163712086358998</v>
      </c>
      <c r="Q234" s="1">
        <v>-0.002304951220255536</v>
      </c>
      <c r="R234" s="1">
        <v>0.03660890768522651</v>
      </c>
      <c r="S234" s="1">
        <v>0.01417824783587673</v>
      </c>
      <c r="T234" s="1">
        <v>0.005055761731183717</v>
      </c>
      <c r="U234" s="1">
        <v>0.0005180289325590337</v>
      </c>
      <c r="V234" s="1">
        <v>-0.0123171828901355</v>
      </c>
      <c r="W234" s="1">
        <v>-0.00373481683303456</v>
      </c>
      <c r="X234" s="1">
        <v>-0.002737097054090087</v>
      </c>
      <c r="Y234" s="1">
        <v>-0.001204716934640859</v>
      </c>
      <c r="Z234" s="1">
        <v>0.007703738135646843</v>
      </c>
    </row>
    <row r="235" spans="1:26">
      <c r="A235" s="11">
        <v>42710</v>
      </c>
      <c r="B235" s="1">
        <v>-0.0009035415360146848</v>
      </c>
      <c r="C235" s="1">
        <v>0.0005257730464574006</v>
      </c>
      <c r="D235" s="1">
        <v>0.002278359245799777</v>
      </c>
      <c r="E235" s="1">
        <v>0.008641162094142896</v>
      </c>
      <c r="F235" s="1">
        <v>0.0002913255873138176</v>
      </c>
      <c r="G235" s="1">
        <v>-0.008340631797387532</v>
      </c>
      <c r="H235" s="1">
        <v>0.001563768785127984</v>
      </c>
      <c r="I235" s="1">
        <v>0.0121435154211702</v>
      </c>
      <c r="J235" s="1">
        <v>0.003215375378023522</v>
      </c>
      <c r="K235" s="1">
        <v>-0.01187554089271259</v>
      </c>
      <c r="L235" s="1">
        <v>0.00516417788604584</v>
      </c>
      <c r="M235" s="1">
        <v>0.01511594613604772</v>
      </c>
      <c r="N235" s="1">
        <v>0.01212051200051234</v>
      </c>
      <c r="O235" s="1">
        <v>0.001310433101495478</v>
      </c>
      <c r="P235" s="1">
        <v>-0.004483354525062433</v>
      </c>
      <c r="Q235" s="1">
        <v>-0.007855733207078108</v>
      </c>
      <c r="R235" s="1">
        <v>-0.01498269131988306</v>
      </c>
      <c r="S235" s="1">
        <v>0.01063767027348539</v>
      </c>
      <c r="T235" s="1">
        <v>0.0002251153892314228</v>
      </c>
      <c r="U235" s="1">
        <v>0.01863835198954056</v>
      </c>
      <c r="V235" s="1">
        <v>-0.00272804703953955</v>
      </c>
      <c r="W235" s="1">
        <v>0.01563167721772318</v>
      </c>
      <c r="X235" s="1">
        <v>0.006334303976235134</v>
      </c>
      <c r="Y235" s="1">
        <v>0.01226152757775756</v>
      </c>
      <c r="Z235" s="1">
        <v>0.03378526935696868</v>
      </c>
    </row>
    <row r="236" spans="1:26">
      <c r="A236" s="11">
        <v>42711</v>
      </c>
      <c r="B236" s="1">
        <v>0.0006028811559719571</v>
      </c>
      <c r="C236" s="1">
        <v>0.0124802506298447</v>
      </c>
      <c r="D236" s="1">
        <v>0.002955144246050034</v>
      </c>
      <c r="E236" s="1">
        <v>-0.01409963638102041</v>
      </c>
      <c r="F236" s="1">
        <v>0.009170218004984854</v>
      </c>
      <c r="G236" s="1">
        <v>0.01303634590270208</v>
      </c>
      <c r="H236" s="1">
        <v>0.01804638788364654</v>
      </c>
      <c r="I236" s="1">
        <v>0.00331626550467834</v>
      </c>
      <c r="J236" s="1">
        <v>0.03525636953556011</v>
      </c>
      <c r="K236" s="1">
        <v>0.003855307058167501</v>
      </c>
      <c r="L236" s="1">
        <v>0.004540417899710381</v>
      </c>
      <c r="M236" s="1">
        <v>0.04551197035348697</v>
      </c>
      <c r="N236" s="1">
        <v>0.01726270639294358</v>
      </c>
      <c r="O236" s="1">
        <v>0.009450261516939618</v>
      </c>
      <c r="P236" s="1">
        <v>0.02368626777713922</v>
      </c>
      <c r="Q236" s="1">
        <v>0.004657562111940461</v>
      </c>
      <c r="R236" s="1">
        <v>0.04966635515852968</v>
      </c>
      <c r="S236" s="1">
        <v>0.0293417986366582</v>
      </c>
      <c r="T236" s="1">
        <v>0.01245952306167575</v>
      </c>
      <c r="U236" s="1">
        <v>0.02795433066241038</v>
      </c>
      <c r="V236" s="1">
        <v>0.002605326467396196</v>
      </c>
      <c r="W236" s="1">
        <v>-0.01211778218863446</v>
      </c>
      <c r="X236" s="1">
        <v>0.0167924815231606</v>
      </c>
      <c r="Y236" s="1">
        <v>0.02025407754366948</v>
      </c>
      <c r="Z236" s="1">
        <v>0.008826437491585182</v>
      </c>
    </row>
    <row r="237" spans="1:26">
      <c r="A237" s="11">
        <v>42712</v>
      </c>
      <c r="B237" s="1">
        <v>0.001656758176119322</v>
      </c>
      <c r="C237" s="1">
        <v>0.008109555880308816</v>
      </c>
      <c r="D237" s="1">
        <v>-0.0009064722885510079</v>
      </c>
      <c r="E237" s="1">
        <v>-0.0001811473685092713</v>
      </c>
      <c r="F237" s="1">
        <v>-0.001442440422917635</v>
      </c>
      <c r="G237" s="1">
        <v>-0.001660445557696733</v>
      </c>
      <c r="H237" s="1">
        <v>-0.006647305492466726</v>
      </c>
      <c r="I237" s="1">
        <v>0.0103052089004092</v>
      </c>
      <c r="J237" s="1">
        <v>0.0006194159794563614</v>
      </c>
      <c r="K237" s="1">
        <v>-0.01400514405068842</v>
      </c>
      <c r="L237" s="1">
        <v>0.0124896757146209</v>
      </c>
      <c r="M237" s="1">
        <v>-0.005015197555252149</v>
      </c>
      <c r="N237" s="1">
        <v>-0.000764512421731478</v>
      </c>
      <c r="O237" s="1">
        <v>-0.00144038055363227</v>
      </c>
      <c r="P237" s="1">
        <v>-0.005865974130723095</v>
      </c>
      <c r="Q237" s="1">
        <v>0.006490333579749263</v>
      </c>
      <c r="R237" s="1">
        <v>0.006505897211725564</v>
      </c>
      <c r="S237" s="1">
        <v>0.0002267342276129902</v>
      </c>
      <c r="T237" s="1">
        <v>0.005856487289987333</v>
      </c>
      <c r="U237" s="1">
        <v>-0.0009888058953170242</v>
      </c>
      <c r="V237" s="1">
        <v>0.01130287430258958</v>
      </c>
      <c r="W237" s="1">
        <v>0.008600517308041677</v>
      </c>
      <c r="X237" s="1">
        <v>-0.01073490807367505</v>
      </c>
      <c r="Y237" s="1">
        <v>-0.004865798749733918</v>
      </c>
      <c r="Z237" s="1">
        <v>0.01891715747064016</v>
      </c>
    </row>
    <row r="238" spans="1:26">
      <c r="A238" s="11">
        <v>42713</v>
      </c>
      <c r="B238" s="1">
        <v>0.0009020240901815857</v>
      </c>
      <c r="C238" s="1">
        <v>0.007078921121455695</v>
      </c>
      <c r="D238" s="1">
        <v>0.01724131684933661</v>
      </c>
      <c r="E238" s="1">
        <v>0.03277222348014419</v>
      </c>
      <c r="F238" s="1">
        <v>0.003177907364824373</v>
      </c>
      <c r="G238" s="1">
        <v>0.01580020120218584</v>
      </c>
      <c r="H238" s="1">
        <v>0.01424143004168843</v>
      </c>
      <c r="I238" s="1">
        <v>-0.002886948301187964</v>
      </c>
      <c r="J238" s="1">
        <v>-0.02351511537415796</v>
      </c>
      <c r="K238" s="1">
        <v>0.001832594265305021</v>
      </c>
      <c r="L238" s="1">
        <v>0.004346793607559851</v>
      </c>
      <c r="M238" s="1">
        <v>0.003830637069182519</v>
      </c>
      <c r="N238" s="1">
        <v>0.01392293708203551</v>
      </c>
      <c r="O238" s="1">
        <v>0.002019793533375447</v>
      </c>
      <c r="P238" s="1">
        <v>0.01573506138564462</v>
      </c>
      <c r="Q238" s="1">
        <v>0.003224630023232589</v>
      </c>
      <c r="R238" s="1">
        <v>-0.005729233018288427</v>
      </c>
      <c r="S238" s="1">
        <v>-0.008731161701486467</v>
      </c>
      <c r="T238" s="1">
        <v>-0.001621531939582366</v>
      </c>
      <c r="U238" s="1">
        <v>-0.0007428943700812374</v>
      </c>
      <c r="V238" s="1">
        <v>-0.005780732880489192</v>
      </c>
      <c r="W238" s="1">
        <v>0.01635558186771124</v>
      </c>
      <c r="X238" s="1">
        <v>0.009807943661108709</v>
      </c>
      <c r="Y238" s="1">
        <v>0.00704099770513622</v>
      </c>
      <c r="Z238" s="1">
        <v>0.003248932378279168</v>
      </c>
    </row>
    <row r="239" spans="1:26">
      <c r="A239" s="11">
        <v>42716</v>
      </c>
      <c r="B239" s="1">
        <v>0.003456053936321979</v>
      </c>
      <c r="C239" s="1">
        <v>0.004281208556948357</v>
      </c>
      <c r="D239" s="1">
        <v>0.003345183020537545</v>
      </c>
      <c r="E239" s="1">
        <v>-0.008590674977651203</v>
      </c>
      <c r="F239" s="1">
        <v>-0.006479539040967985</v>
      </c>
      <c r="G239" s="1">
        <v>0.003274568636630892</v>
      </c>
      <c r="H239" s="1">
        <v>0.004229505350377361</v>
      </c>
      <c r="I239" s="1">
        <v>-0.0115807989932647</v>
      </c>
      <c r="J239" s="1">
        <v>0.0116958056868719</v>
      </c>
      <c r="K239" s="1">
        <v>-0.002069760292852441</v>
      </c>
      <c r="L239" s="1">
        <v>-0.008889523396687693</v>
      </c>
      <c r="M239" s="1">
        <v>-0.008435347279564187</v>
      </c>
      <c r="N239" s="1">
        <v>0.003319445526049458</v>
      </c>
      <c r="O239" s="1">
        <v>-0.0001443518860526627</v>
      </c>
      <c r="P239" s="1">
        <v>0.003227191618212055</v>
      </c>
      <c r="Q239" s="1">
        <v>0.00459079168436527</v>
      </c>
      <c r="R239" s="1">
        <v>-0.008569781282434796</v>
      </c>
      <c r="S239" s="1">
        <v>0.002487240831672288</v>
      </c>
      <c r="T239" s="1">
        <v>-0.0005907231006226921</v>
      </c>
      <c r="U239" s="1">
        <v>0.01832611192164069</v>
      </c>
      <c r="V239" s="1">
        <v>-0.008399193510603142</v>
      </c>
      <c r="W239" s="1">
        <v>-0.001581678608779113</v>
      </c>
      <c r="X239" s="1">
        <v>0.0002068872617733142</v>
      </c>
      <c r="Y239" s="1">
        <v>0.005243622644842239</v>
      </c>
      <c r="Z239" s="1">
        <v>-0.01758052459719928</v>
      </c>
    </row>
    <row r="240" spans="1:26">
      <c r="A240" s="11">
        <v>42717</v>
      </c>
      <c r="B240" s="1">
        <v>0.008384144272374217</v>
      </c>
      <c r="C240" s="1">
        <v>-0.003181300958254418</v>
      </c>
      <c r="D240" s="1">
        <v>0.0006668060159449318</v>
      </c>
      <c r="E240" s="1">
        <v>0.01096374496211783</v>
      </c>
      <c r="F240" s="1">
        <v>0.01420303535105538</v>
      </c>
      <c r="G240" s="1">
        <v>0.002855803892159781</v>
      </c>
      <c r="H240" s="1">
        <v>0.01061324329771862</v>
      </c>
      <c r="I240" s="1">
        <v>-0.01064218862678312</v>
      </c>
      <c r="J240" s="1">
        <v>-0.0006317278894399925</v>
      </c>
      <c r="K240" s="1">
        <v>0.001152529787650236</v>
      </c>
      <c r="L240" s="1">
        <v>0.0003537757510496675</v>
      </c>
      <c r="M240" s="1">
        <v>0.003645816013503334</v>
      </c>
      <c r="N240" s="1">
        <v>0.003008264594877241</v>
      </c>
      <c r="O240" s="1">
        <v>-0.002015362585368718</v>
      </c>
      <c r="P240" s="1">
        <v>0.01302908746900444</v>
      </c>
      <c r="Q240" s="1">
        <v>0.01005497954519208</v>
      </c>
      <c r="R240" s="1">
        <v>0.001043042233757063</v>
      </c>
      <c r="S240" s="1">
        <v>0.003261847123948058</v>
      </c>
      <c r="T240" s="1">
        <v>-0.004320588657007574</v>
      </c>
      <c r="U240" s="1">
        <v>0.005836957568195134</v>
      </c>
      <c r="V240" s="1">
        <v>0.012118754289006</v>
      </c>
      <c r="W240" s="1">
        <v>0.005999292458236161</v>
      </c>
      <c r="X240" s="1">
        <v>0.00144599531227052</v>
      </c>
      <c r="Y240" s="1">
        <v>0.0115921836688313</v>
      </c>
      <c r="Z240" s="1">
        <v>-0.005650993074444388</v>
      </c>
    </row>
    <row r="241" spans="1:26">
      <c r="A241" s="11">
        <v>42718</v>
      </c>
      <c r="B241" s="1">
        <v>-0.02390489149158304</v>
      </c>
      <c r="C241" s="1">
        <v>-0.01397930151082183</v>
      </c>
      <c r="D241" s="1">
        <v>0.0004440769038331904</v>
      </c>
      <c r="E241" s="1">
        <v>0.02326402584760556</v>
      </c>
      <c r="F241" s="1">
        <v>0.000571677053861297</v>
      </c>
      <c r="G241" s="1">
        <v>-0.01627293187190049</v>
      </c>
      <c r="H241" s="1">
        <v>-0.01483596363540829</v>
      </c>
      <c r="I241" s="1">
        <v>-0.007697394032957106</v>
      </c>
      <c r="J241" s="1">
        <v>-0.0132745877218583</v>
      </c>
      <c r="K241" s="1">
        <v>-0.01035908794986529</v>
      </c>
      <c r="L241" s="1">
        <v>-0.0003536506380297233</v>
      </c>
      <c r="M241" s="1">
        <v>-0.005449249822636948</v>
      </c>
      <c r="N241" s="1">
        <v>-0.01124610513905422</v>
      </c>
      <c r="O241" s="1">
        <v>-0.01125226001262281</v>
      </c>
      <c r="P241" s="1">
        <v>-0.004763596359077638</v>
      </c>
      <c r="Q241" s="1">
        <v>-0.01990959013716587</v>
      </c>
      <c r="R241" s="1">
        <v>-0.012918553593808</v>
      </c>
      <c r="S241" s="1">
        <v>-0.01456186024869455</v>
      </c>
      <c r="T241" s="1">
        <v>-0.01149933153233118</v>
      </c>
      <c r="U241" s="1">
        <v>-0.00628679131096066</v>
      </c>
      <c r="V241" s="1">
        <v>-0.006180197934130383</v>
      </c>
      <c r="W241" s="1">
        <v>-0.01439360320604921</v>
      </c>
      <c r="X241" s="1">
        <v>-0.005982574102791238</v>
      </c>
      <c r="Y241" s="1">
        <v>-0.01394204250614295</v>
      </c>
      <c r="Z241" s="1">
        <v>-0.0007107644576389571</v>
      </c>
    </row>
    <row r="242" spans="1:26">
      <c r="A242" s="11">
        <v>42719</v>
      </c>
      <c r="B242" s="1">
        <v>0.01521143566855021</v>
      </c>
      <c r="C242" s="1">
        <v>-0.004531849842826285</v>
      </c>
      <c r="D242" s="1">
        <v>0.001110142658058866</v>
      </c>
      <c r="E242" s="1">
        <v>0.002564208037279414</v>
      </c>
      <c r="F242" s="1">
        <v>-0.001999726490766185</v>
      </c>
      <c r="G242" s="1">
        <v>0.005375803553845593</v>
      </c>
      <c r="H242" s="1">
        <v>0.006091352291281327</v>
      </c>
      <c r="I242" s="1">
        <v>0.008453227781577421</v>
      </c>
      <c r="J242" s="1">
        <v>-0.006405888057861131</v>
      </c>
      <c r="K242" s="1">
        <v>-0.01325924183388982</v>
      </c>
      <c r="L242" s="1">
        <v>0.01498855896429152</v>
      </c>
      <c r="M242" s="1">
        <v>0.02658312488255654</v>
      </c>
      <c r="N242" s="1">
        <v>0.004853023537825907</v>
      </c>
      <c r="O242" s="1">
        <v>0.0002918299803544855</v>
      </c>
      <c r="P242" s="1">
        <v>-0.001595284064451308</v>
      </c>
      <c r="Q242" s="1">
        <v>0.01615881030339317</v>
      </c>
      <c r="R242" s="1">
        <v>-0.005174265599009686</v>
      </c>
      <c r="S242" s="1">
        <v>0.005064714334322984</v>
      </c>
      <c r="T242" s="1">
        <v>0.004615700812158785</v>
      </c>
      <c r="U242" s="1">
        <v>0.009732471660818032</v>
      </c>
      <c r="V242" s="1">
        <v>-0.002720295147094598</v>
      </c>
      <c r="W242" s="1">
        <v>-0.00208625779634164</v>
      </c>
      <c r="X242" s="1">
        <v>0.01722659136757754</v>
      </c>
      <c r="Y242" s="1">
        <v>0.003486498724021514</v>
      </c>
      <c r="Z242" s="1">
        <v>0.01990556847910407</v>
      </c>
    </row>
    <row r="243" spans="1:26">
      <c r="A243" s="11">
        <v>42720</v>
      </c>
      <c r="B243" s="1">
        <v>-0.005244145776136189</v>
      </c>
      <c r="C243" s="1">
        <v>0.00474770200584218</v>
      </c>
      <c r="D243" s="1">
        <v>-0.008205572064399536</v>
      </c>
      <c r="E243" s="1">
        <v>-0.0005117527219758999</v>
      </c>
      <c r="F243" s="1">
        <v>-0.0002860971317069083</v>
      </c>
      <c r="G243" s="1">
        <v>-0.0008223395289754798</v>
      </c>
      <c r="H243" s="1">
        <v>0.001177143873853481</v>
      </c>
      <c r="I243" s="1">
        <v>0.003550433633828121</v>
      </c>
      <c r="J243" s="1">
        <v>-0.02965834911919107</v>
      </c>
      <c r="K243" s="1">
        <v>-0.008014788587704991</v>
      </c>
      <c r="L243" s="1">
        <v>-0.0123255266815403</v>
      </c>
      <c r="M243" s="1">
        <v>-0.01304601466035937</v>
      </c>
      <c r="N243" s="1">
        <v>0.01177163488769284</v>
      </c>
      <c r="O243" s="1">
        <v>-0.001458592370035316</v>
      </c>
      <c r="P243" s="1">
        <v>-0.004474109860790887</v>
      </c>
      <c r="Q243" s="1">
        <v>0.0009088835383879168</v>
      </c>
      <c r="R243" s="1">
        <v>-0.004130168302124759</v>
      </c>
      <c r="S243" s="1">
        <v>0.0112814443578817</v>
      </c>
      <c r="T243" s="1">
        <v>0.01509025862691993</v>
      </c>
      <c r="U243" s="1">
        <v>0.004096701202810582</v>
      </c>
      <c r="V243" s="1">
        <v>-0.002987769430468967</v>
      </c>
      <c r="W243" s="1">
        <v>-0.006690375359714507</v>
      </c>
      <c r="X243" s="1">
        <v>-0.008365611048084309</v>
      </c>
      <c r="Y243" s="1">
        <v>0.00887849974979904</v>
      </c>
      <c r="Z243" s="1">
        <v>-0.0234667524046227</v>
      </c>
    </row>
    <row r="244" spans="1:26">
      <c r="A244" s="11">
        <v>42723</v>
      </c>
      <c r="B244" s="1">
        <v>0.004668978668297408</v>
      </c>
      <c r="C244" s="1">
        <v>0.01087347415999962</v>
      </c>
      <c r="D244" s="1">
        <v>-0.001789116375686906</v>
      </c>
      <c r="E244" s="1">
        <v>0.01364756593780325</v>
      </c>
      <c r="F244" s="1">
        <v>0.004151176280773328</v>
      </c>
      <c r="G244" s="1">
        <v>0.006998657183886259</v>
      </c>
      <c r="H244" s="1">
        <v>0.004871593926355278</v>
      </c>
      <c r="I244" s="1">
        <v>0.00481519045373191</v>
      </c>
      <c r="J244" s="1">
        <v>0.004650927644472391</v>
      </c>
      <c r="K244" s="1">
        <v>0.005465537872408666</v>
      </c>
      <c r="L244" s="1">
        <v>0.005768884415998432</v>
      </c>
      <c r="M244" s="1">
        <v>0.008411694212286935</v>
      </c>
      <c r="N244" s="1">
        <v>0.01073988355022393</v>
      </c>
      <c r="O244" s="1">
        <v>0.003213484912826914</v>
      </c>
      <c r="P244" s="1">
        <v>0.02118751452067524</v>
      </c>
      <c r="Q244" s="1">
        <v>0.01361768338824088</v>
      </c>
      <c r="R244" s="1">
        <v>0.001689060481523397</v>
      </c>
      <c r="S244" s="1">
        <v>0.007498148783988912</v>
      </c>
      <c r="T244" s="1">
        <v>-0.01059738935135579</v>
      </c>
      <c r="U244" s="1">
        <v>0.01079897823024711</v>
      </c>
      <c r="V244" s="1">
        <v>0.003778690842551669</v>
      </c>
      <c r="W244" s="1">
        <v>-0.009049596545879557</v>
      </c>
      <c r="X244" s="1">
        <v>-0.005349942546870601</v>
      </c>
      <c r="Y244" s="1">
        <v>0.01224429871056576</v>
      </c>
      <c r="Z244" s="1">
        <v>0.01594136176077154</v>
      </c>
    </row>
    <row r="245" spans="1:26">
      <c r="A245" s="11">
        <v>42724</v>
      </c>
      <c r="B245" s="1">
        <v>0.0007501799410656318</v>
      </c>
      <c r="C245" s="1">
        <v>0.001344722252313302</v>
      </c>
      <c r="D245" s="1">
        <v>-0.01209681426179188</v>
      </c>
      <c r="E245" s="1">
        <v>-0.005049103394059951</v>
      </c>
      <c r="F245" s="1">
        <v>0.0122596227544296</v>
      </c>
      <c r="G245" s="1">
        <v>0.008176749722528465</v>
      </c>
      <c r="H245" s="1">
        <v>0.00518235748585294</v>
      </c>
      <c r="I245" s="1">
        <v>0.0135942386545278</v>
      </c>
      <c r="J245" s="1">
        <v>-0.002645306786997814</v>
      </c>
      <c r="K245" s="1">
        <v>0.01323566629931605</v>
      </c>
      <c r="L245" s="1">
        <v>0.01287555973989218</v>
      </c>
      <c r="M245" s="1">
        <v>0.01072473591466427</v>
      </c>
      <c r="N245" s="1">
        <v>0.002829460121043459</v>
      </c>
      <c r="O245" s="1">
        <v>-0.004222843427301726</v>
      </c>
      <c r="P245" s="1">
        <v>-0.001257410940769699</v>
      </c>
      <c r="Q245" s="1">
        <v>-0.005373753508080559</v>
      </c>
      <c r="R245" s="1">
        <v>0.007514781335990595</v>
      </c>
      <c r="S245" s="1">
        <v>-0.01148070658650913</v>
      </c>
      <c r="T245" s="1">
        <v>-0.01000468391390752</v>
      </c>
      <c r="U245" s="1">
        <v>0.008309603180002512</v>
      </c>
      <c r="V245" s="1">
        <v>0.007917847681809809</v>
      </c>
      <c r="W245" s="1">
        <v>0.003893485549908871</v>
      </c>
      <c r="X245" s="1">
        <v>0.006619807371031072</v>
      </c>
      <c r="Y245" s="1">
        <v>0.003968638640901911</v>
      </c>
      <c r="Z245" s="1">
        <v>0.02833725938087417</v>
      </c>
    </row>
    <row r="246" spans="1:26">
      <c r="A246" s="11">
        <v>42725</v>
      </c>
      <c r="B246" s="1">
        <v>-0.00164789600525983</v>
      </c>
      <c r="C246" s="1">
        <v>0.006969674041008123</v>
      </c>
      <c r="D246" s="1">
        <v>-0.0002263185317660232</v>
      </c>
      <c r="E246" s="1">
        <v>-0.00727306515415449</v>
      </c>
      <c r="F246" s="1">
        <v>-0.002535083627620671</v>
      </c>
      <c r="G246" s="1">
        <v>-0.0004054903413076572</v>
      </c>
      <c r="H246" s="1">
        <v>0.001330083790925585</v>
      </c>
      <c r="I246" s="1">
        <v>-0.005307307721513888</v>
      </c>
      <c r="J246" s="1">
        <v>0.00397896879837556</v>
      </c>
      <c r="K246" s="1">
        <v>-0.001399437163487227</v>
      </c>
      <c r="L246" s="1">
        <v>0.00254285554583733</v>
      </c>
      <c r="M246" s="1">
        <v>-0.004715670680360717</v>
      </c>
      <c r="N246" s="1">
        <v>-0.001039485598148704</v>
      </c>
      <c r="O246" s="1">
        <v>-0.001169418139639888</v>
      </c>
      <c r="P246" s="1">
        <v>0</v>
      </c>
      <c r="Q246" s="1">
        <v>0.005402786752344291</v>
      </c>
      <c r="R246" s="1">
        <v>-0.005174990920662426</v>
      </c>
      <c r="S246" s="1">
        <v>-0.01244073325601225</v>
      </c>
      <c r="T246" s="1">
        <v>0.01885888069815866</v>
      </c>
      <c r="U246" s="1">
        <v>-0.002590352608619173</v>
      </c>
      <c r="V246" s="1">
        <v>-0.006696685770928745</v>
      </c>
      <c r="W246" s="1">
        <v>-0.007264120658117879</v>
      </c>
      <c r="X246" s="1">
        <v>0.000822163246968266</v>
      </c>
      <c r="Y246" s="1">
        <v>-0.002824153001869445</v>
      </c>
      <c r="Z246" s="1">
        <v>-0.006149415300547689</v>
      </c>
    </row>
    <row r="247" spans="1:26">
      <c r="A247" s="11">
        <v>42726</v>
      </c>
      <c r="B247" s="1">
        <v>0.001500312703022644</v>
      </c>
      <c r="C247" s="1">
        <v>-0.0001268722275439282</v>
      </c>
      <c r="D247" s="1">
        <v>0.001587405390014895</v>
      </c>
      <c r="E247" s="1">
        <v>0.001192471815504303</v>
      </c>
      <c r="F247" s="1">
        <v>0.002682359582585114</v>
      </c>
      <c r="G247" s="1">
        <v>0.007707233054178975</v>
      </c>
      <c r="H247" s="1">
        <v>0</v>
      </c>
      <c r="I247" s="1">
        <v>0</v>
      </c>
      <c r="J247" s="1">
        <v>0</v>
      </c>
      <c r="K247" s="1">
        <v>-0.004671915964184592</v>
      </c>
      <c r="L247" s="1">
        <v>0.001613684168930485</v>
      </c>
      <c r="M247" s="1">
        <v>-0.007897369922631681</v>
      </c>
      <c r="N247" s="1">
        <v>0.006094591331103238</v>
      </c>
      <c r="O247" s="1">
        <v>0.001463996819152769</v>
      </c>
      <c r="P247" s="1">
        <v>0.0001571475965147506</v>
      </c>
      <c r="Q247" s="1">
        <v>0.004478710709439504</v>
      </c>
      <c r="R247" s="1">
        <v>-0.003366358383224632</v>
      </c>
      <c r="S247" s="1">
        <v>0.009901079633129806</v>
      </c>
      <c r="T247" s="1">
        <v>-0.003687656048832477</v>
      </c>
      <c r="U247" s="1">
        <v>0.008498816600334358</v>
      </c>
      <c r="V247" s="1">
        <v>-0.04395172639687817</v>
      </c>
      <c r="W247" s="1">
        <v>-0.001775599431897312</v>
      </c>
      <c r="X247" s="1">
        <v>-0.002258893236728787</v>
      </c>
      <c r="Y247" s="1">
        <v>0.01283821658117112</v>
      </c>
      <c r="Z247" s="1">
        <v>0.002291619060412975</v>
      </c>
    </row>
    <row r="248" spans="1:26">
      <c r="A248" s="11">
        <v>42727</v>
      </c>
      <c r="B248" s="1">
        <v>-0.005094654984651448</v>
      </c>
      <c r="C248" s="1">
        <v>0.002222740645696497</v>
      </c>
      <c r="D248" s="1">
        <v>0.001358778086134826</v>
      </c>
      <c r="E248" s="1">
        <v>0.01446578629228035</v>
      </c>
      <c r="F248" s="1">
        <v>-0.005209837295871989</v>
      </c>
      <c r="G248" s="1">
        <v>-0.0004019308838367763</v>
      </c>
      <c r="H248" s="1">
        <v>0.001162843460656093</v>
      </c>
      <c r="I248" s="1">
        <v>0.0002915793034528047</v>
      </c>
      <c r="J248" s="1">
        <v>-0.002642162136750947</v>
      </c>
      <c r="K248" s="1">
        <v>-0.002581603787696674</v>
      </c>
      <c r="L248" s="1">
        <v>0.001841903317477911</v>
      </c>
      <c r="M248" s="1">
        <v>0.003980117420924412</v>
      </c>
      <c r="N248" s="1">
        <v>0.0005913095389307177</v>
      </c>
      <c r="O248" s="1">
        <v>0.001607784695578207</v>
      </c>
      <c r="P248" s="1">
        <v>-0.004877793296089394</v>
      </c>
      <c r="Q248" s="1">
        <v>-0.005796073592380879</v>
      </c>
      <c r="R248" s="1">
        <v>0.00445196005601467</v>
      </c>
      <c r="S248" s="1">
        <v>0.006719881520180104</v>
      </c>
      <c r="T248" s="1">
        <v>0.007735568721343844</v>
      </c>
      <c r="U248" s="1">
        <v>0.0002341828968424053</v>
      </c>
      <c r="V248" s="1">
        <v>-0.003255270960585421</v>
      </c>
      <c r="W248" s="1">
        <v>0.00939371587412996</v>
      </c>
      <c r="X248" s="1">
        <v>0.007203139376926071</v>
      </c>
      <c r="Y248" s="1">
        <v>0.0005590337806065104</v>
      </c>
      <c r="Z248" s="1">
        <v>0.002743980658107104</v>
      </c>
    </row>
    <row r="249" spans="1:26">
      <c r="A249" s="11">
        <v>42731</v>
      </c>
      <c r="B249" s="1">
        <v>-0.0009036779656301785</v>
      </c>
      <c r="C249" s="1">
        <v>-0.002091204115162615</v>
      </c>
      <c r="D249" s="1">
        <v>0.003618391189707415</v>
      </c>
      <c r="E249" s="1">
        <v>-0.004697092814733073</v>
      </c>
      <c r="F249" s="1">
        <v>0.003114109177214219</v>
      </c>
      <c r="G249" s="1">
        <v>-0.00281941332829394</v>
      </c>
      <c r="H249" s="1">
        <v>0.003483754751047563</v>
      </c>
      <c r="I249" s="1">
        <v>0.007563777731798726</v>
      </c>
      <c r="J249" s="1">
        <v>0.007284864770080945</v>
      </c>
      <c r="K249" s="1">
        <v>-0.003058862920615857</v>
      </c>
      <c r="L249" s="1">
        <v>0.0009187492517268581</v>
      </c>
      <c r="M249" s="1">
        <v>0.0007928848598452998</v>
      </c>
      <c r="N249" s="1">
        <v>0.001476789406298806</v>
      </c>
      <c r="O249" s="1">
        <v>-0.00467011569827791</v>
      </c>
      <c r="P249" s="1">
        <v>0.0006326519100068317</v>
      </c>
      <c r="Q249" s="1">
        <v>-0.003138906107444828</v>
      </c>
      <c r="R249" s="1">
        <v>0.003056788021392975</v>
      </c>
      <c r="S249" s="1">
        <v>0.006492688498642485</v>
      </c>
      <c r="T249" s="1">
        <v>0.0002934972952255421</v>
      </c>
      <c r="U249" s="1">
        <v>-0.001872440392559405</v>
      </c>
      <c r="V249" s="1">
        <v>0.002721376853962676</v>
      </c>
      <c r="W249" s="1">
        <v>0.004018798318278005</v>
      </c>
      <c r="X249" s="1">
        <v>0.002043490673351522</v>
      </c>
      <c r="Y249" s="1">
        <v>-0.0007454232044123987</v>
      </c>
      <c r="Z249" s="1">
        <v>0.001595715416658594</v>
      </c>
    </row>
    <row r="250" spans="1:26">
      <c r="A250" s="11">
        <v>42732</v>
      </c>
      <c r="B250" s="1">
        <v>-0.02637920581098918</v>
      </c>
      <c r="C250" s="1">
        <v>-0.008762857831412951</v>
      </c>
      <c r="D250" s="1">
        <v>-0.004281716516742917</v>
      </c>
      <c r="E250" s="1">
        <v>-0.01213551429826742</v>
      </c>
      <c r="F250" s="1">
        <v>-0.005926337477139665</v>
      </c>
      <c r="G250" s="1">
        <v>-0.01292380772785295</v>
      </c>
      <c r="H250" s="1">
        <v>0.0006613544947540184</v>
      </c>
      <c r="I250" s="1">
        <v>0.001065149006728605</v>
      </c>
      <c r="J250" s="1">
        <v>-0.01775157795781201</v>
      </c>
      <c r="K250" s="1">
        <v>-0.01203698255973584</v>
      </c>
      <c r="L250" s="1">
        <v>-0.007230643111867274</v>
      </c>
      <c r="M250" s="1">
        <v>-0.006338053532075394</v>
      </c>
      <c r="N250" s="1">
        <v>-0.004570775096594981</v>
      </c>
      <c r="O250" s="1">
        <v>-0.007038174546119103</v>
      </c>
      <c r="P250" s="1">
        <v>-0.004582882318875603</v>
      </c>
      <c r="Q250" s="1">
        <v>-0.01259574486020998</v>
      </c>
      <c r="R250" s="1">
        <v>-0.01020887543547899</v>
      </c>
      <c r="S250" s="1">
        <v>-0.008449438137590803</v>
      </c>
      <c r="T250" s="1">
        <v>-0.007636399946695849</v>
      </c>
      <c r="U250" s="1">
        <v>-0.00304808711201443</v>
      </c>
      <c r="V250" s="1">
        <v>-0.01180437478701124</v>
      </c>
      <c r="W250" s="1">
        <v>-0.008356454560649706</v>
      </c>
      <c r="X250" s="1">
        <v>-0.01060364616798593</v>
      </c>
      <c r="Y250" s="1">
        <v>-0.003728511473593543</v>
      </c>
      <c r="Z250" s="1">
        <v>-0.01479637750560214</v>
      </c>
    </row>
    <row r="251" spans="1:26">
      <c r="A251" s="11">
        <v>42733</v>
      </c>
      <c r="B251" s="1">
        <v>-0.01114726129247234</v>
      </c>
      <c r="C251" s="1">
        <v>-0.002626719943303213</v>
      </c>
      <c r="D251" s="1">
        <v>0.001584516726915508</v>
      </c>
      <c r="E251" s="1">
        <v>0.004947872519782015</v>
      </c>
      <c r="F251" s="1">
        <v>-0.005109948116049479</v>
      </c>
      <c r="G251" s="1">
        <v>0.01186559816496269</v>
      </c>
      <c r="H251" s="1">
        <v>0.006938641621957675</v>
      </c>
      <c r="I251" s="1">
        <v>-0.001934341035341292</v>
      </c>
      <c r="J251" s="1">
        <v>0</v>
      </c>
      <c r="K251" s="1">
        <v>-0.004299835080689984</v>
      </c>
      <c r="L251" s="1">
        <v>-0.007052015919961518</v>
      </c>
      <c r="M251" s="1">
        <v>0.0005980469810866751</v>
      </c>
      <c r="N251" s="1">
        <v>0.005035832484874048</v>
      </c>
      <c r="O251" s="1">
        <v>0.0004431122899262174</v>
      </c>
      <c r="P251" s="1">
        <v>-0.001428777562278216</v>
      </c>
      <c r="Q251" s="1">
        <v>0.01321174964824712</v>
      </c>
      <c r="R251" s="1">
        <v>-0.009082497263743883</v>
      </c>
      <c r="S251" s="1">
        <v>0.00971239118264644</v>
      </c>
      <c r="T251" s="1">
        <v>0.003070537177998656</v>
      </c>
      <c r="U251" s="1">
        <v>0.003292690801716569</v>
      </c>
      <c r="V251" s="1">
        <v>-0.002883496355380322</v>
      </c>
      <c r="W251" s="1">
        <v>0.001841116150989031</v>
      </c>
      <c r="X251" s="1">
        <v>0.001236484634446589</v>
      </c>
      <c r="Y251" s="1">
        <v>0.005614121016249474</v>
      </c>
      <c r="Z251" s="1">
        <v>-0.01132134603037482</v>
      </c>
    </row>
    <row r="252" spans="1:26">
      <c r="A252" s="11">
        <v>42734</v>
      </c>
      <c r="B252" s="1">
        <v>-0.006262291997950586</v>
      </c>
      <c r="C252" s="1">
        <v>-6.427116342111461E-05</v>
      </c>
      <c r="D252" s="1">
        <v>0.001807410100790552</v>
      </c>
      <c r="E252" s="1">
        <v>-0.007809717636156122</v>
      </c>
      <c r="F252" s="1">
        <v>-0.01095765357846656</v>
      </c>
      <c r="G252" s="1">
        <v>-0.003639187802853883</v>
      </c>
      <c r="H252" s="1">
        <v>-0.007875194376893435</v>
      </c>
      <c r="I252" s="1">
        <v>-0.001646905850071101</v>
      </c>
      <c r="J252" s="1">
        <v>-0.006693343337751623</v>
      </c>
      <c r="K252" s="1">
        <v>-0.01175584906758942</v>
      </c>
      <c r="L252" s="1">
        <v>0.004656936168377701</v>
      </c>
      <c r="M252" s="1">
        <v>-0.00717133019870364</v>
      </c>
      <c r="N252" s="1">
        <v>-0.003389543052395583</v>
      </c>
      <c r="O252" s="1">
        <v>-0.002361662949573962</v>
      </c>
      <c r="P252" s="1">
        <v>-0.01208271454407961</v>
      </c>
      <c r="Q252" s="1">
        <v>-0.004496366779759509</v>
      </c>
      <c r="R252" s="1">
        <v>-0.007301898482263924</v>
      </c>
      <c r="S252" s="1">
        <v>0.01406547885718634</v>
      </c>
      <c r="T252" s="1">
        <v>-0.008814981642485176</v>
      </c>
      <c r="U252" s="1">
        <v>-0.003047138253995274</v>
      </c>
      <c r="V252" s="1">
        <v>-0.005370520484580976</v>
      </c>
      <c r="W252" s="1">
        <v>-0.002685610057754251</v>
      </c>
      <c r="X252" s="1">
        <v>-0.0004113609102625038</v>
      </c>
      <c r="Y252" s="1">
        <v>-0.006699154042859701</v>
      </c>
      <c r="Z252" s="1">
        <v>0.005842255307625388</v>
      </c>
    </row>
    <row r="253" spans="1:26">
      <c r="A253" s="11">
        <v>42738</v>
      </c>
      <c r="B253" s="1">
        <v>0.004884011011511147</v>
      </c>
      <c r="C253" s="1">
        <v>0.008286227189274076</v>
      </c>
      <c r="D253" s="1">
        <v>0.002255136558212634</v>
      </c>
      <c r="E253" s="1">
        <v>0.01728240830019168</v>
      </c>
      <c r="F253" s="1">
        <v>0</v>
      </c>
      <c r="G253" s="1">
        <v>-0.002029306285660559</v>
      </c>
      <c r="H253" s="1">
        <v>0.002810964402476968</v>
      </c>
      <c r="I253" s="1">
        <v>0.009801828443875449</v>
      </c>
      <c r="J253" s="1">
        <v>0.0006738714509899602</v>
      </c>
      <c r="K253" s="1">
        <v>0.03010402040289994</v>
      </c>
      <c r="L253" s="1">
        <v>0.01089355682404403</v>
      </c>
      <c r="M253" s="1">
        <v>0.002809018878612735</v>
      </c>
      <c r="N253" s="1">
        <v>0.0001477082366361238</v>
      </c>
      <c r="O253" s="1">
        <v>0.004142777385891527</v>
      </c>
      <c r="P253" s="1">
        <v>0.007080782295524113</v>
      </c>
      <c r="Q253" s="1">
        <v>0.002258161368312583</v>
      </c>
      <c r="R253" s="1">
        <v>0.02222252124445401</v>
      </c>
      <c r="S253" s="1">
        <v>8.926956544441644E-05</v>
      </c>
      <c r="T253" s="1">
        <v>0.02158216096949306</v>
      </c>
      <c r="U253" s="1">
        <v>0.01152105863400932</v>
      </c>
      <c r="V253" s="1">
        <v>0.007199405415907689</v>
      </c>
      <c r="W253" s="1">
        <v>0.01821388484491515</v>
      </c>
      <c r="X253" s="1">
        <v>0.0142091701690894</v>
      </c>
      <c r="Y253" s="1">
        <v>0.02248033136641459</v>
      </c>
      <c r="Z253" s="1">
        <v>0.00325282534538629</v>
      </c>
    </row>
    <row r="254" spans="1:26">
      <c r="A254" s="11">
        <v>42739</v>
      </c>
      <c r="B254" s="1">
        <v>-0.002978981328679575</v>
      </c>
      <c r="C254" s="1">
        <v>0.01051176631497786</v>
      </c>
      <c r="D254" s="1">
        <v>0.006975772252405088</v>
      </c>
      <c r="E254" s="1">
        <v>0.001354796270931047</v>
      </c>
      <c r="F254" s="1">
        <v>0.01187545394378775</v>
      </c>
      <c r="G254" s="1">
        <v>0.008946915761567587</v>
      </c>
      <c r="H254" s="1">
        <v>0.006926326885758227</v>
      </c>
      <c r="I254" s="1">
        <v>0.01701112216386513</v>
      </c>
      <c r="J254" s="1">
        <v>0.01548806952681825</v>
      </c>
      <c r="K254" s="1">
        <v>0.00141428314705272</v>
      </c>
      <c r="L254" s="1">
        <v>0.001844435688842516</v>
      </c>
      <c r="M254" s="1">
        <v>0.02641039086264563</v>
      </c>
      <c r="N254" s="1">
        <v>0.003252882415251346</v>
      </c>
      <c r="O254" s="1">
        <v>0.006188128865749487</v>
      </c>
      <c r="P254" s="1">
        <v>-0.004474109860790887</v>
      </c>
      <c r="Q254" s="1">
        <v>0.007661318084982494</v>
      </c>
      <c r="R254" s="1">
        <v>0.0137786810074032</v>
      </c>
      <c r="S254" s="1">
        <v>0.007337161596584263</v>
      </c>
      <c r="T254" s="1">
        <v>0.006775127713711582</v>
      </c>
      <c r="U254" s="1">
        <v>-0.005811076705701912</v>
      </c>
      <c r="V254" s="1">
        <v>0.01457036168770287</v>
      </c>
      <c r="W254" s="1">
        <v>0.010370987560403</v>
      </c>
      <c r="X254" s="1">
        <v>0.02131982395526988</v>
      </c>
      <c r="Y254" s="1">
        <v>-0.001099016849776979</v>
      </c>
      <c r="Z254" s="1">
        <v>0.01435807492006358</v>
      </c>
    </row>
    <row r="255" spans="1:26">
      <c r="A255" s="11">
        <v>42740</v>
      </c>
      <c r="B255" s="1">
        <v>-0.005346870364305367</v>
      </c>
      <c r="C255" s="1">
        <v>0.0005675480192832705</v>
      </c>
      <c r="D255" s="1">
        <v>0.006703722886221897</v>
      </c>
      <c r="E255" s="1">
        <v>0.01674001695731042</v>
      </c>
      <c r="F255" s="1">
        <v>0.00400753244280394</v>
      </c>
      <c r="G255" s="1">
        <v>0</v>
      </c>
      <c r="H255" s="1">
        <v>-0.002128980037440664</v>
      </c>
      <c r="I255" s="1">
        <v>-0.004441550176122244</v>
      </c>
      <c r="J255" s="1">
        <v>-0.0006631467904610888</v>
      </c>
      <c r="K255" s="1">
        <v>-0.01294469362232409</v>
      </c>
      <c r="L255" s="1">
        <v>-0.009205312763762574</v>
      </c>
      <c r="M255" s="1">
        <v>-0.01617932094008179</v>
      </c>
      <c r="N255" s="1">
        <v>0.001179434170890392</v>
      </c>
      <c r="O255" s="1">
        <v>0.0002928983596368617</v>
      </c>
      <c r="P255" s="1">
        <v>0</v>
      </c>
      <c r="Q255" s="1">
        <v>0.01431113123551908</v>
      </c>
      <c r="R255" s="1">
        <v>-0.01630953193216811</v>
      </c>
      <c r="S255" s="1">
        <v>0.01065919276384109</v>
      </c>
      <c r="T255" s="1">
        <v>-0.0007961628621996342</v>
      </c>
      <c r="U255" s="1">
        <v>-0.002805975326792831</v>
      </c>
      <c r="V255" s="1">
        <v>-0.0169352419308415</v>
      </c>
      <c r="W255" s="1">
        <v>0.001515574608561998</v>
      </c>
      <c r="X255" s="1">
        <v>-0.001391989817219219</v>
      </c>
      <c r="Y255" s="1">
        <v>0.002200570515648925</v>
      </c>
      <c r="Z255" s="1">
        <v>-0.01620948354010843</v>
      </c>
    </row>
    <row r="256" spans="1:26">
      <c r="A256" s="11">
        <v>42741</v>
      </c>
      <c r="B256" s="1">
        <v>-0.002055105747764907</v>
      </c>
      <c r="C256" s="1">
        <v>0.002457219279340839</v>
      </c>
      <c r="D256" s="1">
        <v>0.01043343852009637</v>
      </c>
      <c r="E256" s="1">
        <v>-0.002993642220627368</v>
      </c>
      <c r="F256" s="1">
        <v>0.001710434388959792</v>
      </c>
      <c r="G256" s="1">
        <v>0.02216858280294742</v>
      </c>
      <c r="H256" s="1">
        <v>-0.003774879122332764</v>
      </c>
      <c r="I256" s="1">
        <v>0.01082103293270742</v>
      </c>
      <c r="J256" s="1">
        <v>-0.004644755465471717</v>
      </c>
      <c r="K256" s="1">
        <v>0.02026725360904491</v>
      </c>
      <c r="L256" s="1">
        <v>0.0001168379797382713</v>
      </c>
      <c r="M256" s="1">
        <v>-0.01069932187083944</v>
      </c>
      <c r="N256" s="1">
        <v>0.004415785578141485</v>
      </c>
      <c r="O256" s="1">
        <v>0.005416503754100965</v>
      </c>
      <c r="P256" s="1">
        <v>0.008667815717836369</v>
      </c>
      <c r="Q256" s="1">
        <v>-0.01410921244459462</v>
      </c>
      <c r="R256" s="1">
        <v>0.01136052389947673</v>
      </c>
      <c r="S256" s="1">
        <v>0.003471686184380873</v>
      </c>
      <c r="T256" s="1">
        <v>0.01017462015680692</v>
      </c>
      <c r="U256" s="1">
        <v>-0.01621967202484353</v>
      </c>
      <c r="V256" s="1">
        <v>-0.01543556613779706</v>
      </c>
      <c r="W256" s="1">
        <v>0.01300051934772517</v>
      </c>
      <c r="X256" s="1">
        <v>-0.007365729702935364</v>
      </c>
      <c r="Y256" s="1">
        <v>-0.01483474267841811</v>
      </c>
      <c r="Z256" s="1">
        <v>0.006497746862212495</v>
      </c>
    </row>
    <row r="257" spans="1:26">
      <c r="A257" s="11">
        <v>42744</v>
      </c>
      <c r="B257" s="1">
        <v>-0.01204083057012051</v>
      </c>
      <c r="C257" s="1">
        <v>-0.004902702636163436</v>
      </c>
      <c r="D257" s="1">
        <v>0.01427908084933871</v>
      </c>
      <c r="E257" s="1">
        <v>-0.003669882362217658</v>
      </c>
      <c r="F257" s="1">
        <v>0.007969441257328791</v>
      </c>
      <c r="G257" s="1">
        <v>-0.01892740671490956</v>
      </c>
      <c r="H257" s="1">
        <v>-0.009941966935995139</v>
      </c>
      <c r="I257" s="1">
        <v>-0.01220790753620282</v>
      </c>
      <c r="J257" s="1">
        <v>-0.02133342705203234</v>
      </c>
      <c r="K257" s="1">
        <v>-0.004440296259550003</v>
      </c>
      <c r="L257" s="1">
        <v>0.0006966233673457722</v>
      </c>
      <c r="M257" s="1">
        <v>0.007410330811528087</v>
      </c>
      <c r="N257" s="1">
        <v>-0.004103486431245473</v>
      </c>
      <c r="O257" s="1">
        <v>-0.01281302922491123</v>
      </c>
      <c r="P257" s="1">
        <v>-0.003183054457019829</v>
      </c>
      <c r="Q257" s="1">
        <v>-0.01341682375926911</v>
      </c>
      <c r="R257" s="1">
        <v>-0.01229538423652898</v>
      </c>
      <c r="S257" s="1">
        <v>-0.006831679823715464</v>
      </c>
      <c r="T257" s="1">
        <v>-0.0008245232312242834</v>
      </c>
      <c r="U257" s="1">
        <v>-0.01258438610226031</v>
      </c>
      <c r="V257" s="1">
        <v>-0.0001399673471477181</v>
      </c>
      <c r="W257" s="1">
        <v>0.00149396663634227</v>
      </c>
      <c r="X257" s="1">
        <v>-0.006418152877594729</v>
      </c>
      <c r="Y257" s="1">
        <v>-0.01088978690595122</v>
      </c>
      <c r="Z257" s="1">
        <v>-0.01083646489059875</v>
      </c>
    </row>
    <row r="258" spans="1:26">
      <c r="A258" s="11">
        <v>42745</v>
      </c>
      <c r="B258" s="1">
        <v>0.008178304402344239</v>
      </c>
      <c r="C258" s="1">
        <v>0.004737351037795046</v>
      </c>
      <c r="D258" s="1">
        <v>0.007363671344140954</v>
      </c>
      <c r="E258" s="1">
        <v>0.004185681826063714</v>
      </c>
      <c r="F258" s="1">
        <v>0.001270731939082559</v>
      </c>
      <c r="G258" s="1">
        <v>0.002813022995733938</v>
      </c>
      <c r="H258" s="1">
        <v>0.004351359903189023</v>
      </c>
      <c r="I258" s="1">
        <v>-0.002851742550119551</v>
      </c>
      <c r="J258" s="1">
        <v>0.0006810351915822466</v>
      </c>
      <c r="K258" s="1">
        <v>0.02370903073083785</v>
      </c>
      <c r="L258" s="1">
        <v>0.00290084199328855</v>
      </c>
      <c r="M258" s="1">
        <v>0.02067614278235541</v>
      </c>
      <c r="N258" s="1">
        <v>-0.003384775725955858</v>
      </c>
      <c r="O258" s="1">
        <v>-0.004276986571477903</v>
      </c>
      <c r="P258" s="1">
        <v>-0.0003192196815896553</v>
      </c>
      <c r="Q258" s="1">
        <v>-0.005440114321567879</v>
      </c>
      <c r="R258" s="1">
        <v>0.01813459666271755</v>
      </c>
      <c r="S258" s="1">
        <v>-0.006569864066343634</v>
      </c>
      <c r="T258" s="1">
        <v>0.0004307164788823759</v>
      </c>
      <c r="U258" s="1">
        <v>0.0002451485263283981</v>
      </c>
      <c r="V258" s="1">
        <v>0</v>
      </c>
      <c r="W258" s="1">
        <v>0.001965913185333346</v>
      </c>
      <c r="X258" s="1">
        <v>0.008074417072324369</v>
      </c>
      <c r="Y258" s="1">
        <v>0.001518545171486751</v>
      </c>
      <c r="Z258" s="1">
        <v>0.01538442956186392</v>
      </c>
    </row>
    <row r="259" spans="1:26">
      <c r="A259" s="11">
        <v>42746</v>
      </c>
      <c r="B259" s="1">
        <v>0.01431540182409452</v>
      </c>
      <c r="C259" s="1">
        <v>0.002074432500449586</v>
      </c>
      <c r="D259" s="1">
        <v>0.01032089627897426</v>
      </c>
      <c r="E259" s="1">
        <v>-0.05301787422093007</v>
      </c>
      <c r="F259" s="1">
        <v>0.01113920954344572</v>
      </c>
      <c r="G259" s="1">
        <v>0.01883808182827873</v>
      </c>
      <c r="H259" s="1">
        <v>0.002332902609334608</v>
      </c>
      <c r="I259" s="1">
        <v>0.00781780174044</v>
      </c>
      <c r="J259" s="1">
        <v>0.01701845055274642</v>
      </c>
      <c r="K259" s="1">
        <v>0.01077741624142092</v>
      </c>
      <c r="L259" s="1">
        <v>0.007520328428516798</v>
      </c>
      <c r="M259" s="1">
        <v>0.006622310895342709</v>
      </c>
      <c r="N259" s="1">
        <v>-0.001033874752443098</v>
      </c>
      <c r="O259" s="1">
        <v>-0.0010371890583315</v>
      </c>
      <c r="P259" s="1">
        <v>0.009102574062035407</v>
      </c>
      <c r="Q259" s="1">
        <v>0.008204747253498068</v>
      </c>
      <c r="R259" s="1">
        <v>0.008301704933785459</v>
      </c>
      <c r="S259" s="1">
        <v>-0.02458945040738436</v>
      </c>
      <c r="T259" s="1">
        <v>0.01749858147954586</v>
      </c>
      <c r="U259" s="1">
        <v>-0.004900624436444123</v>
      </c>
      <c r="V259" s="1">
        <v>0.002519621943746664</v>
      </c>
      <c r="W259" s="1">
        <v>-0.01055633003115986</v>
      </c>
      <c r="X259" s="1">
        <v>0.0008010903618167475</v>
      </c>
      <c r="Y259" s="1">
        <v>-0.005686288642746895</v>
      </c>
      <c r="Z259" s="1">
        <v>0.00826408884752694</v>
      </c>
    </row>
    <row r="260" spans="1:26">
      <c r="A260" s="11">
        <v>42747</v>
      </c>
      <c r="B260" s="1">
        <v>-0.01176072629907965</v>
      </c>
      <c r="C260" s="1">
        <v>-0.006963717550971915</v>
      </c>
      <c r="D260" s="1">
        <v>-0.01021546353934311</v>
      </c>
      <c r="E260" s="1">
        <v>-0.004401217421626025</v>
      </c>
      <c r="F260" s="1">
        <v>-0.004044065685846698</v>
      </c>
      <c r="G260" s="1">
        <v>-0.003540809581195181</v>
      </c>
      <c r="H260" s="1">
        <v>0.02360788126418156</v>
      </c>
      <c r="I260" s="1">
        <v>-0.005108419087694327</v>
      </c>
      <c r="J260" s="1">
        <v>-0.01004005944700703</v>
      </c>
      <c r="K260" s="1">
        <v>-0.006579006559727096</v>
      </c>
      <c r="L260" s="1">
        <v>-0.009646000565419866</v>
      </c>
      <c r="M260" s="1">
        <v>-0.01296421458541674</v>
      </c>
      <c r="N260" s="1">
        <v>-0.00206900009705735</v>
      </c>
      <c r="O260" s="1">
        <v>0.002076062796929179</v>
      </c>
      <c r="P260" s="1">
        <v>-0.009178415091556924</v>
      </c>
      <c r="Q260" s="1">
        <v>-0.00406881210806942</v>
      </c>
      <c r="R260" s="1">
        <v>-0.007035849249062531</v>
      </c>
      <c r="S260" s="1">
        <v>-0.01119399221027928</v>
      </c>
      <c r="T260" s="1">
        <v>-0.0007753362550791953</v>
      </c>
      <c r="U260" s="1">
        <v>0.009849517659819229</v>
      </c>
      <c r="V260" s="1">
        <v>-0.005027006700274672</v>
      </c>
      <c r="W260" s="1">
        <v>-0.001709310600578329</v>
      </c>
      <c r="X260" s="1">
        <v>-0.004201932735988345</v>
      </c>
      <c r="Y260" s="1">
        <v>0.004193893644070634</v>
      </c>
      <c r="Z260" s="1">
        <v>-0.02163019781732844</v>
      </c>
    </row>
    <row r="261" spans="1:26">
      <c r="A261" s="11">
        <v>42748</v>
      </c>
      <c r="B261" s="1">
        <v>-0.003808347369925413</v>
      </c>
      <c r="C261" s="1">
        <v>0.003411660219311941</v>
      </c>
      <c r="D261" s="1">
        <v>-0.001289647086672785</v>
      </c>
      <c r="E261" s="1">
        <v>-0.005835603079905383</v>
      </c>
      <c r="F261" s="1">
        <v>0.01890241675478177</v>
      </c>
      <c r="G261" s="1">
        <v>0.003553391463735567</v>
      </c>
      <c r="H261" s="1">
        <v>0.002436175761473258</v>
      </c>
      <c r="I261" s="1">
        <v>0.005895017433051652</v>
      </c>
      <c r="J261" s="1">
        <v>-0.001352299159962045</v>
      </c>
      <c r="K261" s="1">
        <v>-0.0029687523585058</v>
      </c>
      <c r="L261" s="1">
        <v>0.005333612927806319</v>
      </c>
      <c r="M261" s="1">
        <v>0.002744335578844792</v>
      </c>
      <c r="N261" s="1">
        <v>0.001036533459565225</v>
      </c>
      <c r="O261" s="1">
        <v>0.002219548827934403</v>
      </c>
      <c r="P261" s="1">
        <v>0.001437244492613177</v>
      </c>
      <c r="Q261" s="1">
        <v>-0.003177613045037275</v>
      </c>
      <c r="R261" s="1">
        <v>0.01794034669628264</v>
      </c>
      <c r="S261" s="1">
        <v>-0.01463444188519258</v>
      </c>
      <c r="T261" s="1">
        <v>0.005501832371852755</v>
      </c>
      <c r="U261" s="1">
        <v>-0.001219046495612996</v>
      </c>
      <c r="V261" s="1">
        <v>-0.01487689268982406</v>
      </c>
      <c r="W261" s="1">
        <v>0.002192102094421111</v>
      </c>
      <c r="X261" s="1">
        <v>-0.005625933311259268</v>
      </c>
      <c r="Y261" s="1">
        <v>-0.002467597990082671</v>
      </c>
      <c r="Z261" s="1">
        <v>0.02047952207394488</v>
      </c>
    </row>
    <row r="262" spans="1:26">
      <c r="A262" s="11">
        <v>42752</v>
      </c>
      <c r="B262" s="1">
        <v>0.005097000286540476</v>
      </c>
      <c r="C262" s="1">
        <v>-0.00730350333773333</v>
      </c>
      <c r="D262" s="1">
        <v>0.001506944982279101</v>
      </c>
      <c r="E262" s="1">
        <v>0.00106708934641353</v>
      </c>
      <c r="F262" s="1">
        <v>-0.00288613873893051</v>
      </c>
      <c r="G262" s="1">
        <v>0.002753873051431377</v>
      </c>
      <c r="H262" s="1">
        <v>0.005994775983438672</v>
      </c>
      <c r="I262" s="1">
        <v>-0.01370643038014419</v>
      </c>
      <c r="J262" s="1">
        <v>-0.01286378879953853</v>
      </c>
      <c r="K262" s="1">
        <v>-0.01259726377291792</v>
      </c>
      <c r="L262" s="1">
        <v>-0.03633203351028269</v>
      </c>
      <c r="M262" s="1">
        <v>-0.0177907513063037</v>
      </c>
      <c r="N262" s="1">
        <v>0.01331774949453979</v>
      </c>
      <c r="O262" s="1">
        <v>-0.001329006865957161</v>
      </c>
      <c r="P262" s="1">
        <v>-0.002711382887621405</v>
      </c>
      <c r="Q262" s="1">
        <v>0.01775955134563478</v>
      </c>
      <c r="R262" s="1">
        <v>-0.008886266421962663</v>
      </c>
      <c r="S262" s="1">
        <v>0.01667303010947307</v>
      </c>
      <c r="T262" s="1">
        <v>-0.002595572200388863</v>
      </c>
      <c r="U262" s="1">
        <v>0.003661963226375686</v>
      </c>
      <c r="V262" s="1">
        <v>0.01068500689599383</v>
      </c>
      <c r="W262" s="1">
        <v>-0.008476539290978469</v>
      </c>
      <c r="X262" s="1">
        <v>-0.01495235399094563</v>
      </c>
      <c r="Y262" s="1">
        <v>0.003615565118818109</v>
      </c>
      <c r="Z262" s="1">
        <v>-0.0474344555360231</v>
      </c>
    </row>
    <row r="263" spans="1:26">
      <c r="A263" s="11">
        <v>42753</v>
      </c>
      <c r="B263" s="1">
        <v>0.0009546658370582772</v>
      </c>
      <c r="C263" s="1">
        <v>0.004122553672266882</v>
      </c>
      <c r="D263" s="1">
        <v>0.005374311416945554</v>
      </c>
      <c r="E263" s="1">
        <v>-0.003731312086627692</v>
      </c>
      <c r="F263" s="1">
        <v>-0.003720943998157811</v>
      </c>
      <c r="G263" s="1">
        <v>0.007453852060156363</v>
      </c>
      <c r="H263" s="1">
        <v>0.003220972736211358</v>
      </c>
      <c r="I263" s="1">
        <v>0.008626191998706734</v>
      </c>
      <c r="J263" s="1">
        <v>0</v>
      </c>
      <c r="K263" s="1">
        <v>-0.0004638090407826923</v>
      </c>
      <c r="L263" s="1">
        <v>0.00466768769770165</v>
      </c>
      <c r="M263" s="1">
        <v>0.002786654216351936</v>
      </c>
      <c r="N263" s="1">
        <v>0.00992977297633546</v>
      </c>
      <c r="O263" s="1">
        <v>0.007835526894686362</v>
      </c>
      <c r="P263" s="1">
        <v>-0.0004797400586838974</v>
      </c>
      <c r="Q263" s="1">
        <v>0.007606471148442262</v>
      </c>
      <c r="R263" s="1">
        <v>-0.009115094707383142</v>
      </c>
      <c r="S263" s="1">
        <v>-0.009600611845465346</v>
      </c>
      <c r="T263" s="1">
        <v>0.00914321983647759</v>
      </c>
      <c r="U263" s="1">
        <v>-0.007540683678209592</v>
      </c>
      <c r="V263" s="1">
        <v>-0.05765445409564951</v>
      </c>
      <c r="W263" s="1">
        <v>-0.002688915124961055</v>
      </c>
      <c r="X263" s="1">
        <v>0.006974533050981835</v>
      </c>
      <c r="Y263" s="1">
        <v>-0.009291044626898559</v>
      </c>
      <c r="Z263" s="1">
        <v>0.01699810047771733</v>
      </c>
    </row>
    <row r="264" spans="1:26">
      <c r="A264" s="11">
        <v>42754</v>
      </c>
      <c r="B264" s="1">
        <v>-0.01096814738091634</v>
      </c>
      <c r="C264" s="1">
        <v>0.004295134516361321</v>
      </c>
      <c r="D264" s="1">
        <v>-0.004276314323139574</v>
      </c>
      <c r="E264" s="1">
        <v>-0.01034436923067428</v>
      </c>
      <c r="F264" s="1">
        <v>0.004426859439641273</v>
      </c>
      <c r="G264" s="1">
        <v>-0.009345825287943588</v>
      </c>
      <c r="H264" s="1">
        <v>-0.000802353198001593</v>
      </c>
      <c r="I264" s="1">
        <v>-0.00209060765580471</v>
      </c>
      <c r="J264" s="1">
        <v>0.01920441693483799</v>
      </c>
      <c r="K264" s="1">
        <v>-0.005105800818216655</v>
      </c>
      <c r="L264" s="1">
        <v>-0.007624022240680151</v>
      </c>
      <c r="M264" s="1">
        <v>-0.006153460342109618</v>
      </c>
      <c r="N264" s="1">
        <v>0.005638982658059399</v>
      </c>
      <c r="O264" s="1">
        <v>-0.01056177640488853</v>
      </c>
      <c r="P264" s="1">
        <v>-0.003199824889349112</v>
      </c>
      <c r="Q264" s="1">
        <v>-0.007992968489958896</v>
      </c>
      <c r="R264" s="1">
        <v>-0.008596287001962466</v>
      </c>
      <c r="S264" s="1">
        <v>-0.001252445321586304</v>
      </c>
      <c r="T264" s="1">
        <v>-0.01348603140059013</v>
      </c>
      <c r="U264" s="1">
        <v>0.004901705321590732</v>
      </c>
      <c r="V264" s="1">
        <v>-0.02183979495480093</v>
      </c>
      <c r="W264" s="1">
        <v>-0.002350052453430895</v>
      </c>
      <c r="X264" s="1">
        <v>0.006722131360509032</v>
      </c>
      <c r="Y264" s="1">
        <v>0.00210546621229768</v>
      </c>
      <c r="Z264" s="1">
        <v>-0.004002286747656347</v>
      </c>
    </row>
    <row r="265" spans="1:26">
      <c r="A265" s="11">
        <v>42755</v>
      </c>
      <c r="B265" s="1">
        <v>-0.006589590687121838</v>
      </c>
      <c r="C265" s="1">
        <v>0.0033333885378799</v>
      </c>
      <c r="D265" s="1">
        <v>-0.00730108888152492</v>
      </c>
      <c r="E265" s="1">
        <v>-0.1128127382816014</v>
      </c>
      <c r="F265" s="1">
        <v>0.01322132482170213</v>
      </c>
      <c r="G265" s="1">
        <v>0.006289228042383188</v>
      </c>
      <c r="H265" s="1">
        <v>0.009639628526986632</v>
      </c>
      <c r="I265" s="1">
        <v>0.01637736448173421</v>
      </c>
      <c r="J265" s="1">
        <v>-0.00874862666023879</v>
      </c>
      <c r="K265" s="1">
        <v>0.0006999939097445118</v>
      </c>
      <c r="L265" s="1">
        <v>0.004441547728909256</v>
      </c>
      <c r="M265" s="1">
        <v>0.02037137138524114</v>
      </c>
      <c r="N265" s="1">
        <v>0.006613818121731896</v>
      </c>
      <c r="O265" s="1">
        <v>0.008005804959005491</v>
      </c>
      <c r="P265" s="1">
        <v>0.007062322190221959</v>
      </c>
      <c r="Q265" s="1">
        <v>0.007609642002204042</v>
      </c>
      <c r="R265" s="1">
        <v>0.003955585649087157</v>
      </c>
      <c r="S265" s="1">
        <v>0.01226029827866704</v>
      </c>
      <c r="T265" s="1">
        <v>0.001872328446129057</v>
      </c>
      <c r="U265" s="1">
        <v>0.01097589490307249</v>
      </c>
      <c r="V265" s="1">
        <v>-0.0197278258085174</v>
      </c>
      <c r="W265" s="1">
        <v>-0.005612558327428019</v>
      </c>
      <c r="X265" s="1">
        <v>-0.001416463706919169</v>
      </c>
      <c r="Y265" s="1">
        <v>0.00687530695514349</v>
      </c>
      <c r="Z265" s="1">
        <v>0.003545602414419591</v>
      </c>
    </row>
    <row r="266" spans="1:26">
      <c r="A266" s="11">
        <v>42758</v>
      </c>
      <c r="B266" s="1">
        <v>-0.01682544227471339</v>
      </c>
      <c r="C266" s="1">
        <v>-0.01059377025895558</v>
      </c>
      <c r="D266" s="1">
        <v>-0.004542637057279308</v>
      </c>
      <c r="E266" s="1">
        <v>0.01564044091578798</v>
      </c>
      <c r="F266" s="1">
        <v>-0.004213643133580747</v>
      </c>
      <c r="G266" s="1">
        <v>-0.00624992086481746</v>
      </c>
      <c r="H266" s="1">
        <v>0.004456026697161608</v>
      </c>
      <c r="I266" s="1">
        <v>0.003560343865410598</v>
      </c>
      <c r="J266" s="1">
        <v>-0.004073152862633211</v>
      </c>
      <c r="K266" s="1">
        <v>0.007925330451381551</v>
      </c>
      <c r="L266" s="1">
        <v>0.000478053559795466</v>
      </c>
      <c r="M266" s="1">
        <v>-0.02250869108813658</v>
      </c>
      <c r="N266" s="1">
        <v>0.0077131935594974</v>
      </c>
      <c r="O266" s="1">
        <v>-0.001330239610631279</v>
      </c>
      <c r="P266" s="1">
        <v>0.003506431790940789</v>
      </c>
      <c r="Q266" s="1">
        <v>-0.01377164979869083</v>
      </c>
      <c r="R266" s="1">
        <v>-0.008030866154893679</v>
      </c>
      <c r="S266" s="1">
        <v>0.01046003393206374</v>
      </c>
      <c r="T266" s="1">
        <v>0.001339373263920196</v>
      </c>
      <c r="U266" s="1">
        <v>0.01326894442661408</v>
      </c>
      <c r="V266" s="1">
        <v>-0.003900348470752824</v>
      </c>
      <c r="W266" s="1">
        <v>-0.005017269468170271</v>
      </c>
      <c r="X266" s="1">
        <v>-0.009523663372894786</v>
      </c>
      <c r="Y266" s="1">
        <v>-0.005880208927809272</v>
      </c>
      <c r="Z266" s="1">
        <v>-0.003533075533278418</v>
      </c>
    </row>
    <row r="267" spans="1:26">
      <c r="A267" s="11">
        <v>42759</v>
      </c>
      <c r="B267" s="1">
        <v>0.003126433916033067</v>
      </c>
      <c r="C267" s="1">
        <v>0.01716939038779408</v>
      </c>
      <c r="D267" s="1">
        <v>-0.003693644569797927</v>
      </c>
      <c r="E267" s="1">
        <v>-0.02079992644354545</v>
      </c>
      <c r="F267" s="1">
        <v>0.004641071920742812</v>
      </c>
      <c r="G267" s="1">
        <v>0.007075242506141333</v>
      </c>
      <c r="H267" s="1">
        <v>0.002851622842943824</v>
      </c>
      <c r="I267" s="1">
        <v>0.00513417489007173</v>
      </c>
      <c r="J267" s="1">
        <v>0.0340830279756017</v>
      </c>
      <c r="K267" s="1">
        <v>0.01641992180334495</v>
      </c>
      <c r="L267" s="1">
        <v>0.01206534794107461</v>
      </c>
      <c r="M267" s="1">
        <v>-0.005807226283456313</v>
      </c>
      <c r="N267" s="1">
        <v>0.002976888496954988</v>
      </c>
      <c r="O267" s="1">
        <v>0.009917239309148451</v>
      </c>
      <c r="P267" s="1">
        <v>0.008894823937533491</v>
      </c>
      <c r="Q267" s="1">
        <v>0.002252058172952376</v>
      </c>
      <c r="R267" s="1">
        <v>0.01878708264169182</v>
      </c>
      <c r="S267" s="1">
        <v>0.009716105784883577</v>
      </c>
      <c r="T267" s="1">
        <v>-0.01137314173534065</v>
      </c>
      <c r="U267" s="1">
        <v>-0.01523783995111871</v>
      </c>
      <c r="V267" s="1">
        <v>0.008771035284017348</v>
      </c>
      <c r="W267" s="1">
        <v>-0.01267549828290393</v>
      </c>
      <c r="X267" s="1">
        <v>0.01022920113816417</v>
      </c>
      <c r="Y267" s="1">
        <v>-0.04369366169594391</v>
      </c>
      <c r="Z267" s="1">
        <v>0.00590895714263584</v>
      </c>
    </row>
    <row r="268" spans="1:26">
      <c r="A268" s="11">
        <v>42760</v>
      </c>
      <c r="B268" s="1">
        <v>0.007709815891434824</v>
      </c>
      <c r="C268" s="1">
        <v>0.04241677788917109</v>
      </c>
      <c r="D268" s="1">
        <v>0.006325016879901391</v>
      </c>
      <c r="E268" s="1">
        <v>0.01205117410323742</v>
      </c>
      <c r="F268" s="1">
        <v>-0.002174459315407162</v>
      </c>
      <c r="G268" s="1">
        <v>0.01288068328269465</v>
      </c>
      <c r="H268" s="1">
        <v>-0.003159403134392447</v>
      </c>
      <c r="I268" s="1">
        <v>0.003622358671170334</v>
      </c>
      <c r="J268" s="1">
        <v>0.001318249962776408</v>
      </c>
      <c r="K268" s="1">
        <v>0.005460514958433471</v>
      </c>
      <c r="L268" s="1">
        <v>0.01546299663566364</v>
      </c>
      <c r="M268" s="1">
        <v>-0.003826692123559794</v>
      </c>
      <c r="N268" s="1">
        <v>0.002826367840438548</v>
      </c>
      <c r="O268" s="1">
        <v>0.006302505501643463</v>
      </c>
      <c r="P268" s="1">
        <v>0.002518914870068834</v>
      </c>
      <c r="Q268" s="1">
        <v>-0.002246997803185047</v>
      </c>
      <c r="R268" s="1">
        <v>0.02548740168918773</v>
      </c>
      <c r="S268" s="1">
        <v>-0.01564817418980446</v>
      </c>
      <c r="T268" s="1">
        <v>0.009438465229286708</v>
      </c>
      <c r="U268" s="1">
        <v>0.0007250717078088886</v>
      </c>
      <c r="V268" s="1">
        <v>0.009159791490996438</v>
      </c>
      <c r="W268" s="1">
        <v>0.01028479815915384</v>
      </c>
      <c r="X268" s="1">
        <v>-0.05366545557718405</v>
      </c>
      <c r="Y268" s="1">
        <v>-0.006983523671249214</v>
      </c>
      <c r="Z268" s="1">
        <v>0.01691718766906569</v>
      </c>
    </row>
    <row r="269" spans="1:26">
      <c r="A269" s="11">
        <v>42761</v>
      </c>
      <c r="B269" s="1">
        <v>0.01823225732123235</v>
      </c>
      <c r="C269" s="1">
        <v>0.01051607310646419</v>
      </c>
      <c r="D269" s="1">
        <v>-0.001950943476765277</v>
      </c>
      <c r="E269" s="1">
        <v>-0.05509603113234607</v>
      </c>
      <c r="F269" s="1">
        <v>0.028050352843912</v>
      </c>
      <c r="G269" s="1">
        <v>0.001541431128938342</v>
      </c>
      <c r="H269" s="1">
        <v>-0.007606737317349954</v>
      </c>
      <c r="I269" s="1">
        <v>-0.003979423572012419</v>
      </c>
      <c r="J269" s="1">
        <v>-0.02633282447339202</v>
      </c>
      <c r="K269" s="1">
        <v>0.002489192983505806</v>
      </c>
      <c r="L269" s="1">
        <v>0.008368794972323457</v>
      </c>
      <c r="M269" s="1">
        <v>0.09017373995818656</v>
      </c>
      <c r="N269" s="1">
        <v>-0.001550221791098649</v>
      </c>
      <c r="O269" s="1">
        <v>0.00131047436421361</v>
      </c>
      <c r="P269" s="1">
        <v>0.009264724871645091</v>
      </c>
      <c r="Q269" s="1">
        <v>0.0009008701650770057</v>
      </c>
      <c r="R269" s="1">
        <v>-0.00467856577428305</v>
      </c>
      <c r="S269" s="1">
        <v>-0.003014691324294105</v>
      </c>
      <c r="T269" s="1">
        <v>0.07614149799931247</v>
      </c>
      <c r="U269" s="1">
        <v>0.009181071380763184</v>
      </c>
      <c r="V269" s="1">
        <v>-0.01276915998608419</v>
      </c>
      <c r="W269" s="1">
        <v>0.004704553448899418</v>
      </c>
      <c r="X269" s="1">
        <v>0.03809052190772855</v>
      </c>
      <c r="Y269" s="1">
        <v>-0.01306008734291775</v>
      </c>
      <c r="Z269" s="1">
        <v>0.004390479801210656</v>
      </c>
    </row>
    <row r="270" spans="1:26">
      <c r="A270" s="11">
        <v>42762</v>
      </c>
      <c r="B270" s="1">
        <v>-0.007514147355038969</v>
      </c>
      <c r="C270" s="1">
        <v>-0.008396309710943295</v>
      </c>
      <c r="D270" s="1">
        <v>0.02236763054021629</v>
      </c>
      <c r="E270" s="1">
        <v>0.01964929377390567</v>
      </c>
      <c r="F270" s="1">
        <v>0.005960173197653518</v>
      </c>
      <c r="G270" s="1">
        <v>0.002693080659389002</v>
      </c>
      <c r="H270" s="1">
        <v>-0.0006390710793192644</v>
      </c>
      <c r="I270" s="1">
        <v>0.003344970904431088</v>
      </c>
      <c r="J270" s="1">
        <v>0.0006759700156255821</v>
      </c>
      <c r="K270" s="1">
        <v>-0.01286662478932554</v>
      </c>
      <c r="L270" s="1">
        <v>0.002075371278365656</v>
      </c>
      <c r="M270" s="1">
        <v>-0.02262626449903893</v>
      </c>
      <c r="N270" s="1">
        <v>0.002540510753912484</v>
      </c>
      <c r="O270" s="1">
        <v>0.001454416784559598</v>
      </c>
      <c r="P270" s="1">
        <v>0.02349462348814346</v>
      </c>
      <c r="Q270" s="1">
        <v>-0.008550797889007145</v>
      </c>
      <c r="R270" s="1">
        <v>-0.00719703261139204</v>
      </c>
      <c r="S270" s="1">
        <v>-0.007697887107744106</v>
      </c>
      <c r="T270" s="1">
        <v>0.0006557732304859343</v>
      </c>
      <c r="U270" s="1">
        <v>0.005745756681363456</v>
      </c>
      <c r="V270" s="1">
        <v>-0.007324315081875143</v>
      </c>
      <c r="W270" s="1">
        <v>0.01642159900335827</v>
      </c>
      <c r="X270" s="1">
        <v>-0.01525418760755859</v>
      </c>
      <c r="Y270" s="1">
        <v>0.009771942256391331</v>
      </c>
      <c r="Z270" s="1">
        <v>-0.008051910868034584</v>
      </c>
    </row>
    <row r="271" spans="1:26">
      <c r="A271" s="11">
        <v>42765</v>
      </c>
      <c r="B271" s="1">
        <v>-0.0343105670989623</v>
      </c>
      <c r="C271" s="1">
        <v>-0.01270110699441185</v>
      </c>
      <c r="D271" s="1">
        <v>-0.003823792366491663</v>
      </c>
      <c r="E271" s="1">
        <v>0.01989963683097651</v>
      </c>
      <c r="F271" s="1">
        <v>-0.008031211770522351</v>
      </c>
      <c r="G271" s="1">
        <v>-0.008825350419777167</v>
      </c>
      <c r="H271" s="1">
        <v>-0.00319575262764149</v>
      </c>
      <c r="I271" s="1">
        <v>-0.008611944193404386</v>
      </c>
      <c r="J271" s="1">
        <v>0.002702861049076244</v>
      </c>
      <c r="K271" s="1">
        <v>0.000914682434502101</v>
      </c>
      <c r="L271" s="1">
        <v>-0.01035322399627392</v>
      </c>
      <c r="M271" s="1">
        <v>-0.006641193305233606</v>
      </c>
      <c r="N271" s="1">
        <v>0.00380142703078179</v>
      </c>
      <c r="O271" s="1">
        <v>-0.007407360480767178</v>
      </c>
      <c r="P271" s="1">
        <v>-0.009880965756572158</v>
      </c>
      <c r="Q271" s="1">
        <v>-0.008624662771444247</v>
      </c>
      <c r="R271" s="1">
        <v>0.0004439280951697988</v>
      </c>
      <c r="S271" s="1">
        <v>-0.00729519799386491</v>
      </c>
      <c r="T271" s="1">
        <v>-0.001212479620341433</v>
      </c>
      <c r="U271" s="1">
        <v>-0.004522903275825274</v>
      </c>
      <c r="V271" s="1">
        <v>0.006593324308242554</v>
      </c>
      <c r="W271" s="1">
        <v>-0.01485018717708664</v>
      </c>
      <c r="X271" s="1">
        <v>-0.006698713746340013</v>
      </c>
      <c r="Y271" s="1">
        <v>-0.004637058311852238</v>
      </c>
      <c r="Z271" s="1">
        <v>-0.01994427476194538</v>
      </c>
    </row>
    <row r="272" spans="1:26">
      <c r="A272" s="11">
        <v>42766</v>
      </c>
      <c r="B272" s="1">
        <v>-0.00216827038507561</v>
      </c>
      <c r="C272" s="1">
        <v>-0.01298567042565468</v>
      </c>
      <c r="D272" s="1">
        <v>0.02153540119264585</v>
      </c>
      <c r="E272" s="1">
        <v>0.009653100014629379</v>
      </c>
      <c r="F272" s="1">
        <v>0.0010615983583393</v>
      </c>
      <c r="G272" s="1">
        <v>0.01471137468635253</v>
      </c>
      <c r="H272" s="1">
        <v>-0.002404715944613001</v>
      </c>
      <c r="I272" s="1">
        <v>-9.329597095042441E-05</v>
      </c>
      <c r="J272" s="1">
        <v>0.01415085307240105</v>
      </c>
      <c r="K272" s="1">
        <v>0.004797910147698703</v>
      </c>
      <c r="L272" s="1">
        <v>-0.01627367541241587</v>
      </c>
      <c r="M272" s="1">
        <v>-0.0007641901358396153</v>
      </c>
      <c r="N272" s="1">
        <v>-0.001683019363108773</v>
      </c>
      <c r="O272" s="1">
        <v>-0.004682490433513764</v>
      </c>
      <c r="P272" s="1">
        <v>-0.007369942508971161</v>
      </c>
      <c r="Q272" s="1">
        <v>0.02426728718871907</v>
      </c>
      <c r="R272" s="1">
        <v>-0.004584501716294098</v>
      </c>
      <c r="S272" s="1">
        <v>4.640156885704627E-05</v>
      </c>
      <c r="T272" s="1">
        <v>-0.003346136832828916</v>
      </c>
      <c r="U272" s="1">
        <v>0.008129993372147482</v>
      </c>
      <c r="V272" s="1">
        <v>0.005614539789568163</v>
      </c>
      <c r="W272" s="1">
        <v>0.06350726781310767</v>
      </c>
      <c r="X272" s="1">
        <v>-0.001686094427639451</v>
      </c>
      <c r="Y272" s="1">
        <v>-0.007292151795495805</v>
      </c>
      <c r="Z272" s="1">
        <v>-0.001656671919636366</v>
      </c>
    </row>
    <row r="273" spans="1:26">
      <c r="A273" s="11">
        <v>42767</v>
      </c>
      <c r="B273" s="1">
        <v>-0.03410248508298286</v>
      </c>
      <c r="C273" s="1">
        <v>0.003365793842332376</v>
      </c>
      <c r="D273" s="1">
        <v>0.003965592460309919</v>
      </c>
      <c r="E273" s="1">
        <v>0.00264453982894608</v>
      </c>
      <c r="F273" s="1">
        <v>0.002518813318007629</v>
      </c>
      <c r="G273" s="1">
        <v>-0.01068278610076689</v>
      </c>
      <c r="H273" s="1">
        <v>0.004178122997737788</v>
      </c>
      <c r="I273" s="1">
        <v>0.0009340367290433527</v>
      </c>
      <c r="J273" s="1">
        <v>-0.003986635454021559</v>
      </c>
      <c r="K273" s="1">
        <v>-0.03365172750766143</v>
      </c>
      <c r="L273" s="1">
        <v>0.003781162322236797</v>
      </c>
      <c r="M273" s="1">
        <v>0.008029226843719206</v>
      </c>
      <c r="N273" s="1">
        <v>0.002950434122626966</v>
      </c>
      <c r="O273" s="1">
        <v>-0.008967905216017202</v>
      </c>
      <c r="P273" s="1">
        <v>-0.01655077568271435</v>
      </c>
      <c r="Q273" s="1">
        <v>-0.01743393657082393</v>
      </c>
      <c r="R273" s="1">
        <v>0.0196106550894577</v>
      </c>
      <c r="S273" s="1">
        <v>-0.007953449075852048</v>
      </c>
      <c r="T273" s="1">
        <v>0.007800870531929016</v>
      </c>
      <c r="U273" s="1">
        <v>-0.002371822469204754</v>
      </c>
      <c r="V273" s="1">
        <v>-0.01256198564419175</v>
      </c>
      <c r="W273" s="1">
        <v>0.003609071514543372</v>
      </c>
      <c r="X273" s="1">
        <v>-0.005910726528161936</v>
      </c>
      <c r="Y273" s="1">
        <v>-0.01265034638466422</v>
      </c>
      <c r="Z273" s="1">
        <v>0.006399996146901676</v>
      </c>
    </row>
    <row r="274" spans="1:26">
      <c r="A274" s="11">
        <v>42768</v>
      </c>
      <c r="B274" s="1">
        <v>0.02267213830702963</v>
      </c>
      <c r="C274" s="1">
        <v>-0.01042886071248439</v>
      </c>
      <c r="D274" s="1">
        <v>0.0006237845814727194</v>
      </c>
      <c r="E274" s="1">
        <v>0.02454843349813585</v>
      </c>
      <c r="F274" s="1">
        <v>-0.006877207663601781</v>
      </c>
      <c r="G274" s="1">
        <v>0.01002688001892138</v>
      </c>
      <c r="H274" s="1">
        <v>0.01072187410335457</v>
      </c>
      <c r="I274" s="1">
        <v>0.002613060141181345</v>
      </c>
      <c r="J274" s="1">
        <v>0.01467646715950233</v>
      </c>
      <c r="K274" s="1">
        <v>-0.004705883137105848</v>
      </c>
      <c r="L274" s="1">
        <v>-0.004237654129144008</v>
      </c>
      <c r="M274" s="1">
        <v>0.002465229211482844</v>
      </c>
      <c r="N274" s="1">
        <v>0.000840079924534054</v>
      </c>
      <c r="O274" s="1">
        <v>0.03174624033280127</v>
      </c>
      <c r="P274" s="1">
        <v>-0.006448662015384743</v>
      </c>
      <c r="Q274" s="1">
        <v>0.008189694167107575</v>
      </c>
      <c r="R274" s="1">
        <v>-0.01515364085932036</v>
      </c>
      <c r="S274" s="1">
        <v>0.008111074568369459</v>
      </c>
      <c r="T274" s="1">
        <v>-0.007577115242285215</v>
      </c>
      <c r="U274" s="1">
        <v>-0.0209224199517869</v>
      </c>
      <c r="V274" s="1">
        <v>0.0001568879085622754</v>
      </c>
      <c r="W274" s="1">
        <v>-0.008303392378608332</v>
      </c>
      <c r="X274" s="1">
        <v>0.009556028124731109</v>
      </c>
      <c r="Y274" s="1">
        <v>-0.002272822279839604</v>
      </c>
      <c r="Z274" s="1">
        <v>-0.01625077155167098</v>
      </c>
    </row>
    <row r="275" spans="1:26">
      <c r="A275" s="11">
        <v>42769</v>
      </c>
      <c r="B275" s="1">
        <v>0.00930804963290921</v>
      </c>
      <c r="C275" s="1">
        <v>0.0008627543101709101</v>
      </c>
      <c r="D275" s="1">
        <v>0.01038842327242007</v>
      </c>
      <c r="E275" s="1">
        <v>0.005544471277809437</v>
      </c>
      <c r="F275" s="1">
        <v>0.002264192953323807</v>
      </c>
      <c r="G275" s="1">
        <v>0.004199918806939484</v>
      </c>
      <c r="H275" s="1">
        <v>0.001899619827089971</v>
      </c>
      <c r="I275" s="1">
        <v>0.005212828529985059</v>
      </c>
      <c r="J275" s="1">
        <v>0.003944785401404305</v>
      </c>
      <c r="K275" s="1">
        <v>0.008510662045795758</v>
      </c>
      <c r="L275" s="1">
        <v>0.03061809450970232</v>
      </c>
      <c r="M275" s="1">
        <v>0.0003784086018909782</v>
      </c>
      <c r="N275" s="1">
        <v>0.0005601095081984031</v>
      </c>
      <c r="O275" s="1">
        <v>0.01394647668705984</v>
      </c>
      <c r="P275" s="1">
        <v>0.008073629447023167</v>
      </c>
      <c r="Q275" s="1">
        <v>0.004512244652030484</v>
      </c>
      <c r="R275" s="1">
        <v>0.01331598265356071</v>
      </c>
      <c r="S275" s="1">
        <v>0.007022702561672034</v>
      </c>
      <c r="T275" s="1">
        <v>0.0004607059001617841</v>
      </c>
      <c r="U275" s="1">
        <v>0.001700085078868874</v>
      </c>
      <c r="V275" s="1">
        <v>0.001099165833698068</v>
      </c>
      <c r="W275" s="1">
        <v>-0.001582754683776333</v>
      </c>
      <c r="X275" s="1">
        <v>0.01619685976860863</v>
      </c>
      <c r="Y275" s="1">
        <v>0.006214128668728947</v>
      </c>
      <c r="Z275" s="1">
        <v>0.03686856177819653</v>
      </c>
    </row>
    <row r="276" spans="1:26">
      <c r="A276" s="11">
        <v>42772</v>
      </c>
      <c r="B276" s="1">
        <v>-0.02967806931612749</v>
      </c>
      <c r="C276" s="1">
        <v>0.009728984513806216</v>
      </c>
      <c r="D276" s="1">
        <v>-0.00575756492219992</v>
      </c>
      <c r="E276" s="1">
        <v>0.005120346352437632</v>
      </c>
      <c r="F276" s="1">
        <v>-0.009566701051605619</v>
      </c>
      <c r="G276" s="1">
        <v>-0.007984794928434513</v>
      </c>
      <c r="H276" s="1">
        <v>-0.01074593048830375</v>
      </c>
      <c r="I276" s="1">
        <v>0.0006481835934641911</v>
      </c>
      <c r="J276" s="1">
        <v>-0.0006548953623999321</v>
      </c>
      <c r="K276" s="1">
        <v>-0.008438841914206074</v>
      </c>
      <c r="L276" s="1">
        <v>-0.004702682057003749</v>
      </c>
      <c r="M276" s="1">
        <v>0.003592951485132057</v>
      </c>
      <c r="N276" s="1">
        <v>-0.002797506935378502</v>
      </c>
      <c r="O276" s="1">
        <v>-0.008649857676349404</v>
      </c>
      <c r="P276" s="1">
        <v>-0.0006283474983467263</v>
      </c>
      <c r="Q276" s="1">
        <v>-0.0008985588449058612</v>
      </c>
      <c r="R276" s="1">
        <v>-0.006132374634107096</v>
      </c>
      <c r="S276" s="1">
        <v>-0.00387972588577512</v>
      </c>
      <c r="T276" s="1">
        <v>-0.006677652731796879</v>
      </c>
      <c r="U276" s="1">
        <v>-0.004606472062857137</v>
      </c>
      <c r="V276" s="1">
        <v>-0.005176492943054001</v>
      </c>
      <c r="W276" s="1">
        <v>0.004292503687454596</v>
      </c>
      <c r="X276" s="1">
        <v>-0.0006209697253264368</v>
      </c>
      <c r="Y276" s="1">
        <v>-0.01132189360338076</v>
      </c>
      <c r="Z276" s="1">
        <v>-0.007850470753773764</v>
      </c>
    </row>
    <row r="277" spans="1:26">
      <c r="A277" s="11">
        <v>42773</v>
      </c>
      <c r="B277" s="1">
        <v>-0.01451538913288641</v>
      </c>
      <c r="C277" s="1">
        <v>0.01536769229688373</v>
      </c>
      <c r="D277" s="1">
        <v>0.004963647199483834</v>
      </c>
      <c r="E277" s="1">
        <v>0.01214711368954946</v>
      </c>
      <c r="F277" s="1">
        <v>0.004292881720087127</v>
      </c>
      <c r="G277" s="1">
        <v>0.003066615696091013</v>
      </c>
      <c r="H277" s="1">
        <v>0.01006393361166058</v>
      </c>
      <c r="I277" s="1">
        <v>0.006477718962894841</v>
      </c>
      <c r="J277" s="1">
        <v>0.01114016896600223</v>
      </c>
      <c r="K277" s="1">
        <v>-0.02529547344394401</v>
      </c>
      <c r="L277" s="1">
        <v>-0.0005764718859312401</v>
      </c>
      <c r="M277" s="1">
        <v>-0.0005649608794227046</v>
      </c>
      <c r="N277" s="1">
        <v>0.01276446518061936</v>
      </c>
      <c r="O277" s="1">
        <v>-0.002002989336643335</v>
      </c>
      <c r="P277" s="1">
        <v>-0.003299808889616673</v>
      </c>
      <c r="Q277" s="1">
        <v>-0.003596648714045636</v>
      </c>
      <c r="R277" s="1">
        <v>-0.006464256488655895</v>
      </c>
      <c r="S277" s="1">
        <v>0.003662742813765441</v>
      </c>
      <c r="T277" s="1">
        <v>0.0002648254660273519</v>
      </c>
      <c r="U277" s="1">
        <v>0.001461338001313539</v>
      </c>
      <c r="V277" s="1">
        <v>0.002365494889376318</v>
      </c>
      <c r="W277" s="1">
        <v>0.006115365425305663</v>
      </c>
      <c r="X277" s="1">
        <v>-0.001449589568397136</v>
      </c>
      <c r="Y277" s="1">
        <v>0.0002079873530915766</v>
      </c>
      <c r="Z277" s="1">
        <v>-0.00349090688980036</v>
      </c>
    </row>
    <row r="278" spans="1:26">
      <c r="A278" s="11">
        <v>42774</v>
      </c>
      <c r="B278" s="1">
        <v>-0.001753456546577215</v>
      </c>
      <c r="C278" s="1">
        <v>-0.007693084773881864</v>
      </c>
      <c r="D278" s="1">
        <v>-0.004939131095255012</v>
      </c>
      <c r="E278" s="1">
        <v>0.006581568195982879</v>
      </c>
      <c r="F278" s="1">
        <v>-0.002270868996411046</v>
      </c>
      <c r="G278" s="1">
        <v>0.00955263494185532</v>
      </c>
      <c r="H278" s="1">
        <v>0.002688456947645745</v>
      </c>
      <c r="I278" s="1">
        <v>-0.003218054690770855</v>
      </c>
      <c r="J278" s="1">
        <v>0.005184750240511349</v>
      </c>
      <c r="K278" s="1">
        <v>-0.005335795185897996</v>
      </c>
      <c r="L278" s="1">
        <v>-0.008763789336032168</v>
      </c>
      <c r="M278" s="1">
        <v>-0.002262664556222149</v>
      </c>
      <c r="N278" s="1">
        <v>-0.000692525392597676</v>
      </c>
      <c r="O278" s="1">
        <v>0.009173362337145941</v>
      </c>
      <c r="P278" s="1">
        <v>-0.00141873209388077</v>
      </c>
      <c r="Q278" s="1">
        <v>0.008868983761885829</v>
      </c>
      <c r="R278" s="1">
        <v>-0.01168133347702383</v>
      </c>
      <c r="S278" s="1">
        <v>0.01487472903194464</v>
      </c>
      <c r="T278" s="1">
        <v>0.01095867010878981</v>
      </c>
      <c r="U278" s="1">
        <v>0.002188808413058574</v>
      </c>
      <c r="V278" s="1">
        <v>0.01887656884656774</v>
      </c>
      <c r="W278" s="1">
        <v>0.003202351014277571</v>
      </c>
      <c r="X278" s="1">
        <v>-0.004148383909528097</v>
      </c>
      <c r="Y278" s="1">
        <v>0.006869339659729912</v>
      </c>
      <c r="Z278" s="1">
        <v>-0.0151793464933464</v>
      </c>
    </row>
    <row r="279" spans="1:26">
      <c r="A279" s="11">
        <v>42775</v>
      </c>
      <c r="B279" s="1">
        <v>-0.0001755850677931381</v>
      </c>
      <c r="C279" s="1">
        <v>0.002869034006549809</v>
      </c>
      <c r="D279" s="1">
        <v>0.01199585535504721</v>
      </c>
      <c r="E279" s="1">
        <v>-0.009423273683491162</v>
      </c>
      <c r="F279" s="1">
        <v>0.00455228553976994</v>
      </c>
      <c r="G279" s="1">
        <v>0.001892390690703571</v>
      </c>
      <c r="H279" s="1">
        <v>0.00694039124352952</v>
      </c>
      <c r="I279" s="1">
        <v>0.006549510967838401</v>
      </c>
      <c r="J279" s="1">
        <v>0.008381558465263561</v>
      </c>
      <c r="K279" s="1">
        <v>0.007315231432941882</v>
      </c>
      <c r="L279" s="1">
        <v>0.01442531786481993</v>
      </c>
      <c r="M279" s="1">
        <v>0.03023437337147983</v>
      </c>
      <c r="N279" s="1">
        <v>0.004712394454289504</v>
      </c>
      <c r="O279" s="1">
        <v>0.002414350431485746</v>
      </c>
      <c r="P279" s="1">
        <v>0.0113671946790237</v>
      </c>
      <c r="Q279" s="1">
        <v>0.00225491572559533</v>
      </c>
      <c r="R279" s="1">
        <v>0.02019764635065413</v>
      </c>
      <c r="S279" s="1">
        <v>-0.005598729186495621</v>
      </c>
      <c r="T279" s="1">
        <v>0.003700451852661324</v>
      </c>
      <c r="U279" s="1">
        <v>0.002426558591628547</v>
      </c>
      <c r="V279" s="1">
        <v>0.02532056369158053</v>
      </c>
      <c r="W279" s="1">
        <v>0.008078083750268972</v>
      </c>
      <c r="X279" s="1">
        <v>0.0135382492683529</v>
      </c>
      <c r="Y279" s="1">
        <v>0.00909623529150605</v>
      </c>
      <c r="Z279" s="1">
        <v>0.02323880578315674</v>
      </c>
    </row>
    <row r="280" spans="1:26">
      <c r="A280" s="11">
        <v>42776</v>
      </c>
      <c r="B280" s="1">
        <v>0.00808133280122636</v>
      </c>
      <c r="C280" s="1">
        <v>0.0118700150709381</v>
      </c>
      <c r="D280" s="1">
        <v>0.001430384436895249</v>
      </c>
      <c r="E280" s="1">
        <v>0.002718141142999064</v>
      </c>
      <c r="F280" s="1">
        <v>0.001599256114489744</v>
      </c>
      <c r="G280" s="1">
        <v>0.0007559152702367733</v>
      </c>
      <c r="H280" s="1">
        <v>-0.008928803465768187</v>
      </c>
      <c r="I280" s="1">
        <v>0.01026378175670839</v>
      </c>
      <c r="J280" s="1">
        <v>0.0051152193652928</v>
      </c>
      <c r="K280" s="1">
        <v>0.01307170195335505</v>
      </c>
      <c r="L280" s="1">
        <v>-0.002293618435856959</v>
      </c>
      <c r="M280" s="1">
        <v>0.003484872710700859</v>
      </c>
      <c r="N280" s="1">
        <v>-0.0009656361360195209</v>
      </c>
      <c r="O280" s="1">
        <v>0.007084808286508482</v>
      </c>
      <c r="P280" s="1">
        <v>-0.0009367638130863831</v>
      </c>
      <c r="Q280" s="1">
        <v>0.008097063472879196</v>
      </c>
      <c r="R280" s="1">
        <v>0.01147911388444856</v>
      </c>
      <c r="S280" s="1">
        <v>0.006041938208052544</v>
      </c>
      <c r="T280" s="1">
        <v>-6.492411749081661E-05</v>
      </c>
      <c r="U280" s="1">
        <v>0.001694556616208764</v>
      </c>
      <c r="V280" s="1">
        <v>-0.01023936347121901</v>
      </c>
      <c r="W280" s="1">
        <v>0.0009693807029398371</v>
      </c>
      <c r="X280" s="1">
        <v>0.004932503049563497</v>
      </c>
      <c r="Y280" s="1">
        <v>0.003482819048576724</v>
      </c>
      <c r="Z280" s="1">
        <v>0.009733482976588492</v>
      </c>
    </row>
    <row r="281" spans="1:26">
      <c r="A281" s="11">
        <v>42779</v>
      </c>
      <c r="B281" s="1">
        <v>-0.003485607461753526</v>
      </c>
      <c r="C281" s="1">
        <v>0.01082866040555697</v>
      </c>
      <c r="D281" s="1">
        <v>0.004693845829479404</v>
      </c>
      <c r="E281" s="1">
        <v>0.007357423158379728</v>
      </c>
      <c r="F281" s="1">
        <v>0.007451580720915896</v>
      </c>
      <c r="G281" s="1">
        <v>0.006794699693346562</v>
      </c>
      <c r="H281" s="1">
        <v>0.002528909442830019</v>
      </c>
      <c r="I281" s="1">
        <v>0.00462628910473617</v>
      </c>
      <c r="J281" s="1">
        <v>0.02035632587522351</v>
      </c>
      <c r="K281" s="1">
        <v>-0.002389543274695316</v>
      </c>
      <c r="L281" s="1">
        <v>0.01321851188456713</v>
      </c>
      <c r="M281" s="1">
        <v>0.01864373392616914</v>
      </c>
      <c r="N281" s="1">
        <v>-0.005246913484085791</v>
      </c>
      <c r="O281" s="1">
        <v>0.005626771552126097</v>
      </c>
      <c r="P281" s="1">
        <v>0.01125030578549158</v>
      </c>
      <c r="Q281" s="1">
        <v>0.004908422924716715</v>
      </c>
      <c r="R281" s="1">
        <v>0.01658646654034102</v>
      </c>
      <c r="S281" s="1">
        <v>0.001228466331418376</v>
      </c>
      <c r="T281" s="1">
        <v>0.01027768200304879</v>
      </c>
      <c r="U281" s="1">
        <v>-0.01764138335305332</v>
      </c>
      <c r="V281" s="1">
        <v>-0.004913650801444902</v>
      </c>
      <c r="W281" s="1">
        <v>0.009425857500342749</v>
      </c>
      <c r="X281" s="1">
        <v>0.005930281033309504</v>
      </c>
      <c r="Y281" s="1">
        <v>-0.008778739259987067</v>
      </c>
      <c r="Z281" s="1">
        <v>0.01170607888506647</v>
      </c>
    </row>
    <row r="282" spans="1:26">
      <c r="A282" s="11">
        <v>42780</v>
      </c>
      <c r="B282" s="1">
        <v>-0.02938067857837934</v>
      </c>
      <c r="C282" s="1">
        <v>0.002796978967498864</v>
      </c>
      <c r="D282" s="1">
        <v>-0.005484208336303031</v>
      </c>
      <c r="E282" s="1">
        <v>0.03228888425037346</v>
      </c>
      <c r="F282" s="1">
        <v>0.005019437747425526</v>
      </c>
      <c r="G282" s="1">
        <v>-0.01333206909676599</v>
      </c>
      <c r="H282" s="1">
        <v>-0.006306282742204239</v>
      </c>
      <c r="I282" s="1">
        <v>-0.006320700703478455</v>
      </c>
      <c r="J282" s="1">
        <v>0.001246583031304427</v>
      </c>
      <c r="K282" s="1">
        <v>-0.006227060578618437</v>
      </c>
      <c r="L282" s="1">
        <v>0.01599498743859051</v>
      </c>
      <c r="M282" s="1">
        <v>-0.00753633999811798</v>
      </c>
      <c r="N282" s="1">
        <v>-0.002221253141320267</v>
      </c>
      <c r="O282" s="1">
        <v>0.006435477794327182</v>
      </c>
      <c r="P282" s="1">
        <v>0.0037304689380111</v>
      </c>
      <c r="Q282" s="1">
        <v>-0.01198988138768364</v>
      </c>
      <c r="R282" s="1">
        <v>0.002862702828771546</v>
      </c>
      <c r="S282" s="1">
        <v>-0.01435982054490303</v>
      </c>
      <c r="T282" s="1">
        <v>0.0009048358458063621</v>
      </c>
      <c r="U282" s="1">
        <v>0.002459926717404359</v>
      </c>
      <c r="V282" s="1">
        <v>0.01296101895470936</v>
      </c>
      <c r="W282" s="1">
        <v>0.00594825224143869</v>
      </c>
      <c r="X282" s="1">
        <v>0.0002032869009713778</v>
      </c>
      <c r="Y282" s="1">
        <v>-0.005767196108495298</v>
      </c>
      <c r="Z282" s="1">
        <v>0.02454485128247441</v>
      </c>
    </row>
    <row r="283" spans="1:26">
      <c r="A283" s="11">
        <v>42781</v>
      </c>
      <c r="B283" s="1">
        <v>0.001621685844450216</v>
      </c>
      <c r="C283" s="1">
        <v>0.004747664250095873</v>
      </c>
      <c r="D283" s="1">
        <v>0.009803699506512498</v>
      </c>
      <c r="E283" s="1">
        <v>0.02457617415666569</v>
      </c>
      <c r="F283" s="1">
        <v>0.006702686092623367</v>
      </c>
      <c r="G283" s="1">
        <v>0.0007675206307218296</v>
      </c>
      <c r="H283" s="1">
        <v>0.006663632451286094</v>
      </c>
      <c r="I283" s="1">
        <v>-0.008450419399299025</v>
      </c>
      <c r="J283" s="1">
        <v>-0.004981033493136278</v>
      </c>
      <c r="K283" s="1">
        <v>0.003132641638837308</v>
      </c>
      <c r="L283" s="1">
        <v>0.01150138042379667</v>
      </c>
      <c r="M283" s="1">
        <v>0.03579819210933977</v>
      </c>
      <c r="N283" s="1">
        <v>0.004034696295456053</v>
      </c>
      <c r="O283" s="1">
        <v>0.009591147087340435</v>
      </c>
      <c r="P283" s="1">
        <v>-0.0006195654187380883</v>
      </c>
      <c r="Q283" s="1">
        <v>-0.0008981306951338919</v>
      </c>
      <c r="R283" s="1">
        <v>-0.003853530539964956</v>
      </c>
      <c r="S283" s="1">
        <v>0.0008298550063816634</v>
      </c>
      <c r="T283" s="1">
        <v>3.202418931413931E-05</v>
      </c>
      <c r="U283" s="1">
        <v>0.009079756140727868</v>
      </c>
      <c r="V283" s="1">
        <v>0.001523474338533504</v>
      </c>
      <c r="W283" s="1">
        <v>0.006231021570293649</v>
      </c>
      <c r="X283" s="1">
        <v>-0.000812589666014385</v>
      </c>
      <c r="Y283" s="1">
        <v>-0.003936017943893533</v>
      </c>
      <c r="Z283" s="1">
        <v>0.004879960486076973</v>
      </c>
    </row>
    <row r="284" spans="1:26">
      <c r="A284" s="11">
        <v>42782</v>
      </c>
      <c r="B284" s="1">
        <v>-0.00611616686961991</v>
      </c>
      <c r="C284" s="1">
        <v>0.008919202568930862</v>
      </c>
      <c r="D284" s="1">
        <v>-0.0004044655944500652</v>
      </c>
      <c r="E284" s="1">
        <v>-0.01362902629762253</v>
      </c>
      <c r="F284" s="1">
        <v>-0.007964015532257673</v>
      </c>
      <c r="G284" s="1">
        <v>0.01150749661127626</v>
      </c>
      <c r="H284" s="1">
        <v>-0.01418430019780981</v>
      </c>
      <c r="I284" s="1">
        <v>0.0004581590181653716</v>
      </c>
      <c r="J284" s="1">
        <v>-0.003754787903011647</v>
      </c>
      <c r="K284" s="1">
        <v>0.001441921563823056</v>
      </c>
      <c r="L284" s="1">
        <v>-0.000662466002117168</v>
      </c>
      <c r="M284" s="1">
        <v>-0.01658241588636167</v>
      </c>
      <c r="N284" s="1">
        <v>0.007482131767681199</v>
      </c>
      <c r="O284" s="1">
        <v>0.008674320793543577</v>
      </c>
      <c r="P284" s="1">
        <v>-0.0001547901945440078</v>
      </c>
      <c r="Q284" s="1">
        <v>0.01979289926051053</v>
      </c>
      <c r="R284" s="1">
        <v>-0.01547294010180811</v>
      </c>
      <c r="S284" s="1">
        <v>0.01639941482094454</v>
      </c>
      <c r="T284" s="1">
        <v>0.004066054510684536</v>
      </c>
      <c r="U284" s="1">
        <v>0.003161831341895294</v>
      </c>
      <c r="V284" s="1">
        <v>-0.008365093047239314</v>
      </c>
      <c r="W284" s="1">
        <v>-0.003475504662558415</v>
      </c>
      <c r="X284" s="1">
        <v>-0.003051713284671353</v>
      </c>
      <c r="Y284" s="1">
        <v>0.007903342196060148</v>
      </c>
      <c r="Z284" s="1">
        <v>-0.008829659075466512</v>
      </c>
    </row>
    <row r="285" spans="1:26">
      <c r="A285" s="11">
        <v>42783</v>
      </c>
      <c r="B285" s="1">
        <v>0.003438882991579906</v>
      </c>
      <c r="C285" s="1">
        <v>0.01112352259147897</v>
      </c>
      <c r="D285" s="1">
        <v>0.006272651002870999</v>
      </c>
      <c r="E285" s="1">
        <v>0.005711374462456842</v>
      </c>
      <c r="F285" s="1">
        <v>-0.008816890912101139</v>
      </c>
      <c r="G285" s="1">
        <v>0.005309186858557746</v>
      </c>
      <c r="H285" s="1">
        <v>-0.06506794902477431</v>
      </c>
      <c r="I285" s="1">
        <v>0.01007593414235797</v>
      </c>
      <c r="J285" s="1">
        <v>0.001884636554575714</v>
      </c>
      <c r="K285" s="1">
        <v>0.005517878222221828</v>
      </c>
      <c r="L285" s="1">
        <v>-0.003313768289002428</v>
      </c>
      <c r="M285" s="1">
        <v>0.01739481127035525</v>
      </c>
      <c r="N285" s="1">
        <v>0.003576017974530332</v>
      </c>
      <c r="O285" s="1">
        <v>0.003548677418556911</v>
      </c>
      <c r="P285" s="1">
        <v>0.001549719306482622</v>
      </c>
      <c r="Q285" s="1">
        <v>0.001322976566286327</v>
      </c>
      <c r="R285" s="1">
        <v>0.00189198433811022</v>
      </c>
      <c r="S285" s="1">
        <v>0.02320542429099604</v>
      </c>
      <c r="T285" s="1">
        <v>0.0005779388358508886</v>
      </c>
      <c r="U285" s="1">
        <v>0.005575772657595124</v>
      </c>
      <c r="V285" s="1">
        <v>0.009049020819950293</v>
      </c>
      <c r="W285" s="1">
        <v>0.00589715714291672</v>
      </c>
      <c r="X285" s="1">
        <v>-0.01346668569297682</v>
      </c>
      <c r="Y285" s="1">
        <v>0.01506378527063146</v>
      </c>
      <c r="Z285" s="1">
        <v>-0.005567994253791952</v>
      </c>
    </row>
    <row r="286" spans="1:26">
      <c r="A286" s="11">
        <v>42787</v>
      </c>
      <c r="B286" s="1">
        <v>0.008116851817272064</v>
      </c>
      <c r="C286" s="1">
        <v>0.01650144312162105</v>
      </c>
      <c r="D286" s="1">
        <v>0.004624854617544694</v>
      </c>
      <c r="E286" s="1">
        <v>0.003480541514002899</v>
      </c>
      <c r="F286" s="1">
        <v>0.006107587502936385</v>
      </c>
      <c r="G286" s="1">
        <v>0.003772070348449175</v>
      </c>
      <c r="H286" s="1">
        <v>0.008036717239650271</v>
      </c>
      <c r="I286" s="1">
        <v>-0.005985173377174857</v>
      </c>
      <c r="J286" s="1">
        <v>0.01128496648751831</v>
      </c>
      <c r="K286" s="1">
        <v>0.01718028786008552</v>
      </c>
      <c r="L286" s="1">
        <v>0.008644464947574093</v>
      </c>
      <c r="M286" s="1">
        <v>0.00942077675306785</v>
      </c>
      <c r="N286" s="1">
        <v>0.00931877335336484</v>
      </c>
      <c r="O286" s="1">
        <v>-0.008024974552116926</v>
      </c>
      <c r="P286" s="1">
        <v>-0.002011504683085641</v>
      </c>
      <c r="Q286" s="1">
        <v>0.01277559247690263</v>
      </c>
      <c r="R286" s="1">
        <v>-0.001161927792826756</v>
      </c>
      <c r="S286" s="1">
        <v>0.008725869716257106</v>
      </c>
      <c r="T286" s="1">
        <v>0.003758045642839658</v>
      </c>
      <c r="U286" s="1">
        <v>0.006026878043750683</v>
      </c>
      <c r="V286" s="1">
        <v>0.006384052429206477</v>
      </c>
      <c r="W286" s="1">
        <v>-6.326067877326924E-05</v>
      </c>
      <c r="X286" s="1">
        <v>-0.002895141966484549</v>
      </c>
      <c r="Y286" s="1">
        <v>0.00487911580180489</v>
      </c>
      <c r="Z286" s="1">
        <v>0.005375212671828278</v>
      </c>
    </row>
    <row r="287" spans="1:26">
      <c r="A287" s="11">
        <v>42788</v>
      </c>
      <c r="B287" s="1">
        <v>-0.01753468997371099</v>
      </c>
      <c r="C287" s="1">
        <v>-0.001139138901705028</v>
      </c>
      <c r="D287" s="1">
        <v>0.002001900771353649</v>
      </c>
      <c r="E287" s="1">
        <v>0.01040521062238242</v>
      </c>
      <c r="F287" s="1">
        <v>0.001319604251431405</v>
      </c>
      <c r="G287" s="1">
        <v>-0.001503215543327219</v>
      </c>
      <c r="H287" s="1">
        <v>0.003731830606621411</v>
      </c>
      <c r="I287" s="1">
        <v>0.0003648242397991108</v>
      </c>
      <c r="J287" s="1">
        <v>0.004340014299597517</v>
      </c>
      <c r="K287" s="1">
        <v>-0.01079071036702062</v>
      </c>
      <c r="L287" s="1">
        <v>0.0005491845223397629</v>
      </c>
      <c r="M287" s="1">
        <v>0.0008641959034700886</v>
      </c>
      <c r="N287" s="1">
        <v>-0.0006788911322296309</v>
      </c>
      <c r="O287" s="1">
        <v>0</v>
      </c>
      <c r="P287" s="1">
        <v>-0.002016085142010238</v>
      </c>
      <c r="Q287" s="1">
        <v>0.00782973100862594</v>
      </c>
      <c r="R287" s="1">
        <v>-0.01061514527064666</v>
      </c>
      <c r="S287" s="1">
        <v>-0.006542746483399142</v>
      </c>
      <c r="T287" s="1">
        <v>-0.000191894148020344</v>
      </c>
      <c r="U287" s="1">
        <v>-0.003354884374476064</v>
      </c>
      <c r="V287" s="1">
        <v>-0.004078015918920874</v>
      </c>
      <c r="W287" s="1">
        <v>-0.003845009835186652</v>
      </c>
      <c r="X287" s="1">
        <v>0.004148143469965948</v>
      </c>
      <c r="Y287" s="1">
        <v>0.004855490268169671</v>
      </c>
      <c r="Z287" s="1">
        <v>-0.003341631118581101</v>
      </c>
    </row>
    <row r="288" spans="1:26">
      <c r="A288" s="11">
        <v>42789</v>
      </c>
      <c r="B288" s="1">
        <v>-0.0351484413201385</v>
      </c>
      <c r="C288" s="1">
        <v>0.008553843451060805</v>
      </c>
      <c r="D288" s="1">
        <v>0.006592001678637605</v>
      </c>
      <c r="E288" s="1">
        <v>0.007588108982267139</v>
      </c>
      <c r="F288" s="1">
        <v>-0.007643852799455786</v>
      </c>
      <c r="G288" s="1">
        <v>0.01016186075506642</v>
      </c>
      <c r="H288" s="1">
        <v>-0.001858840465104095</v>
      </c>
      <c r="I288" s="1">
        <v>-0.01751033184321116</v>
      </c>
      <c r="J288" s="1">
        <v>0.08641962558096727</v>
      </c>
      <c r="K288" s="1">
        <v>-0.01612494032568512</v>
      </c>
      <c r="L288" s="1">
        <v>0.0007687805801679382</v>
      </c>
      <c r="M288" s="1">
        <v>-0.01122462304995531</v>
      </c>
      <c r="N288" s="1">
        <v>0.01168500328690847</v>
      </c>
      <c r="O288" s="1">
        <v>0.008364390770900565</v>
      </c>
      <c r="P288" s="1">
        <v>0.004039788689395696</v>
      </c>
      <c r="Q288" s="1">
        <v>0.02589533897048968</v>
      </c>
      <c r="R288" s="1">
        <v>-0.008818558693926004</v>
      </c>
      <c r="S288" s="1">
        <v>0.003668818650993</v>
      </c>
      <c r="T288" s="1">
        <v>-0.004524818819636511</v>
      </c>
      <c r="U288" s="1">
        <v>0.008655699274115136</v>
      </c>
      <c r="V288" s="1">
        <v>-0.01455865138263945</v>
      </c>
      <c r="W288" s="1">
        <v>0.004492955079776983</v>
      </c>
      <c r="X288" s="1">
        <v>-0.02478835939772872</v>
      </c>
      <c r="Y288" s="1">
        <v>0.01288480858369589</v>
      </c>
      <c r="Z288" s="1">
        <v>0.00178817114079699</v>
      </c>
    </row>
    <row r="289" spans="1:26">
      <c r="A289" s="11">
        <v>42790</v>
      </c>
      <c r="B289" s="1">
        <v>0.00811648095859252</v>
      </c>
      <c r="C289" s="1">
        <v>0.003279460199651751</v>
      </c>
      <c r="D289" s="1">
        <v>0.001984553162150959</v>
      </c>
      <c r="E289" s="1">
        <v>0.01201356164954803</v>
      </c>
      <c r="F289" s="1">
        <v>0.006374714991566943</v>
      </c>
      <c r="G289" s="1">
        <v>0.006706455716764648</v>
      </c>
      <c r="H289" s="1">
        <v>0.0008467847471154144</v>
      </c>
      <c r="I289" s="1">
        <v>0.008261702021612916</v>
      </c>
      <c r="J289" s="1">
        <v>0.002840829785156762</v>
      </c>
      <c r="K289" s="1">
        <v>0.007953648419722237</v>
      </c>
      <c r="L289" s="1">
        <v>-0.008778607982941167</v>
      </c>
      <c r="M289" s="1">
        <v>0.022354383935421</v>
      </c>
      <c r="N289" s="1">
        <v>-0.0004029236764174771</v>
      </c>
      <c r="O289" s="1">
        <v>-0.0004077768031924833</v>
      </c>
      <c r="P289" s="1">
        <v>0</v>
      </c>
      <c r="Q289" s="1">
        <v>0.01009685248173287</v>
      </c>
      <c r="R289" s="1">
        <v>-0.0002964054457339493</v>
      </c>
      <c r="S289" s="1">
        <v>0.005901172593558268</v>
      </c>
      <c r="T289" s="1">
        <v>0.007897946495334374</v>
      </c>
      <c r="U289" s="1">
        <v>0.00977338602777067</v>
      </c>
      <c r="V289" s="1">
        <v>0.0235457140291746</v>
      </c>
      <c r="W289" s="1">
        <v>0.001574989214736977</v>
      </c>
      <c r="X289" s="1">
        <v>-0.0008472513519437452</v>
      </c>
      <c r="Y289" s="1">
        <v>0.005764131016882557</v>
      </c>
      <c r="Z289" s="1">
        <v>-0.006024262684870441</v>
      </c>
    </row>
    <row r="290" spans="1:26">
      <c r="A290" s="11">
        <v>42793</v>
      </c>
      <c r="B290" s="1">
        <v>-0.008987010679831542</v>
      </c>
      <c r="C290" s="1">
        <v>0.01121496633459373</v>
      </c>
      <c r="D290" s="1">
        <v>-0.0009904869674617345</v>
      </c>
      <c r="E290" s="1">
        <v>0.00212605149038736</v>
      </c>
      <c r="F290" s="1">
        <v>-0.009501330317568946</v>
      </c>
      <c r="G290" s="1">
        <v>-0.008512026800556294</v>
      </c>
      <c r="H290" s="1">
        <v>-0.002368514297994895</v>
      </c>
      <c r="I290" s="1">
        <v>0.008193273843502658</v>
      </c>
      <c r="J290" s="1">
        <v>0</v>
      </c>
      <c r="K290" s="1">
        <v>0.01004280350421083</v>
      </c>
      <c r="L290" s="1">
        <v>0.001106962967333258</v>
      </c>
      <c r="M290" s="1">
        <v>-0.001879308373886279</v>
      </c>
      <c r="N290" s="1">
        <v>0.002149624060834077</v>
      </c>
      <c r="O290" s="1">
        <v>-0.0005442912243102116</v>
      </c>
      <c r="P290" s="1">
        <v>-0.006035104780254263</v>
      </c>
      <c r="Q290" s="1">
        <v>-0.008746461349379953</v>
      </c>
      <c r="R290" s="1">
        <v>0.002818125321723208</v>
      </c>
      <c r="S290" s="1">
        <v>-0.001619947468818439</v>
      </c>
      <c r="T290" s="1">
        <v>-0.007836057730643442</v>
      </c>
      <c r="U290" s="1">
        <v>-0.01274771902072391</v>
      </c>
      <c r="V290" s="1">
        <v>0.006014262923163427</v>
      </c>
      <c r="W290" s="1">
        <v>-0.003145123682356199</v>
      </c>
      <c r="X290" s="1">
        <v>0.01462821619494514</v>
      </c>
      <c r="Y290" s="1">
        <v>-0.01304328687267231</v>
      </c>
      <c r="Z290" s="1">
        <v>0.01257035589620226</v>
      </c>
    </row>
    <row r="291" spans="1:26">
      <c r="A291" s="11">
        <v>42794</v>
      </c>
      <c r="B291" s="1">
        <v>-0.006423627440674151</v>
      </c>
      <c r="C291" s="1">
        <v>0.004458551170484437</v>
      </c>
      <c r="D291" s="1">
        <v>0.00951648429347407</v>
      </c>
      <c r="E291" s="1">
        <v>0.002652069669087931</v>
      </c>
      <c r="F291" s="1">
        <v>-0.00293094962642293</v>
      </c>
      <c r="G291" s="1">
        <v>0.01978322975066482</v>
      </c>
      <c r="H291" s="1">
        <v>0.006443693397365724</v>
      </c>
      <c r="I291" s="1">
        <v>-0.0001823368127863434</v>
      </c>
      <c r="J291" s="1">
        <v>-0.01586412274743099</v>
      </c>
      <c r="K291" s="1">
        <v>-0.007102553114341714</v>
      </c>
      <c r="L291" s="1">
        <v>0.002100979846994866</v>
      </c>
      <c r="M291" s="1">
        <v>-0.010781954818461</v>
      </c>
      <c r="N291" s="1">
        <v>0.004423831112561283</v>
      </c>
      <c r="O291" s="1">
        <v>0.0001364223248372376</v>
      </c>
      <c r="P291" s="1">
        <v>-0.003892253094315401</v>
      </c>
      <c r="Q291" s="1">
        <v>0.004621863737258591</v>
      </c>
      <c r="R291" s="1">
        <v>-0.01183238259017394</v>
      </c>
      <c r="S291" s="1">
        <v>-0.002543328541425582</v>
      </c>
      <c r="T291" s="1">
        <v>-0.005351639929764618</v>
      </c>
      <c r="U291" s="1">
        <v>-0.0007170964974421157</v>
      </c>
      <c r="V291" s="1">
        <v>-0.1216562080879776</v>
      </c>
      <c r="W291" s="1">
        <v>-0.005048252811387322</v>
      </c>
      <c r="X291" s="1">
        <v>-0.01170082451443555</v>
      </c>
      <c r="Y291" s="1">
        <v>-0.006207477845702414</v>
      </c>
      <c r="Z291" s="1">
        <v>-0.004655265520886576</v>
      </c>
    </row>
    <row r="292" spans="1:26">
      <c r="A292" s="11">
        <v>42795</v>
      </c>
      <c r="B292" s="1">
        <v>0.006845214892692963</v>
      </c>
      <c r="C292" s="1">
        <v>0.02041846231847311</v>
      </c>
      <c r="D292" s="1">
        <v>0.008269204400508823</v>
      </c>
      <c r="E292" s="1">
        <v>0.008287851088011777</v>
      </c>
      <c r="F292" s="1">
        <v>0.004542951898333314</v>
      </c>
      <c r="G292" s="1">
        <v>0.01390928126540114</v>
      </c>
      <c r="H292" s="1">
        <v>0.002359211269767236</v>
      </c>
      <c r="I292" s="1">
        <v>0.01580053925400726</v>
      </c>
      <c r="J292" s="1">
        <v>0.01439276692213864</v>
      </c>
      <c r="K292" s="1">
        <v>0.01764429481696594</v>
      </c>
      <c r="L292" s="1">
        <v>0.03288457432576686</v>
      </c>
      <c r="M292" s="1">
        <v>0.01868516134948273</v>
      </c>
      <c r="N292" s="1">
        <v>0.009076329935013394</v>
      </c>
      <c r="O292" s="1">
        <v>0.01592233420844269</v>
      </c>
      <c r="P292" s="1">
        <v>0.01500470152352706</v>
      </c>
      <c r="Q292" s="1">
        <v>-0.0004183738475954657</v>
      </c>
      <c r="R292" s="1">
        <v>0.03562323450001714</v>
      </c>
      <c r="S292" s="1">
        <v>0.008220883727845463</v>
      </c>
      <c r="T292" s="1">
        <v>0.02210438974546092</v>
      </c>
      <c r="U292" s="1">
        <v>0.005982288417074599</v>
      </c>
      <c r="V292" s="1">
        <v>-0.01599437300876472</v>
      </c>
      <c r="W292" s="1">
        <v>0.01357207952071504</v>
      </c>
      <c r="X292" s="1">
        <v>0.04820273117223772</v>
      </c>
      <c r="Y292" s="1">
        <v>0.003626878448671933</v>
      </c>
      <c r="Z292" s="1">
        <v>0.03630286627135138</v>
      </c>
    </row>
    <row r="293" spans="1:26">
      <c r="A293" s="11">
        <v>42796</v>
      </c>
      <c r="B293" s="1">
        <v>-0.01945229887997668</v>
      </c>
      <c r="C293" s="1">
        <v>-0.005002428414992988</v>
      </c>
      <c r="D293" s="1">
        <v>-0.008591738376805824</v>
      </c>
      <c r="E293" s="1">
        <v>-0.005596224865630162</v>
      </c>
      <c r="F293" s="1">
        <v>-0.003724130118405888</v>
      </c>
      <c r="G293" s="1">
        <v>0.002527088491032004</v>
      </c>
      <c r="H293" s="1">
        <v>0.005715038260051708</v>
      </c>
      <c r="I293" s="1">
        <v>-0.01510533668218728</v>
      </c>
      <c r="J293" s="1">
        <v>-0.01702578292262424</v>
      </c>
      <c r="K293" s="1">
        <v>-0.009605928604441205</v>
      </c>
      <c r="L293" s="1">
        <v>-0.01559817041529465</v>
      </c>
      <c r="M293" s="1">
        <v>-0.02224883674296818</v>
      </c>
      <c r="N293" s="1">
        <v>0.00158779001417364</v>
      </c>
      <c r="O293" s="1">
        <v>-0.006965683048048898</v>
      </c>
      <c r="P293" s="1">
        <v>-0.01432112344154224</v>
      </c>
      <c r="Q293" s="1">
        <v>0.00794983722075715</v>
      </c>
      <c r="R293" s="1">
        <v>-0.02615983101480257</v>
      </c>
      <c r="S293" s="1">
        <v>-0.01029048596613813</v>
      </c>
      <c r="T293" s="1">
        <v>-0.007578911320152426</v>
      </c>
      <c r="U293" s="1">
        <v>0.0007134606078764705</v>
      </c>
      <c r="V293" s="1">
        <v>0.002075030999899141</v>
      </c>
      <c r="W293" s="1">
        <v>-0.003879467667178171</v>
      </c>
      <c r="X293" s="1">
        <v>-0.01512705633154121</v>
      </c>
      <c r="Y293" s="1">
        <v>0.003413024462681769</v>
      </c>
      <c r="Z293" s="1">
        <v>-0.03374190004773336</v>
      </c>
    </row>
    <row r="294" spans="1:26">
      <c r="A294" s="11">
        <v>42797</v>
      </c>
      <c r="B294" s="1">
        <v>0.00327429388813516</v>
      </c>
      <c r="C294" s="1">
        <v>-0.004426651757191369</v>
      </c>
      <c r="D294" s="1">
        <v>0.00275745771131275</v>
      </c>
      <c r="E294" s="1">
        <v>0.007034743677876598</v>
      </c>
      <c r="F294" s="1">
        <v>-0.006141693353794886</v>
      </c>
      <c r="G294" s="1">
        <v>0.004681307993053441</v>
      </c>
      <c r="H294" s="1">
        <v>-0.004847219122233626</v>
      </c>
      <c r="I294" s="1">
        <v>0.01177656873109001</v>
      </c>
      <c r="J294" s="1">
        <v>0.00173191477323309</v>
      </c>
      <c r="K294" s="1">
        <v>-0.004968279899090766</v>
      </c>
      <c r="L294" s="1">
        <v>0.007163054324152318</v>
      </c>
      <c r="M294" s="1">
        <v>0.02240743725003669</v>
      </c>
      <c r="N294" s="1">
        <v>-0.00198109452765971</v>
      </c>
      <c r="O294" s="1">
        <v>0.00121377575429249</v>
      </c>
      <c r="P294" s="1">
        <v>0.00374958370721834</v>
      </c>
      <c r="Q294" s="1">
        <v>-0.01535902374533582</v>
      </c>
      <c r="R294" s="1">
        <v>0.01855197051780966</v>
      </c>
      <c r="S294" s="1">
        <v>-0.001585874000755827</v>
      </c>
      <c r="T294" s="1">
        <v>-0.003322888981733496</v>
      </c>
      <c r="U294" s="1">
        <v>-0.001426137605918809</v>
      </c>
      <c r="V294" s="1">
        <v>-0.01035393277510077</v>
      </c>
      <c r="W294" s="1">
        <v>0.006030191340526292</v>
      </c>
      <c r="X294" s="1">
        <v>-0.01576881187288348</v>
      </c>
      <c r="Y294" s="1">
        <v>0.002201028647132119</v>
      </c>
      <c r="Z294" s="1">
        <v>0.008896881642025845</v>
      </c>
    </row>
    <row r="295" spans="1:26">
      <c r="A295" s="11">
        <v>42800</v>
      </c>
      <c r="B295" s="1">
        <v>0.001920028395168805</v>
      </c>
      <c r="C295" s="1">
        <v>-0.006861266260284715</v>
      </c>
      <c r="D295" s="1">
        <v>-0.004518030536379891</v>
      </c>
      <c r="E295" s="1">
        <v>-0.00506455183042398</v>
      </c>
      <c r="F295" s="1">
        <v>0.005911003262774273</v>
      </c>
      <c r="G295" s="1">
        <v>0.002150522323170145</v>
      </c>
      <c r="H295" s="1">
        <v>-0.004198425387866078</v>
      </c>
      <c r="I295" s="1">
        <v>9.012240152062034E-05</v>
      </c>
      <c r="J295" s="1">
        <v>0.004820542421806628</v>
      </c>
      <c r="K295" s="1">
        <v>-0.007132949288865875</v>
      </c>
      <c r="L295" s="1">
        <v>-0.00948288356933924</v>
      </c>
      <c r="M295" s="1">
        <v>-0.02208626549508308</v>
      </c>
      <c r="N295" s="1">
        <v>0.0001321692618485582</v>
      </c>
      <c r="O295" s="1">
        <v>-0.005389392319298025</v>
      </c>
      <c r="P295" s="1">
        <v>0.0003113915916612697</v>
      </c>
      <c r="Q295" s="1">
        <v>-0.005902409504642825</v>
      </c>
      <c r="R295" s="1">
        <v>-0.005245493006500013</v>
      </c>
      <c r="S295" s="1">
        <v>0.005780484727389679</v>
      </c>
      <c r="T295" s="1">
        <v>-0.001987752675006282</v>
      </c>
      <c r="U295" s="1">
        <v>-0.001190379366133532</v>
      </c>
      <c r="V295" s="1">
        <v>-0.02179574645005156</v>
      </c>
      <c r="W295" s="1">
        <v>-0.01529733981528136</v>
      </c>
      <c r="X295" s="1">
        <v>0.0002081470140189445</v>
      </c>
      <c r="Y295" s="1">
        <v>-0.001198197007295509</v>
      </c>
      <c r="Z295" s="1">
        <v>-0.0006610213601679904</v>
      </c>
    </row>
    <row r="296" spans="1:26">
      <c r="A296" s="11">
        <v>42801</v>
      </c>
      <c r="B296" s="1">
        <v>-0.01743642806247125</v>
      </c>
      <c r="C296" s="1">
        <v>0.006024477234555681</v>
      </c>
      <c r="D296" s="1">
        <v>0.007103586365186043</v>
      </c>
      <c r="E296" s="1">
        <v>-0.01123370536928547</v>
      </c>
      <c r="F296" s="1">
        <v>-0.0005344097259212255</v>
      </c>
      <c r="G296" s="1">
        <v>0.001430726444338726</v>
      </c>
      <c r="H296" s="1">
        <v>-0.003373358415193706</v>
      </c>
      <c r="I296" s="1">
        <v>-0.005413151266898453</v>
      </c>
      <c r="J296" s="1">
        <v>-0.001734260079753525</v>
      </c>
      <c r="K296" s="1">
        <v>-0.006944057375867674</v>
      </c>
      <c r="L296" s="1">
        <v>-0.005548422699838795</v>
      </c>
      <c r="M296" s="1">
        <v>-0.01096416004748058</v>
      </c>
      <c r="N296" s="1">
        <v>0.006880252362163608</v>
      </c>
      <c r="O296" s="1">
        <v>-0.002708993061437459</v>
      </c>
      <c r="P296" s="1">
        <v>0.002022656337957951</v>
      </c>
      <c r="Q296" s="1">
        <v>-0.003392408927908375</v>
      </c>
      <c r="R296" s="1">
        <v>-0.01025391931555686</v>
      </c>
      <c r="S296" s="1">
        <v>0.0003948160200024642</v>
      </c>
      <c r="T296" s="1">
        <v>-0.002344631711916678</v>
      </c>
      <c r="U296" s="1">
        <v>-0.001906384801505068</v>
      </c>
      <c r="V296" s="1">
        <v>-0.0171123424914742</v>
      </c>
      <c r="W296" s="1">
        <v>-0.002853177679910002</v>
      </c>
      <c r="X296" s="1">
        <v>-0.00457675413371994</v>
      </c>
      <c r="Y296" s="1">
        <v>-0.01179239151631528</v>
      </c>
      <c r="Z296" s="1">
        <v>-0.001103214053394308</v>
      </c>
    </row>
    <row r="297" spans="1:26">
      <c r="A297" s="11">
        <v>42802</v>
      </c>
      <c r="B297" s="1">
        <v>-0.03646626410131992</v>
      </c>
      <c r="C297" s="1">
        <v>-0.001538247903454804</v>
      </c>
      <c r="D297" s="1">
        <v>0.00626939518826819</v>
      </c>
      <c r="E297" s="1">
        <v>0.01402432824357769</v>
      </c>
      <c r="F297" s="1">
        <v>-0.008284210519685531</v>
      </c>
      <c r="G297" s="1">
        <v>-0.01999991632366949</v>
      </c>
      <c r="H297" s="1">
        <v>-0.007277237316240859</v>
      </c>
      <c r="I297" s="1">
        <v>0.002086232157535894</v>
      </c>
      <c r="J297" s="1">
        <v>0.002895734704554842</v>
      </c>
      <c r="K297" s="1">
        <v>-0.007957599845984875</v>
      </c>
      <c r="L297" s="1">
        <v>-0.002187662027704262</v>
      </c>
      <c r="M297" s="1">
        <v>-0.002639381602049351</v>
      </c>
      <c r="N297" s="1">
        <v>-0.003416915475989324</v>
      </c>
      <c r="O297" s="1">
        <v>-0.00910102705003224</v>
      </c>
      <c r="P297" s="1">
        <v>0.009161395317744736</v>
      </c>
      <c r="Q297" s="1">
        <v>-0.02042560719402964</v>
      </c>
      <c r="R297" s="1">
        <v>-0.003847651241828731</v>
      </c>
      <c r="S297" s="1">
        <v>-0.01837610521970356</v>
      </c>
      <c r="T297" s="1">
        <v>0.001352066078818215</v>
      </c>
      <c r="U297" s="1">
        <v>-0.002626564610789472</v>
      </c>
      <c r="V297" s="1">
        <v>-0.002176261188051032</v>
      </c>
      <c r="W297" s="1">
        <v>0.001526095383504122</v>
      </c>
      <c r="X297" s="1">
        <v>0.003972311311377208</v>
      </c>
      <c r="Y297" s="1">
        <v>-0.00566382776120411</v>
      </c>
      <c r="Z297" s="1">
        <v>-0.0004419073779605709</v>
      </c>
    </row>
    <row r="298" spans="1:26">
      <c r="A298" s="11">
        <v>42803</v>
      </c>
      <c r="B298" s="1">
        <v>0.02469100313627326</v>
      </c>
      <c r="C298" s="1">
        <v>-0.006437930854913065</v>
      </c>
      <c r="D298" s="1">
        <v>0.01499236219297573</v>
      </c>
      <c r="E298" s="1">
        <v>0.01523098680849122</v>
      </c>
      <c r="F298" s="1">
        <v>0.00727522907680922</v>
      </c>
      <c r="G298" s="1">
        <v>-0.002551125528220677</v>
      </c>
      <c r="H298" s="1">
        <v>0.006307494468395181</v>
      </c>
      <c r="I298" s="1">
        <v>-0.008056466978174526</v>
      </c>
      <c r="J298" s="1">
        <v>0.002309168544882167</v>
      </c>
      <c r="K298" s="1">
        <v>-0.007777905419045106</v>
      </c>
      <c r="L298" s="1">
        <v>0.003946811752212787</v>
      </c>
      <c r="M298" s="1">
        <v>-0.005645480405429115</v>
      </c>
      <c r="N298" s="1">
        <v>0.004615209006847421</v>
      </c>
      <c r="O298" s="1">
        <v>0.002056668661531313</v>
      </c>
      <c r="P298" s="1">
        <v>-0.004000562045715861</v>
      </c>
      <c r="Q298" s="1">
        <v>-0.00130319846721072</v>
      </c>
      <c r="R298" s="1">
        <v>-0.00876576899029291</v>
      </c>
      <c r="S298" s="1">
        <v>-0.006612774543491295</v>
      </c>
      <c r="T298" s="1">
        <v>-0.002539917425629201</v>
      </c>
      <c r="U298" s="1">
        <v>0.00406962654700127</v>
      </c>
      <c r="V298" s="1">
        <v>0.003271511445461561</v>
      </c>
      <c r="W298" s="1">
        <v>0.001777748219439212</v>
      </c>
      <c r="X298" s="1">
        <v>-0.01228665230668902</v>
      </c>
      <c r="Y298" s="1">
        <v>0.00244107903337909</v>
      </c>
      <c r="Z298" s="1">
        <v>0.0004421027464260874</v>
      </c>
    </row>
    <row r="299" spans="1:26">
      <c r="A299" s="11">
        <v>42804</v>
      </c>
      <c r="B299" s="1">
        <v>-0.007900425638901809</v>
      </c>
      <c r="C299" s="1">
        <v>-0.01035601185465151</v>
      </c>
      <c r="D299" s="1">
        <v>-0.002302056106241346</v>
      </c>
      <c r="E299" s="1">
        <v>0.00569041412564264</v>
      </c>
      <c r="F299" s="1">
        <v>-0.001604612383084403</v>
      </c>
      <c r="G299" s="1">
        <v>0.01242211578578711</v>
      </c>
      <c r="H299" s="1">
        <v>0.002710739490063618</v>
      </c>
      <c r="I299" s="1">
        <v>0.003102742282916848</v>
      </c>
      <c r="J299" s="1">
        <v>0.001728341853722171</v>
      </c>
      <c r="K299" s="1">
        <v>0.01004362423132488</v>
      </c>
      <c r="L299" s="1">
        <v>-0.003166796829030871</v>
      </c>
      <c r="M299" s="1">
        <v>-0.008516680824626754</v>
      </c>
      <c r="N299" s="1">
        <v>0.003412484804033111</v>
      </c>
      <c r="O299" s="1">
        <v>0.007797344219354851</v>
      </c>
      <c r="P299" s="1">
        <v>0.003089710980022753</v>
      </c>
      <c r="Q299" s="1">
        <v>0.01478922983216124</v>
      </c>
      <c r="R299" s="1">
        <v>0.01483827619473033</v>
      </c>
      <c r="S299" s="1">
        <v>-0.0102091738601604</v>
      </c>
      <c r="T299" s="1">
        <v>0.005447986157823603</v>
      </c>
      <c r="U299" s="1">
        <v>0.009776069068170079</v>
      </c>
      <c r="V299" s="1">
        <v>0.002898649836041045</v>
      </c>
      <c r="W299" s="1">
        <v>0.009823670647542748</v>
      </c>
      <c r="X299" s="1">
        <v>0.004216880469332995</v>
      </c>
      <c r="Y299" s="1">
        <v>0.001420473612684381</v>
      </c>
      <c r="Z299" s="1">
        <v>-0.008171366888057086</v>
      </c>
    </row>
    <row r="300" spans="1:26">
      <c r="A300" s="11">
        <v>42807</v>
      </c>
      <c r="B300" s="1">
        <v>-0.00139352609424015</v>
      </c>
      <c r="C300" s="1">
        <v>0.00195882987400009</v>
      </c>
      <c r="D300" s="1">
        <v>0.00557577729149572</v>
      </c>
      <c r="E300" s="1">
        <v>-0.02383384140615941</v>
      </c>
      <c r="F300" s="1">
        <v>-0.0005361280857715256</v>
      </c>
      <c r="G300" s="1">
        <v>-0.003608351502072171</v>
      </c>
      <c r="H300" s="1">
        <v>-0.002365221488643154</v>
      </c>
      <c r="I300" s="1">
        <v>-0.0003639561308329542</v>
      </c>
      <c r="J300" s="1">
        <v>0.005750062872961204</v>
      </c>
      <c r="K300" s="1">
        <v>0.0002427651685574794</v>
      </c>
      <c r="L300" s="1">
        <v>0.0008763966296829739</v>
      </c>
      <c r="M300" s="1">
        <v>-0.02487478814461219</v>
      </c>
      <c r="N300" s="1">
        <v>-0.002505134423718691</v>
      </c>
      <c r="O300" s="1">
        <v>0.007601330318257826</v>
      </c>
      <c r="P300" s="1">
        <v>-0.003388259204017419</v>
      </c>
      <c r="Q300" s="1">
        <v>0.007286626685312658</v>
      </c>
      <c r="R300" s="1">
        <v>0.00236292179544817</v>
      </c>
      <c r="S300" s="1">
        <v>-0.003714424334125499</v>
      </c>
      <c r="T300" s="1">
        <v>-3.221185971935547E-05</v>
      </c>
      <c r="U300" s="1">
        <v>0.0004721201281632226</v>
      </c>
      <c r="V300" s="1">
        <v>-0.003070982501423458</v>
      </c>
      <c r="W300" s="1">
        <v>-0.0008796491717391053</v>
      </c>
      <c r="X300" s="1">
        <v>-0.005248864962346556</v>
      </c>
      <c r="Y300" s="1">
        <v>0.002431421519051735</v>
      </c>
      <c r="Z300" s="1">
        <v>0.002671707931806599</v>
      </c>
    </row>
    <row r="301" spans="1:26">
      <c r="A301" s="11">
        <v>42808</v>
      </c>
      <c r="B301" s="1">
        <v>0.003389375642404602</v>
      </c>
      <c r="C301" s="1">
        <v>-0.001787587734423224</v>
      </c>
      <c r="D301" s="1">
        <v>-0.007647987021864422</v>
      </c>
      <c r="E301" s="1">
        <v>-0.004215884524893632</v>
      </c>
      <c r="F301" s="1">
        <v>0.002949092607953396</v>
      </c>
      <c r="G301" s="1">
        <v>-0.003984372427445537</v>
      </c>
      <c r="H301" s="1">
        <v>-0.001693764107240647</v>
      </c>
      <c r="I301" s="1">
        <v>-0.006097399739994125</v>
      </c>
      <c r="J301" s="1">
        <v>-0.001143437735720565</v>
      </c>
      <c r="K301" s="1">
        <v>-0.008487162728471609</v>
      </c>
      <c r="L301" s="1">
        <v>0.001641456315312206</v>
      </c>
      <c r="M301" s="1">
        <v>-0.02954676337651363</v>
      </c>
      <c r="N301" s="1">
        <v>-0.004097932196235221</v>
      </c>
      <c r="O301" s="1">
        <v>0.0002696271089188684</v>
      </c>
      <c r="P301" s="1">
        <v>-0.004635835208698813</v>
      </c>
      <c r="Q301" s="1">
        <v>-0.005957226114397751</v>
      </c>
      <c r="R301" s="1">
        <v>-0.007661586096776807</v>
      </c>
      <c r="S301" s="1">
        <v>0.009619575041289963</v>
      </c>
      <c r="T301" s="1">
        <v>-0.005611198961641639</v>
      </c>
      <c r="U301" s="1">
        <v>-0.006608419196138526</v>
      </c>
      <c r="V301" s="1">
        <v>-0.007972456918090454</v>
      </c>
      <c r="W301" s="1">
        <v>-0.004400936137174294</v>
      </c>
      <c r="X301" s="1">
        <v>-0.003799156467597986</v>
      </c>
      <c r="Y301" s="1">
        <v>-0.002223138651889722</v>
      </c>
      <c r="Z301" s="1">
        <v>-0.01199166367216664</v>
      </c>
    </row>
    <row r="302" spans="1:26">
      <c r="A302" s="11">
        <v>42809</v>
      </c>
      <c r="B302" s="1">
        <v>0.01470268922018403</v>
      </c>
      <c r="C302" s="1">
        <v>-0.0001116561232428204</v>
      </c>
      <c r="D302" s="1">
        <v>0.005009508449762556</v>
      </c>
      <c r="E302" s="1">
        <v>0.0169342659835221</v>
      </c>
      <c r="F302" s="1">
        <v>0.009088402274631147</v>
      </c>
      <c r="G302" s="1">
        <v>0.02145454747504494</v>
      </c>
      <c r="H302" s="1">
        <v>0.006955322882674642</v>
      </c>
      <c r="I302" s="1">
        <v>0.01446762661427425</v>
      </c>
      <c r="J302" s="1">
        <v>0.005724336822684917</v>
      </c>
      <c r="K302" s="1">
        <v>0.02543418809438713</v>
      </c>
      <c r="L302" s="1">
        <v>0.002404516006715651</v>
      </c>
      <c r="M302" s="1">
        <v>0.02666417097048179</v>
      </c>
      <c r="N302" s="1">
        <v>0.00438000299077701</v>
      </c>
      <c r="O302" s="1">
        <v>0.001346500379865168</v>
      </c>
      <c r="P302" s="1">
        <v>0.005278398878429957</v>
      </c>
      <c r="Q302" s="1">
        <v>0.01498242888207191</v>
      </c>
      <c r="R302" s="1">
        <v>0.02256873465773035</v>
      </c>
      <c r="S302" s="1">
        <v>0.01723276536965668</v>
      </c>
      <c r="T302" s="1">
        <v>0.007932192730121468</v>
      </c>
      <c r="U302" s="1">
        <v>0.01187941850009921</v>
      </c>
      <c r="V302" s="1">
        <v>-0.003287460402872644</v>
      </c>
      <c r="W302" s="1">
        <v>0.01711543185868614</v>
      </c>
      <c r="X302" s="1">
        <v>0.01355952701832464</v>
      </c>
      <c r="Y302" s="1">
        <v>0.01580181110246959</v>
      </c>
      <c r="Z302" s="1">
        <v>-0.009440279399262397</v>
      </c>
    </row>
    <row r="303" spans="1:26">
      <c r="A303" s="11">
        <v>42810</v>
      </c>
      <c r="B303" s="1">
        <v>0.0001962103589130404</v>
      </c>
      <c r="C303" s="1">
        <v>-0.00290977488232802</v>
      </c>
      <c r="D303" s="1">
        <v>-0.01399542194725445</v>
      </c>
      <c r="E303" s="1">
        <v>-0.00589781843106485</v>
      </c>
      <c r="F303" s="1">
        <v>-0.001853964691421406</v>
      </c>
      <c r="G303" s="1">
        <v>-0.01779977216857354</v>
      </c>
      <c r="H303" s="1">
        <v>-0.008928872355834505</v>
      </c>
      <c r="I303" s="1">
        <v>-0.0005418861752066739</v>
      </c>
      <c r="J303" s="1">
        <v>0.004552849260018643</v>
      </c>
      <c r="K303" s="1">
        <v>-0.003816131615160145</v>
      </c>
      <c r="L303" s="1">
        <v>-0.000981029373852027</v>
      </c>
      <c r="M303" s="1">
        <v>-0.002578965925702947</v>
      </c>
      <c r="N303" s="1">
        <v>-0.004889499423088584</v>
      </c>
      <c r="O303" s="1">
        <v>0.004438734153069612</v>
      </c>
      <c r="P303" s="1">
        <v>-0.00169867546285174</v>
      </c>
      <c r="Q303" s="1">
        <v>-0.01433969291689741</v>
      </c>
      <c r="R303" s="1">
        <v>0.0002903682594863621</v>
      </c>
      <c r="S303" s="1">
        <v>-0.01160765277701736</v>
      </c>
      <c r="T303" s="1">
        <v>-0.004062685396607035</v>
      </c>
      <c r="U303" s="1">
        <v>-0.003522159546797687</v>
      </c>
      <c r="V303" s="1">
        <v>0.0003663751275149174</v>
      </c>
      <c r="W303" s="1">
        <v>-0.01881434125633019</v>
      </c>
      <c r="X303" s="1">
        <v>-0.003971481031501689</v>
      </c>
      <c r="Y303" s="1">
        <v>-0.001994196949972937</v>
      </c>
      <c r="Z303" s="1">
        <v>0.006580250159506695</v>
      </c>
    </row>
    <row r="304" spans="1:26">
      <c r="A304" s="11">
        <v>42811</v>
      </c>
      <c r="B304" s="1">
        <v>0.002740672925883869</v>
      </c>
      <c r="C304" s="1">
        <v>0.01071896054479682</v>
      </c>
      <c r="D304" s="1">
        <v>0.003888981848980455</v>
      </c>
      <c r="E304" s="1">
        <v>-0.01779748344707111</v>
      </c>
      <c r="F304" s="1">
        <v>-0.005838561724907043</v>
      </c>
      <c r="G304" s="1">
        <v>0.003261935477201217</v>
      </c>
      <c r="H304" s="1">
        <v>0.006289360342847328</v>
      </c>
      <c r="I304" s="1">
        <v>-0.002528498344907537</v>
      </c>
      <c r="J304" s="1">
        <v>-0.005098937590685138</v>
      </c>
      <c r="K304" s="1">
        <v>0.004788466085805299</v>
      </c>
      <c r="L304" s="1">
        <v>-0.01047608581500481</v>
      </c>
      <c r="M304" s="1">
        <v>-0.01791299784619194</v>
      </c>
      <c r="N304" s="1">
        <v>-0.001859230195071504</v>
      </c>
      <c r="O304" s="1">
        <v>0.006159538662608544</v>
      </c>
      <c r="P304" s="1">
        <v>0.003558249038062788</v>
      </c>
      <c r="Q304" s="1">
        <v>0.005562654583403104</v>
      </c>
      <c r="R304" s="1">
        <v>0.009145235734872026</v>
      </c>
      <c r="S304" s="1">
        <v>0.008842181053709153</v>
      </c>
      <c r="T304" s="1">
        <v>0.006584452102428973</v>
      </c>
      <c r="U304" s="1">
        <v>0.004005959707797269</v>
      </c>
      <c r="V304" s="1">
        <v>-0.005495468104316115</v>
      </c>
      <c r="W304" s="1">
        <v>-0.0008227562542710842</v>
      </c>
      <c r="X304" s="1">
        <v>0.00188873317408822</v>
      </c>
      <c r="Y304" s="1">
        <v>0.006994114978373656</v>
      </c>
      <c r="Z304" s="1">
        <v>-0.01352565368048597</v>
      </c>
    </row>
    <row r="305" spans="1:26">
      <c r="A305" s="11">
        <v>42814</v>
      </c>
      <c r="B305" s="1">
        <v>-0.005662000029540759</v>
      </c>
      <c r="C305" s="1">
        <v>-0.003942201103809051</v>
      </c>
      <c r="D305" s="1">
        <v>-0.008522272983194079</v>
      </c>
      <c r="E305" s="1">
        <v>0.002131908525097481</v>
      </c>
      <c r="F305" s="1">
        <v>0.0005337048526872223</v>
      </c>
      <c r="G305" s="1">
        <v>-0.008309158511967563</v>
      </c>
      <c r="H305" s="1">
        <v>-0.003378121568415549</v>
      </c>
      <c r="I305" s="1">
        <v>0.003893154069673388</v>
      </c>
      <c r="J305" s="1">
        <v>0</v>
      </c>
      <c r="K305" s="1">
        <v>0.01318325890808159</v>
      </c>
      <c r="L305" s="1">
        <v>-0.007167650665211855</v>
      </c>
      <c r="M305" s="1">
        <v>0.005077042976549651</v>
      </c>
      <c r="N305" s="1">
        <v>0.005587980842967077</v>
      </c>
      <c r="O305" s="1">
        <v>-0.00146400197242913</v>
      </c>
      <c r="P305" s="1">
        <v>0.0009247231061386696</v>
      </c>
      <c r="Q305" s="1">
        <v>-0.01191489174673221</v>
      </c>
      <c r="R305" s="1">
        <v>-0.005897706807791225</v>
      </c>
      <c r="S305" s="1">
        <v>0.005168780781694471</v>
      </c>
      <c r="T305" s="1">
        <v>-0.003988931990547284</v>
      </c>
      <c r="U305" s="1">
        <v>-0.004459446050752103</v>
      </c>
      <c r="V305" s="1">
        <v>0.001473618180030334</v>
      </c>
      <c r="W305" s="1">
        <v>-0.00728350409901124</v>
      </c>
      <c r="X305" s="1">
        <v>-0.002304243652772264</v>
      </c>
      <c r="Y305" s="1">
        <v>-0.002976613455325294</v>
      </c>
      <c r="Z305" s="1">
        <v>-0.01302591509342133</v>
      </c>
    </row>
    <row r="306" spans="1:26">
      <c r="A306" s="11">
        <v>42815</v>
      </c>
      <c r="B306" s="1">
        <v>-0.01237012172413676</v>
      </c>
      <c r="C306" s="1">
        <v>-0.01912063646495032</v>
      </c>
      <c r="D306" s="1">
        <v>0.004102207997615848</v>
      </c>
      <c r="E306" s="1">
        <v>-0.0124095808879281</v>
      </c>
      <c r="F306" s="1">
        <v>-0.01093909619031519</v>
      </c>
      <c r="G306" s="1">
        <v>0.004735972853323389</v>
      </c>
      <c r="H306" s="1">
        <v>-0.0323730082186896</v>
      </c>
      <c r="I306" s="1">
        <v>-0.01145360681129715</v>
      </c>
      <c r="J306" s="1">
        <v>-0.02334864170787043</v>
      </c>
      <c r="K306" s="1">
        <v>-0.0210551139558246</v>
      </c>
      <c r="L306" s="1">
        <v>-0.02932382803544209</v>
      </c>
      <c r="M306" s="1">
        <v>-0.02937322021698308</v>
      </c>
      <c r="N306" s="1">
        <v>0.004630955008728677</v>
      </c>
      <c r="O306" s="1">
        <v>-0.01106239664924202</v>
      </c>
      <c r="P306" s="1">
        <v>-0.01108897301235767</v>
      </c>
      <c r="Q306" s="1">
        <v>0.01507298794410072</v>
      </c>
      <c r="R306" s="1">
        <v>-0.02112549294395838</v>
      </c>
      <c r="S306" s="1">
        <v>0.002861467353723501</v>
      </c>
      <c r="T306" s="1">
        <v>-0.01339194290159695</v>
      </c>
      <c r="U306" s="1">
        <v>-0.008015002255878145</v>
      </c>
      <c r="V306" s="1">
        <v>-0.01802446925195711</v>
      </c>
      <c r="W306" s="1">
        <v>-0.007656379168227923</v>
      </c>
      <c r="X306" s="1">
        <v>-0.01784597869478166</v>
      </c>
      <c r="Y306" s="1">
        <v>-0.00159267806982355</v>
      </c>
      <c r="Z306" s="1">
        <v>-0.05441054746158114</v>
      </c>
    </row>
    <row r="307" spans="1:26">
      <c r="A307" s="11">
        <v>42816</v>
      </c>
      <c r="B307" s="1">
        <v>0.004771529302651123</v>
      </c>
      <c r="C307" s="1">
        <v>0.005796902810094373</v>
      </c>
      <c r="D307" s="1">
        <v>0.007587704453200228</v>
      </c>
      <c r="E307" s="1">
        <v>0.01166767876967101</v>
      </c>
      <c r="F307" s="1">
        <v>-0.000809474282554179</v>
      </c>
      <c r="G307" s="1">
        <v>0.01087727540590211</v>
      </c>
      <c r="H307" s="1">
        <v>-0.00315310374301081</v>
      </c>
      <c r="I307" s="1">
        <v>0.001459377529920758</v>
      </c>
      <c r="J307" s="1">
        <v>0.004664809901294031</v>
      </c>
      <c r="K307" s="1">
        <v>0.01039082174323913</v>
      </c>
      <c r="L307" s="1">
        <v>0.0016019076713778</v>
      </c>
      <c r="M307" s="1">
        <v>0.01117962570964015</v>
      </c>
      <c r="N307" s="1">
        <v>-0.01132626633533751</v>
      </c>
      <c r="O307" s="1">
        <v>0.003234652279122008</v>
      </c>
      <c r="P307" s="1">
        <v>0.0127708489555507</v>
      </c>
      <c r="Q307" s="1">
        <v>0.01018231073291398</v>
      </c>
      <c r="R307" s="1">
        <v>-0.001773926712505758</v>
      </c>
      <c r="S307" s="1">
        <v>0.006643580923399117</v>
      </c>
      <c r="T307" s="1">
        <v>0.01204771093977874</v>
      </c>
      <c r="U307" s="1">
        <v>-0.01021834329488325</v>
      </c>
      <c r="V307" s="1">
        <v>0.003558294547325591</v>
      </c>
      <c r="W307" s="1">
        <v>-0.001350050430487193</v>
      </c>
      <c r="X307" s="1">
        <v>0.007268180358335652</v>
      </c>
      <c r="Y307" s="1">
        <v>-0.008970851692248094</v>
      </c>
      <c r="Z307" s="1">
        <v>-0.002693484884332409</v>
      </c>
    </row>
    <row r="308" spans="1:26">
      <c r="A308" s="11">
        <v>42817</v>
      </c>
      <c r="B308" s="1">
        <v>-0.008903805180153435</v>
      </c>
      <c r="C308" s="1">
        <v>0.001581961617654004</v>
      </c>
      <c r="D308" s="1">
        <v>-0.001930846131955821</v>
      </c>
      <c r="E308" s="1">
        <v>-0.01046838755393686</v>
      </c>
      <c r="F308" s="1">
        <v>0.004859578398643372</v>
      </c>
      <c r="G308" s="1">
        <v>-0.004662746486109981</v>
      </c>
      <c r="H308" s="1">
        <v>0.01212431967306205</v>
      </c>
      <c r="I308" s="1">
        <v>-0.002186399222692259</v>
      </c>
      <c r="J308" s="1">
        <v>-0.00116069202543323</v>
      </c>
      <c r="K308" s="1">
        <v>-0.007413936242483099</v>
      </c>
      <c r="L308" s="1">
        <v>-0.001599345667284147</v>
      </c>
      <c r="M308" s="1">
        <v>-0.001715465444535269</v>
      </c>
      <c r="N308" s="1">
        <v>-0.01398714826643521</v>
      </c>
      <c r="O308" s="1">
        <v>0.002283764246570508</v>
      </c>
      <c r="P308" s="1">
        <v>-0.002460339563645553</v>
      </c>
      <c r="Q308" s="1">
        <v>-0.002519702186254302</v>
      </c>
      <c r="R308" s="1">
        <v>0.0008884497876846531</v>
      </c>
      <c r="S308" s="1">
        <v>0.0006641136663949609</v>
      </c>
      <c r="T308" s="1">
        <v>-0.002919778678840301</v>
      </c>
      <c r="U308" s="1">
        <v>0</v>
      </c>
      <c r="V308" s="1">
        <v>-0.008211923556984746</v>
      </c>
      <c r="W308" s="1">
        <v>-0.00437755935030093</v>
      </c>
      <c r="X308" s="1">
        <v>-0.004456587107216747</v>
      </c>
      <c r="Y308" s="1">
        <v>-0.001408121939862839</v>
      </c>
      <c r="Z308" s="1">
        <v>0.003928756376455622</v>
      </c>
    </row>
    <row r="309" spans="1:26">
      <c r="A309" s="11">
        <v>42818</v>
      </c>
      <c r="B309" s="1">
        <v>0.002994695822977622</v>
      </c>
      <c r="C309" s="1">
        <v>-0.00812349157972625</v>
      </c>
      <c r="D309" s="1">
        <v>0.006384264502085513</v>
      </c>
      <c r="E309" s="1">
        <v>0.002151786900556063</v>
      </c>
      <c r="F309" s="1">
        <v>0.004298438116880243</v>
      </c>
      <c r="G309" s="1">
        <v>0.004323925885362678</v>
      </c>
      <c r="H309" s="1">
        <v>-0.00277737877418438</v>
      </c>
      <c r="I309" s="1">
        <v>-0.005021289036720611</v>
      </c>
      <c r="J309" s="1">
        <v>0.001162040796919506</v>
      </c>
      <c r="K309" s="1">
        <v>-0.006747352017171471</v>
      </c>
      <c r="L309" s="1">
        <v>-0.001143979551183394</v>
      </c>
      <c r="M309" s="1">
        <v>0.004582736701968848</v>
      </c>
      <c r="N309" s="1">
        <v>-0.01148305729684829</v>
      </c>
      <c r="O309" s="1">
        <v>-0.0005361460752160152</v>
      </c>
      <c r="P309" s="1">
        <v>0.001695598127094078</v>
      </c>
      <c r="Q309" s="1">
        <v>0.005052460414818993</v>
      </c>
      <c r="R309" s="1">
        <v>0.0004436212891338887</v>
      </c>
      <c r="S309" s="1">
        <v>-0.01332296830165614</v>
      </c>
      <c r="T309" s="1">
        <v>-0.004183464316965146</v>
      </c>
      <c r="U309" s="1">
        <v>0.0007201413417552427</v>
      </c>
      <c r="V309" s="1">
        <v>-0.000376234367252537</v>
      </c>
      <c r="W309" s="1">
        <v>-0.003944504042359465</v>
      </c>
      <c r="X309" s="1">
        <v>-0.01620127563731644</v>
      </c>
      <c r="Y309" s="1">
        <v>0.0008056101988680453</v>
      </c>
      <c r="Z309" s="1">
        <v>0.0004887929202099794</v>
      </c>
    </row>
    <row r="310" spans="1:26">
      <c r="A310" s="11">
        <v>42821</v>
      </c>
      <c r="B310" s="1">
        <v>-0.01035031731108982</v>
      </c>
      <c r="C310" s="1">
        <v>0.001592398806155693</v>
      </c>
      <c r="D310" s="1">
        <v>-0.003652395571570266</v>
      </c>
      <c r="E310" s="1">
        <v>0.002683764776286512</v>
      </c>
      <c r="F310" s="1">
        <v>-0.00722268240774393</v>
      </c>
      <c r="G310" s="1">
        <v>-0.006458421949807613</v>
      </c>
      <c r="H310" s="1">
        <v>0.000870383550213516</v>
      </c>
      <c r="I310" s="1">
        <v>-0.01670016580880063</v>
      </c>
      <c r="J310" s="1">
        <v>-0.001741229230748043</v>
      </c>
      <c r="K310" s="1">
        <v>0.003396366309321497</v>
      </c>
      <c r="L310" s="1">
        <v>-0.0005734865818168844</v>
      </c>
      <c r="M310" s="1">
        <v>0.005132049689969165</v>
      </c>
      <c r="N310" s="1">
        <v>0.0004098147940998498</v>
      </c>
      <c r="O310" s="1">
        <v>0.0005364336820292692</v>
      </c>
      <c r="P310" s="1">
        <v>0.001846380876123321</v>
      </c>
      <c r="Q310" s="1">
        <v>-0.002513692957548996</v>
      </c>
      <c r="R310" s="1">
        <v>-0.01671117149617329</v>
      </c>
      <c r="S310" s="1">
        <v>-0.008972212828401993</v>
      </c>
      <c r="T310" s="1">
        <v>6.46115416353954E-05</v>
      </c>
      <c r="U310" s="1">
        <v>-0.0045582421144299</v>
      </c>
      <c r="V310" s="1">
        <v>0.003953233737385764</v>
      </c>
      <c r="W310" s="1">
        <v>0.00357050926946223</v>
      </c>
      <c r="X310" s="1">
        <v>0.00455042453361143</v>
      </c>
      <c r="Y310" s="1">
        <v>-0.01086962045289741</v>
      </c>
      <c r="Z310" s="1">
        <v>-0.003177368075978682</v>
      </c>
    </row>
    <row r="311" spans="1:26">
      <c r="A311" s="11">
        <v>42822</v>
      </c>
      <c r="B311" s="1">
        <v>0.03016902574569724</v>
      </c>
      <c r="C311" s="1">
        <v>0.007155143249731655</v>
      </c>
      <c r="D311" s="1">
        <v>0.001157647597934686</v>
      </c>
      <c r="E311" s="1">
        <v>0.0028548400686359</v>
      </c>
      <c r="F311" s="1">
        <v>-0.0005389502910980726</v>
      </c>
      <c r="G311" s="1">
        <v>0</v>
      </c>
      <c r="H311" s="1">
        <v>0.002261444229073373</v>
      </c>
      <c r="I311" s="1">
        <v>0.0109182147570861</v>
      </c>
      <c r="J311" s="1">
        <v>0.003488532796774191</v>
      </c>
      <c r="K311" s="1">
        <v>0.00918794210113405</v>
      </c>
      <c r="L311" s="1">
        <v>0.01558948217235612</v>
      </c>
      <c r="M311" s="1">
        <v>0.02477311982278274</v>
      </c>
      <c r="N311" s="1">
        <v>-0.0001364810198628552</v>
      </c>
      <c r="O311" s="1">
        <v>0.004154770473611125</v>
      </c>
      <c r="P311" s="1">
        <v>0.002918716374625596</v>
      </c>
      <c r="Q311" s="1">
        <v>-0.004199792840874794</v>
      </c>
      <c r="R311" s="1">
        <v>0.009024075913594887</v>
      </c>
      <c r="S311" s="1">
        <v>0.005658502868063131</v>
      </c>
      <c r="T311" s="1">
        <v>0.00474993041818772</v>
      </c>
      <c r="U311" s="1">
        <v>0.001686967468318867</v>
      </c>
      <c r="V311" s="1">
        <v>0.005062728550321971</v>
      </c>
      <c r="W311" s="1">
        <v>0.0003233724288673745</v>
      </c>
      <c r="X311" s="1">
        <v>0.01358935258837346</v>
      </c>
      <c r="Y311" s="1">
        <v>0.003255945317651276</v>
      </c>
      <c r="Z311" s="1">
        <v>0.01275097846637219</v>
      </c>
    </row>
    <row r="312" spans="1:26">
      <c r="A312" s="11">
        <v>42823</v>
      </c>
      <c r="B312" s="1">
        <v>0.03826617031931123</v>
      </c>
      <c r="C312" s="1">
        <v>0.001522266902535652</v>
      </c>
      <c r="D312" s="1">
        <v>0.001734079796832155</v>
      </c>
      <c r="E312" s="1">
        <v>-0.004448205844115427</v>
      </c>
      <c r="F312" s="1">
        <v>0.003504889425956614</v>
      </c>
      <c r="G312" s="1">
        <v>0.005778433509157077</v>
      </c>
      <c r="H312" s="1">
        <v>-0.0008683231426748206</v>
      </c>
      <c r="I312" s="1">
        <v>0.00417706183425981</v>
      </c>
      <c r="J312" s="1">
        <v>0</v>
      </c>
      <c r="K312" s="1">
        <v>0.01221817604495401</v>
      </c>
      <c r="L312" s="1">
        <v>-0.003724516061692218</v>
      </c>
      <c r="M312" s="1">
        <v>-0.01310215044758556</v>
      </c>
      <c r="N312" s="1">
        <v>-0.003142754065451947</v>
      </c>
      <c r="O312" s="1">
        <v>-0.006940460276191218</v>
      </c>
      <c r="P312" s="1">
        <v>0.002757298844966893</v>
      </c>
      <c r="Q312" s="1">
        <v>0</v>
      </c>
      <c r="R312" s="1">
        <v>0.008347346380477294</v>
      </c>
      <c r="S312" s="1">
        <v>-0.009947913550397369</v>
      </c>
      <c r="T312" s="1">
        <v>-0.002572879270787198</v>
      </c>
      <c r="U312" s="1">
        <v>-0.00264678852579614</v>
      </c>
      <c r="V312" s="1">
        <v>0.02891826421308163</v>
      </c>
      <c r="W312" s="1">
        <v>-0.004267926374749598</v>
      </c>
      <c r="X312" s="1">
        <v>0.002127812418474706</v>
      </c>
      <c r="Y312" s="1">
        <v>-0.003448202547609469</v>
      </c>
      <c r="Z312" s="1">
        <v>0.0004840634465059779</v>
      </c>
    </row>
    <row r="313" spans="1:26">
      <c r="A313" s="11">
        <v>42824</v>
      </c>
      <c r="B313" s="1">
        <v>-0.02049660595692193</v>
      </c>
      <c r="C313" s="1">
        <v>0.001970537565146424</v>
      </c>
      <c r="D313" s="1">
        <v>0.005194595822617831</v>
      </c>
      <c r="E313" s="1">
        <v>-0.01054538986593145</v>
      </c>
      <c r="F313" s="1">
        <v>0.007791860183748556</v>
      </c>
      <c r="G313" s="1">
        <v>-0.01220838444582928</v>
      </c>
      <c r="H313" s="1">
        <v>-0.007989808396037246</v>
      </c>
      <c r="I313" s="1">
        <v>0.009151342919225147</v>
      </c>
      <c r="J313" s="1">
        <v>0.0225953362301341</v>
      </c>
      <c r="K313" s="1">
        <v>-0.002603422072069317</v>
      </c>
      <c r="L313" s="1">
        <v>0.008610009518954742</v>
      </c>
      <c r="M313" s="1">
        <v>0.006544544097853322</v>
      </c>
      <c r="N313" s="1">
        <v>-0.01247238902433034</v>
      </c>
      <c r="O313" s="1">
        <v>-0.003898090590157888</v>
      </c>
      <c r="P313" s="1">
        <v>0.003665965481475908</v>
      </c>
      <c r="Q313" s="1">
        <v>-0.005060875900723238</v>
      </c>
      <c r="R313" s="1">
        <v>-0.0001482802714591891</v>
      </c>
      <c r="S313" s="1">
        <v>-0.002500502169238583</v>
      </c>
      <c r="T313" s="1">
        <v>0.0002260392379036524</v>
      </c>
      <c r="U313" s="1">
        <v>0.007478710789103227</v>
      </c>
      <c r="V313" s="1">
        <v>0.001813068757421155</v>
      </c>
      <c r="W313" s="1">
        <v>-0.0004545759304079855</v>
      </c>
      <c r="X313" s="1">
        <v>0.004884364603644942</v>
      </c>
      <c r="Y313" s="1">
        <v>-0.001424680622548302</v>
      </c>
      <c r="Z313" s="1">
        <v>0.02565399477893937</v>
      </c>
    </row>
    <row r="314" spans="1:26">
      <c r="A314" s="11">
        <v>42825</v>
      </c>
      <c r="B314" s="1">
        <v>-0.01343813734288912</v>
      </c>
      <c r="C314" s="1">
        <v>-0.006292933924239685</v>
      </c>
      <c r="D314" s="1">
        <v>-0.007464435772861155</v>
      </c>
      <c r="E314" s="1">
        <v>-0.01770210131852279</v>
      </c>
      <c r="F314" s="1">
        <v>0.002132322847405499</v>
      </c>
      <c r="G314" s="1">
        <v>0.002181102309722682</v>
      </c>
      <c r="H314" s="1">
        <v>0.002276016619649157</v>
      </c>
      <c r="I314" s="1">
        <v>-0.002839552683367996</v>
      </c>
      <c r="J314" s="1">
        <v>0.01303148928799791</v>
      </c>
      <c r="K314" s="1">
        <v>-0.0004750001252931124</v>
      </c>
      <c r="L314" s="1">
        <v>-0.01336649346067897</v>
      </c>
      <c r="M314" s="1">
        <v>-0.001300462233854383</v>
      </c>
      <c r="N314" s="1">
        <v>-0.008743723047367036</v>
      </c>
      <c r="O314" s="1">
        <v>-0.002968395203872265</v>
      </c>
      <c r="P314" s="1">
        <v>0.002282351226478907</v>
      </c>
      <c r="Q314" s="1">
        <v>0.008478026124882021</v>
      </c>
      <c r="R314" s="1">
        <v>-0.006504864636841745</v>
      </c>
      <c r="S314" s="1">
        <v>-0.002233473537154529</v>
      </c>
      <c r="T314" s="1">
        <v>-6.461396770751637E-05</v>
      </c>
      <c r="U314" s="1">
        <v>-0.005028653850025266</v>
      </c>
      <c r="V314" s="1">
        <v>-0.001086147258268166</v>
      </c>
      <c r="W314" s="1">
        <v>-0.002014255624703698</v>
      </c>
      <c r="X314" s="1">
        <v>0.005705715166741898</v>
      </c>
      <c r="Y314" s="1">
        <v>-0.006318822563916249</v>
      </c>
      <c r="Z314" s="1">
        <v>-0.008966712068573468</v>
      </c>
    </row>
    <row r="315" spans="1:26">
      <c r="A315" s="11">
        <v>42828</v>
      </c>
      <c r="B315" s="1">
        <v>-0.006810827762989247</v>
      </c>
      <c r="C315" s="1">
        <v>-0.001187322360650445</v>
      </c>
      <c r="D315" s="1">
        <v>0.008291749313563912</v>
      </c>
      <c r="E315" s="1">
        <v>-0.003126184490437001</v>
      </c>
      <c r="F315" s="1">
        <v>0.003419603371154878</v>
      </c>
      <c r="G315" s="1">
        <v>-0.0007253902378713262</v>
      </c>
      <c r="H315" s="1">
        <v>-0.00611463795298206</v>
      </c>
      <c r="I315" s="1">
        <v>-0.0007348823115304048</v>
      </c>
      <c r="J315" s="1">
        <v>-0.0162191967547457</v>
      </c>
      <c r="K315" s="1">
        <v>-0.02255445319498861</v>
      </c>
      <c r="L315" s="1">
        <v>-0.003642873489329457</v>
      </c>
      <c r="M315" s="1">
        <v>0.004464407879249732</v>
      </c>
      <c r="N315" s="1">
        <v>0.002800470523342202</v>
      </c>
      <c r="O315" s="1">
        <v>-0.007714588757205099</v>
      </c>
      <c r="P315" s="1">
        <v>-0.004706809423871472</v>
      </c>
      <c r="Q315" s="1">
        <v>-0.004623915196346751</v>
      </c>
      <c r="R315" s="1">
        <v>-0.005357057798704101</v>
      </c>
      <c r="S315" s="1">
        <v>0.001827149450257748</v>
      </c>
      <c r="T315" s="1">
        <v>-0.0050935813769869</v>
      </c>
      <c r="U315" s="1">
        <v>0.0004816835995431479</v>
      </c>
      <c r="V315" s="1">
        <v>-0.02101801211198773</v>
      </c>
      <c r="W315" s="1">
        <v>0.006380419807512361</v>
      </c>
      <c r="X315" s="1">
        <v>-0.01407850715705261</v>
      </c>
      <c r="Y315" s="1">
        <v>0.008820350910405894</v>
      </c>
      <c r="Z315" s="1">
        <v>-0.005476153522817606</v>
      </c>
    </row>
    <row r="316" spans="1:26">
      <c r="A316" s="11">
        <v>42829</v>
      </c>
      <c r="B316" s="1">
        <v>0.01665383170288015</v>
      </c>
      <c r="C316" s="1">
        <v>0.01160477211625377</v>
      </c>
      <c r="D316" s="1">
        <v>0.001721153501998751</v>
      </c>
      <c r="E316" s="1">
        <v>-0.001291330327645501</v>
      </c>
      <c r="F316" s="1">
        <v>0.006123588804223035</v>
      </c>
      <c r="G316" s="1">
        <v>0.007985454671842751</v>
      </c>
      <c r="H316" s="1">
        <v>-0.001933242381514488</v>
      </c>
      <c r="I316" s="1">
        <v>0.006618966318057362</v>
      </c>
      <c r="J316" s="1">
        <v>0.007390202101636545</v>
      </c>
      <c r="K316" s="1">
        <v>0.003157794780615841</v>
      </c>
      <c r="L316" s="1">
        <v>0.003332257280260098</v>
      </c>
      <c r="M316" s="1">
        <v>-0.01722224333181743</v>
      </c>
      <c r="N316" s="1">
        <v>0.004607502328076274</v>
      </c>
      <c r="O316" s="1">
        <v>0.001364009576094283</v>
      </c>
      <c r="P316" s="1">
        <v>0.002746037918733846</v>
      </c>
      <c r="Q316" s="1">
        <v>-0.0008442207679835168</v>
      </c>
      <c r="R316" s="1">
        <v>-0.003291722272943276</v>
      </c>
      <c r="S316" s="1">
        <v>0.004559747077742982</v>
      </c>
      <c r="T316" s="1">
        <v>-0.0007452974606085849</v>
      </c>
      <c r="U316" s="1">
        <v>0.002886344878121561</v>
      </c>
      <c r="V316" s="1">
        <v>-0.01110531897716616</v>
      </c>
      <c r="W316" s="1">
        <v>-0.01203254161598555</v>
      </c>
      <c r="X316" s="1">
        <v>0.005967472643836125</v>
      </c>
      <c r="Y316" s="1">
        <v>0.00264327565786715</v>
      </c>
      <c r="Z316" s="1">
        <v>-0.002633453767483807</v>
      </c>
    </row>
    <row r="317" spans="1:26">
      <c r="A317" s="11">
        <v>42830</v>
      </c>
      <c r="B317" s="1">
        <v>-0.00366174708858702</v>
      </c>
      <c r="C317" s="1">
        <v>-0.009065477805833</v>
      </c>
      <c r="D317" s="1">
        <v>0.003245575608827433</v>
      </c>
      <c r="E317" s="1">
        <v>-0.0124651675205748</v>
      </c>
      <c r="F317" s="1">
        <v>-0.01190791581660977</v>
      </c>
      <c r="G317" s="1">
        <v>0.002520626706703055</v>
      </c>
      <c r="H317" s="1">
        <v>-0.0001762720280354957</v>
      </c>
      <c r="I317" s="1">
        <v>-0.002283355159777956</v>
      </c>
      <c r="J317" s="1">
        <v>-0.00169278294736086</v>
      </c>
      <c r="K317" s="1">
        <v>-0.00774798800267551</v>
      </c>
      <c r="L317" s="1">
        <v>-0.01282746969037407</v>
      </c>
      <c r="M317" s="1">
        <v>0.00527593767631962</v>
      </c>
      <c r="N317" s="1">
        <v>-0.0002781189741537515</v>
      </c>
      <c r="O317" s="1">
        <v>0.004105134511014796</v>
      </c>
      <c r="P317" s="1">
        <v>-0.002586489096744637</v>
      </c>
      <c r="Q317" s="1">
        <v>0.005071241519418956</v>
      </c>
      <c r="R317" s="1">
        <v>0.001951259522127158</v>
      </c>
      <c r="S317" s="1">
        <v>0.008986733259479962</v>
      </c>
      <c r="T317" s="1">
        <v>0.002918496807204463</v>
      </c>
      <c r="U317" s="1">
        <v>-0.004317174725766204</v>
      </c>
      <c r="V317" s="1">
        <v>-0.01272680142452587</v>
      </c>
      <c r="W317" s="1">
        <v>0.0002617834882321368</v>
      </c>
      <c r="X317" s="1">
        <v>-0.005508207527886388</v>
      </c>
      <c r="Y317" s="1">
        <v>-0.005881027816964757</v>
      </c>
      <c r="Z317" s="1">
        <v>-0.01464271155726027</v>
      </c>
    </row>
    <row r="318" spans="1:26">
      <c r="A318" s="11">
        <v>42831</v>
      </c>
      <c r="B318" s="1">
        <v>0.02437130245597396</v>
      </c>
      <c r="C318" s="1">
        <v>0.001637646933936532</v>
      </c>
      <c r="D318" s="1">
        <v>-0.0003803990586512818</v>
      </c>
      <c r="E318" s="1">
        <v>0.003956793522326141</v>
      </c>
      <c r="F318" s="1">
        <v>0.0211570033907329</v>
      </c>
      <c r="G318" s="1">
        <v>0.002155248708895163</v>
      </c>
      <c r="H318" s="1">
        <v>-0.003170972753816281</v>
      </c>
      <c r="I318" s="1">
        <v>0.01089240342143194</v>
      </c>
      <c r="J318" s="1">
        <v>-0.007348799403854689</v>
      </c>
      <c r="K318" s="1">
        <v>0.004880562726042204</v>
      </c>
      <c r="L318" s="1">
        <v>0.003364459281069543</v>
      </c>
      <c r="M318" s="1">
        <v>0.0005620675442155054</v>
      </c>
      <c r="N318" s="1">
        <v>-0.007090065185283212</v>
      </c>
      <c r="O318" s="1">
        <v>-0.001498639239230437</v>
      </c>
      <c r="P318" s="1">
        <v>0.002593196370883621</v>
      </c>
      <c r="Q318" s="1">
        <v>0.002523641288296075</v>
      </c>
      <c r="R318" s="1">
        <v>0.006142574574911963</v>
      </c>
      <c r="S318" s="1">
        <v>0.001575506004246829</v>
      </c>
      <c r="T318" s="1">
        <v>0.003847386207688652</v>
      </c>
      <c r="U318" s="1">
        <v>-0.006393577619067448</v>
      </c>
      <c r="V318" s="1">
        <v>0.01554550772507701</v>
      </c>
      <c r="W318" s="1">
        <v>0.001243658898421929</v>
      </c>
      <c r="X318" s="1">
        <v>0.01022566348781218</v>
      </c>
      <c r="Y318" s="1">
        <v>-0.0002474648865188334</v>
      </c>
      <c r="Z318" s="1">
        <v>0.01096267020930264</v>
      </c>
    </row>
    <row r="319" spans="1:26">
      <c r="A319" s="11">
        <v>42832</v>
      </c>
      <c r="B319" s="1">
        <v>-0.006042126784390423</v>
      </c>
      <c r="C319" s="1">
        <v>0.008344305500459726</v>
      </c>
      <c r="D319" s="1">
        <v>0.004949175332573663</v>
      </c>
      <c r="E319" s="1">
        <v>0.002438839824025374</v>
      </c>
      <c r="F319" s="1">
        <v>-0.002622858296573605</v>
      </c>
      <c r="G319" s="1">
        <v>0</v>
      </c>
      <c r="H319" s="1">
        <v>-0.003180484952098217</v>
      </c>
      <c r="I319" s="1">
        <v>-0.01014092629520402</v>
      </c>
      <c r="J319" s="1">
        <v>-0.0108200674803135</v>
      </c>
      <c r="K319" s="1">
        <v>-0.004613992803607192</v>
      </c>
      <c r="L319" s="1">
        <v>-0.003468851073453849</v>
      </c>
      <c r="M319" s="1">
        <v>0.02173127698812061</v>
      </c>
      <c r="N319" s="1">
        <v>0.004060248717134396</v>
      </c>
      <c r="O319" s="1">
        <v>0.002047060460640182</v>
      </c>
      <c r="P319" s="1">
        <v>-0.0007608535523717652</v>
      </c>
      <c r="Q319" s="1">
        <v>-0.006711686355875823</v>
      </c>
      <c r="R319" s="1">
        <v>0</v>
      </c>
      <c r="S319" s="1">
        <v>0.004311428875770407</v>
      </c>
      <c r="T319" s="1">
        <v>0.008374315607069693</v>
      </c>
      <c r="U319" s="1">
        <v>-0.0002461413323266992</v>
      </c>
      <c r="V319" s="1">
        <v>-0.006160537458671067</v>
      </c>
      <c r="W319" s="1">
        <v>0.00104637898687443</v>
      </c>
      <c r="X319" s="1">
        <v>0.005271865511597085</v>
      </c>
      <c r="Y319" s="1">
        <v>0.004748837259648253</v>
      </c>
      <c r="Z319" s="1">
        <v>0.0004819748787776579</v>
      </c>
    </row>
    <row r="320" spans="1:26">
      <c r="A320" s="11">
        <v>42835</v>
      </c>
      <c r="B320" s="1">
        <v>0.02564598508065519</v>
      </c>
      <c r="C320" s="1">
        <v>-0.007212632850484013</v>
      </c>
      <c r="D320" s="1">
        <v>0.0009470933537347737</v>
      </c>
      <c r="E320" s="1">
        <v>-0.001310134747670388</v>
      </c>
      <c r="F320" s="1">
        <v>-0.009465927591163825</v>
      </c>
      <c r="G320" s="1">
        <v>0.003584325576665881</v>
      </c>
      <c r="H320" s="1">
        <v>0.007848556631808279</v>
      </c>
      <c r="I320" s="1">
        <v>0.002835575579826388</v>
      </c>
      <c r="J320" s="1">
        <v>-0.000575706418098676</v>
      </c>
      <c r="K320" s="1">
        <v>0.003171316950676406</v>
      </c>
      <c r="L320" s="1">
        <v>-0.003481151935780469</v>
      </c>
      <c r="M320" s="1">
        <v>-0.005867308690773565</v>
      </c>
      <c r="N320" s="1">
        <v>0.0006976246219769777</v>
      </c>
      <c r="O320" s="1">
        <v>-0.0005450561680350186</v>
      </c>
      <c r="P320" s="1">
        <v>-0.00228365289922472</v>
      </c>
      <c r="Q320" s="1">
        <v>0.00253386179096271</v>
      </c>
      <c r="R320" s="1">
        <v>0.00729636043729287</v>
      </c>
      <c r="S320" s="1">
        <v>0.01001818398536147</v>
      </c>
      <c r="T320" s="1">
        <v>-0.003896767319552019</v>
      </c>
      <c r="U320" s="1">
        <v>-0.005174055824529677</v>
      </c>
      <c r="V320" s="1">
        <v>0.01033038449240942</v>
      </c>
      <c r="W320" s="1">
        <v>0.002220310231568101</v>
      </c>
      <c r="X320" s="1">
        <v>0.01027940431081298</v>
      </c>
      <c r="Y320" s="1">
        <v>-0.002465898709297143</v>
      </c>
      <c r="Z320" s="1">
        <v>-0.01421003541654531</v>
      </c>
    </row>
    <row r="321" spans="1:26">
      <c r="A321" s="11">
        <v>42836</v>
      </c>
      <c r="B321" s="1">
        <v>-0.00222293259313322</v>
      </c>
      <c r="C321" s="1">
        <v>0.005688055267734748</v>
      </c>
      <c r="D321" s="1">
        <v>0.002460531434597346</v>
      </c>
      <c r="E321" s="1">
        <v>-0.006935089020136842</v>
      </c>
      <c r="F321" s="1">
        <v>-0.01168056012855667</v>
      </c>
      <c r="G321" s="1">
        <v>-0.003214535378989192</v>
      </c>
      <c r="H321" s="1">
        <v>0.002478193499362513</v>
      </c>
      <c r="I321" s="1">
        <v>0.01395609995372049</v>
      </c>
      <c r="J321" s="1">
        <v>0.01036891255721195</v>
      </c>
      <c r="K321" s="1">
        <v>0.002431859262379765</v>
      </c>
      <c r="L321" s="1">
        <v>-0.001746769763246392</v>
      </c>
      <c r="M321" s="1">
        <v>0.01549226774986256</v>
      </c>
      <c r="N321" s="1">
        <v>0.004459189649789197</v>
      </c>
      <c r="O321" s="1">
        <v>0.0001366280787902241</v>
      </c>
      <c r="P321" s="1">
        <v>-0.0007631757197369415</v>
      </c>
      <c r="Q321" s="1">
        <v>0.004633545301715669</v>
      </c>
      <c r="R321" s="1">
        <v>-0.001773926712505758</v>
      </c>
      <c r="S321" s="1">
        <v>0.002347051347393325</v>
      </c>
      <c r="T321" s="1">
        <v>0.001763942661670681</v>
      </c>
      <c r="U321" s="1">
        <v>-0.001733635329799421</v>
      </c>
      <c r="V321" s="1">
        <v>-0.001486940026814931</v>
      </c>
      <c r="W321" s="1">
        <v>-0.003779539359898942</v>
      </c>
      <c r="X321" s="1">
        <v>-0.003322689158387293</v>
      </c>
      <c r="Y321" s="1">
        <v>0.003296361199004449</v>
      </c>
      <c r="Z321" s="1">
        <v>0.0002438788846788054</v>
      </c>
    </row>
    <row r="322" spans="1:26">
      <c r="A322" s="11">
        <v>42837</v>
      </c>
      <c r="B322" s="1">
        <v>-0.001113444188485468</v>
      </c>
      <c r="C322" s="1">
        <v>-0.0141122514156844</v>
      </c>
      <c r="D322" s="1">
        <v>0.01057173168530001</v>
      </c>
      <c r="E322" s="1">
        <v>0.0001887164011071807</v>
      </c>
      <c r="F322" s="1">
        <v>0.001611800311600797</v>
      </c>
      <c r="G322" s="1">
        <v>0.004657826708261315</v>
      </c>
      <c r="H322" s="1">
        <v>0.006885277092043784</v>
      </c>
      <c r="I322" s="1">
        <v>-0.01628291668473958</v>
      </c>
      <c r="J322" s="1">
        <v>0.02736584448957635</v>
      </c>
      <c r="K322" s="1">
        <v>-0.007763139258077811</v>
      </c>
      <c r="L322" s="1">
        <v>-0.003849027063169697</v>
      </c>
      <c r="M322" s="1">
        <v>0.008173235051699423</v>
      </c>
      <c r="N322" s="1">
        <v>0.001109848388002765</v>
      </c>
      <c r="O322" s="1">
        <v>-0.009129777906635161</v>
      </c>
      <c r="P322" s="1">
        <v>-0.003817821388142795</v>
      </c>
      <c r="Q322" s="1">
        <v>0.003773646597427849</v>
      </c>
      <c r="R322" s="1">
        <v>-0.02783950976005034</v>
      </c>
      <c r="S322" s="1">
        <v>-0.009144909881746877</v>
      </c>
      <c r="T322" s="1">
        <v>0.001792438337798963</v>
      </c>
      <c r="U322" s="1">
        <v>0.006202427342663741</v>
      </c>
      <c r="V322" s="1">
        <v>-0.005772145258401196</v>
      </c>
      <c r="W322" s="1">
        <v>-0.002681877843282443</v>
      </c>
      <c r="X322" s="1">
        <v>-0.01124969081876981</v>
      </c>
      <c r="Y322" s="1">
        <v>0.004517337502817576</v>
      </c>
      <c r="Z322" s="1">
        <v>-0.01831915584600574</v>
      </c>
    </row>
    <row r="323" spans="1:26">
      <c r="A323" s="11">
        <v>42838</v>
      </c>
      <c r="B323" s="1">
        <v>-0.02676097423987511</v>
      </c>
      <c r="C323" s="1">
        <v>-0.002442294874804851</v>
      </c>
      <c r="D323" s="1">
        <v>-0.005230321698797002</v>
      </c>
      <c r="E323" s="1">
        <v>-0.003019602029443291</v>
      </c>
      <c r="F323" s="1">
        <v>-0.00402280667449384</v>
      </c>
      <c r="G323" s="1">
        <v>-0.003566066782011656</v>
      </c>
      <c r="H323" s="1">
        <v>-0.01560548540767315</v>
      </c>
      <c r="I323" s="1">
        <v>-0.01234553920476111</v>
      </c>
      <c r="J323" s="1">
        <v>0.009988701569707326</v>
      </c>
      <c r="K323" s="1">
        <v>-0.007334705492411553</v>
      </c>
      <c r="L323" s="1">
        <v>-0.01170986070481572</v>
      </c>
      <c r="M323" s="1">
        <v>-0.02161785048657583</v>
      </c>
      <c r="N323" s="1">
        <v>-0.01191810867827037</v>
      </c>
      <c r="O323" s="1">
        <v>-0.008938408710163159</v>
      </c>
      <c r="P323" s="1">
        <v>-0.004292555443773827</v>
      </c>
      <c r="Q323" s="1">
        <v>-0.006683759597785777</v>
      </c>
      <c r="R323" s="1">
        <v>-0.01553715062172978</v>
      </c>
      <c r="S323" s="1">
        <v>0.007445668505706715</v>
      </c>
      <c r="T323" s="1">
        <v>-0.0147303096936966</v>
      </c>
      <c r="U323" s="1">
        <v>-0.006903465782149953</v>
      </c>
      <c r="V323" s="1">
        <v>-0.0001867748615250742</v>
      </c>
      <c r="W323" s="1">
        <v>-0.00183684243948623</v>
      </c>
      <c r="X323" s="1">
        <v>-0.01938497783438142</v>
      </c>
      <c r="Y323" s="1">
        <v>-0.006132433106759705</v>
      </c>
      <c r="Z323" s="1">
        <v>-0.01841264045374436</v>
      </c>
    </row>
    <row r="324" spans="1:26">
      <c r="A324" s="11">
        <v>42842</v>
      </c>
      <c r="B324" s="1">
        <v>0.002482197389167773</v>
      </c>
      <c r="C324" s="1">
        <v>0.01935994955904574</v>
      </c>
      <c r="D324" s="1">
        <v>-0.00807522127570337</v>
      </c>
      <c r="E324" s="1">
        <v>0.002271535321667795</v>
      </c>
      <c r="F324" s="1">
        <v>0.001615706265864825</v>
      </c>
      <c r="G324" s="1">
        <v>0.01073703426411687</v>
      </c>
      <c r="H324" s="1">
        <v>0.008015410226743125</v>
      </c>
      <c r="I324" s="1">
        <v>0.00740742186410448</v>
      </c>
      <c r="J324" s="1">
        <v>0</v>
      </c>
      <c r="K324" s="1">
        <v>0.01206892346418775</v>
      </c>
      <c r="L324" s="1">
        <v>0.01729863964977785</v>
      </c>
      <c r="M324" s="1">
        <v>0.00754942458963126</v>
      </c>
      <c r="N324" s="1">
        <v>0.01416551602173866</v>
      </c>
      <c r="O324" s="1">
        <v>0.008880658121863672</v>
      </c>
      <c r="P324" s="1">
        <v>0.00816003585933367</v>
      </c>
      <c r="Q324" s="1">
        <v>0.01009282778127174</v>
      </c>
      <c r="R324" s="1">
        <v>0.01098582725853148</v>
      </c>
      <c r="S324" s="1">
        <v>0.02310030141868946</v>
      </c>
      <c r="T324" s="1">
        <v>0.00810751811857835</v>
      </c>
      <c r="U324" s="1">
        <v>0.0004964338043307315</v>
      </c>
      <c r="V324" s="1">
        <v>0.005431415372480819</v>
      </c>
      <c r="W324" s="1">
        <v>0.00998822117507836</v>
      </c>
      <c r="X324" s="1">
        <v>0.006661178962369174</v>
      </c>
      <c r="Y324" s="1">
        <v>0.003907594207763321</v>
      </c>
      <c r="Z324" s="1">
        <v>0.01850422573899579</v>
      </c>
    </row>
    <row r="325" spans="1:26">
      <c r="A325" s="11">
        <v>42843</v>
      </c>
      <c r="B325" s="1">
        <v>-0.039047477468658</v>
      </c>
      <c r="C325" s="1">
        <v>-0.00653565639308118</v>
      </c>
      <c r="D325" s="1">
        <v>-0.001703966945956314</v>
      </c>
      <c r="E325" s="1">
        <v>-0.0003778495009009175</v>
      </c>
      <c r="F325" s="1">
        <v>0.01048374771985761</v>
      </c>
      <c r="G325" s="1">
        <v>0.002124901614070307</v>
      </c>
      <c r="H325" s="1">
        <v>0.01060283542082274</v>
      </c>
      <c r="I325" s="1">
        <v>-0.003033252526243979</v>
      </c>
      <c r="J325" s="1">
        <v>0.001099120688968558</v>
      </c>
      <c r="K325" s="1">
        <v>0.006327425961589306</v>
      </c>
      <c r="L325" s="1">
        <v>-0.008152659756463954</v>
      </c>
      <c r="M325" s="1">
        <v>-0.005482624912015011</v>
      </c>
      <c r="N325" s="1">
        <v>0.0004147920199792932</v>
      </c>
      <c r="O325" s="1">
        <v>-0.001237782301375168</v>
      </c>
      <c r="P325" s="1">
        <v>-0.001374325015137901</v>
      </c>
      <c r="Q325" s="1">
        <v>0.007910120766351447</v>
      </c>
      <c r="R325" s="1">
        <v>-0.01744750683320584</v>
      </c>
      <c r="S325" s="1">
        <v>-4.333970533654252E-05</v>
      </c>
      <c r="T325" s="1">
        <v>0.0007076864987307641</v>
      </c>
      <c r="U325" s="1">
        <v>-0.001240768910467982</v>
      </c>
      <c r="V325" s="1">
        <v>-0.001490363962716623</v>
      </c>
      <c r="W325" s="1">
        <v>-0.002797554761622245</v>
      </c>
      <c r="X325" s="1">
        <v>0.01045882371950557</v>
      </c>
      <c r="Y325" s="1">
        <v>0.008400189983500894</v>
      </c>
      <c r="Z325" s="1">
        <v>-0.008710742249664949</v>
      </c>
    </row>
    <row r="326" spans="1:26">
      <c r="A326" s="11">
        <v>42844</v>
      </c>
      <c r="B326" s="1">
        <v>-0.02011960834868787</v>
      </c>
      <c r="C326" s="1">
        <v>0.003092571159092561</v>
      </c>
      <c r="D326" s="1">
        <v>-0.0003793522616770684</v>
      </c>
      <c r="E326" s="1">
        <v>0.005101171786352499</v>
      </c>
      <c r="F326" s="1">
        <v>-0.001596155960817303</v>
      </c>
      <c r="G326" s="1">
        <v>-0.0116610530421154</v>
      </c>
      <c r="H326" s="1">
        <v>0.001573310533096839</v>
      </c>
      <c r="I326" s="1">
        <v>-0.002304632705235066</v>
      </c>
      <c r="J326" s="1">
        <v>0.008781503552689252</v>
      </c>
      <c r="K326" s="1">
        <v>-0.001693070984699507</v>
      </c>
      <c r="L326" s="1">
        <v>-0.008219671945142393</v>
      </c>
      <c r="M326" s="1">
        <v>0.004226486562112441</v>
      </c>
      <c r="N326" s="1">
        <v>-0.003179269328100975</v>
      </c>
      <c r="O326" s="1">
        <v>0.0004128794473985398</v>
      </c>
      <c r="P326" s="1">
        <v>-0.005352630070350695</v>
      </c>
      <c r="Q326" s="1">
        <v>0.0008259524851208511</v>
      </c>
      <c r="R326" s="1">
        <v>0.005607640194939423</v>
      </c>
      <c r="S326" s="1">
        <v>-0.005147176673966913</v>
      </c>
      <c r="T326" s="1">
        <v>0.001510944954094651</v>
      </c>
      <c r="U326" s="1">
        <v>0</v>
      </c>
      <c r="V326" s="1">
        <v>0.005410609575582814</v>
      </c>
      <c r="W326" s="1">
        <v>0.007764507639860474</v>
      </c>
      <c r="X326" s="1">
        <v>-0.02809489093019035</v>
      </c>
      <c r="Y326" s="1">
        <v>-0.005688855057769171</v>
      </c>
      <c r="Z326" s="1">
        <v>0.003766025197268874</v>
      </c>
    </row>
    <row r="327" spans="1:26">
      <c r="A327" s="11">
        <v>42845</v>
      </c>
      <c r="B327" s="1">
        <v>-0.00345616637148638</v>
      </c>
      <c r="C327" s="1">
        <v>0.005044702979552174</v>
      </c>
      <c r="D327" s="1">
        <v>0.003414878434457647</v>
      </c>
      <c r="E327" s="1">
        <v>0.004511271972592379</v>
      </c>
      <c r="F327" s="1">
        <v>0.01252366236170688</v>
      </c>
      <c r="G327" s="1">
        <v>-0.002502512300187165</v>
      </c>
      <c r="H327" s="1">
        <v>0.003840978666915573</v>
      </c>
      <c r="I327" s="1">
        <v>0.005359465444428446</v>
      </c>
      <c r="J327" s="1">
        <v>0.007616990262933276</v>
      </c>
      <c r="K327" s="1">
        <v>0.01090157690689764</v>
      </c>
      <c r="L327" s="1">
        <v>0.01290556729831538</v>
      </c>
      <c r="M327" s="1">
        <v>0.02378752959548636</v>
      </c>
      <c r="N327" s="1">
        <v>-0.009707289308344635</v>
      </c>
      <c r="O327" s="1">
        <v>0.008809141871985116</v>
      </c>
      <c r="P327" s="1">
        <v>0.007072536194145718</v>
      </c>
      <c r="Q327" s="1">
        <v>-0.004539629092758402</v>
      </c>
      <c r="R327" s="1">
        <v>0.02044602195115419</v>
      </c>
      <c r="S327" s="1">
        <v>-0.002565705450581768</v>
      </c>
      <c r="T327" s="1">
        <v>0.04005905665397647</v>
      </c>
      <c r="U327" s="1">
        <v>0.002732541677362477</v>
      </c>
      <c r="V327" s="1">
        <v>0.01391726750029676</v>
      </c>
      <c r="W327" s="1">
        <v>0.005826512391088334</v>
      </c>
      <c r="X327" s="1">
        <v>-0.002173135286569594</v>
      </c>
      <c r="Y327" s="1">
        <v>-0.01082953636862083</v>
      </c>
      <c r="Z327" s="1">
        <v>0.02751366754218498</v>
      </c>
    </row>
    <row r="328" spans="1:26">
      <c r="A328" s="11">
        <v>42846</v>
      </c>
      <c r="B328" s="1">
        <v>0</v>
      </c>
      <c r="C328" s="1">
        <v>0.006023549249076776</v>
      </c>
      <c r="D328" s="1">
        <v>-0.0001889768680267689</v>
      </c>
      <c r="E328" s="1">
        <v>0.0007482675150314311</v>
      </c>
      <c r="F328" s="1">
        <v>0.004210146764589418</v>
      </c>
      <c r="G328" s="1">
        <v>0.007885461501542901</v>
      </c>
      <c r="H328" s="1">
        <v>-0.002608641220092189</v>
      </c>
      <c r="I328" s="1">
        <v>-0.01158112071726736</v>
      </c>
      <c r="J328" s="1">
        <v>-0.01241903122065058</v>
      </c>
      <c r="K328" s="1">
        <v>0.007428370211077118</v>
      </c>
      <c r="L328" s="1">
        <v>-0.01204011991844667</v>
      </c>
      <c r="M328" s="1">
        <v>-0.005719446949961404</v>
      </c>
      <c r="N328" s="1">
        <v>0.0008399348865006928</v>
      </c>
      <c r="O328" s="1">
        <v>-0.01923856969646343</v>
      </c>
      <c r="P328" s="1">
        <v>0.01374060818739342</v>
      </c>
      <c r="Q328" s="1">
        <v>0.002902262587212379</v>
      </c>
      <c r="R328" s="1">
        <v>-0.001821464794860228</v>
      </c>
      <c r="S328" s="1">
        <v>-0.004490126109889858</v>
      </c>
      <c r="T328" s="1">
        <v>0.001790172432683201</v>
      </c>
      <c r="U328" s="1">
        <v>-0.01065385498996874</v>
      </c>
      <c r="V328" s="1">
        <v>0.002562081271273886</v>
      </c>
      <c r="W328" s="1">
        <v>-0.002059890291783883</v>
      </c>
      <c r="X328" s="1">
        <v>0.01633611382793121</v>
      </c>
      <c r="Y328" s="1">
        <v>-0.02396196489899582</v>
      </c>
      <c r="Z328" s="1">
        <v>-0.005598548463210506</v>
      </c>
    </row>
    <row r="329" spans="1:26">
      <c r="A329" s="11">
        <v>42849</v>
      </c>
      <c r="B329" s="1">
        <v>-0.00571162821480331</v>
      </c>
      <c r="C329" s="1">
        <v>0.009313581549563077</v>
      </c>
      <c r="D329" s="1">
        <v>0.0107791560700945</v>
      </c>
      <c r="E329" s="1">
        <v>0.001309066374022727</v>
      </c>
      <c r="F329" s="1">
        <v>-0.003930955956959914</v>
      </c>
      <c r="G329" s="1">
        <v>0.007112112471559406</v>
      </c>
      <c r="H329" s="1">
        <v>0.01098508044914803</v>
      </c>
      <c r="I329" s="1">
        <v>0.02520008156877962</v>
      </c>
      <c r="J329" s="1">
        <v>0.01366855488873298</v>
      </c>
      <c r="K329" s="1">
        <v>0.02069474349094524</v>
      </c>
      <c r="L329" s="1">
        <v>0.03525783197178001</v>
      </c>
      <c r="M329" s="1">
        <v>0.01545947174783446</v>
      </c>
      <c r="N329" s="1">
        <v>0.01511156831404126</v>
      </c>
      <c r="O329" s="1">
        <v>0.01599926773386984</v>
      </c>
      <c r="P329" s="1">
        <v>0.01701772203226914</v>
      </c>
      <c r="Q329" s="1">
        <v>0.002893757089219129</v>
      </c>
      <c r="R329" s="1">
        <v>0.02995717637705431</v>
      </c>
      <c r="S329" s="1">
        <v>-0.008319641651074017</v>
      </c>
      <c r="T329" s="1">
        <v>0.009642529276695511</v>
      </c>
      <c r="U329" s="1">
        <v>0.002254018887316134</v>
      </c>
      <c r="V329" s="1">
        <v>0.0007304956146707564</v>
      </c>
      <c r="W329" s="1">
        <v>0.01483468320701897</v>
      </c>
      <c r="X329" s="1">
        <v>0.006215193908404748</v>
      </c>
      <c r="Y329" s="1">
        <v>-0.004232762575510862</v>
      </c>
      <c r="Z329" s="1">
        <v>0.02717235867789025</v>
      </c>
    </row>
    <row r="330" spans="1:26">
      <c r="A330" s="11">
        <v>42850</v>
      </c>
      <c r="B330" s="1">
        <v>0.03098064693561531</v>
      </c>
      <c r="C330" s="1">
        <v>0.007964435999587627</v>
      </c>
      <c r="D330" s="1">
        <v>-0.004490326613833528</v>
      </c>
      <c r="E330" s="1">
        <v>0.007282903671663954</v>
      </c>
      <c r="F330" s="1">
        <v>0.01262822166066901</v>
      </c>
      <c r="G330" s="1">
        <v>0.002472033824688635</v>
      </c>
      <c r="H330" s="1">
        <v>-0.006726242988385644</v>
      </c>
      <c r="I330" s="1">
        <v>0.02630391813312238</v>
      </c>
      <c r="J330" s="1">
        <v>0.003775344037544981</v>
      </c>
      <c r="K330" s="1">
        <v>0.006758384790659377</v>
      </c>
      <c r="L330" s="1">
        <v>0.008685918019280647</v>
      </c>
      <c r="M330" s="1">
        <v>0.0106214489991121</v>
      </c>
      <c r="N330" s="1">
        <v>-0.001654398966327131</v>
      </c>
      <c r="O330" s="1">
        <v>0.0004108679223266964</v>
      </c>
      <c r="P330" s="1">
        <v>0.005775417634805269</v>
      </c>
      <c r="Q330" s="1">
        <v>0.007007189942701553</v>
      </c>
      <c r="R330" s="1">
        <v>-0.02908584654211632</v>
      </c>
      <c r="S330" s="1">
        <v>-0.004106678829031818</v>
      </c>
      <c r="T330" s="1">
        <v>0.0105270940996911</v>
      </c>
      <c r="U330" s="1">
        <v>-0.001999180617095919</v>
      </c>
      <c r="V330" s="1">
        <v>0.006019697353609521</v>
      </c>
      <c r="W330" s="1">
        <v>0.009342636142396943</v>
      </c>
      <c r="X330" s="1">
        <v>0.001704326008493684</v>
      </c>
      <c r="Y330" s="1">
        <v>-0.007439140089799401</v>
      </c>
      <c r="Z330" s="1">
        <v>-0.03503327019546276</v>
      </c>
    </row>
    <row r="331" spans="1:26">
      <c r="A331" s="11">
        <v>42851</v>
      </c>
      <c r="B331" s="1">
        <v>-0.004776190664889546</v>
      </c>
      <c r="C331" s="1">
        <v>-0.009808724928891621</v>
      </c>
      <c r="D331" s="1">
        <v>0.04472837898156756</v>
      </c>
      <c r="E331" s="1">
        <v>-0.003151479990073147</v>
      </c>
      <c r="F331" s="1">
        <v>0.00779477895347358</v>
      </c>
      <c r="G331" s="1">
        <v>-0.002113763611546915</v>
      </c>
      <c r="H331" s="1">
        <v>-0.003299164374488739</v>
      </c>
      <c r="I331" s="1">
        <v>-0.005302608932959862</v>
      </c>
      <c r="J331" s="1">
        <v>0.001074976837584174</v>
      </c>
      <c r="K331" s="1">
        <v>-0.003471990987315876</v>
      </c>
      <c r="L331" s="1">
        <v>0.001926458208349802</v>
      </c>
      <c r="M331" s="1">
        <v>-0.002627662076960635</v>
      </c>
      <c r="N331" s="1">
        <v>-0.01270158511513453</v>
      </c>
      <c r="O331" s="1">
        <v>0.004927348699715006</v>
      </c>
      <c r="P331" s="1">
        <v>-0.001324828039318771</v>
      </c>
      <c r="Q331" s="1">
        <v>-0.006802634086460424</v>
      </c>
      <c r="R331" s="1">
        <v>-0.006386667851602246</v>
      </c>
      <c r="S331" s="1">
        <v>-0.007138081658692119</v>
      </c>
      <c r="T331" s="1">
        <v>-0.0007248419108425441</v>
      </c>
      <c r="U331" s="1">
        <v>0.01251916627019978</v>
      </c>
      <c r="V331" s="1">
        <v>0.01504957174049748</v>
      </c>
      <c r="W331" s="1">
        <v>0.05793139164960914</v>
      </c>
      <c r="X331" s="1">
        <v>0.002551400227464473</v>
      </c>
      <c r="Y331" s="1">
        <v>0.0141328087073167</v>
      </c>
      <c r="Z331" s="1">
        <v>0.01704150744340183</v>
      </c>
    </row>
    <row r="332" spans="1:26">
      <c r="A332" s="11">
        <v>42852</v>
      </c>
      <c r="B332" s="1">
        <v>-0.03379325836280522</v>
      </c>
      <c r="C332" s="1">
        <v>0.008309969709680454</v>
      </c>
      <c r="D332" s="1">
        <v>-0.003058003694500822</v>
      </c>
      <c r="E332" s="1">
        <v>0.03533560400412195</v>
      </c>
      <c r="F332" s="1">
        <v>0.02062382842076271</v>
      </c>
      <c r="G332" s="1">
        <v>0.01094259750075599</v>
      </c>
      <c r="H332" s="1">
        <v>-0.005052427512923896</v>
      </c>
      <c r="I332" s="1">
        <v>-0.01217259845056018</v>
      </c>
      <c r="J332" s="1">
        <v>0.007514777083516</v>
      </c>
      <c r="K332" s="1">
        <v>-0.02067384539105965</v>
      </c>
      <c r="L332" s="1">
        <v>-0.009273191018394411</v>
      </c>
      <c r="M332" s="1">
        <v>-0.02089907078643194</v>
      </c>
      <c r="N332" s="1">
        <v>0.0002795172104452792</v>
      </c>
      <c r="O332" s="1">
        <v>0.01130474900532286</v>
      </c>
      <c r="P332" s="1">
        <v>0.006486418615493594</v>
      </c>
      <c r="Q332" s="1">
        <v>0.01120789351048534</v>
      </c>
      <c r="R332" s="1">
        <v>0.01637563262320207</v>
      </c>
      <c r="S332" s="1">
        <v>-0.04880978299767214</v>
      </c>
      <c r="T332" s="1">
        <v>0.01399065451608617</v>
      </c>
      <c r="U332" s="1">
        <v>-0.013105899620382</v>
      </c>
      <c r="V332" s="1">
        <v>0.001965077324468378</v>
      </c>
      <c r="W332" s="1">
        <v>-0.007797648658237732</v>
      </c>
      <c r="X332" s="1">
        <v>-0.001484611085385557</v>
      </c>
      <c r="Y332" s="1">
        <v>-0.01456911903146019</v>
      </c>
      <c r="Z332" s="1">
        <v>-0.01262798563366685</v>
      </c>
    </row>
    <row r="333" spans="1:26">
      <c r="A333" s="11">
        <v>42853</v>
      </c>
      <c r="B333" s="1">
        <v>0.006622582454362869</v>
      </c>
      <c r="C333" s="1">
        <v>0.008787240257773998</v>
      </c>
      <c r="D333" s="1">
        <v>0.004691490059843595</v>
      </c>
      <c r="E333" s="1">
        <v>0.006825961281003323</v>
      </c>
      <c r="F333" s="1">
        <v>-0.01010373814070242</v>
      </c>
      <c r="G333" s="1">
        <v>-0.003840814194989162</v>
      </c>
      <c r="H333" s="1">
        <v>0.007529146880350668</v>
      </c>
      <c r="I333" s="1">
        <v>0.003867814646018486</v>
      </c>
      <c r="J333" s="1">
        <v>0.002663550053588981</v>
      </c>
      <c r="K333" s="1">
        <v>-0.01399455517449888</v>
      </c>
      <c r="L333" s="1">
        <v>-0.006962733488273254</v>
      </c>
      <c r="M333" s="1">
        <v>0.008430630663857297</v>
      </c>
      <c r="N333" s="1">
        <v>0.003495022771314193</v>
      </c>
      <c r="O333" s="1">
        <v>-0.001616287169013964</v>
      </c>
      <c r="P333" s="1">
        <v>0.002783501106740305</v>
      </c>
      <c r="Q333" s="1">
        <v>-0.004515471377703917</v>
      </c>
      <c r="R333" s="1">
        <v>0.004818657825573558</v>
      </c>
      <c r="S333" s="1">
        <v>-0.01699553879998017</v>
      </c>
      <c r="T333" s="1">
        <v>-0.002652379192010224</v>
      </c>
      <c r="U333" s="1">
        <v>-0.007015780094093427</v>
      </c>
      <c r="V333" s="1">
        <v>-0.004278893378879545</v>
      </c>
      <c r="W333" s="1">
        <v>-0.008218110347735008</v>
      </c>
      <c r="X333" s="1">
        <v>-0.008921238738626047</v>
      </c>
      <c r="Y333" s="1">
        <v>-0.01628433702786103</v>
      </c>
      <c r="Z333" s="1">
        <v>-0.01549427689882499</v>
      </c>
    </row>
    <row r="334" spans="1:26">
      <c r="A334" s="11">
        <v>42856</v>
      </c>
      <c r="B334" s="1">
        <v>0.003083765408966821</v>
      </c>
      <c r="C334" s="1">
        <v>-0.01320125253517956</v>
      </c>
      <c r="D334" s="1">
        <v>-0.001616522395704756</v>
      </c>
      <c r="E334" s="1">
        <v>0.004638549247954149</v>
      </c>
      <c r="F334" s="1">
        <v>0</v>
      </c>
      <c r="G334" s="1">
        <v>-0.007711156589581325</v>
      </c>
      <c r="H334" s="1">
        <v>-0.01181772092536315</v>
      </c>
      <c r="I334" s="1">
        <v>0.003225527487567437</v>
      </c>
      <c r="J334" s="1">
        <v>0.005845139886226924</v>
      </c>
      <c r="K334" s="1">
        <v>-0.001443297944835886</v>
      </c>
      <c r="L334" s="1">
        <v>0.0006897802577972012</v>
      </c>
      <c r="M334" s="1">
        <v>0.00106697798398625</v>
      </c>
      <c r="N334" s="1">
        <v>-0.01365251888947527</v>
      </c>
      <c r="O334" s="1">
        <v>0.002563088220927767</v>
      </c>
      <c r="P334" s="1">
        <v>0.01387633351401507</v>
      </c>
      <c r="Q334" s="1">
        <v>-0.006597990589371605</v>
      </c>
      <c r="R334" s="1">
        <v>-0.008242417312213646</v>
      </c>
      <c r="S334" s="1">
        <v>-0.01026873490907387</v>
      </c>
      <c r="T334" s="1">
        <v>-0.006364478639543036</v>
      </c>
      <c r="U334" s="1">
        <v>-0.01337407798376622</v>
      </c>
      <c r="V334" s="1">
        <v>-0.001432457196847037</v>
      </c>
      <c r="W334" s="1">
        <v>0.007802478831312021</v>
      </c>
      <c r="X334" s="1">
        <v>-0.01135870846870046</v>
      </c>
      <c r="Y334" s="1">
        <v>-0.0006535387081532118</v>
      </c>
      <c r="Z334" s="1">
        <v>0.01224091386257231</v>
      </c>
    </row>
    <row r="335" spans="1:26">
      <c r="A335" s="11">
        <v>42857</v>
      </c>
      <c r="B335" s="1">
        <v>-0.006558288928044664</v>
      </c>
      <c r="C335" s="1">
        <v>0.005756883760565268</v>
      </c>
      <c r="D335" s="1">
        <v>0.00161913977140693</v>
      </c>
      <c r="E335" s="1">
        <v>-0.006393172682031434</v>
      </c>
      <c r="F335" s="1">
        <v>0.00382737498080199</v>
      </c>
      <c r="G335" s="1">
        <v>-0.004238664928945091</v>
      </c>
      <c r="H335" s="1">
        <v>0.000879113339760762</v>
      </c>
      <c r="I335" s="1">
        <v>-0.009288274650372963</v>
      </c>
      <c r="J335" s="1">
        <v>-0.001584719754291197</v>
      </c>
      <c r="K335" s="1">
        <v>-0.001204335971294879</v>
      </c>
      <c r="L335" s="1">
        <v>-0.006432206074049485</v>
      </c>
      <c r="M335" s="1">
        <v>0.03642515558447057</v>
      </c>
      <c r="N335" s="1">
        <v>0.0004234276691117422</v>
      </c>
      <c r="O335" s="1">
        <v>-0.003632543732741911</v>
      </c>
      <c r="P335" s="1">
        <v>-0.001584753224518121</v>
      </c>
      <c r="Q335" s="1">
        <v>0.006226666628355249</v>
      </c>
      <c r="R335" s="1">
        <v>0.02840766167956543</v>
      </c>
      <c r="S335" s="1">
        <v>0.0001934026965397795</v>
      </c>
      <c r="T335" s="1">
        <v>0.006465293148590012</v>
      </c>
      <c r="U335" s="1">
        <v>-0.003836300121188962</v>
      </c>
      <c r="V335" s="1">
        <v>0.006993087575374313</v>
      </c>
      <c r="W335" s="1">
        <v>0.003781103489879145</v>
      </c>
      <c r="X335" s="1">
        <v>-0.008237485948793255</v>
      </c>
      <c r="Y335" s="1">
        <v>0.0006539661003135411</v>
      </c>
      <c r="Z335" s="1">
        <v>-0.01332674656924593</v>
      </c>
    </row>
    <row r="336" spans="1:26">
      <c r="A336" s="11">
        <v>42858</v>
      </c>
      <c r="B336" s="1">
        <v>0.006808296849638351</v>
      </c>
      <c r="C336" s="1">
        <v>-0.0002725512352290682</v>
      </c>
      <c r="D336" s="1">
        <v>0.00413082142350274</v>
      </c>
      <c r="E336" s="1">
        <v>-0.01590707201926189</v>
      </c>
      <c r="F336" s="1">
        <v>-0.02033530155157615</v>
      </c>
      <c r="G336" s="1">
        <v>-0.003192688859050774</v>
      </c>
      <c r="H336" s="1">
        <v>-0.001756871715510977</v>
      </c>
      <c r="I336" s="1">
        <v>-0.001261986396673409</v>
      </c>
      <c r="J336" s="1">
        <v>-0.004761984109382666</v>
      </c>
      <c r="K336" s="1">
        <v>0.003617930427427751</v>
      </c>
      <c r="L336" s="1">
        <v>0.005780079950453265</v>
      </c>
      <c r="M336" s="1">
        <v>-0.002914498147843503</v>
      </c>
      <c r="N336" s="1">
        <v>-0.00861223173284742</v>
      </c>
      <c r="O336" s="1">
        <v>-0.001890891727348687</v>
      </c>
      <c r="P336" s="1">
        <v>-0.003173986469841461</v>
      </c>
      <c r="Q336" s="1">
        <v>-0.009488227154797801</v>
      </c>
      <c r="R336" s="1">
        <v>-0.01028478954946233</v>
      </c>
      <c r="S336" s="1">
        <v>-0.008394844154382075</v>
      </c>
      <c r="T336" s="1">
        <v>-0.001553539999763154</v>
      </c>
      <c r="U336" s="1">
        <v>-0.01412027333176447</v>
      </c>
      <c r="V336" s="1">
        <v>0.02101116744536369</v>
      </c>
      <c r="W336" s="1">
        <v>0.006397715099074164</v>
      </c>
      <c r="X336" s="1">
        <v>0.01049198142034058</v>
      </c>
      <c r="Y336" s="1">
        <v>0.00522741544322769</v>
      </c>
      <c r="Z336" s="1">
        <v>0.01500764527496901</v>
      </c>
    </row>
    <row r="337" spans="1:26">
      <c r="A337" s="11">
        <v>42859</v>
      </c>
      <c r="B337" s="1">
        <v>-0.01844281873284725</v>
      </c>
      <c r="C337" s="1">
        <v>-0.001744928021607861</v>
      </c>
      <c r="D337" s="1">
        <v>0.0008942416063555392</v>
      </c>
      <c r="E337" s="1">
        <v>0.002361415327842176</v>
      </c>
      <c r="F337" s="1">
        <v>-0.006487016189763217</v>
      </c>
      <c r="G337" s="1">
        <v>-0.004270432187313156</v>
      </c>
      <c r="H337" s="1">
        <v>0.007569096076132542</v>
      </c>
      <c r="I337" s="1">
        <v>0.0111922838164682</v>
      </c>
      <c r="J337" s="1">
        <v>-0.001063126349442278</v>
      </c>
      <c r="K337" s="1">
        <v>-0.003364645026058488</v>
      </c>
      <c r="L337" s="1">
        <v>0.001149596443282164</v>
      </c>
      <c r="M337" s="1">
        <v>0.003094902910502961</v>
      </c>
      <c r="N337" s="1">
        <v>0.001282050737163143</v>
      </c>
      <c r="O337" s="1">
        <v>0.006358998942124883</v>
      </c>
      <c r="P337" s="1">
        <v>-0.003908785588417674</v>
      </c>
      <c r="Q337" s="1">
        <v>0.01124534166862601</v>
      </c>
      <c r="R337" s="1">
        <v>-0.006829377989247876</v>
      </c>
      <c r="S337" s="1">
        <v>0.01021755409078429</v>
      </c>
      <c r="T337" s="1">
        <v>0.01325663335225724</v>
      </c>
      <c r="U337" s="1">
        <v>-0.01015622592711318</v>
      </c>
      <c r="V337" s="1">
        <v>-0.0008718230394262338</v>
      </c>
      <c r="W337" s="1">
        <v>0.01069338991899049</v>
      </c>
      <c r="X337" s="1">
        <v>0.0004326755145007688</v>
      </c>
      <c r="Y337" s="1">
        <v>-0.005850371827342049</v>
      </c>
      <c r="Z337" s="1">
        <v>0.002217964997901944</v>
      </c>
    </row>
    <row r="338" spans="1:26">
      <c r="A338" s="11">
        <v>42860</v>
      </c>
      <c r="B338" s="1">
        <v>0.02901873459531168</v>
      </c>
      <c r="C338" s="1">
        <v>0.01059687779430485</v>
      </c>
      <c r="D338" s="1">
        <v>-0.0001783722676665933</v>
      </c>
      <c r="E338" s="1">
        <v>-0.0007250272760865872</v>
      </c>
      <c r="F338" s="1">
        <v>0.01880411828511663</v>
      </c>
      <c r="G338" s="1">
        <v>0.002501799416978034</v>
      </c>
      <c r="H338" s="1">
        <v>0.002795390429797928</v>
      </c>
      <c r="I338" s="1">
        <v>0.009640305512698122</v>
      </c>
      <c r="J338" s="1">
        <v>0.00638652852727728</v>
      </c>
      <c r="K338" s="1">
        <v>0.01205723826999572</v>
      </c>
      <c r="L338" s="1">
        <v>-0.001148276388829528</v>
      </c>
      <c r="M338" s="1">
        <v>0.001028574234635649</v>
      </c>
      <c r="N338" s="1">
        <v>0.008675711382652995</v>
      </c>
      <c r="O338" s="1">
        <v>0.00174819336202825</v>
      </c>
      <c r="P338" s="1">
        <v>0.002760977802335196</v>
      </c>
      <c r="Q338" s="1">
        <v>0.01029638902580099</v>
      </c>
      <c r="R338" s="1">
        <v>0.002092914429860926</v>
      </c>
      <c r="S338" s="1">
        <v>0.002986135521755306</v>
      </c>
      <c r="T338" s="1">
        <v>-0.001093039401986795</v>
      </c>
      <c r="U338" s="1">
        <v>0.01446965725008131</v>
      </c>
      <c r="V338" s="1">
        <v>0.0005237799173947177</v>
      </c>
      <c r="W338" s="1">
        <v>0.00552591656434176</v>
      </c>
      <c r="X338" s="1">
        <v>0.007999406758543381</v>
      </c>
      <c r="Y338" s="1">
        <v>0.01765446911939184</v>
      </c>
      <c r="Z338" s="1">
        <v>0.001966745738390285</v>
      </c>
    </row>
    <row r="339" spans="1:26">
      <c r="A339" s="11">
        <v>42863</v>
      </c>
      <c r="B339" s="1">
        <v>0.01947656215744331</v>
      </c>
      <c r="C339" s="1">
        <v>0.005459186107911629</v>
      </c>
      <c r="D339" s="1">
        <v>-0.004468642871546691</v>
      </c>
      <c r="E339" s="1">
        <v>-0.00380779185070812</v>
      </c>
      <c r="F339" s="1">
        <v>0.004870270518885889</v>
      </c>
      <c r="G339" s="1">
        <v>-0.006417429434741662</v>
      </c>
      <c r="H339" s="1">
        <v>0.007839368419807702</v>
      </c>
      <c r="I339" s="1">
        <v>-0.004155490940984663</v>
      </c>
      <c r="J339" s="1">
        <v>0.02115258878389348</v>
      </c>
      <c r="K339" s="1">
        <v>0.001190912032863256</v>
      </c>
      <c r="L339" s="1">
        <v>0.001149596443282164</v>
      </c>
      <c r="M339" s="1">
        <v>-0.01575364567945892</v>
      </c>
      <c r="N339" s="1">
        <v>-0.002961082999326847</v>
      </c>
      <c r="O339" s="1">
        <v>-0.00523446643252734</v>
      </c>
      <c r="P339" s="1">
        <v>-0.0008693123875478381</v>
      </c>
      <c r="Q339" s="1">
        <v>-0.006115081334626349</v>
      </c>
      <c r="R339" s="1">
        <v>-0.01074004629230518</v>
      </c>
      <c r="S339" s="1">
        <v>0.0009599085858753575</v>
      </c>
      <c r="T339" s="1">
        <v>-0.001448465240077246</v>
      </c>
      <c r="U339" s="1">
        <v>0.0002592888732819709</v>
      </c>
      <c r="V339" s="1">
        <v>-0.0003490626643404271</v>
      </c>
      <c r="W339" s="1">
        <v>-0.003916495355292038</v>
      </c>
      <c r="X339" s="1">
        <v>0.001501820941322229</v>
      </c>
      <c r="Y339" s="1">
        <v>-0.001284903750583766</v>
      </c>
      <c r="Z339" s="1">
        <v>0.01104281607209034</v>
      </c>
    </row>
    <row r="340" spans="1:26">
      <c r="A340" s="11">
        <v>42864</v>
      </c>
      <c r="B340" s="1">
        <v>0.003980078345106941</v>
      </c>
      <c r="C340" s="1">
        <v>0.004784634852843528</v>
      </c>
      <c r="D340" s="1">
        <v>0.007899710714371455</v>
      </c>
      <c r="E340" s="1">
        <v>0.006916464198963412</v>
      </c>
      <c r="F340" s="1">
        <v>-0.003061132708914505</v>
      </c>
      <c r="G340" s="1">
        <v>-0.01506959029834076</v>
      </c>
      <c r="H340" s="1">
        <v>-0.01175457981256489</v>
      </c>
      <c r="I340" s="1">
        <v>0.008345428298202284</v>
      </c>
      <c r="J340" s="1">
        <v>-0.003625003915225355</v>
      </c>
      <c r="K340" s="1">
        <v>-0.0002381224691111461</v>
      </c>
      <c r="L340" s="1">
        <v>-0.004018408208006696</v>
      </c>
      <c r="M340" s="1">
        <v>0.01391801780126301</v>
      </c>
      <c r="N340" s="1">
        <v>-0.005940070654077756</v>
      </c>
      <c r="O340" s="1">
        <v>-0.00634128393653921</v>
      </c>
      <c r="P340" s="1">
        <v>0.001450299153039625</v>
      </c>
      <c r="Q340" s="1">
        <v>-0.01148467896275418</v>
      </c>
      <c r="R340" s="1">
        <v>-0.0004523602994024323</v>
      </c>
      <c r="S340" s="1">
        <v>-0.001822700982624048</v>
      </c>
      <c r="T340" s="1">
        <v>0.001865319654568598</v>
      </c>
      <c r="U340" s="1">
        <v>-0.009074201008204108</v>
      </c>
      <c r="V340" s="1">
        <v>0.01361254556332936</v>
      </c>
      <c r="W340" s="1">
        <v>0.0101528662514081</v>
      </c>
      <c r="X340" s="1">
        <v>0.008353098171465678</v>
      </c>
      <c r="Y340" s="1">
        <v>-0.004503727811516423</v>
      </c>
      <c r="Z340" s="1">
        <v>-0.006552904039953344</v>
      </c>
    </row>
    <row r="341" spans="1:26">
      <c r="A341" s="11">
        <v>42865</v>
      </c>
      <c r="B341" s="1">
        <v>0.01506443672378222</v>
      </c>
      <c r="C341" s="1">
        <v>-0.012453709560168</v>
      </c>
      <c r="D341" s="1">
        <v>0.0008904202274346851</v>
      </c>
      <c r="E341" s="1">
        <v>-0.003253598176742645</v>
      </c>
      <c r="F341" s="1">
        <v>0.0005114995304413839</v>
      </c>
      <c r="G341" s="1">
        <v>0.003278479248760791</v>
      </c>
      <c r="H341" s="1">
        <v>0.005772459336097935</v>
      </c>
      <c r="I341" s="1">
        <v>-0.0002641382797917702</v>
      </c>
      <c r="J341" s="1">
        <v>0.006237292574511111</v>
      </c>
      <c r="K341" s="1">
        <v>0.009521916730233171</v>
      </c>
      <c r="L341" s="1">
        <v>0.007838839725066826</v>
      </c>
      <c r="M341" s="1">
        <v>0.001544375896546546</v>
      </c>
      <c r="N341" s="1">
        <v>0.0002850056762304654</v>
      </c>
      <c r="O341" s="1">
        <v>0.001901283715942004</v>
      </c>
      <c r="P341" s="1">
        <v>0.0039109907865853</v>
      </c>
      <c r="Q341" s="1">
        <v>0.001659365169160321</v>
      </c>
      <c r="R341" s="1">
        <v>-0.004827075716024254</v>
      </c>
      <c r="S341" s="1">
        <v>0.004085457739757103</v>
      </c>
      <c r="T341" s="1">
        <v>-0.002009491874469527</v>
      </c>
      <c r="U341" s="1">
        <v>0.006017644523086174</v>
      </c>
      <c r="V341" s="1">
        <v>0.005681903822440493</v>
      </c>
      <c r="W341" s="1">
        <v>-0.006681160946486742</v>
      </c>
      <c r="X341" s="1">
        <v>-0.004248064383733707</v>
      </c>
      <c r="Y341" s="1">
        <v>-0.0008615395584010699</v>
      </c>
      <c r="Z341" s="1">
        <v>0.0002438788846788054</v>
      </c>
    </row>
    <row r="342" spans="1:26">
      <c r="A342" s="11">
        <v>42866</v>
      </c>
      <c r="B342" s="1">
        <v>-0.002733731688383978</v>
      </c>
      <c r="C342" s="1">
        <v>0.004148895232439109</v>
      </c>
      <c r="D342" s="1">
        <v>0.002847471304218585</v>
      </c>
      <c r="E342" s="1">
        <v>0</v>
      </c>
      <c r="F342" s="1">
        <v>0.004092171981941561</v>
      </c>
      <c r="G342" s="1">
        <v>-0.00435717538077085</v>
      </c>
      <c r="H342" s="1">
        <v>0.002434719311029454</v>
      </c>
      <c r="I342" s="1">
        <v>-0.0007046064088709336</v>
      </c>
      <c r="J342" s="1">
        <v>-0.005165638360120961</v>
      </c>
      <c r="K342" s="1">
        <v>-0.01179010359900212</v>
      </c>
      <c r="L342" s="1">
        <v>-0.003088465336204549</v>
      </c>
      <c r="M342" s="1">
        <v>-0.004797029560323018</v>
      </c>
      <c r="N342" s="1">
        <v>0.002417666378381922</v>
      </c>
      <c r="O342" s="1">
        <v>-0.001491100224887298</v>
      </c>
      <c r="P342" s="1">
        <v>-0.01226372338447757</v>
      </c>
      <c r="Q342" s="1">
        <v>0</v>
      </c>
      <c r="R342" s="1">
        <v>-0.02425361098761381</v>
      </c>
      <c r="S342" s="1">
        <v>-0.002154101574842748</v>
      </c>
      <c r="T342" s="1">
        <v>-0.009061474959633276</v>
      </c>
      <c r="U342" s="1">
        <v>-0.0002597160027221213</v>
      </c>
      <c r="V342" s="1">
        <v>-0.04023275989479924</v>
      </c>
      <c r="W342" s="1">
        <v>0.0002339313533803455</v>
      </c>
      <c r="X342" s="1">
        <v>0.03604950204333424</v>
      </c>
      <c r="Y342" s="1">
        <v>-0.007762040003396309</v>
      </c>
      <c r="Z342" s="1">
        <v>-0.01318965843976871</v>
      </c>
    </row>
    <row r="343" spans="1:26">
      <c r="A343" s="11">
        <v>42867</v>
      </c>
      <c r="B343" s="1">
        <v>0.007440822339109365</v>
      </c>
      <c r="C343" s="1">
        <v>-0.003751080984454536</v>
      </c>
      <c r="D343" s="1">
        <v>-0.002839386233397412</v>
      </c>
      <c r="E343" s="1">
        <v>-0.001995049138565741</v>
      </c>
      <c r="F343" s="1">
        <v>-0.00713161693249198</v>
      </c>
      <c r="G343" s="1">
        <v>0.005082382766522509</v>
      </c>
      <c r="H343" s="1">
        <v>-0.007286604512220629</v>
      </c>
      <c r="I343" s="1">
        <v>-0.00317257753697453</v>
      </c>
      <c r="J343" s="1">
        <v>0.002076505379168925</v>
      </c>
      <c r="K343" s="1">
        <v>0.00310203790934227</v>
      </c>
      <c r="L343" s="1">
        <v>-0.002753385379968387</v>
      </c>
      <c r="M343" s="1">
        <v>-0.01497680820678027</v>
      </c>
      <c r="N343" s="1">
        <v>0.002411835365109471</v>
      </c>
      <c r="O343" s="1">
        <v>-0.004071704719886271</v>
      </c>
      <c r="P343" s="1">
        <v>-0.001168783125460537</v>
      </c>
      <c r="Q343" s="1">
        <v>0.006628164154006466</v>
      </c>
      <c r="R343" s="1">
        <v>-0.01553506623971868</v>
      </c>
      <c r="S343" s="1">
        <v>0.00081545914414205</v>
      </c>
      <c r="T343" s="1">
        <v>-0.001763159421959037</v>
      </c>
      <c r="U343" s="1">
        <v>0.001300302203652404</v>
      </c>
      <c r="V343" s="1">
        <v>-0.004638000880987314</v>
      </c>
      <c r="W343" s="1">
        <v>0.002982316525697914</v>
      </c>
      <c r="X343" s="1">
        <v>-0.01008852638364865</v>
      </c>
      <c r="Y343" s="1">
        <v>-0.003910899938617707</v>
      </c>
      <c r="Z343" s="1">
        <v>-0.006188128443061491</v>
      </c>
    </row>
    <row r="344" spans="1:26">
      <c r="A344" s="11">
        <v>42870</v>
      </c>
      <c r="B344" s="1">
        <v>-0.009329583778452166</v>
      </c>
      <c r="C344" s="1">
        <v>-0.004692985335867816</v>
      </c>
      <c r="D344" s="1">
        <v>0.009076442738086055</v>
      </c>
      <c r="E344" s="1">
        <v>0.001272194490611334</v>
      </c>
      <c r="F344" s="1">
        <v>-0.0002566399910938211</v>
      </c>
      <c r="G344" s="1">
        <v>0.004763938150676328</v>
      </c>
      <c r="H344" s="1">
        <v>0.004718682347269132</v>
      </c>
      <c r="I344" s="1">
        <v>0.006099958506430303</v>
      </c>
      <c r="J344" s="1">
        <v>0.003109498465016181</v>
      </c>
      <c r="K344" s="1">
        <v>0.009752683659764338</v>
      </c>
      <c r="L344" s="1">
        <v>0.004832008179640912</v>
      </c>
      <c r="M344" s="1">
        <v>0.01415574119383001</v>
      </c>
      <c r="N344" s="1">
        <v>0.0002832365766771705</v>
      </c>
      <c r="O344" s="1">
        <v>0.005860246675896796</v>
      </c>
      <c r="P344" s="1">
        <v>0.0007311193861450072</v>
      </c>
      <c r="Q344" s="1">
        <v>0.009053557943298429</v>
      </c>
      <c r="R344" s="1">
        <v>0.006469691489685347</v>
      </c>
      <c r="S344" s="1">
        <v>0.005224076066415284</v>
      </c>
      <c r="T344" s="1">
        <v>-0.0003592699253011089</v>
      </c>
      <c r="U344" s="1">
        <v>0.002598170210230011</v>
      </c>
      <c r="V344" s="1">
        <v>0.002717759468538361</v>
      </c>
      <c r="W344" s="1">
        <v>0.004314263621372882</v>
      </c>
      <c r="X344" s="1">
        <v>-0.002287708021654344</v>
      </c>
      <c r="Y344" s="1">
        <v>-0.01003560786582003</v>
      </c>
      <c r="Z344" s="1">
        <v>0.009713293773144338</v>
      </c>
    </row>
    <row r="345" spans="1:26">
      <c r="A345" s="11">
        <v>42871</v>
      </c>
      <c r="B345" s="1">
        <v>0</v>
      </c>
      <c r="C345" s="1">
        <v>0.001699614246253089</v>
      </c>
      <c r="D345" s="1">
        <v>0.01552037981867604</v>
      </c>
      <c r="E345" s="1">
        <v>-0.01288557946516633</v>
      </c>
      <c r="F345" s="1">
        <v>-0.003849450437965918</v>
      </c>
      <c r="G345" s="1">
        <v>-0.008388090688056904</v>
      </c>
      <c r="H345" s="1">
        <v>-0.006609807302991655</v>
      </c>
      <c r="I345" s="1">
        <v>0.008787539360869401</v>
      </c>
      <c r="J345" s="1">
        <v>0.00568128334617124</v>
      </c>
      <c r="K345" s="1">
        <v>-0.008951798552083723</v>
      </c>
      <c r="L345" s="1">
        <v>0.003091202174079433</v>
      </c>
      <c r="M345" s="1">
        <v>0.004135905583194655</v>
      </c>
      <c r="N345" s="1">
        <v>0.003962077738566716</v>
      </c>
      <c r="O345" s="1">
        <v>0.003657642303345643</v>
      </c>
      <c r="P345" s="1">
        <v>0.02013519452924473</v>
      </c>
      <c r="Q345" s="1">
        <v>-0.01264260029030539</v>
      </c>
      <c r="R345" s="1">
        <v>0.01034806696527446</v>
      </c>
      <c r="S345" s="1">
        <v>-0.007581260966317394</v>
      </c>
      <c r="T345" s="1">
        <v>0.00883446754814754</v>
      </c>
      <c r="U345" s="1">
        <v>-0.01036537264521031</v>
      </c>
      <c r="V345" s="1">
        <v>-0.01481514039844378</v>
      </c>
      <c r="W345" s="1">
        <v>5.811309244330154E-05</v>
      </c>
      <c r="X345" s="1">
        <v>0.004377456930128032</v>
      </c>
      <c r="Y345" s="1">
        <v>-0.001542386398273088</v>
      </c>
      <c r="Z345" s="1">
        <v>0.004943139634782545</v>
      </c>
    </row>
    <row r="346" spans="1:26">
      <c r="A346" s="11">
        <v>42872</v>
      </c>
      <c r="B346" s="1">
        <v>-0.0153032283957576</v>
      </c>
      <c r="C346" s="1">
        <v>-0.02145602216997311</v>
      </c>
      <c r="D346" s="1">
        <v>-0.01250452402632585</v>
      </c>
      <c r="E346" s="1">
        <v>0.0003675495688424402</v>
      </c>
      <c r="F346" s="1">
        <v>-0.01854678959580469</v>
      </c>
      <c r="G346" s="1">
        <v>-0.0007357587371698004</v>
      </c>
      <c r="H346" s="1">
        <v>0.005253005073272421</v>
      </c>
      <c r="I346" s="1">
        <v>-0.01367582621532049</v>
      </c>
      <c r="J346" s="1">
        <v>-0.02619393262609337</v>
      </c>
      <c r="K346" s="1">
        <v>-0.01758930052546681</v>
      </c>
      <c r="L346" s="1">
        <v>-0.03812381760497796</v>
      </c>
      <c r="M346" s="1">
        <v>-0.02110866597914252</v>
      </c>
      <c r="N346" s="1">
        <v>-0.005637833848581852</v>
      </c>
      <c r="O346" s="1">
        <v>-0.00499454150615275</v>
      </c>
      <c r="P346" s="1">
        <v>-0.02780588383081195</v>
      </c>
      <c r="Q346" s="1">
        <v>0.001652143434260012</v>
      </c>
      <c r="R346" s="1">
        <v>-0.01261866452989713</v>
      </c>
      <c r="S346" s="1">
        <v>0.02310997606282528</v>
      </c>
      <c r="T346" s="1">
        <v>-0.02249840078928933</v>
      </c>
      <c r="U346" s="1">
        <v>-0.01911489101901709</v>
      </c>
      <c r="V346" s="1">
        <v>0.009352668233691297</v>
      </c>
      <c r="W346" s="1">
        <v>-0.007546260426101514</v>
      </c>
      <c r="X346" s="1">
        <v>-0.04130362879946237</v>
      </c>
      <c r="Y346" s="1">
        <v>-0.01831823970488522</v>
      </c>
      <c r="Z346" s="1">
        <v>-0.04107210947451068</v>
      </c>
    </row>
    <row r="347" spans="1:26">
      <c r="A347" s="11">
        <v>42873</v>
      </c>
      <c r="B347" s="1">
        <v>-0.005379723103198897</v>
      </c>
      <c r="C347" s="1">
        <v>-0.007718962694020282</v>
      </c>
      <c r="D347" s="1">
        <v>0.003693141717319826</v>
      </c>
      <c r="E347" s="1">
        <v>-0.01157893604529925</v>
      </c>
      <c r="F347" s="1">
        <v>0.01496060663806076</v>
      </c>
      <c r="G347" s="1">
        <v>0.001472322508704549</v>
      </c>
      <c r="H347" s="1">
        <v>-0.008186768853299609</v>
      </c>
      <c r="I347" s="1">
        <v>-0.004945873531579825</v>
      </c>
      <c r="J347" s="1">
        <v>-0.009493829018088151</v>
      </c>
      <c r="K347" s="1">
        <v>0.01064583111429274</v>
      </c>
      <c r="L347" s="1">
        <v>-0.003678414730858171</v>
      </c>
      <c r="M347" s="1">
        <v>0.004382949700488359</v>
      </c>
      <c r="N347" s="1">
        <v>-0.0001417132540175725</v>
      </c>
      <c r="O347" s="1">
        <v>0.01071803115297643</v>
      </c>
      <c r="P347" s="1">
        <v>0.003408505997055666</v>
      </c>
      <c r="Q347" s="1">
        <v>0.01030912903690973</v>
      </c>
      <c r="R347" s="1">
        <v>-0.01656666320695477</v>
      </c>
      <c r="S347" s="1">
        <v>0.0148857712292001</v>
      </c>
      <c r="T347" s="1">
        <v>0.008372235774114944</v>
      </c>
      <c r="U347" s="1">
        <v>0.01308043197683806</v>
      </c>
      <c r="V347" s="1">
        <v>0.01435325583967306</v>
      </c>
      <c r="W347" s="1">
        <v>0.004503613795004302</v>
      </c>
      <c r="X347" s="1">
        <v>-0.001298900241049949</v>
      </c>
      <c r="Y347" s="1">
        <v>0.01259003404342929</v>
      </c>
      <c r="Z347" s="1">
        <v>0.01513196770225278</v>
      </c>
    </row>
    <row r="348" spans="1:26">
      <c r="A348" s="11">
        <v>42874</v>
      </c>
      <c r="B348" s="1">
        <v>0.02484010437239381</v>
      </c>
      <c r="C348" s="1">
        <v>0.01894049244203222</v>
      </c>
      <c r="D348" s="1">
        <v>0.002453215970534384</v>
      </c>
      <c r="E348" s="1">
        <v>0.004462919993130754</v>
      </c>
      <c r="F348" s="1">
        <v>0.004654866936747881</v>
      </c>
      <c r="G348" s="1">
        <v>0.009922708968315819</v>
      </c>
      <c r="H348" s="1">
        <v>-0.0203724145436136</v>
      </c>
      <c r="I348" s="1">
        <v>0.07304512073503466</v>
      </c>
      <c r="J348" s="1">
        <v>0.01171496629516855</v>
      </c>
      <c r="K348" s="1">
        <v>0.01987065551669076</v>
      </c>
      <c r="L348" s="1">
        <v>0.00976689638386552</v>
      </c>
      <c r="M348" s="1">
        <v>0.01309139476333687</v>
      </c>
      <c r="N348" s="1">
        <v>0.005103563705010972</v>
      </c>
      <c r="O348" s="1">
        <v>0.001476409233364118</v>
      </c>
      <c r="P348" s="1">
        <v>-0.0002954147924519868</v>
      </c>
      <c r="Q348" s="1">
        <v>0.008163252920204922</v>
      </c>
      <c r="R348" s="1">
        <v>0.008021476897085877</v>
      </c>
      <c r="S348" s="1">
        <v>-0.007588085043887638</v>
      </c>
      <c r="T348" s="1">
        <v>0.003472206320289439</v>
      </c>
      <c r="U348" s="1">
        <v>0.007641836685572612</v>
      </c>
      <c r="V348" s="1">
        <v>0.002865878020456014</v>
      </c>
      <c r="W348" s="1">
        <v>-0.001222792970431819</v>
      </c>
      <c r="X348" s="1">
        <v>0.007804207265786234</v>
      </c>
      <c r="Y348" s="1">
        <v>0.008436869841287553</v>
      </c>
      <c r="Z348" s="1">
        <v>0.01313785884444796</v>
      </c>
    </row>
    <row r="349" spans="1:26">
      <c r="A349" s="11">
        <v>42877</v>
      </c>
      <c r="B349" s="1">
        <v>-0.02228300797586757</v>
      </c>
      <c r="C349" s="1">
        <v>0.01609856153932698</v>
      </c>
      <c r="D349" s="1">
        <v>0.007690896567746464</v>
      </c>
      <c r="E349" s="1">
        <v>0.001480765210794655</v>
      </c>
      <c r="F349" s="1">
        <v>0.01647327520636654</v>
      </c>
      <c r="G349" s="1">
        <v>0.008005826891154033</v>
      </c>
      <c r="H349" s="1">
        <v>0.03065626672645405</v>
      </c>
      <c r="I349" s="1">
        <v>0.006699937774669262</v>
      </c>
      <c r="J349" s="1">
        <v>0.005789553476180265</v>
      </c>
      <c r="K349" s="1">
        <v>0.0009388605876856637</v>
      </c>
      <c r="L349" s="1">
        <v>-0.0009438279340209244</v>
      </c>
      <c r="M349" s="1">
        <v>0.01516202474474571</v>
      </c>
      <c r="N349" s="1">
        <v>0.01607903079412276</v>
      </c>
      <c r="O349" s="1">
        <v>0.001608488316728662</v>
      </c>
      <c r="P349" s="1">
        <v>0.0112277086881476</v>
      </c>
      <c r="Q349" s="1">
        <v>0.012550572830065</v>
      </c>
      <c r="R349" s="1">
        <v>0.0007962066067079832</v>
      </c>
      <c r="S349" s="1">
        <v>0.005221979594920878</v>
      </c>
      <c r="T349" s="1">
        <v>-0.002768123529027555</v>
      </c>
      <c r="U349" s="1">
        <v>0.0002614586201870051</v>
      </c>
      <c r="V349" s="1">
        <v>-0.009465874349514514</v>
      </c>
      <c r="W349" s="1">
        <v>0.003323164252229116</v>
      </c>
      <c r="X349" s="1">
        <v>0.006237753411847846</v>
      </c>
      <c r="Y349" s="1">
        <v>0.001321178932139455</v>
      </c>
      <c r="Z349" s="1">
        <v>0.002743329973741604</v>
      </c>
    </row>
    <row r="350" spans="1:26">
      <c r="A350" s="11">
        <v>42878</v>
      </c>
      <c r="B350" s="1">
        <v>-0.00039983788991238</v>
      </c>
      <c r="C350" s="1">
        <v>-0.0009802341488256427</v>
      </c>
      <c r="D350" s="1">
        <v>0.004683542564825283</v>
      </c>
      <c r="E350" s="1">
        <v>0.002033699260245658</v>
      </c>
      <c r="F350" s="1">
        <v>0.007344198776376265</v>
      </c>
      <c r="G350" s="1">
        <v>0.001805394479740707</v>
      </c>
      <c r="H350" s="1">
        <v>0.01095833020919246</v>
      </c>
      <c r="I350" s="1">
        <v>0.00345077653656678</v>
      </c>
      <c r="J350" s="1">
        <v>-0.00784958290794846</v>
      </c>
      <c r="K350" s="1">
        <v>-0.01547843031332841</v>
      </c>
      <c r="L350" s="1">
        <v>0.01251457329149508</v>
      </c>
      <c r="M350" s="1">
        <v>0.01221970753360146</v>
      </c>
      <c r="N350" s="1">
        <v>0.001249143227149752</v>
      </c>
      <c r="O350" s="1">
        <v>0.0001335609099439861</v>
      </c>
      <c r="P350" s="1">
        <v>0.003359957513033862</v>
      </c>
      <c r="Q350" s="1">
        <v>0.005198174575677061</v>
      </c>
      <c r="R350" s="1">
        <v>-0.00111320059865827</v>
      </c>
      <c r="S350" s="1">
        <v>0.00742080153306679</v>
      </c>
      <c r="T350" s="1">
        <v>0.001388053705021486</v>
      </c>
      <c r="U350" s="1">
        <v>0.001568468184653282</v>
      </c>
      <c r="V350" s="1">
        <v>-0.01749023381087167</v>
      </c>
      <c r="W350" s="1">
        <v>-0.001568873548791982</v>
      </c>
      <c r="X350" s="1">
        <v>0.007268180358335652</v>
      </c>
      <c r="Y350" s="1">
        <v>0</v>
      </c>
      <c r="Z350" s="1">
        <v>0.02810258467910476</v>
      </c>
    </row>
    <row r="351" spans="1:26">
      <c r="A351" s="11">
        <v>42879</v>
      </c>
      <c r="B351" s="1">
        <v>-0.00260018012529506</v>
      </c>
      <c r="C351" s="1">
        <v>0.009591944979600253</v>
      </c>
      <c r="D351" s="1">
        <v>0.007251411919247719</v>
      </c>
      <c r="E351" s="1">
        <v>-0.007194628697331895</v>
      </c>
      <c r="F351" s="1">
        <v>0.01382549656235899</v>
      </c>
      <c r="G351" s="1">
        <v>0.007927838755871219</v>
      </c>
      <c r="H351" s="1">
        <v>0.004473546197147238</v>
      </c>
      <c r="I351" s="1">
        <v>0.005322033011001093</v>
      </c>
      <c r="J351" s="1">
        <v>0.00263720561565095</v>
      </c>
      <c r="K351" s="1">
        <v>0.0009528384647572441</v>
      </c>
      <c r="L351" s="1">
        <v>-0.0005827685195964882</v>
      </c>
      <c r="M351" s="1">
        <v>-0.001005865481034984</v>
      </c>
      <c r="N351" s="1">
        <v>0.009982023234806015</v>
      </c>
      <c r="O351" s="1">
        <v>0.004816772914254752</v>
      </c>
      <c r="P351" s="1">
        <v>0.001310683591033479</v>
      </c>
      <c r="Q351" s="1">
        <v>0.003182051938095398</v>
      </c>
      <c r="R351" s="1">
        <v>-0.001910644595940925</v>
      </c>
      <c r="S351" s="1">
        <v>0.001703553778097833</v>
      </c>
      <c r="T351" s="1">
        <v>0.002621067013425016</v>
      </c>
      <c r="U351" s="1">
        <v>-0.004176200281773568</v>
      </c>
      <c r="V351" s="1">
        <v>-0.006606729372229392</v>
      </c>
      <c r="W351" s="1">
        <v>0.002909825849894965</v>
      </c>
      <c r="X351" s="1">
        <v>0.007427945721619755</v>
      </c>
      <c r="Y351" s="1">
        <v>-0.009674681533892282</v>
      </c>
      <c r="Z351" s="1">
        <v>-0.0154816557984272</v>
      </c>
    </row>
    <row r="352" spans="1:26">
      <c r="A352" s="11">
        <v>42880</v>
      </c>
      <c r="B352" s="1">
        <v>-0.04331267717779996</v>
      </c>
      <c r="C352" s="1">
        <v>0.009824596798690743</v>
      </c>
      <c r="D352" s="1">
        <v>0.01371266784765046</v>
      </c>
      <c r="E352" s="1">
        <v>0.01059104421979207</v>
      </c>
      <c r="F352" s="1">
        <v>0.0002480493434549036</v>
      </c>
      <c r="G352" s="1">
        <v>0.007507817111551462</v>
      </c>
      <c r="H352" s="1">
        <v>0.0077084203409854</v>
      </c>
      <c r="I352" s="1">
        <v>-0.002850682477834154</v>
      </c>
      <c r="J352" s="1">
        <v>-0.03366655666200236</v>
      </c>
      <c r="K352" s="1">
        <v>0.003331927532139733</v>
      </c>
      <c r="L352" s="1">
        <v>-0.004200402891380906</v>
      </c>
      <c r="M352" s="1">
        <v>0.02249058190502717</v>
      </c>
      <c r="N352" s="1">
        <v>0.01770763561580413</v>
      </c>
      <c r="O352" s="1">
        <v>0.01904099405179016</v>
      </c>
      <c r="P352" s="1">
        <v>0.01236010385889519</v>
      </c>
      <c r="Q352" s="1">
        <v>0.01229169536226604</v>
      </c>
      <c r="R352" s="1">
        <v>0</v>
      </c>
      <c r="S352" s="1">
        <v>-0.00220610408694355</v>
      </c>
      <c r="T352" s="1">
        <v>0.003936491852622348</v>
      </c>
      <c r="U352" s="1">
        <v>0.002096857035830624</v>
      </c>
      <c r="V352" s="1">
        <v>0.001293123897138537</v>
      </c>
      <c r="W352" s="1">
        <v>0.003307555178191146</v>
      </c>
      <c r="X352" s="1">
        <v>0.01474594949948194</v>
      </c>
      <c r="Y352" s="1">
        <v>0.005994553465504815</v>
      </c>
      <c r="Z352" s="1">
        <v>0.00442276585726975</v>
      </c>
    </row>
    <row r="353" spans="1:26">
      <c r="A353" s="11">
        <v>42881</v>
      </c>
      <c r="B353" s="1">
        <v>0.0100609352636627</v>
      </c>
      <c r="C353" s="1">
        <v>-0.00256575660214875</v>
      </c>
      <c r="D353" s="1">
        <v>-0.008454315543389712</v>
      </c>
      <c r="E353" s="1">
        <v>-0.007722193734854499</v>
      </c>
      <c r="F353" s="1">
        <v>0.01413026381806493</v>
      </c>
      <c r="G353" s="1">
        <v>0.005322943144949965</v>
      </c>
      <c r="H353" s="1">
        <v>0.002209594282769789</v>
      </c>
      <c r="I353" s="1">
        <v>0.002940681081077923</v>
      </c>
      <c r="J353" s="1">
        <v>0.005443453878551496</v>
      </c>
      <c r="K353" s="1">
        <v>-0.003083419642515239</v>
      </c>
      <c r="L353" s="1">
        <v>0.000117433137577283</v>
      </c>
      <c r="M353" s="1">
        <v>-0.004103728774017545</v>
      </c>
      <c r="N353" s="1">
        <v>0.003641888694003059</v>
      </c>
      <c r="O353" s="1">
        <v>-0.002090222519217644</v>
      </c>
      <c r="P353" s="1">
        <v>0.004883606076049096</v>
      </c>
      <c r="Q353" s="1">
        <v>0.001175191853609814</v>
      </c>
      <c r="R353" s="1">
        <v>-0.0009571189640305011</v>
      </c>
      <c r="S353" s="1">
        <v>-0.0032245247674767</v>
      </c>
      <c r="T353" s="1">
        <v>0.002574191290905858</v>
      </c>
      <c r="U353" s="1">
        <v>-0.002877683452794821</v>
      </c>
      <c r="V353" s="1">
        <v>0.003690105743501704</v>
      </c>
      <c r="W353" s="1">
        <v>0.003007614445465157</v>
      </c>
      <c r="X353" s="1">
        <v>-0.0002073443850723056</v>
      </c>
      <c r="Y353" s="1">
        <v>0.0002209401652213394</v>
      </c>
      <c r="Z353" s="1">
        <v>-0.01051851589584574</v>
      </c>
    </row>
    <row r="354" spans="1:26">
      <c r="A354" s="11">
        <v>42885</v>
      </c>
      <c r="B354" s="1">
        <v>-0.01307328266400765</v>
      </c>
      <c r="C354" s="1">
        <v>0.001554001958601336</v>
      </c>
      <c r="D354" s="1">
        <v>0.01210751274538557</v>
      </c>
      <c r="E354" s="1">
        <v>-0.0007412178617386411</v>
      </c>
      <c r="F354" s="1">
        <v>0.00464414175364114</v>
      </c>
      <c r="G354" s="1">
        <v>0.002118010593969544</v>
      </c>
      <c r="H354" s="1">
        <v>-0.01831752193002301</v>
      </c>
      <c r="I354" s="1">
        <v>-0.004316407727978366</v>
      </c>
      <c r="J354" s="1">
        <v>0.02544658386918841</v>
      </c>
      <c r="K354" s="1">
        <v>-0.001189882116136576</v>
      </c>
      <c r="L354" s="1">
        <v>-0.01710397101054351</v>
      </c>
      <c r="M354" s="1">
        <v>-0.01961412137329477</v>
      </c>
      <c r="N354" s="1">
        <v>0.008869489081893223</v>
      </c>
      <c r="O354" s="1">
        <v>0.01335574606875567</v>
      </c>
      <c r="P354" s="1">
        <v>0.006432247851321016</v>
      </c>
      <c r="Q354" s="1">
        <v>0.01017223838893111</v>
      </c>
      <c r="R354" s="1">
        <v>0.0001596083726065345</v>
      </c>
      <c r="S354" s="1">
        <v>-0.009427355095902423</v>
      </c>
      <c r="T354" s="1">
        <v>0.001224026193135996</v>
      </c>
      <c r="U354" s="1">
        <v>0.0112805927720927</v>
      </c>
      <c r="V354" s="1">
        <v>0.009926305427132354</v>
      </c>
      <c r="W354" s="1">
        <v>-0.0009805012679487968</v>
      </c>
      <c r="X354" s="1">
        <v>-0.003529916151659984</v>
      </c>
      <c r="Y354" s="1">
        <v>0.01941767462577038</v>
      </c>
      <c r="Z354" s="1">
        <v>-0.01433888305547193</v>
      </c>
    </row>
    <row r="355" spans="1:26">
      <c r="A355" s="11">
        <v>42886</v>
      </c>
      <c r="B355" s="1">
        <v>-0.01682076854328385</v>
      </c>
      <c r="C355" s="1">
        <v>0.004013287564900159</v>
      </c>
      <c r="D355" s="1">
        <v>0.002027599749215181</v>
      </c>
      <c r="E355" s="1">
        <v>0.0003707842704629982</v>
      </c>
      <c r="F355" s="1">
        <v>0.01435507827193128</v>
      </c>
      <c r="G355" s="1">
        <v>0.007749121707284923</v>
      </c>
      <c r="H355" s="1">
        <v>-0.003973661841330745</v>
      </c>
      <c r="I355" s="1">
        <v>0.001635951216845566</v>
      </c>
      <c r="J355" s="1">
        <v>-0.009503508984186393</v>
      </c>
      <c r="K355" s="1">
        <v>-0.005240779250368921</v>
      </c>
      <c r="L355" s="1">
        <v>-0.02085859385630029</v>
      </c>
      <c r="M355" s="1">
        <v>0.01025537256090847</v>
      </c>
      <c r="N355" s="1">
        <v>0.004928876565593265</v>
      </c>
      <c r="O355" s="1">
        <v>0.002196427396154998</v>
      </c>
      <c r="P355" s="1">
        <v>-0.008095418096857432</v>
      </c>
      <c r="Q355" s="1">
        <v>0.009682475143958369</v>
      </c>
      <c r="R355" s="1">
        <v>0.005108516694601661</v>
      </c>
      <c r="S355" s="1">
        <v>0.004665257914661547</v>
      </c>
      <c r="T355" s="1">
        <v>-0.01070497709842155</v>
      </c>
      <c r="U355" s="1">
        <v>-0.0005187122103185171</v>
      </c>
      <c r="V355" s="1">
        <v>0.003822632895125411</v>
      </c>
      <c r="W355" s="1">
        <v>-0.002655123965163542</v>
      </c>
      <c r="X355" s="1">
        <v>-0.003959308519756566</v>
      </c>
      <c r="Y355" s="1">
        <v>0.009523836865622082</v>
      </c>
      <c r="Z355" s="1">
        <v>0.00501622496845866</v>
      </c>
    </row>
    <row r="356" spans="1:26">
      <c r="A356" s="11">
        <v>42887</v>
      </c>
      <c r="B356" s="1">
        <v>0.01154826953565125</v>
      </c>
      <c r="C356" s="1">
        <v>-0.001652148764332062</v>
      </c>
      <c r="D356" s="1">
        <v>0.01163365644209757</v>
      </c>
      <c r="E356" s="1">
        <v>0.01075054989897795</v>
      </c>
      <c r="F356" s="1">
        <v>-0.0007196848924910793</v>
      </c>
      <c r="G356" s="1">
        <v>0.0111852102570611</v>
      </c>
      <c r="H356" s="1">
        <v>0.005376989289762601</v>
      </c>
      <c r="I356" s="1">
        <v>0.01829145105896002</v>
      </c>
      <c r="J356" s="1">
        <v>0.01012816383077997</v>
      </c>
      <c r="K356" s="1">
        <v>0.0100576816635245</v>
      </c>
      <c r="L356" s="1">
        <v>0.01107719377915695</v>
      </c>
      <c r="M356" s="1">
        <v>0.003494952141447349</v>
      </c>
      <c r="N356" s="1">
        <v>-0.0005302086397206418</v>
      </c>
      <c r="O356" s="1">
        <v>-0.002706941237192395</v>
      </c>
      <c r="P356" s="1">
        <v>0.003722783287588793</v>
      </c>
      <c r="Q356" s="1">
        <v>0.006520495796445092</v>
      </c>
      <c r="R356" s="1">
        <v>0.0115950102552651</v>
      </c>
      <c r="S356" s="1">
        <v>-0.01430227475959989</v>
      </c>
      <c r="T356" s="1">
        <v>0.02161149600988721</v>
      </c>
      <c r="U356" s="1">
        <v>0.008824254016029931</v>
      </c>
      <c r="V356" s="1">
        <v>0.009247341771600359</v>
      </c>
      <c r="W356" s="1">
        <v>0.01174862513532871</v>
      </c>
      <c r="X356" s="1">
        <v>-0.001673614676420243</v>
      </c>
      <c r="Y356" s="1">
        <v>-0.002788013599894557</v>
      </c>
      <c r="Z356" s="1">
        <v>0.01197917969135798</v>
      </c>
    </row>
    <row r="357" spans="1:26">
      <c r="A357" s="11">
        <v>42888</v>
      </c>
      <c r="B357" s="1">
        <v>-0.006554184247820283</v>
      </c>
      <c r="C357" s="1">
        <v>0.01553496122700104</v>
      </c>
      <c r="D357" s="1">
        <v>-0.004666607881164797</v>
      </c>
      <c r="E357" s="1">
        <v>0.008069174424345738</v>
      </c>
      <c r="F357" s="1">
        <v>0.007921296343245565</v>
      </c>
      <c r="G357" s="1">
        <v>-0.001728547746184694</v>
      </c>
      <c r="H357" s="1">
        <v>-0.003968177973688536</v>
      </c>
      <c r="I357" s="1">
        <v>0.001683947731276669</v>
      </c>
      <c r="J357" s="1">
        <v>0.001583046893122608</v>
      </c>
      <c r="K357" s="1">
        <v>0.001659421763726909</v>
      </c>
      <c r="L357" s="1">
        <v>-0.005056331238069922</v>
      </c>
      <c r="M357" s="1">
        <v>0.0009949271342675203</v>
      </c>
      <c r="N357" s="1">
        <v>-0.003713627277452725</v>
      </c>
      <c r="O357" s="1">
        <v>0.001938909872979178</v>
      </c>
      <c r="P357" s="1">
        <v>0.02368038714699883</v>
      </c>
      <c r="Q357" s="1">
        <v>0.004192248429189194</v>
      </c>
      <c r="R357" s="1">
        <v>-0.008478882092483708</v>
      </c>
      <c r="S357" s="1">
        <v>0.007772808065380055</v>
      </c>
      <c r="T357" s="1">
        <v>0.01905929852196664</v>
      </c>
      <c r="U357" s="1">
        <v>0</v>
      </c>
      <c r="V357" s="1">
        <v>-0.002515246212538513</v>
      </c>
      <c r="W357" s="1">
        <v>0.008980740041368396</v>
      </c>
      <c r="X357" s="1">
        <v>0.0006287082190892246</v>
      </c>
      <c r="Y357" s="1">
        <v>-0.001504641370494664</v>
      </c>
      <c r="Z357" s="1">
        <v>-0.01109753371637645</v>
      </c>
    </row>
    <row r="358" spans="1:26">
      <c r="A358" s="11">
        <v>42891</v>
      </c>
      <c r="B358" s="1">
        <v>-0.00553275405698439</v>
      </c>
      <c r="C358" s="1">
        <v>-0.006728872229913807</v>
      </c>
      <c r="D358" s="1">
        <v>-0.002176665691591806</v>
      </c>
      <c r="E358" s="1">
        <v>-0.04748028744803667</v>
      </c>
      <c r="F358" s="1">
        <v>-0.004762689086861727</v>
      </c>
      <c r="G358" s="1">
        <v>-0.01142685947223543</v>
      </c>
      <c r="H358" s="1">
        <v>-0.004330258487358019</v>
      </c>
      <c r="I358" s="1">
        <v>0.003362655498032385</v>
      </c>
      <c r="J358" s="1">
        <v>-0.009484171433086108</v>
      </c>
      <c r="K358" s="1">
        <v>-0.004970351180387578</v>
      </c>
      <c r="L358" s="1">
        <v>0.001815018295158177</v>
      </c>
      <c r="M358" s="1">
        <v>0.01253394102747141</v>
      </c>
      <c r="N358" s="1">
        <v>-0.0007987506038801273</v>
      </c>
      <c r="O358" s="1">
        <v>-0.001548334128772422</v>
      </c>
      <c r="P358" s="1">
        <v>0.007246237128379018</v>
      </c>
      <c r="Q358" s="1">
        <v>0.001138523099507127</v>
      </c>
      <c r="R358" s="1">
        <v>-0.01314306504447182</v>
      </c>
      <c r="S358" s="1">
        <v>-0.01201351926956962</v>
      </c>
      <c r="T358" s="1">
        <v>-0.00909097323256236</v>
      </c>
      <c r="U358" s="1">
        <v>-0.001543761296991075</v>
      </c>
      <c r="V358" s="1">
        <v>0.001981151605117804</v>
      </c>
      <c r="W358" s="1">
        <v>0.0002833180217260978</v>
      </c>
      <c r="X358" s="1">
        <v>-0.01486921613965764</v>
      </c>
      <c r="Y358" s="1">
        <v>-0.001507316735486208</v>
      </c>
      <c r="Z358" s="1">
        <v>0.00897744227295183</v>
      </c>
    </row>
    <row r="359" spans="1:26">
      <c r="A359" s="11">
        <v>42892</v>
      </c>
      <c r="B359" s="1">
        <v>0.02803302389926832</v>
      </c>
      <c r="C359" s="1">
        <v>-0.01164322783157912</v>
      </c>
      <c r="D359" s="1">
        <v>-0.003356573905790472</v>
      </c>
      <c r="E359" s="1">
        <v>-0.0133688284846436</v>
      </c>
      <c r="F359" s="1">
        <v>-0.001675183514157297</v>
      </c>
      <c r="G359" s="1">
        <v>-0.001751025605127965</v>
      </c>
      <c r="H359" s="1">
        <v>0.001565654075378342</v>
      </c>
      <c r="I359" s="1">
        <v>-0.002234187219885664</v>
      </c>
      <c r="J359" s="1">
        <v>-0.02872284390477942</v>
      </c>
      <c r="K359" s="1">
        <v>-0.01855366543654313</v>
      </c>
      <c r="L359" s="1">
        <v>0.002053741047678637</v>
      </c>
      <c r="M359" s="1">
        <v>-0.01459233769071033</v>
      </c>
      <c r="N359" s="1">
        <v>0.002798160112809089</v>
      </c>
      <c r="O359" s="1">
        <v>-0.006978713224121358</v>
      </c>
      <c r="P359" s="1">
        <v>0.003320374994427944</v>
      </c>
      <c r="Q359" s="1">
        <v>-0.004549010537486686</v>
      </c>
      <c r="R359" s="1">
        <v>0.02888300639496721</v>
      </c>
      <c r="S359" s="1">
        <v>-0.01632366487021364</v>
      </c>
      <c r="T359" s="1">
        <v>-0.00566798666118451</v>
      </c>
      <c r="U359" s="1">
        <v>-0.002061011347626596</v>
      </c>
      <c r="V359" s="1">
        <v>-0.01887456641984153</v>
      </c>
      <c r="W359" s="1">
        <v>-0.002097202587461378</v>
      </c>
      <c r="X359" s="1">
        <v>-0.00170073654520253</v>
      </c>
      <c r="Y359" s="1">
        <v>0.001509592169026464</v>
      </c>
      <c r="Z359" s="1">
        <v>-0.0049431402530834</v>
      </c>
    </row>
    <row r="360" spans="1:26">
      <c r="A360" s="11">
        <v>42893</v>
      </c>
      <c r="B360" s="1">
        <v>-0.02622790953755583</v>
      </c>
      <c r="C360" s="1">
        <v>0.007229033089943382</v>
      </c>
      <c r="D360" s="1">
        <v>0.003535941732114356</v>
      </c>
      <c r="E360" s="1">
        <v>0.01761490615829464</v>
      </c>
      <c r="F360" s="1">
        <v>0.004074468599144065</v>
      </c>
      <c r="G360" s="1">
        <v>-0.006316041325691746</v>
      </c>
      <c r="H360" s="1">
        <v>-0.003821442155926058</v>
      </c>
      <c r="I360" s="1">
        <v>0.001919285639188306</v>
      </c>
      <c r="J360" s="1">
        <v>-0.001095508796399414</v>
      </c>
      <c r="K360" s="1">
        <v>-0.002423607509122516</v>
      </c>
      <c r="L360" s="1">
        <v>0.0114512425462896</v>
      </c>
      <c r="M360" s="1">
        <v>-0.002329327245693347</v>
      </c>
      <c r="N360" s="1">
        <v>0.004516901307371812</v>
      </c>
      <c r="O360" s="1">
        <v>0.0006509815223998405</v>
      </c>
      <c r="P360" s="1">
        <v>-0.001792516557400536</v>
      </c>
      <c r="Q360" s="1">
        <v>0.006854941965442007</v>
      </c>
      <c r="R360" s="1">
        <v>-0.0104489671677529</v>
      </c>
      <c r="S360" s="1">
        <v>0.009476053151462382</v>
      </c>
      <c r="T360" s="1">
        <v>-0.0001765381138919553</v>
      </c>
      <c r="U360" s="1">
        <v>0.0007743895536191925</v>
      </c>
      <c r="V360" s="1">
        <v>-0.002015546932637613</v>
      </c>
      <c r="W360" s="1">
        <v>0.001533766076383003</v>
      </c>
      <c r="X360" s="1">
        <v>-0.002130323804777068</v>
      </c>
      <c r="Y360" s="1">
        <v>0.001292024631157629</v>
      </c>
      <c r="Z360" s="1">
        <v>0.004967696272493161</v>
      </c>
    </row>
    <row r="361" spans="1:26">
      <c r="A361" s="11">
        <v>42894</v>
      </c>
      <c r="B361" s="1">
        <v>0.004702943391196035</v>
      </c>
      <c r="C361" s="1">
        <v>0.009728770082424232</v>
      </c>
      <c r="D361" s="1">
        <v>0.002684868650663974</v>
      </c>
      <c r="E361" s="1">
        <v>0.005326190752703353</v>
      </c>
      <c r="F361" s="1">
        <v>-0.022678165912141</v>
      </c>
      <c r="G361" s="1">
        <v>-0.003884094260455773</v>
      </c>
      <c r="H361" s="1">
        <v>-0.012031529128535</v>
      </c>
      <c r="I361" s="1">
        <v>0.005666986705906041</v>
      </c>
      <c r="J361" s="1">
        <v>0.002193203777376196</v>
      </c>
      <c r="K361" s="1">
        <v>0.002672479425340546</v>
      </c>
      <c r="L361" s="1">
        <v>0.01239419413418941</v>
      </c>
      <c r="M361" s="1">
        <v>-0.0133422136330642</v>
      </c>
      <c r="N361" s="1">
        <v>-0.005290460730814406</v>
      </c>
      <c r="O361" s="1">
        <v>0.00533194466903919</v>
      </c>
      <c r="P361" s="1">
        <v>-0.006078026173088724</v>
      </c>
      <c r="Q361" s="1">
        <v>-0.02307138804831066</v>
      </c>
      <c r="R361" s="1">
        <v>0.00819541851207517</v>
      </c>
      <c r="S361" s="1">
        <v>0.004955065513927437</v>
      </c>
      <c r="T361" s="1">
        <v>0.01678146349919696</v>
      </c>
      <c r="U361" s="1">
        <v>-0.006707910097486391</v>
      </c>
      <c r="V361" s="1">
        <v>0.002937709097873498</v>
      </c>
      <c r="W361" s="1">
        <v>-0.00867669843571206</v>
      </c>
      <c r="X361" s="1">
        <v>0.003202142817168685</v>
      </c>
      <c r="Y361" s="1">
        <v>-0.006666733674703051</v>
      </c>
      <c r="Z361" s="1">
        <v>0.02298574602185655</v>
      </c>
    </row>
    <row r="362" spans="1:26">
      <c r="A362" s="11">
        <v>42895</v>
      </c>
      <c r="B362" s="1">
        <v>0.02851079510180066</v>
      </c>
      <c r="C362" s="1">
        <v>0.0005264835731584316</v>
      </c>
      <c r="D362" s="1">
        <v>-0.0142238798145472</v>
      </c>
      <c r="E362" s="1">
        <v>0.01702930694855875</v>
      </c>
      <c r="F362" s="1">
        <v>-0.006106668917401747</v>
      </c>
      <c r="G362" s="1">
        <v>0.00106342076607957</v>
      </c>
      <c r="H362" s="1">
        <v>-0.002117623989366657</v>
      </c>
      <c r="I362" s="1">
        <v>-0.0003967434140732529</v>
      </c>
      <c r="J362" s="1">
        <v>-0.02625832698631969</v>
      </c>
      <c r="K362" s="1">
        <v>0.01938438889047456</v>
      </c>
      <c r="L362" s="1">
        <v>0.02366062025354054</v>
      </c>
      <c r="M362" s="1">
        <v>0.00507080692106654</v>
      </c>
      <c r="N362" s="1">
        <v>0.003324310111408435</v>
      </c>
      <c r="O362" s="1">
        <v>0.01203113065043815</v>
      </c>
      <c r="P362" s="1">
        <v>-0.02265482320798662</v>
      </c>
      <c r="Q362" s="1">
        <v>-0.002322886827056059</v>
      </c>
      <c r="R362" s="1">
        <v>0.0006251228391866981</v>
      </c>
      <c r="S362" s="1">
        <v>-0.01588350044929743</v>
      </c>
      <c r="T362" s="1">
        <v>0.02005953581043429</v>
      </c>
      <c r="U362" s="1">
        <v>0.00753203738270769</v>
      </c>
      <c r="V362" s="1">
        <v>0.04155211919766399</v>
      </c>
      <c r="W362" s="1">
        <v>0.0006865573223386878</v>
      </c>
      <c r="X362" s="1">
        <v>0.006384583077547967</v>
      </c>
      <c r="Y362" s="1">
        <v>0.01147442811943877</v>
      </c>
      <c r="Z362" s="1">
        <v>0.02295255353072934</v>
      </c>
    </row>
    <row r="363" spans="1:26">
      <c r="A363" s="11">
        <v>42898</v>
      </c>
      <c r="B363" s="1">
        <v>0.001654633591945398</v>
      </c>
      <c r="C363" s="1">
        <v>-0.0001575637055029055</v>
      </c>
      <c r="D363" s="1">
        <v>-0.02987580554491298</v>
      </c>
      <c r="E363" s="1">
        <v>0.01134898972572973</v>
      </c>
      <c r="F363" s="1">
        <v>0.006881369126348513</v>
      </c>
      <c r="G363" s="1">
        <v>-0.004603231683135811</v>
      </c>
      <c r="H363" s="1">
        <v>0.00619024098350085</v>
      </c>
      <c r="I363" s="1">
        <v>0.0003969008818842656</v>
      </c>
      <c r="J363" s="1">
        <v>0.005263616479028954</v>
      </c>
      <c r="K363" s="1">
        <v>-0.01426177893891245</v>
      </c>
      <c r="L363" s="1">
        <v>0.0002305179305537308</v>
      </c>
      <c r="M363" s="1">
        <v>-0.007904332788964519</v>
      </c>
      <c r="N363" s="1">
        <v>-0.0007953491651058187</v>
      </c>
      <c r="O363" s="1">
        <v>0.003579258198738389</v>
      </c>
      <c r="P363" s="1">
        <v>-0.00767919536881756</v>
      </c>
      <c r="Q363" s="1">
        <v>-0.003880226701379552</v>
      </c>
      <c r="R363" s="1">
        <v>0.00874857936767004</v>
      </c>
      <c r="S363" s="1">
        <v>0.007199704957566055</v>
      </c>
      <c r="T363" s="1">
        <v>-0.01408279308858773</v>
      </c>
      <c r="U363" s="1">
        <v>0.007218539795194934</v>
      </c>
      <c r="V363" s="1">
        <v>0.01704742501386947</v>
      </c>
      <c r="W363" s="1">
        <v>-0.008860462712853789</v>
      </c>
      <c r="X363" s="1">
        <v>-0.001057441706209472</v>
      </c>
      <c r="Y363" s="1">
        <v>0.01005984277558336</v>
      </c>
      <c r="Z363" s="1">
        <v>0.01393524441272431</v>
      </c>
    </row>
    <row r="364" spans="1:26">
      <c r="A364" s="11">
        <v>42899</v>
      </c>
      <c r="B364" s="1">
        <v>0.01652231304157681</v>
      </c>
      <c r="C364" s="1">
        <v>0.005736597708684954</v>
      </c>
      <c r="D364" s="1">
        <v>0.01277303618554648</v>
      </c>
      <c r="E364" s="1">
        <v>-0.003127426864874328</v>
      </c>
      <c r="F364" s="1">
        <v>0.006102325278227516</v>
      </c>
      <c r="G364" s="1">
        <v>0.0007115887411806021</v>
      </c>
      <c r="H364" s="1">
        <v>0.001406294056200741</v>
      </c>
      <c r="I364" s="1">
        <v>0.003333146532147557</v>
      </c>
      <c r="J364" s="1">
        <v>-0.001125594057393542</v>
      </c>
      <c r="K364" s="1">
        <v>0.01085128810099745</v>
      </c>
      <c r="L364" s="1">
        <v>0.003334012708039902</v>
      </c>
      <c r="M364" s="1">
        <v>0.003729361673639131</v>
      </c>
      <c r="N364" s="1">
        <v>0.002139177555596339</v>
      </c>
      <c r="O364" s="1">
        <v>0.001146454127411545</v>
      </c>
      <c r="P364" s="1">
        <v>0.01246809846933083</v>
      </c>
      <c r="Q364" s="1">
        <v>0.00584331187519882</v>
      </c>
      <c r="R364" s="1">
        <v>-0.003716633302593086</v>
      </c>
      <c r="S364" s="1">
        <v>0.006568699101213493</v>
      </c>
      <c r="T364" s="1">
        <v>0.01526116226030605</v>
      </c>
      <c r="U364" s="1">
        <v>-0.009982186412139771</v>
      </c>
      <c r="V364" s="1">
        <v>-0.008467299137794981</v>
      </c>
      <c r="W364" s="1">
        <v>0.009813327483063627</v>
      </c>
      <c r="X364" s="1">
        <v>0.00931416062636603</v>
      </c>
      <c r="Y364" s="1">
        <v>-0.01546941915312727</v>
      </c>
      <c r="Z364" s="1">
        <v>0.004658495290813747</v>
      </c>
    </row>
    <row r="365" spans="1:26">
      <c r="A365" s="11">
        <v>42900</v>
      </c>
      <c r="B365" s="1">
        <v>-0.0304755471262238</v>
      </c>
      <c r="C365" s="1">
        <v>0.006750706226359426</v>
      </c>
      <c r="D365" s="1">
        <v>0.00172790889631802</v>
      </c>
      <c r="E365" s="1">
        <v>0.006089676800340005</v>
      </c>
      <c r="F365" s="1">
        <v>-0.00315349699116374</v>
      </c>
      <c r="G365" s="1">
        <v>0.008531827496992328</v>
      </c>
      <c r="H365" s="1">
        <v>0.0003509852129390811</v>
      </c>
      <c r="I365" s="1">
        <v>7.926570364036323E-05</v>
      </c>
      <c r="J365" s="1">
        <v>-0.01916609819767623</v>
      </c>
      <c r="K365" s="1">
        <v>-0.001431359136236043</v>
      </c>
      <c r="L365" s="1">
        <v>-0.002062937968327017</v>
      </c>
      <c r="M365" s="1">
        <v>0.005404516214019939</v>
      </c>
      <c r="N365" s="1">
        <v>0.01067414238107789</v>
      </c>
      <c r="O365" s="1">
        <v>0.01246820254161007</v>
      </c>
      <c r="P365" s="1">
        <v>-0.005378829989121647</v>
      </c>
      <c r="Q365" s="1">
        <v>0.003872910625483117</v>
      </c>
      <c r="R365" s="1">
        <v>-0.006840060256213421</v>
      </c>
      <c r="S365" s="1">
        <v>0.007102017615977729</v>
      </c>
      <c r="T365" s="1">
        <v>-0.001585384251005073</v>
      </c>
      <c r="U365" s="1">
        <v>0.001034626164587715</v>
      </c>
      <c r="V365" s="1">
        <v>0.008365213129424731</v>
      </c>
      <c r="W365" s="1">
        <v>-0.002057909772480992</v>
      </c>
      <c r="X365" s="1">
        <v>-0.005872282293180264</v>
      </c>
      <c r="Y365" s="1">
        <v>0.004950470821851072</v>
      </c>
      <c r="Z365" s="1">
        <v>0.002318505839797425</v>
      </c>
    </row>
    <row r="366" spans="1:26">
      <c r="A366" s="11">
        <v>42901</v>
      </c>
      <c r="B366" s="1">
        <v>0.001676233512457159</v>
      </c>
      <c r="C366" s="1">
        <v>0.01595800558515892</v>
      </c>
      <c r="D366" s="1">
        <v>-0.0008622739251713529</v>
      </c>
      <c r="E366" s="1">
        <v>-0.004401851823034764</v>
      </c>
      <c r="F366" s="1">
        <v>0.008517145199818055</v>
      </c>
      <c r="G366" s="1">
        <v>0.008459473434245357</v>
      </c>
      <c r="H366" s="1">
        <v>-0.000526434918065033</v>
      </c>
      <c r="I366" s="1">
        <v>-0.0004747229480336346</v>
      </c>
      <c r="J366" s="1">
        <v>-0.007471303504943294</v>
      </c>
      <c r="K366" s="1">
        <v>0.001910803388388116</v>
      </c>
      <c r="L366" s="1">
        <v>-0.005970874399917947</v>
      </c>
      <c r="M366" s="1">
        <v>0.009742912100491496</v>
      </c>
      <c r="N366" s="1">
        <v>0.008712739383196055</v>
      </c>
      <c r="O366" s="1">
        <v>0.006534268520753672</v>
      </c>
      <c r="P366" s="1">
        <v>-0.005265201889353532</v>
      </c>
      <c r="Q366" s="1">
        <v>0.005015577368520097</v>
      </c>
      <c r="R366" s="1">
        <v>0.01909538752250262</v>
      </c>
      <c r="S366" s="1">
        <v>0.01334093482479104</v>
      </c>
      <c r="T366" s="1">
        <v>-0.003374000237469588</v>
      </c>
      <c r="U366" s="1">
        <v>0.003098733203920512</v>
      </c>
      <c r="V366" s="1">
        <v>-0.04147917078341468</v>
      </c>
      <c r="W366" s="1">
        <v>-0.002520240468312118</v>
      </c>
      <c r="X366" s="1">
        <v>-0.00232076103760348</v>
      </c>
      <c r="Y366" s="1">
        <v>-0.001070493849581022</v>
      </c>
      <c r="Z366" s="1">
        <v>-0.008327618473206289</v>
      </c>
    </row>
    <row r="367" spans="1:26">
      <c r="A367" s="11">
        <v>42902</v>
      </c>
      <c r="B367" s="1">
        <v>0.0364019967344269</v>
      </c>
      <c r="C367" s="1">
        <v>0.00506527204875562</v>
      </c>
      <c r="D367" s="1">
        <v>0</v>
      </c>
      <c r="E367" s="1">
        <v>0.003316034805455947</v>
      </c>
      <c r="F367" s="1">
        <v>-0.003860657616364449</v>
      </c>
      <c r="G367" s="1">
        <v>0.009437328340895945</v>
      </c>
      <c r="H367" s="1">
        <v>-0.03353240178681061</v>
      </c>
      <c r="I367" s="1">
        <v>0.01210736224949582</v>
      </c>
      <c r="J367" s="1">
        <v>0.004632695986122704</v>
      </c>
      <c r="K367" s="1">
        <v>-0.001907159182160778</v>
      </c>
      <c r="L367" s="1">
        <v>-0.004504773628852377</v>
      </c>
      <c r="M367" s="1">
        <v>0.002994657264068445</v>
      </c>
      <c r="N367" s="1">
        <v>0.01138595386904595</v>
      </c>
      <c r="O367" s="1">
        <v>0.002122451315043739</v>
      </c>
      <c r="P367" s="1">
        <v>0.001430494498599222</v>
      </c>
      <c r="Q367" s="1">
        <v>0.000383517279584078</v>
      </c>
      <c r="R367" s="1">
        <v>0.001535722758914115</v>
      </c>
      <c r="S367" s="1">
        <v>0.00460773407078241</v>
      </c>
      <c r="T367" s="1">
        <v>-0.00270265012099391</v>
      </c>
      <c r="U367" s="1">
        <v>0.003089596812381856</v>
      </c>
      <c r="V367" s="1">
        <v>-0.05138856796256719</v>
      </c>
      <c r="W367" s="1">
        <v>0.004192076870443318</v>
      </c>
      <c r="X367" s="1">
        <v>0.003171916934537444</v>
      </c>
      <c r="Y367" s="1">
        <v>-0.0002146396714509669</v>
      </c>
      <c r="Z367" s="1">
        <v>0.005131790242928647</v>
      </c>
    </row>
    <row r="368" spans="1:26">
      <c r="A368" s="11">
        <v>42905</v>
      </c>
      <c r="B368" s="1">
        <v>0.005651869873761983</v>
      </c>
      <c r="C368" s="1">
        <v>0.01343920841324708</v>
      </c>
      <c r="D368" s="1">
        <v>0.02796468039462097</v>
      </c>
      <c r="E368" s="1">
        <v>0.01395544059566078</v>
      </c>
      <c r="F368" s="1">
        <v>0.01259698131607068</v>
      </c>
      <c r="G368" s="1">
        <v>-0.005886452836950107</v>
      </c>
      <c r="H368" s="1">
        <v>-0.004178135160083585</v>
      </c>
      <c r="I368" s="1">
        <v>-0.007115016312069455</v>
      </c>
      <c r="J368" s="1">
        <v>0.01959654491493001</v>
      </c>
      <c r="K368" s="1">
        <v>0.01624446354164033</v>
      </c>
      <c r="L368" s="1">
        <v>0.02193103114658967</v>
      </c>
      <c r="M368" s="1">
        <v>0.01044965023533151</v>
      </c>
      <c r="N368" s="1">
        <v>0.005564149417838671</v>
      </c>
      <c r="O368" s="1">
        <v>-0.001619692173733034</v>
      </c>
      <c r="P368" s="1">
        <v>0.01242854882742295</v>
      </c>
      <c r="Q368" s="1">
        <v>0.004221499663358275</v>
      </c>
      <c r="R368" s="1">
        <v>-0.0003062784678149466</v>
      </c>
      <c r="S368" s="1">
        <v>-0.008798845619715778</v>
      </c>
      <c r="T368" s="1">
        <v>0.01839940701490472</v>
      </c>
      <c r="U368" s="1">
        <v>-0.001283258231279838</v>
      </c>
      <c r="V368" s="1">
        <v>-0.01710676152249391</v>
      </c>
      <c r="W368" s="1">
        <v>0.007949115207432689</v>
      </c>
      <c r="X368" s="1">
        <v>0.01391250114235332</v>
      </c>
      <c r="Y368" s="1">
        <v>-0.001286692300732306</v>
      </c>
      <c r="Z368" s="1">
        <v>0.006266094803693667</v>
      </c>
    </row>
    <row r="369" spans="1:26">
      <c r="A369" s="11">
        <v>42906</v>
      </c>
      <c r="B369" s="1">
        <v>-0.04215171936184003</v>
      </c>
      <c r="C369" s="1">
        <v>-0.003767264187270913</v>
      </c>
      <c r="D369" s="1">
        <v>0.005541486643375837</v>
      </c>
      <c r="E369" s="1">
        <v>0.00796795276775053</v>
      </c>
      <c r="F369" s="1">
        <v>-0.03373223491279331</v>
      </c>
      <c r="G369" s="1">
        <v>-0.01044918165117303</v>
      </c>
      <c r="H369" s="1">
        <v>-0.002736269214528853</v>
      </c>
      <c r="I369" s="1">
        <v>-0.007480673986132058</v>
      </c>
      <c r="J369" s="1">
        <v>0.007913807354439362</v>
      </c>
      <c r="K369" s="1">
        <v>-0.0124589399982834</v>
      </c>
      <c r="L369" s="1">
        <v>-0.006245296783209842</v>
      </c>
      <c r="M369" s="1">
        <v>-0.009685000376277952</v>
      </c>
      <c r="N369" s="1">
        <v>-0.004889951333813092</v>
      </c>
      <c r="O369" s="1">
        <v>-0.004242672417837379</v>
      </c>
      <c r="P369" s="1">
        <v>-0.01354550264890308</v>
      </c>
      <c r="Q369" s="1">
        <v>0.002292511182383938</v>
      </c>
      <c r="R369" s="1">
        <v>-0.01840790523295133</v>
      </c>
      <c r="S369" s="1">
        <v>-0.0001418257874082895</v>
      </c>
      <c r="T369" s="1">
        <v>0.002689293660586456</v>
      </c>
      <c r="U369" s="1">
        <v>-0.006424970803219243</v>
      </c>
      <c r="V369" s="1">
        <v>-0.01547079226290005</v>
      </c>
      <c r="W369" s="1">
        <v>-0.003290517471438159</v>
      </c>
      <c r="X369" s="1">
        <v>-0.02536401045043946</v>
      </c>
      <c r="Y369" s="1">
        <v>-0.01352804807615826</v>
      </c>
      <c r="Z369" s="1">
        <v>-0.009225296828360707</v>
      </c>
    </row>
    <row r="370" spans="1:26">
      <c r="A370" s="11">
        <v>42907</v>
      </c>
      <c r="B370" s="1">
        <v>-0.04316886500569939</v>
      </c>
      <c r="C370" s="1">
        <v>0.004235317478980205</v>
      </c>
      <c r="D370" s="1">
        <v>0.002839223210224118</v>
      </c>
      <c r="E370" s="1">
        <v>0.007365883955275043</v>
      </c>
      <c r="F370" s="1">
        <v>-0.002723520300915383</v>
      </c>
      <c r="G370" s="1">
        <v>-0.01513556052968201</v>
      </c>
      <c r="H370" s="1">
        <v>-0.01042623405159337</v>
      </c>
      <c r="I370" s="1">
        <v>-0.009996962656986019</v>
      </c>
      <c r="J370" s="1">
        <v>-0.006729982537987511</v>
      </c>
      <c r="K370" s="1">
        <v>-0.01332987906485406</v>
      </c>
      <c r="L370" s="1">
        <v>-0.004570396526917153</v>
      </c>
      <c r="M370" s="1">
        <v>0.01160273199665007</v>
      </c>
      <c r="N370" s="1">
        <v>-0.003879523738384405</v>
      </c>
      <c r="O370" s="1">
        <v>-0.005012547353344665</v>
      </c>
      <c r="P370" s="1">
        <v>0.005148981749723669</v>
      </c>
      <c r="Q370" s="1">
        <v>-0.008005827537951204</v>
      </c>
      <c r="R370" s="1">
        <v>-0.01937841573415644</v>
      </c>
      <c r="S370" s="1">
        <v>0.002597572789069913</v>
      </c>
      <c r="T370" s="1">
        <v>-0.007151613284636094</v>
      </c>
      <c r="U370" s="1">
        <v>-0.01319184191145106</v>
      </c>
      <c r="V370" s="1">
        <v>-0.00766098285120953</v>
      </c>
      <c r="W370" s="1">
        <v>-0.0003983718344430232</v>
      </c>
      <c r="X370" s="1">
        <v>-0.01471847475791754</v>
      </c>
      <c r="Y370" s="1">
        <v>-0.01153693812325252</v>
      </c>
      <c r="Z370" s="1">
        <v>-0.01466489709974639</v>
      </c>
    </row>
    <row r="371" spans="1:26">
      <c r="A371" s="11">
        <v>42908</v>
      </c>
      <c r="B371" s="1">
        <v>-0.0006564951752071613</v>
      </c>
      <c r="C371" s="1">
        <v>0.001355517685473151</v>
      </c>
      <c r="D371" s="1">
        <v>0.01049130745643079</v>
      </c>
      <c r="E371" s="1">
        <v>0.02247217158592862</v>
      </c>
      <c r="F371" s="1">
        <v>-0.008440648875286949</v>
      </c>
      <c r="G371" s="1">
        <v>0.003931110525880355</v>
      </c>
      <c r="H371" s="1">
        <v>-0.002772386804331228</v>
      </c>
      <c r="I371" s="1">
        <v>-0.007372946114654999</v>
      </c>
      <c r="J371" s="1">
        <v>0</v>
      </c>
      <c r="K371" s="1">
        <v>0.008926479787815245</v>
      </c>
      <c r="L371" s="1">
        <v>-0.001147901142087293</v>
      </c>
      <c r="M371" s="1">
        <v>0.008028834254033779</v>
      </c>
      <c r="N371" s="1">
        <v>-0.007140080546280458</v>
      </c>
      <c r="O371" s="1">
        <v>-0.009068151952255854</v>
      </c>
      <c r="P371" s="1">
        <v>-0.0001422362503307184</v>
      </c>
      <c r="Q371" s="1">
        <v>-0.003843534924983127</v>
      </c>
      <c r="R371" s="1">
        <v>0</v>
      </c>
      <c r="S371" s="1">
        <v>-0.005275795575521713</v>
      </c>
      <c r="T371" s="1">
        <v>-0.001829084664208613</v>
      </c>
      <c r="U371" s="1">
        <v>-0.001310630786098166</v>
      </c>
      <c r="V371" s="1">
        <v>0.002177128615864721</v>
      </c>
      <c r="W371" s="1">
        <v>-0.0007407267429629938</v>
      </c>
      <c r="X371" s="1">
        <v>-0.01775293379676202</v>
      </c>
      <c r="Y371" s="1">
        <v>0.000220175426822955</v>
      </c>
      <c r="Z371" s="1">
        <v>-0.0007085538161358818</v>
      </c>
    </row>
    <row r="372" spans="1:26">
      <c r="A372" s="11">
        <v>42909</v>
      </c>
      <c r="B372" s="1">
        <v>0.009861666532556601</v>
      </c>
      <c r="C372" s="1">
        <v>0.01398916469200473</v>
      </c>
      <c r="D372" s="1">
        <v>0.01153577876669165</v>
      </c>
      <c r="E372" s="1">
        <v>-0.01203566021640246</v>
      </c>
      <c r="F372" s="1">
        <v>-0.01101669101623393</v>
      </c>
      <c r="G372" s="1">
        <v>-0.001423921723357369</v>
      </c>
      <c r="H372" s="1">
        <v>-0.006858051996432524</v>
      </c>
      <c r="I372" s="1">
        <v>-0.002099036845353841</v>
      </c>
      <c r="J372" s="1">
        <v>0.005081797337798122</v>
      </c>
      <c r="K372" s="1">
        <v>0</v>
      </c>
      <c r="L372" s="1">
        <v>-0.001838842080201908</v>
      </c>
      <c r="M372" s="1">
        <v>0.006501804952131263</v>
      </c>
      <c r="N372" s="1">
        <v>0.0001307321221404312</v>
      </c>
      <c r="O372" s="1">
        <v>-0.007879620138096399</v>
      </c>
      <c r="P372" s="1">
        <v>0.01352126875497195</v>
      </c>
      <c r="Q372" s="1">
        <v>-0.004243904431639911</v>
      </c>
      <c r="R372" s="1">
        <v>-0.003824174949941028</v>
      </c>
      <c r="S372" s="1">
        <v>0.00913943392106864</v>
      </c>
      <c r="T372" s="1">
        <v>0.006624207268521642</v>
      </c>
      <c r="U372" s="1">
        <v>-0.003937242907469218</v>
      </c>
      <c r="V372" s="1">
        <v>0.002567884008999766</v>
      </c>
      <c r="W372" s="1">
        <v>-0.005869994671020673</v>
      </c>
      <c r="X372" s="1">
        <v>0.009036983448236668</v>
      </c>
      <c r="Y372" s="1">
        <v>-0.0006601027671683246</v>
      </c>
      <c r="Z372" s="1">
        <v>-0.008747120449886125</v>
      </c>
    </row>
    <row r="373" spans="1:26">
      <c r="A373" s="11">
        <v>42912</v>
      </c>
      <c r="B373" s="1">
        <v>0.002821482177180812</v>
      </c>
      <c r="C373" s="1">
        <v>-0.01112591338324609</v>
      </c>
      <c r="D373" s="1">
        <v>-0.006516944869012997</v>
      </c>
      <c r="E373" s="1">
        <v>0.004943559465201419</v>
      </c>
      <c r="F373" s="1">
        <v>0.002278626813243978</v>
      </c>
      <c r="G373" s="1">
        <v>0.01176516174366582</v>
      </c>
      <c r="H373" s="1">
        <v>0.003919270253258667</v>
      </c>
      <c r="I373" s="1">
        <v>-0.002022946336427855</v>
      </c>
      <c r="J373" s="1">
        <v>0.02022478035774355</v>
      </c>
      <c r="K373" s="1">
        <v>0.01780139366292199</v>
      </c>
      <c r="L373" s="1">
        <v>0.004374902929142888</v>
      </c>
      <c r="M373" s="1">
        <v>-0.00274517429790877</v>
      </c>
      <c r="N373" s="1">
        <v>0.0005229568882274549</v>
      </c>
      <c r="O373" s="1">
        <v>0.001152948332227011</v>
      </c>
      <c r="P373" s="1">
        <v>-0.009549244982947958</v>
      </c>
      <c r="Q373" s="1">
        <v>0.01046118968059195</v>
      </c>
      <c r="R373" s="1">
        <v>0.01087813092837364</v>
      </c>
      <c r="S373" s="1">
        <v>-0.002909752666335752</v>
      </c>
      <c r="T373" s="1">
        <v>0.00526496625466244</v>
      </c>
      <c r="U373" s="1">
        <v>0.005270344326739895</v>
      </c>
      <c r="V373" s="1">
        <v>0.01418472099388013</v>
      </c>
      <c r="W373" s="1">
        <v>-0.006936365666699307</v>
      </c>
      <c r="X373" s="1">
        <v>-0.004587019798209635</v>
      </c>
      <c r="Y373" s="1">
        <v>0.007931266117330971</v>
      </c>
      <c r="Z373" s="1">
        <v>0.009778239646501374</v>
      </c>
    </row>
    <row r="374" spans="1:26">
      <c r="A374" s="11">
        <v>42913</v>
      </c>
      <c r="B374" s="1">
        <v>0</v>
      </c>
      <c r="C374" s="1">
        <v>-0.00545039552191251</v>
      </c>
      <c r="D374" s="1">
        <v>-0.004755582798770419</v>
      </c>
      <c r="E374" s="1">
        <v>-0.01792005143949071</v>
      </c>
      <c r="F374" s="1">
        <v>-0.008588348687259661</v>
      </c>
      <c r="G374" s="1">
        <v>-0.007047653185869973</v>
      </c>
      <c r="H374" s="1">
        <v>-0.01691750186017793</v>
      </c>
      <c r="I374" s="1">
        <v>-0.01094420231110405</v>
      </c>
      <c r="J374" s="1">
        <v>-0.02147594871053637</v>
      </c>
      <c r="K374" s="1">
        <v>-0.003781732988128117</v>
      </c>
      <c r="L374" s="1">
        <v>0.009284798427237062</v>
      </c>
      <c r="M374" s="1">
        <v>-0.003886621517280475</v>
      </c>
      <c r="N374" s="1">
        <v>-0.01502688604870095</v>
      </c>
      <c r="O374" s="1">
        <v>-0.00307091183287278</v>
      </c>
      <c r="P374" s="1">
        <v>-0.01871553769919188</v>
      </c>
      <c r="Q374" s="1">
        <v>-0.007669190493341582</v>
      </c>
      <c r="R374" s="1">
        <v>-0.006171918845963131</v>
      </c>
      <c r="S374" s="1">
        <v>-0.01044719454500553</v>
      </c>
      <c r="T374" s="1">
        <v>-0.002284526841995427</v>
      </c>
      <c r="U374" s="1">
        <v>-0.01179548679747522</v>
      </c>
      <c r="V374" s="1">
        <v>0.0114605535157577</v>
      </c>
      <c r="W374" s="1">
        <v>0.002713310046701611</v>
      </c>
      <c r="X374" s="1">
        <v>0.01931081808054147</v>
      </c>
      <c r="Y374" s="1">
        <v>-0.01989092097859113</v>
      </c>
      <c r="Z374" s="1">
        <v>0.004723771147153277</v>
      </c>
    </row>
    <row r="375" spans="1:26">
      <c r="A375" s="11">
        <v>42914</v>
      </c>
      <c r="B375" s="1">
        <v>0.02012561416865766</v>
      </c>
      <c r="C375" s="1">
        <v>0.003670228227000916</v>
      </c>
      <c r="D375" s="1">
        <v>0.002965938134891433</v>
      </c>
      <c r="E375" s="1">
        <v>-0.0005364798621693145</v>
      </c>
      <c r="F375" s="1">
        <v>0.01554143882042225</v>
      </c>
      <c r="G375" s="1">
        <v>-0.01242017084211622</v>
      </c>
      <c r="H375" s="1">
        <v>0.0001890151140764296</v>
      </c>
      <c r="I375" s="1">
        <v>0.01705104255525924</v>
      </c>
      <c r="J375" s="1">
        <v>0.0146315495542626</v>
      </c>
      <c r="K375" s="1">
        <v>0.01731914317612149</v>
      </c>
      <c r="L375" s="1">
        <v>0.02010237811803517</v>
      </c>
      <c r="M375" s="1">
        <v>0.008128645820757008</v>
      </c>
      <c r="N375" s="1">
        <v>0.006102416048580528</v>
      </c>
      <c r="O375" s="1">
        <v>0.01026805780114115</v>
      </c>
      <c r="P375" s="1">
        <v>0.008525220046563753</v>
      </c>
      <c r="Q375" s="1">
        <v>-0.01506910325160427</v>
      </c>
      <c r="R375" s="1">
        <v>0.04076413603259943</v>
      </c>
      <c r="S375" s="1">
        <v>-0.003947590825153169</v>
      </c>
      <c r="T375" s="1">
        <v>0.008013284608660021</v>
      </c>
      <c r="U375" s="1">
        <v>0.006365592949280519</v>
      </c>
      <c r="V375" s="1">
        <v>-0.0001920815671779819</v>
      </c>
      <c r="W375" s="1">
        <v>0.01191719840902161</v>
      </c>
      <c r="X375" s="1">
        <v>0.01141010416403465</v>
      </c>
      <c r="Y375" s="1">
        <v>0</v>
      </c>
      <c r="Z375" s="1">
        <v>0.01010800149469704</v>
      </c>
    </row>
    <row r="376" spans="1:26">
      <c r="A376" s="11">
        <v>42915</v>
      </c>
      <c r="B376" s="1">
        <v>0.006575913490168173</v>
      </c>
      <c r="C376" s="1">
        <v>-0.01082042659015692</v>
      </c>
      <c r="D376" s="1">
        <v>-0.01166411253082722</v>
      </c>
      <c r="E376" s="1">
        <v>-0.0008946771180536883</v>
      </c>
      <c r="F376" s="1">
        <v>-0.02483708272279972</v>
      </c>
      <c r="G376" s="1">
        <v>-0.01329502909335334</v>
      </c>
      <c r="H376" s="1">
        <v>-0.01701639740074379</v>
      </c>
      <c r="I376" s="1">
        <v>-0.01263457824670244</v>
      </c>
      <c r="J376" s="1">
        <v>-0.02551315480902405</v>
      </c>
      <c r="K376" s="1">
        <v>-0.007695856931498879</v>
      </c>
      <c r="L376" s="1">
        <v>0.01480738438915363</v>
      </c>
      <c r="M376" s="1">
        <v>-0.00322528301787528</v>
      </c>
      <c r="N376" s="1">
        <v>-0.01898721948391968</v>
      </c>
      <c r="O376" s="1">
        <v>-0.01333990836205357</v>
      </c>
      <c r="P376" s="1">
        <v>-0.0187683750448614</v>
      </c>
      <c r="Q376" s="1">
        <v>-0.003923050440757359</v>
      </c>
      <c r="R376" s="1">
        <v>-0.0007643392764627999</v>
      </c>
      <c r="S376" s="1">
        <v>-0.008928331048447702</v>
      </c>
      <c r="T376" s="1">
        <v>-0.02323882490771789</v>
      </c>
      <c r="U376" s="1">
        <v>-0.008434111453947346</v>
      </c>
      <c r="V376" s="1">
        <v>0.0005762592533937738</v>
      </c>
      <c r="W376" s="1">
        <v>-0.01069631148898642</v>
      </c>
      <c r="X376" s="1">
        <v>-0.007237196973706173</v>
      </c>
      <c r="Y376" s="1">
        <v>-0.009589582328270785</v>
      </c>
      <c r="Z376" s="1">
        <v>0.02373778690569273</v>
      </c>
    </row>
    <row r="377" spans="1:26">
      <c r="A377" s="11">
        <v>42916</v>
      </c>
      <c r="B377" s="1">
        <v>0.01011616470694432</v>
      </c>
      <c r="C377" s="1">
        <v>0.001468455635885269</v>
      </c>
      <c r="D377" s="1">
        <v>0.006316545494046366</v>
      </c>
      <c r="E377" s="1">
        <v>-0.00179201470781476</v>
      </c>
      <c r="F377" s="1">
        <v>0.005373428453326889</v>
      </c>
      <c r="G377" s="1">
        <v>-0.00291299618739127</v>
      </c>
      <c r="H377" s="1">
        <v>0.003077360275116625</v>
      </c>
      <c r="I377" s="1">
        <v>0.01378050350587978</v>
      </c>
      <c r="J377" s="1">
        <v>-0.005122365087853242</v>
      </c>
      <c r="K377" s="1">
        <v>0.01903609232140235</v>
      </c>
      <c r="L377" s="1">
        <v>0.002742498869136023</v>
      </c>
      <c r="M377" s="1">
        <v>0.005338856694054872</v>
      </c>
      <c r="N377" s="1">
        <v>0.0009411068634253006</v>
      </c>
      <c r="O377" s="1">
        <v>0.003862801836144847</v>
      </c>
      <c r="P377" s="1">
        <v>0.006424494060932817</v>
      </c>
      <c r="Q377" s="1">
        <v>-0.001181469636755361</v>
      </c>
      <c r="R377" s="1">
        <v>0.011177111236917</v>
      </c>
      <c r="S377" s="1">
        <v>0.004624700060789966</v>
      </c>
      <c r="T377" s="1">
        <v>-0.004764309075754203</v>
      </c>
      <c r="U377" s="1">
        <v>0.002924087192366809</v>
      </c>
      <c r="V377" s="1">
        <v>0.003839579866125042</v>
      </c>
      <c r="W377" s="1">
        <v>0.00333562657472819</v>
      </c>
      <c r="X377" s="1">
        <v>0.009863003130699655</v>
      </c>
      <c r="Y377" s="1">
        <v>0.005629395821084682</v>
      </c>
      <c r="Z377" s="1">
        <v>-0.001818635305638416</v>
      </c>
    </row>
    <row r="378" spans="1:26">
      <c r="A378" s="11">
        <v>42919</v>
      </c>
      <c r="B378" s="1">
        <v>0.02920920205227717</v>
      </c>
      <c r="C378" s="1">
        <v>0.004247904197206775</v>
      </c>
      <c r="D378" s="1">
        <v>-0.004955379933112902</v>
      </c>
      <c r="E378" s="1">
        <v>0.009871028366474022</v>
      </c>
      <c r="F378" s="1">
        <v>-0.0143888055939998</v>
      </c>
      <c r="G378" s="1">
        <v>0.007304411032758029</v>
      </c>
      <c r="H378" s="1">
        <v>0.0007670572865947634</v>
      </c>
      <c r="I378" s="1">
        <v>0.01100407567786665</v>
      </c>
      <c r="J378" s="1">
        <v>0.004576889491372915</v>
      </c>
      <c r="K378" s="1">
        <v>-0.00253699597512802</v>
      </c>
      <c r="L378" s="1">
        <v>0.02035220560911211</v>
      </c>
      <c r="M378" s="1">
        <v>-0.00112649790129582</v>
      </c>
      <c r="N378" s="1">
        <v>0.0008055638564385958</v>
      </c>
      <c r="O378" s="1">
        <v>0.0006411699054320597</v>
      </c>
      <c r="P378" s="1">
        <v>-0.01102603348453235</v>
      </c>
      <c r="Q378" s="1">
        <v>-0.001577425787494757</v>
      </c>
      <c r="R378" s="1">
        <v>0.01453671025623327</v>
      </c>
      <c r="S378" s="1">
        <v>0.02014101285254544</v>
      </c>
      <c r="T378" s="1">
        <v>0.006468013358748692</v>
      </c>
      <c r="U378" s="1">
        <v>0.01007171350920588</v>
      </c>
      <c r="V378" s="1">
        <v>0.006884502641258061</v>
      </c>
      <c r="W378" s="1">
        <v>-0.0003439640411343481</v>
      </c>
      <c r="X378" s="1">
        <v>0.01337564315749606</v>
      </c>
      <c r="Y378" s="1">
        <v>0.007612809913878138</v>
      </c>
      <c r="Z378" s="1">
        <v>0.01867416806739741</v>
      </c>
    </row>
    <row r="379" spans="1:26">
      <c r="A379" s="11">
        <v>42921</v>
      </c>
      <c r="B379" s="1">
        <v>-0.03405675811301712</v>
      </c>
      <c r="C379" s="1">
        <v>0.01621423759838403</v>
      </c>
      <c r="D379" s="1">
        <v>0.007801873577711005</v>
      </c>
      <c r="E379" s="1">
        <v>0.008410815770880653</v>
      </c>
      <c r="F379" s="1">
        <v>0.009124468881323899</v>
      </c>
      <c r="G379" s="1">
        <v>-0.004713570861608507</v>
      </c>
      <c r="H379" s="1">
        <v>-0.003640832705363306</v>
      </c>
      <c r="I379" s="1">
        <v>0.005202146016372922</v>
      </c>
      <c r="J379" s="1">
        <v>0.005125057525813936</v>
      </c>
      <c r="K379" s="1">
        <v>0.007399084250605314</v>
      </c>
      <c r="L379" s="1">
        <v>0.0100270206503108</v>
      </c>
      <c r="M379" s="1">
        <v>0.01756101339393457</v>
      </c>
      <c r="N379" s="1">
        <v>0.001073121295474877</v>
      </c>
      <c r="O379" s="1">
        <v>0.001410266649408465</v>
      </c>
      <c r="P379" s="1">
        <v>0.01334977763568279</v>
      </c>
      <c r="Q379" s="1">
        <v>0.001184432238994004</v>
      </c>
      <c r="R379" s="1">
        <v>-0.009104506965290304</v>
      </c>
      <c r="S379" s="1">
        <v>-0.02195255933005691</v>
      </c>
      <c r="T379" s="1">
        <v>-0.006086697511641148</v>
      </c>
      <c r="U379" s="1">
        <v>0.0002617790243446549</v>
      </c>
      <c r="V379" s="1">
        <v>-0.009306602759121874</v>
      </c>
      <c r="W379" s="1">
        <v>0.007625903283590585</v>
      </c>
      <c r="X379" s="1">
        <v>0.006285515264233377</v>
      </c>
      <c r="Y379" s="1">
        <v>-0.0077777550871031</v>
      </c>
      <c r="Z379" s="1">
        <v>0.0002240212055304447</v>
      </c>
    </row>
    <row r="380" spans="1:26">
      <c r="A380" s="11">
        <v>42922</v>
      </c>
      <c r="B380" s="1">
        <v>-0.03945415360122151</v>
      </c>
      <c r="C380" s="1">
        <v>-0.001635080021186952</v>
      </c>
      <c r="D380" s="1">
        <v>-0.009059292608951441</v>
      </c>
      <c r="E380" s="1">
        <v>-0.01898830603707369</v>
      </c>
      <c r="F380" s="1">
        <v>-0.01188374174553775</v>
      </c>
      <c r="G380" s="1">
        <v>-0.006192922332480255</v>
      </c>
      <c r="H380" s="1">
        <v>-0.006153539440534206</v>
      </c>
      <c r="I380" s="1">
        <v>-0.004060482026816303</v>
      </c>
      <c r="J380" s="1">
        <v>-0.02606237550844204</v>
      </c>
      <c r="K380" s="1">
        <v>-0.0119347205136735</v>
      </c>
      <c r="L380" s="1">
        <v>-0.00320261561591284</v>
      </c>
      <c r="M380" s="1">
        <v>0.003166285768114063</v>
      </c>
      <c r="N380" s="1">
        <v>-0.00388694857773153</v>
      </c>
      <c r="O380" s="1">
        <v>-0.005760429125671984</v>
      </c>
      <c r="P380" s="1">
        <v>-0.007383278991488273</v>
      </c>
      <c r="Q380" s="1">
        <v>-0.005916469798223356</v>
      </c>
      <c r="R380" s="1">
        <v>0.01220044865051007</v>
      </c>
      <c r="S380" s="1">
        <v>-0.01297696403230797</v>
      </c>
      <c r="T380" s="1">
        <v>-0.003560458882497453</v>
      </c>
      <c r="U380" s="1">
        <v>-0.007771780306877307</v>
      </c>
      <c r="V380" s="1">
        <v>-0.01380380256453817</v>
      </c>
      <c r="W380" s="1">
        <v>-0.003983290185402111</v>
      </c>
      <c r="X380" s="1">
        <v>-0.01249242829547592</v>
      </c>
      <c r="Y380" s="1">
        <v>-0.01252484036285162</v>
      </c>
      <c r="Z380" s="1">
        <v>-0.0138580378848131</v>
      </c>
    </row>
    <row r="381" spans="1:26">
      <c r="A381" s="11">
        <v>42923</v>
      </c>
      <c r="B381" s="1">
        <v>-0.01442016754291364</v>
      </c>
      <c r="C381" s="1">
        <v>0.004417292704313791</v>
      </c>
      <c r="D381" s="1">
        <v>0.009308612661637961</v>
      </c>
      <c r="E381" s="1">
        <v>0.01139671713042878</v>
      </c>
      <c r="F381" s="1">
        <v>0.008366433660642603</v>
      </c>
      <c r="G381" s="1">
        <v>0.001466107992627252</v>
      </c>
      <c r="H381" s="1">
        <v>-0.001934978709916879</v>
      </c>
      <c r="I381" s="1">
        <v>0.01239116805283258</v>
      </c>
      <c r="J381" s="1">
        <v>0.009307977961408254</v>
      </c>
      <c r="K381" s="1">
        <v>0.0025552640878439</v>
      </c>
      <c r="L381" s="1">
        <v>0.005033527456952847</v>
      </c>
      <c r="M381" s="1">
        <v>0.01388898580972775</v>
      </c>
      <c r="N381" s="1">
        <v>-0.0009418213698053624</v>
      </c>
      <c r="O381" s="1">
        <v>0.01339025523924287</v>
      </c>
      <c r="P381" s="1">
        <v>0.01297932828170634</v>
      </c>
      <c r="Q381" s="1">
        <v>0.004761610705236174</v>
      </c>
      <c r="R381" s="1">
        <v>0.006249827012753784</v>
      </c>
      <c r="S381" s="1">
        <v>0.008132162449533409</v>
      </c>
      <c r="T381" s="1">
        <v>0.00628851999277491</v>
      </c>
      <c r="U381" s="1">
        <v>-0.005379419945903186</v>
      </c>
      <c r="V381" s="1">
        <v>-0.007192698076299742</v>
      </c>
      <c r="W381" s="1">
        <v>0.01399686844145487</v>
      </c>
      <c r="X381" s="1">
        <v>0.01328307193188283</v>
      </c>
      <c r="Y381" s="1">
        <v>-0.0009192292312316663</v>
      </c>
      <c r="Z381" s="1">
        <v>0.007253222615766663</v>
      </c>
    </row>
    <row r="382" spans="1:26">
      <c r="A382" s="11">
        <v>42926</v>
      </c>
      <c r="B382" s="1">
        <v>0.04433638135973883</v>
      </c>
      <c r="C382" s="1">
        <v>0.007856944523352505</v>
      </c>
      <c r="D382" s="1">
        <v>-0.002799944682761235</v>
      </c>
      <c r="E382" s="1">
        <v>0.0003572725322753545</v>
      </c>
      <c r="F382" s="1">
        <v>0.004926076197448781</v>
      </c>
      <c r="G382" s="1">
        <v>-0.00183013669395915</v>
      </c>
      <c r="H382" s="1">
        <v>-0.01202046097254494</v>
      </c>
      <c r="I382" s="1">
        <v>0.01184422491730008</v>
      </c>
      <c r="J382" s="1">
        <v>0.02997132823338311</v>
      </c>
      <c r="K382" s="1">
        <v>0.005097070351914645</v>
      </c>
      <c r="L382" s="1">
        <v>-0.007032350982129287</v>
      </c>
      <c r="M382" s="1">
        <v>-0.01727873418071701</v>
      </c>
      <c r="N382" s="1">
        <v>-0.007542172234113242</v>
      </c>
      <c r="O382" s="1">
        <v>-0.003064074898901037</v>
      </c>
      <c r="P382" s="1">
        <v>0.007486543547250424</v>
      </c>
      <c r="Q382" s="1">
        <v>-0.004344673224075613</v>
      </c>
      <c r="R382" s="1">
        <v>0.01271803606317201</v>
      </c>
      <c r="S382" s="1">
        <v>-0.01767871511437391</v>
      </c>
      <c r="T382" s="1">
        <v>-0.0002838307659410733</v>
      </c>
      <c r="U382" s="1">
        <v>-0.004056016129129758</v>
      </c>
      <c r="V382" s="1">
        <v>-0.01742735416800423</v>
      </c>
      <c r="W382" s="1">
        <v>0.001014246186060497</v>
      </c>
      <c r="X382" s="1">
        <v>0.009571021464831908</v>
      </c>
      <c r="Y382" s="1">
        <v>-0.006439808033099181</v>
      </c>
      <c r="Z382" s="1">
        <v>0.004950262215055901</v>
      </c>
    </row>
    <row r="383" spans="1:26">
      <c r="A383" s="11">
        <v>42927</v>
      </c>
      <c r="B383" s="1">
        <v>0.001910309081411432</v>
      </c>
      <c r="C383" s="1">
        <v>0.01132570151164436</v>
      </c>
      <c r="D383" s="1">
        <v>0.001321299218049798</v>
      </c>
      <c r="E383" s="1">
        <v>-0.01072750499368891</v>
      </c>
      <c r="F383" s="1">
        <v>0.0002579856786453227</v>
      </c>
      <c r="G383" s="1">
        <v>-0.004033460978990711</v>
      </c>
      <c r="H383" s="1">
        <v>0.009879683119306426</v>
      </c>
      <c r="I383" s="1">
        <v>-0.0006240376010275828</v>
      </c>
      <c r="J383" s="1">
        <v>0.003917265800580383</v>
      </c>
      <c r="K383" s="1">
        <v>-0.006915556884289242</v>
      </c>
      <c r="L383" s="1">
        <v>-0.003863220537563938</v>
      </c>
      <c r="M383" s="1">
        <v>-0.02090937414875882</v>
      </c>
      <c r="N383" s="1">
        <v>-0.003528129678500358</v>
      </c>
      <c r="O383" s="1">
        <v>-0.008707581767763428</v>
      </c>
      <c r="P383" s="1">
        <v>0.0001423435472964751</v>
      </c>
      <c r="Q383" s="1">
        <v>-0.001586507093266021</v>
      </c>
      <c r="R383" s="1">
        <v>0.0005843648882535302</v>
      </c>
      <c r="S383" s="1">
        <v>-0.0005409869671917367</v>
      </c>
      <c r="T383" s="1">
        <v>0.003807506975012087</v>
      </c>
      <c r="U383" s="1">
        <v>-0.006245164103548695</v>
      </c>
      <c r="V383" s="1">
        <v>0.00458367541975635</v>
      </c>
      <c r="W383" s="1">
        <v>0.005459715863605163</v>
      </c>
      <c r="X383" s="1">
        <v>0.004328063643660673</v>
      </c>
      <c r="Y383" s="1">
        <v>-0.007175463515316949</v>
      </c>
      <c r="Z383" s="1">
        <v>0.01209128551711003</v>
      </c>
    </row>
    <row r="384" spans="1:26">
      <c r="A384" s="11">
        <v>42928</v>
      </c>
      <c r="B384" s="1">
        <v>0.008051011001559694</v>
      </c>
      <c r="C384" s="1">
        <v>0.000824160705213961</v>
      </c>
      <c r="D384" s="1">
        <v>0.01072078045849456</v>
      </c>
      <c r="E384" s="1">
        <v>-0.005241407252216335</v>
      </c>
      <c r="F384" s="1">
        <v>0.006448045472015052</v>
      </c>
      <c r="G384" s="1">
        <v>0.01178161205024275</v>
      </c>
      <c r="H384" s="1">
        <v>0.005478304087756625</v>
      </c>
      <c r="I384" s="1">
        <v>-0.03576439588060898</v>
      </c>
      <c r="J384" s="1">
        <v>0.005573976958455518</v>
      </c>
      <c r="K384" s="1">
        <v>0.007428496739217083</v>
      </c>
      <c r="L384" s="1">
        <v>-0.003447117535406496</v>
      </c>
      <c r="M384" s="1">
        <v>0.004368300689431504</v>
      </c>
      <c r="N384" s="1">
        <v>0.00626447101775085</v>
      </c>
      <c r="O384" s="1">
        <v>0.009688945191225207</v>
      </c>
      <c r="P384" s="1">
        <v>0.01657463756820232</v>
      </c>
      <c r="Q384" s="1">
        <v>0.01589180878983809</v>
      </c>
      <c r="R384" s="1">
        <v>0</v>
      </c>
      <c r="S384" s="1">
        <v>0.01549757439812116</v>
      </c>
      <c r="T384" s="1">
        <v>0.007615060758725534</v>
      </c>
      <c r="U384" s="1">
        <v>0.006284411283307145</v>
      </c>
      <c r="V384" s="1">
        <v>0.009125423104048069</v>
      </c>
      <c r="W384" s="1">
        <v>0.008732551588417792</v>
      </c>
      <c r="X384" s="1">
        <v>0.001641609171525671</v>
      </c>
      <c r="Y384" s="1">
        <v>0.007693906577158183</v>
      </c>
      <c r="Z384" s="1">
        <v>-0.009070774636809054</v>
      </c>
    </row>
    <row r="385" spans="1:26">
      <c r="A385" s="11">
        <v>42929</v>
      </c>
      <c r="B385" s="1">
        <v>0.01387160570698009</v>
      </c>
      <c r="C385" s="1">
        <v>-0.001017233271403573</v>
      </c>
      <c r="D385" s="1">
        <v>0.0003263357642180331</v>
      </c>
      <c r="E385" s="1">
        <v>-0.006722157445841703</v>
      </c>
      <c r="F385" s="1">
        <v>0.007432001123579779</v>
      </c>
      <c r="G385" s="1">
        <v>-0.004366772955244902</v>
      </c>
      <c r="H385" s="1">
        <v>-0.0007781574443780359</v>
      </c>
      <c r="I385" s="1">
        <v>0.007612448323019994</v>
      </c>
      <c r="J385" s="1">
        <v>0.002217188484945343</v>
      </c>
      <c r="K385" s="1">
        <v>0.003455860704413061</v>
      </c>
      <c r="L385" s="1">
        <v>0.006377859287713727</v>
      </c>
      <c r="M385" s="1">
        <v>-0.0009666113533651766</v>
      </c>
      <c r="N385" s="1">
        <v>-0.005548598412502659</v>
      </c>
      <c r="O385" s="1">
        <v>0.007420398967971309</v>
      </c>
      <c r="P385" s="1">
        <v>0.008713366034634795</v>
      </c>
      <c r="Q385" s="1">
        <v>-0.008603991026246649</v>
      </c>
      <c r="R385" s="1">
        <v>-0.003794625807732821</v>
      </c>
      <c r="S385" s="1">
        <v>-0.007703290232550675</v>
      </c>
      <c r="T385" s="1">
        <v>-0.002276174063114644</v>
      </c>
      <c r="U385" s="1">
        <v>-0.01683416684636296</v>
      </c>
      <c r="V385" s="1">
        <v>0.04796531981094887</v>
      </c>
      <c r="W385" s="1">
        <v>-0.0009436622189578081</v>
      </c>
      <c r="X385" s="1">
        <v>0.007785753674813156</v>
      </c>
      <c r="Y385" s="1">
        <v>0.006246964127754939</v>
      </c>
      <c r="Z385" s="1">
        <v>0.004688650913465597</v>
      </c>
    </row>
    <row r="386" spans="1:26">
      <c r="A386" s="11">
        <v>42930</v>
      </c>
      <c r="B386" s="1">
        <v>0.006633059060039415</v>
      </c>
      <c r="C386" s="1">
        <v>0.01105561635314412</v>
      </c>
      <c r="D386" s="1">
        <v>0.01321379846299342</v>
      </c>
      <c r="E386" s="1">
        <v>0.008779852620593109</v>
      </c>
      <c r="F386" s="1">
        <v>-0.002798138151249296</v>
      </c>
      <c r="G386" s="1">
        <v>0.009503130012337824</v>
      </c>
      <c r="H386" s="1">
        <v>0.007400076406979483</v>
      </c>
      <c r="I386" s="1">
        <v>0.008438976531153219</v>
      </c>
      <c r="J386" s="1">
        <v>0.01880538575241153</v>
      </c>
      <c r="K386" s="1">
        <v>0.007347683554705497</v>
      </c>
      <c r="L386" s="1">
        <v>-0.009130275403476329</v>
      </c>
      <c r="M386" s="1">
        <v>-0.001451216070894268</v>
      </c>
      <c r="N386" s="1">
        <v>0.006123835389064691</v>
      </c>
      <c r="O386" s="1">
        <v>0.00152394666661837</v>
      </c>
      <c r="P386" s="1">
        <v>0.0140726671185778</v>
      </c>
      <c r="Q386" s="1">
        <v>0.01577947767835464</v>
      </c>
      <c r="R386" s="1">
        <v>0.005713619760598476</v>
      </c>
      <c r="S386" s="1">
        <v>0.01396337663322988</v>
      </c>
      <c r="T386" s="1">
        <v>0.003717111350685753</v>
      </c>
      <c r="U386" s="1">
        <v>0.002485385869342771</v>
      </c>
      <c r="V386" s="1">
        <v>-0.001500815715830828</v>
      </c>
      <c r="W386" s="1">
        <v>0.005110448602079876</v>
      </c>
      <c r="X386" s="1">
        <v>0.009148117870949157</v>
      </c>
      <c r="Y386" s="1">
        <v>0.001609438368723959</v>
      </c>
      <c r="Z386" s="1">
        <v>-0.006221910224506799</v>
      </c>
    </row>
    <row r="387" spans="1:26">
      <c r="A387" s="11">
        <v>42933</v>
      </c>
      <c r="B387" s="1">
        <v>0.002471056820605</v>
      </c>
      <c r="C387" s="1">
        <v>0.002350006609126654</v>
      </c>
      <c r="D387" s="1">
        <v>0.001449170751502749</v>
      </c>
      <c r="E387" s="1">
        <v>-0.006527457429152506</v>
      </c>
      <c r="F387" s="1">
        <v>0</v>
      </c>
      <c r="G387" s="1">
        <v>0.005430774222918489</v>
      </c>
      <c r="H387" s="1">
        <v>0.001160029804511131</v>
      </c>
      <c r="I387" s="1">
        <v>0.003267799725863219</v>
      </c>
      <c r="J387" s="1">
        <v>0.002714257384561547</v>
      </c>
      <c r="K387" s="1">
        <v>0.005014686117144951</v>
      </c>
      <c r="L387" s="1">
        <v>-0.009322250592386894</v>
      </c>
      <c r="M387" s="1">
        <v>0.003390953409585284</v>
      </c>
      <c r="N387" s="1">
        <v>-0.007574918061850067</v>
      </c>
      <c r="O387" s="1">
        <v>0.001648486584710396</v>
      </c>
      <c r="P387" s="1">
        <v>0.007831686308849894</v>
      </c>
      <c r="Q387" s="1">
        <v>0.002330003713589601</v>
      </c>
      <c r="R387" s="1">
        <v>-0.006118054776898529</v>
      </c>
      <c r="S387" s="1">
        <v>-0.0004333427648273158</v>
      </c>
      <c r="T387" s="1">
        <v>0.008219603713349066</v>
      </c>
      <c r="U387" s="1">
        <v>0.002479420612346184</v>
      </c>
      <c r="V387" s="1">
        <v>0.009393374316162717</v>
      </c>
      <c r="W387" s="1">
        <v>-0.00088447662641844</v>
      </c>
      <c r="X387" s="1">
        <v>-0.00241754431782204</v>
      </c>
      <c r="Y387" s="1">
        <v>0.002295891660590632</v>
      </c>
      <c r="Z387" s="1">
        <v>-0.008497728563605533</v>
      </c>
    </row>
    <row r="388" spans="1:26">
      <c r="A388" s="11">
        <v>42934</v>
      </c>
      <c r="B388" s="1">
        <v>-0.01951510201817508</v>
      </c>
      <c r="C388" s="1">
        <v>-0.003636414914686026</v>
      </c>
      <c r="D388" s="1">
        <v>-0.0009646685017927759</v>
      </c>
      <c r="E388" s="1">
        <v>-0.0009129966992555971</v>
      </c>
      <c r="F388" s="1">
        <v>-0.0005101136879689383</v>
      </c>
      <c r="G388" s="1">
        <v>0.0003602413099161872</v>
      </c>
      <c r="H388" s="1">
        <v>-0.01544717942073359</v>
      </c>
      <c r="I388" s="1">
        <v>0.001668150400406798</v>
      </c>
      <c r="J388" s="1">
        <v>-0.004331495233627525</v>
      </c>
      <c r="K388" s="1">
        <v>-0.002040961868750357</v>
      </c>
      <c r="L388" s="1">
        <v>-0.003501644029026529</v>
      </c>
      <c r="M388" s="1">
        <v>-0.009172595684795337</v>
      </c>
      <c r="N388" s="1">
        <v>-0.000544489305243534</v>
      </c>
      <c r="O388" s="1">
        <v>0.0020252724864398</v>
      </c>
      <c r="P388" s="1">
        <v>-0.0006809737073084632</v>
      </c>
      <c r="Q388" s="1">
        <v>-0.004649174832554337</v>
      </c>
      <c r="R388" s="1">
        <v>0.003224366358257402</v>
      </c>
      <c r="S388" s="1">
        <v>-0.001830367612374428</v>
      </c>
      <c r="T388" s="1">
        <v>-0.003422612365313271</v>
      </c>
      <c r="U388" s="1">
        <v>-0.0109921454795493</v>
      </c>
      <c r="V388" s="1">
        <v>0</v>
      </c>
      <c r="W388" s="1">
        <v>-0.007964739221996586</v>
      </c>
      <c r="X388" s="1">
        <v>0.0004042253358618186</v>
      </c>
      <c r="Y388" s="1">
        <v>-0.006871398084804414</v>
      </c>
      <c r="Z388" s="1">
        <v>-0.005863796254224063</v>
      </c>
    </row>
    <row r="389" spans="1:26">
      <c r="A389" s="11">
        <v>42935</v>
      </c>
      <c r="B389" s="1">
        <v>0.05012648995315061</v>
      </c>
      <c r="C389" s="1">
        <v>0.0126776707575591</v>
      </c>
      <c r="D389" s="1">
        <v>0.004988483526571663</v>
      </c>
      <c r="E389" s="1">
        <v>0.006028498747366662</v>
      </c>
      <c r="F389" s="1">
        <v>0.004083588912573211</v>
      </c>
      <c r="G389" s="1">
        <v>-0.00539985820663158</v>
      </c>
      <c r="H389" s="1">
        <v>0.03098647392416143</v>
      </c>
      <c r="I389" s="1">
        <v>0.001744870479321259</v>
      </c>
      <c r="J389" s="1">
        <v>0.01685744691564106</v>
      </c>
      <c r="K389" s="1">
        <v>0.003409160669393119</v>
      </c>
      <c r="L389" s="1">
        <v>0.001427491768254852</v>
      </c>
      <c r="M389" s="1">
        <v>-0.002598888270393673</v>
      </c>
      <c r="N389" s="1">
        <v>0.002999653125368651</v>
      </c>
      <c r="O389" s="1">
        <v>0.0006319701723584981</v>
      </c>
      <c r="P389" s="1">
        <v>0.007639536231096811</v>
      </c>
      <c r="Q389" s="1">
        <v>-0.00155706333245087</v>
      </c>
      <c r="R389" s="1">
        <v>0.001168653593430324</v>
      </c>
      <c r="S389" s="1">
        <v>0.002702696622063128</v>
      </c>
      <c r="T389" s="1">
        <v>0.004327846580598482</v>
      </c>
      <c r="U389" s="1">
        <v>0.003890017087762931</v>
      </c>
      <c r="V389" s="1">
        <v>0.006886233346910853</v>
      </c>
      <c r="W389" s="1">
        <v>0.004460439076026113</v>
      </c>
      <c r="X389" s="1">
        <v>-0.01756185168407354</v>
      </c>
      <c r="Y389" s="1">
        <v>0.002075646320161439</v>
      </c>
      <c r="Z389" s="1">
        <v>-0.00226888269065928</v>
      </c>
    </row>
    <row r="390" spans="1:26">
      <c r="A390" s="11">
        <v>42936</v>
      </c>
      <c r="B390" s="1">
        <v>-0.01022878827753193</v>
      </c>
      <c r="C390" s="1">
        <v>-0.002845232032465672</v>
      </c>
      <c r="D390" s="1">
        <v>0.009447464601419098</v>
      </c>
      <c r="E390" s="1">
        <v>0.006718883442782708</v>
      </c>
      <c r="F390" s="1">
        <v>0.003812798845630017</v>
      </c>
      <c r="G390" s="1">
        <v>0.01520086852196556</v>
      </c>
      <c r="H390" s="1">
        <v>-0.01236445521447704</v>
      </c>
      <c r="I390" s="1">
        <v>-0.005620977528820625</v>
      </c>
      <c r="J390" s="1">
        <v>0.01283374737030574</v>
      </c>
      <c r="K390" s="1">
        <v>-0.0009059784752447619</v>
      </c>
      <c r="L390" s="1">
        <v>0</v>
      </c>
      <c r="M390" s="1">
        <v>-0.01644677885442103</v>
      </c>
      <c r="N390" s="1">
        <v>0.000543961628467704</v>
      </c>
      <c r="O390" s="1">
        <v>0.005555575551868142</v>
      </c>
      <c r="P390" s="1">
        <v>0.004874246874443378</v>
      </c>
      <c r="Q390" s="1">
        <v>0.006627664218868956</v>
      </c>
      <c r="R390" s="1">
        <v>0.0002917342396246969</v>
      </c>
      <c r="S390" s="1">
        <v>-0.001155329098373126</v>
      </c>
      <c r="T390" s="1">
        <v>-0.02485273309620939</v>
      </c>
      <c r="U390" s="1">
        <v>0.01079435847832255</v>
      </c>
      <c r="V390" s="1">
        <v>0.008872382026428927</v>
      </c>
      <c r="W390" s="1">
        <v>0.00777121444579465</v>
      </c>
      <c r="X390" s="1">
        <v>-0.0008217766366681589</v>
      </c>
      <c r="Y390" s="1">
        <v>0.01772169915445176</v>
      </c>
      <c r="Z390" s="1">
        <v>-0.003183106772968181</v>
      </c>
    </row>
    <row r="391" spans="1:26">
      <c r="A391" s="11">
        <v>42937</v>
      </c>
      <c r="B391" s="1">
        <v>-0.01904741392813514</v>
      </c>
      <c r="C391" s="1">
        <v>0.008845371075719033</v>
      </c>
      <c r="D391" s="1">
        <v>-0.005869081159954104</v>
      </c>
      <c r="E391" s="1">
        <v>0.003787878423549218</v>
      </c>
      <c r="F391" s="1">
        <v>0.003545428757409042</v>
      </c>
      <c r="G391" s="1">
        <v>0.003564925370584948</v>
      </c>
      <c r="H391" s="1">
        <v>0.001540840148501976</v>
      </c>
      <c r="I391" s="1">
        <v>0.001194341278514921</v>
      </c>
      <c r="J391" s="1">
        <v>0.01108754887188979</v>
      </c>
      <c r="K391" s="1">
        <v>0.00181328274826198</v>
      </c>
      <c r="L391" s="1">
        <v>-0.003398790698415532</v>
      </c>
      <c r="M391" s="1">
        <v>-0.001986781418366501</v>
      </c>
      <c r="N391" s="1">
        <v>-0.002309926367765724</v>
      </c>
      <c r="O391" s="1">
        <v>0.004645902871614149</v>
      </c>
      <c r="P391" s="1">
        <v>-0.005794064064608917</v>
      </c>
      <c r="Q391" s="1">
        <v>0.006196895297073679</v>
      </c>
      <c r="R391" s="1">
        <v>0.004668500740105275</v>
      </c>
      <c r="S391" s="1">
        <v>0.006793978664855205</v>
      </c>
      <c r="T391" s="1">
        <v>0.003962338747530048</v>
      </c>
      <c r="U391" s="1">
        <v>-0.0002738677716900284</v>
      </c>
      <c r="V391" s="1">
        <v>0.004763811577545241</v>
      </c>
      <c r="W391" s="1">
        <v>0.003470174603667164</v>
      </c>
      <c r="X391" s="1">
        <v>-0.002879139492391158</v>
      </c>
      <c r="Y391" s="1">
        <v>0.0002262046968526388</v>
      </c>
      <c r="Z391" s="1">
        <v>-0.006843103505995374</v>
      </c>
    </row>
    <row r="392" spans="1:26">
      <c r="A392" s="11">
        <v>42940</v>
      </c>
      <c r="B392" s="1">
        <v>-0.009295663660326192</v>
      </c>
      <c r="C392" s="1">
        <v>0.0001884690095192987</v>
      </c>
      <c r="D392" s="1">
        <v>0.000957152397686567</v>
      </c>
      <c r="E392" s="1">
        <v>-0.0008983128104389504</v>
      </c>
      <c r="F392" s="1">
        <v>-0.004037219677482495</v>
      </c>
      <c r="G392" s="1">
        <v>0.0007107569489839261</v>
      </c>
      <c r="H392" s="1">
        <v>0.0001922315208446879</v>
      </c>
      <c r="I392" s="1">
        <v>0.006361827671827136</v>
      </c>
      <c r="J392" s="1">
        <v>0.00470001072918369</v>
      </c>
      <c r="K392" s="1">
        <v>-0.004299345507123187</v>
      </c>
      <c r="L392" s="1">
        <v>0.004290741715957669</v>
      </c>
      <c r="M392" s="1">
        <v>-0.007797021920747826</v>
      </c>
      <c r="N392" s="1">
        <v>-0.01062401430230597</v>
      </c>
      <c r="O392" s="1">
        <v>0.003374397953827879</v>
      </c>
      <c r="P392" s="1">
        <v>-0.002574372998094043</v>
      </c>
      <c r="Q392" s="1">
        <v>0.004234003726302227</v>
      </c>
      <c r="R392" s="1">
        <v>0.003920312390394365</v>
      </c>
      <c r="S392" s="1">
        <v>0.0002876134543172704</v>
      </c>
      <c r="T392" s="1">
        <v>-0.001476420347584773</v>
      </c>
      <c r="U392" s="1">
        <v>-0.007669095343819432</v>
      </c>
      <c r="V392" s="1">
        <v>-0.01440569009103909</v>
      </c>
      <c r="W392" s="1">
        <v>-0.0001098023986411123</v>
      </c>
      <c r="X392" s="1">
        <v>0.006187000928726816</v>
      </c>
      <c r="Y392" s="1">
        <v>-0.01175716508186531</v>
      </c>
      <c r="Z392" s="1">
        <v>0.01791473073564354</v>
      </c>
    </row>
    <row r="393" spans="1:26">
      <c r="A393" s="11">
        <v>42941</v>
      </c>
      <c r="B393" s="1">
        <v>0.01876576758444526</v>
      </c>
      <c r="C393" s="1">
        <v>0.001319645027622496</v>
      </c>
      <c r="D393" s="1">
        <v>-0.01020241853290826</v>
      </c>
      <c r="E393" s="1">
        <v>0.006294706669009331</v>
      </c>
      <c r="F393" s="1">
        <v>0.007093658400997294</v>
      </c>
      <c r="G393" s="1">
        <v>-0.008874391811922622</v>
      </c>
      <c r="H393" s="1">
        <v>0.009998027639184892</v>
      </c>
      <c r="I393" s="1">
        <v>0.01066775685751575</v>
      </c>
      <c r="J393" s="1">
        <v>0.008835625498687216</v>
      </c>
      <c r="K393" s="1">
        <v>0.00409069593041389</v>
      </c>
      <c r="L393" s="1">
        <v>0.01665176484447017</v>
      </c>
      <c r="M393" s="1">
        <v>-0.01655236889608747</v>
      </c>
      <c r="N393" s="1">
        <v>-0.005506538250054205</v>
      </c>
      <c r="O393" s="1">
        <v>0.003487886551807096</v>
      </c>
      <c r="P393" s="1">
        <v>0.008016029308220318</v>
      </c>
      <c r="Q393" s="1">
        <v>-0.002682863222222553</v>
      </c>
      <c r="R393" s="1">
        <v>-0.007231802930313225</v>
      </c>
      <c r="S393" s="1">
        <v>-0.006124713146379968</v>
      </c>
      <c r="T393" s="1">
        <v>0.00162102565672817</v>
      </c>
      <c r="U393" s="1">
        <v>-0.0002759942752852407</v>
      </c>
      <c r="V393" s="1">
        <v>0.01942640095252846</v>
      </c>
      <c r="W393" s="1">
        <v>-0.01114410509466901</v>
      </c>
      <c r="X393" s="1">
        <v>0.01024828858241245</v>
      </c>
      <c r="Y393" s="1">
        <v>0.006177435686714583</v>
      </c>
      <c r="Z393" s="1">
        <v>0.007445671604602966</v>
      </c>
    </row>
    <row r="394" spans="1:26">
      <c r="A394" s="11">
        <v>42942</v>
      </c>
      <c r="B394" s="1">
        <v>0</v>
      </c>
      <c r="C394" s="1">
        <v>0.09879515005155848</v>
      </c>
      <c r="D394" s="1">
        <v>-0.01401162666742473</v>
      </c>
      <c r="E394" s="1">
        <v>0.0005362883357524773</v>
      </c>
      <c r="F394" s="1">
        <v>-0.01006261437833333</v>
      </c>
      <c r="G394" s="1">
        <v>0.00573036399246063</v>
      </c>
      <c r="H394" s="1">
        <v>0.001522947456479073</v>
      </c>
      <c r="I394" s="1">
        <v>-0.0006254133464287381</v>
      </c>
      <c r="J394" s="1">
        <v>-0.007727859671932902</v>
      </c>
      <c r="K394" s="1">
        <v>-0.01946584396216822</v>
      </c>
      <c r="L394" s="1">
        <v>-0.009374937041288667</v>
      </c>
      <c r="M394" s="1">
        <v>0.01190073932893343</v>
      </c>
      <c r="N394" s="1">
        <v>-0.007059587900782205</v>
      </c>
      <c r="O394" s="1">
        <v>-0.004220411971744942</v>
      </c>
      <c r="P394" s="1">
        <v>-0.001886888122779928</v>
      </c>
      <c r="Q394" s="1">
        <v>0.01883115354030362</v>
      </c>
      <c r="R394" s="1">
        <v>-0.001165653333032979</v>
      </c>
      <c r="S394" s="1">
        <v>0.01126538329715898</v>
      </c>
      <c r="T394" s="1">
        <v>-0.004599557892314143</v>
      </c>
      <c r="U394" s="1">
        <v>0.04997197267453979</v>
      </c>
      <c r="V394" s="1">
        <v>-0.002540809486803131</v>
      </c>
      <c r="W394" s="1">
        <v>-0.02814638951856507</v>
      </c>
      <c r="X394" s="1">
        <v>-0.003651948175639408</v>
      </c>
      <c r="Y394" s="1">
        <v>0.009549678363963698</v>
      </c>
      <c r="Z394" s="1">
        <v>0.02284417751508006</v>
      </c>
    </row>
    <row r="395" spans="1:26">
      <c r="A395" s="11">
        <v>42943</v>
      </c>
      <c r="B395" s="1">
        <v>0.02783433696221804</v>
      </c>
      <c r="C395" s="1">
        <v>0.03234099285840886</v>
      </c>
      <c r="D395" s="1">
        <v>-0.0137213355599537</v>
      </c>
      <c r="E395" s="1">
        <v>-0.0310824312588629</v>
      </c>
      <c r="F395" s="1">
        <v>0.00203294036640056</v>
      </c>
      <c r="G395" s="1">
        <v>0.00178069279259474</v>
      </c>
      <c r="H395" s="1">
        <v>0.00874388606919374</v>
      </c>
      <c r="I395" s="1">
        <v>0.004850277260281199</v>
      </c>
      <c r="J395" s="1">
        <v>-0.002596218578068354</v>
      </c>
      <c r="K395" s="1">
        <v>-0.0734069124067146</v>
      </c>
      <c r="L395" s="1">
        <v>-0.00413377110484614</v>
      </c>
      <c r="M395" s="1">
        <v>-0.04956310611341319</v>
      </c>
      <c r="N395" s="1">
        <v>0.03108875380547604</v>
      </c>
      <c r="O395" s="1">
        <v>-0.03502854572229486</v>
      </c>
      <c r="P395" s="1">
        <v>-0.01201886195212021</v>
      </c>
      <c r="Q395" s="1">
        <v>-0.001708598637724323</v>
      </c>
      <c r="R395" s="1">
        <v>-0.005833893919549915</v>
      </c>
      <c r="S395" s="1">
        <v>-0.05607926028859722</v>
      </c>
      <c r="T395" s="1">
        <v>-0.01431835936364045</v>
      </c>
      <c r="U395" s="1">
        <v>0.03628745543255474</v>
      </c>
      <c r="V395" s="1">
        <v>0.01983249166260981</v>
      </c>
      <c r="W395" s="1">
        <v>0.001199816848883373</v>
      </c>
      <c r="X395" s="1">
        <v>-0.01242114689902507</v>
      </c>
      <c r="Y395" s="1">
        <v>0.07680168716534186</v>
      </c>
      <c r="Z395" s="1">
        <v>-0.01160458979799628</v>
      </c>
    </row>
    <row r="396" spans="1:26">
      <c r="A396" s="11">
        <v>42944</v>
      </c>
      <c r="B396" s="1">
        <v>-0.004181418838674733</v>
      </c>
      <c r="C396" s="1">
        <v>0.001120309765347827</v>
      </c>
      <c r="D396" s="1">
        <v>0.005796732022895767</v>
      </c>
      <c r="E396" s="1">
        <v>0.01898954070121239</v>
      </c>
      <c r="F396" s="1">
        <v>0.002282549634025965</v>
      </c>
      <c r="G396" s="1">
        <v>0.0003555413713534072</v>
      </c>
      <c r="H396" s="1">
        <v>-0.004145741335990438</v>
      </c>
      <c r="I396" s="1">
        <v>0.003659545259451891</v>
      </c>
      <c r="J396" s="1">
        <v>-0.002082081618661524</v>
      </c>
      <c r="K396" s="1">
        <v>-0.0124566565185632</v>
      </c>
      <c r="L396" s="1">
        <v>-0.002948790945980106</v>
      </c>
      <c r="M396" s="1">
        <v>-0.0001768819871610372</v>
      </c>
      <c r="N396" s="1">
        <v>-0.0949161083428961</v>
      </c>
      <c r="O396" s="1">
        <v>0.01640582977754779</v>
      </c>
      <c r="P396" s="1">
        <v>-0.001640563491478786</v>
      </c>
      <c r="Q396" s="1">
        <v>-0.008368134364431956</v>
      </c>
      <c r="R396" s="1">
        <v>0.000293081539158857</v>
      </c>
      <c r="S396" s="1">
        <v>0.02299795930225979</v>
      </c>
      <c r="T396" s="1">
        <v>-0.009259729652909443</v>
      </c>
      <c r="U396" s="1">
        <v>-0.01040372093517306</v>
      </c>
      <c r="V396" s="1">
        <v>0.001070474959182999</v>
      </c>
      <c r="W396" s="1">
        <v>0.00399370366540186</v>
      </c>
      <c r="X396" s="1">
        <v>0.01546375135031619</v>
      </c>
      <c r="Y396" s="1">
        <v>0.002719198767711983</v>
      </c>
      <c r="Z396" s="1">
        <v>0.002658342999457552</v>
      </c>
    </row>
    <row r="397" spans="1:26">
      <c r="A397" s="11">
        <v>42947</v>
      </c>
      <c r="B397" s="1">
        <v>-0.01059786315422984</v>
      </c>
      <c r="C397" s="1">
        <v>0.004932290160709618</v>
      </c>
      <c r="D397" s="1">
        <v>-0.004116431343063609</v>
      </c>
      <c r="E397" s="1">
        <v>0.02949193861476473</v>
      </c>
      <c r="F397" s="1">
        <v>0.02353245656309588</v>
      </c>
      <c r="G397" s="1">
        <v>0.001776806186622792</v>
      </c>
      <c r="H397" s="1">
        <v>-0.0003781784072584005</v>
      </c>
      <c r="I397" s="1">
        <v>-0.004887092754699229</v>
      </c>
      <c r="J397" s="1">
        <v>-0.003651415582752504</v>
      </c>
      <c r="K397" s="1">
        <v>-0.01740656027294163</v>
      </c>
      <c r="L397" s="1">
        <v>0.005696511169468454</v>
      </c>
      <c r="M397" s="1">
        <v>-0.01856420642857781</v>
      </c>
      <c r="N397" s="1">
        <v>-0.02942957750371755</v>
      </c>
      <c r="O397" s="1">
        <v>-0.009023619832715823</v>
      </c>
      <c r="P397" s="1">
        <v>-0.0046544772928232</v>
      </c>
      <c r="Q397" s="1">
        <v>-0.0003838193710286042</v>
      </c>
      <c r="R397" s="1">
        <v>0.003960224391458267</v>
      </c>
      <c r="S397" s="1">
        <v>0.01345855676615537</v>
      </c>
      <c r="T397" s="1">
        <v>-0.01492482569339881</v>
      </c>
      <c r="U397" s="1">
        <v>0</v>
      </c>
      <c r="V397" s="1">
        <v>0.009980564525374325</v>
      </c>
      <c r="W397" s="1">
        <v>-0.002500456755200386</v>
      </c>
      <c r="X397" s="1">
        <v>-0.002436688621295202</v>
      </c>
      <c r="Y397" s="1">
        <v>0.009595387576634362</v>
      </c>
      <c r="Z397" s="1">
        <v>0.001325591565503048</v>
      </c>
    </row>
    <row r="398" spans="1:26">
      <c r="A398" s="11">
        <v>42948</v>
      </c>
      <c r="B398" s="1">
        <v>-0.01657216673517792</v>
      </c>
      <c r="C398" s="1">
        <v>-0.01245571008100033</v>
      </c>
      <c r="D398" s="1">
        <v>0.003802721067589721</v>
      </c>
      <c r="E398" s="1">
        <v>-0.01388425129825721</v>
      </c>
      <c r="F398" s="1">
        <v>-0.002719534475078889</v>
      </c>
      <c r="G398" s="1">
        <v>0.002128349912462246</v>
      </c>
      <c r="H398" s="1">
        <v>-0.005868287807129224</v>
      </c>
      <c r="I398" s="1">
        <v>0.005768395959179662</v>
      </c>
      <c r="J398" s="1">
        <v>0.002093798158624427</v>
      </c>
      <c r="K398" s="1">
        <v>-0.005134893663732654</v>
      </c>
      <c r="L398" s="1">
        <v>0.01339846031145386</v>
      </c>
      <c r="M398" s="1">
        <v>0.003783287524748102</v>
      </c>
      <c r="N398" s="1">
        <v>0.008157666976729816</v>
      </c>
      <c r="O398" s="1">
        <v>0.01013178472419618</v>
      </c>
      <c r="P398" s="1">
        <v>-0.001651059661019416</v>
      </c>
      <c r="Q398" s="1">
        <v>0.006906905997142276</v>
      </c>
      <c r="R398" s="1">
        <v>-0.02059923992228896</v>
      </c>
      <c r="S398" s="1">
        <v>-0.01332885679624074</v>
      </c>
      <c r="T398" s="1">
        <v>-0.0005335927098716331</v>
      </c>
      <c r="U398" s="1">
        <v>-0.003076700331595461</v>
      </c>
      <c r="V398" s="1">
        <v>0.003352514620048375</v>
      </c>
      <c r="W398" s="1">
        <v>-0.0003417977240534054</v>
      </c>
      <c r="X398" s="1">
        <v>0.005292243851987122</v>
      </c>
      <c r="Y398" s="1">
        <v>0.01012368251825579</v>
      </c>
      <c r="Z398" s="1">
        <v>0.001324171705919142</v>
      </c>
    </row>
    <row r="399" spans="1:26">
      <c r="A399" s="11">
        <v>42949</v>
      </c>
      <c r="B399" s="1">
        <v>-0.01541337169218449</v>
      </c>
      <c r="C399" s="1">
        <v>-0.006222847912601526</v>
      </c>
      <c r="D399" s="1">
        <v>-0.01993042920307575</v>
      </c>
      <c r="E399" s="1">
        <v>-0.01568344471849215</v>
      </c>
      <c r="F399" s="1">
        <v>-0.008180272070519301</v>
      </c>
      <c r="G399" s="1">
        <v>-0.002831891901783568</v>
      </c>
      <c r="H399" s="1">
        <v>0.003617969557866862</v>
      </c>
      <c r="I399" s="1">
        <v>-0.0003097550977168018</v>
      </c>
      <c r="J399" s="1">
        <v>-0.002089423327907847</v>
      </c>
      <c r="K399" s="1">
        <v>0.01600012568805642</v>
      </c>
      <c r="L399" s="1">
        <v>0.0008600050481952781</v>
      </c>
      <c r="M399" s="1">
        <v>-0.0003591605073823834</v>
      </c>
      <c r="N399" s="1">
        <v>0.0007632360439944197</v>
      </c>
      <c r="O399" s="1">
        <v>-0.001523333997652365</v>
      </c>
      <c r="P399" s="1">
        <v>-0.004408441430308274</v>
      </c>
      <c r="Q399" s="1">
        <v>0.0163876097181368</v>
      </c>
      <c r="R399" s="1">
        <v>0.005966887085540495</v>
      </c>
      <c r="S399" s="1">
        <v>-0.003006991468589293</v>
      </c>
      <c r="T399" s="1">
        <v>-5.953284641813106E-05</v>
      </c>
      <c r="U399" s="1">
        <v>-0.01568932346258078</v>
      </c>
      <c r="V399" s="1">
        <v>-0.001055137516068116</v>
      </c>
      <c r="W399" s="1">
        <v>0.005528080081338649</v>
      </c>
      <c r="X399" s="1">
        <v>-0.0006074258533605992</v>
      </c>
      <c r="Y399" s="1">
        <v>-0.01390874578435908</v>
      </c>
      <c r="Z399" s="1">
        <v>0.007491783661893958</v>
      </c>
    </row>
    <row r="400" spans="1:26">
      <c r="A400" s="11">
        <v>42950</v>
      </c>
      <c r="B400" s="1">
        <v>-0.08035899579919126</v>
      </c>
      <c r="C400" s="1">
        <v>0.001260774360180461</v>
      </c>
      <c r="D400" s="1">
        <v>0.001512516659375462</v>
      </c>
      <c r="E400" s="1">
        <v>0.004888549981520551</v>
      </c>
      <c r="F400" s="1">
        <v>-0.007748214135248843</v>
      </c>
      <c r="G400" s="1">
        <v>0.01064957454250104</v>
      </c>
      <c r="H400" s="1">
        <v>0.005691600009339881</v>
      </c>
      <c r="I400" s="1">
        <v>0.004108897645002996</v>
      </c>
      <c r="J400" s="1">
        <v>0.01361249546530896</v>
      </c>
      <c r="K400" s="1">
        <v>0.002285767100595137</v>
      </c>
      <c r="L400" s="1">
        <v>-0.006551188547363807</v>
      </c>
      <c r="M400" s="1">
        <v>0.007360811713856608</v>
      </c>
      <c r="N400" s="1">
        <v>-0.0001525307918007757</v>
      </c>
      <c r="O400" s="1">
        <v>-0.00267035476874633</v>
      </c>
      <c r="P400" s="1">
        <v>-0.001522560544367946</v>
      </c>
      <c r="Q400" s="1">
        <v>-0.006374126495151899</v>
      </c>
      <c r="R400" s="1">
        <v>0.002520715041121946</v>
      </c>
      <c r="S400" s="1">
        <v>-0.009297270143380887</v>
      </c>
      <c r="T400" s="1">
        <v>-0.00901891479250605</v>
      </c>
      <c r="U400" s="1">
        <v>0.0002614066136992221</v>
      </c>
      <c r="V400" s="1">
        <v>0.004225272422242687</v>
      </c>
      <c r="W400" s="1">
        <v>-0.003967309814241426</v>
      </c>
      <c r="X400" s="1">
        <v>-0.00648286035183443</v>
      </c>
      <c r="Y400" s="1">
        <v>0.008297202620640265</v>
      </c>
      <c r="Z400" s="1">
        <v>-0.005030402693448788</v>
      </c>
    </row>
    <row r="401" spans="1:26">
      <c r="A401" s="11">
        <v>42951</v>
      </c>
      <c r="B401" s="1">
        <v>0.02632796949133254</v>
      </c>
      <c r="C401" s="1">
        <v>-0.00226648188262224</v>
      </c>
      <c r="D401" s="1">
        <v>0.004866287969441885</v>
      </c>
      <c r="E401" s="1">
        <v>0.008108011250083091</v>
      </c>
      <c r="F401" s="1">
        <v>-0.002518968645798036</v>
      </c>
      <c r="G401" s="1">
        <v>0.002458713489991382</v>
      </c>
      <c r="H401" s="1">
        <v>0.003206983752486847</v>
      </c>
      <c r="I401" s="1">
        <v>0.001853050860210148</v>
      </c>
      <c r="J401" s="1">
        <v>0.000516588663827644</v>
      </c>
      <c r="K401" s="1">
        <v>-0.007348965001944818</v>
      </c>
      <c r="L401" s="1">
        <v>0.01254052505240755</v>
      </c>
      <c r="M401" s="1">
        <v>0.008376483174583838</v>
      </c>
      <c r="N401" s="1">
        <v>-0.000305221041349113</v>
      </c>
      <c r="O401" s="1">
        <v>-0.003188062643136536</v>
      </c>
      <c r="P401" s="1">
        <v>0.0073458315851469</v>
      </c>
      <c r="Q401" s="1">
        <v>-0.003773607027639181</v>
      </c>
      <c r="R401" s="1">
        <v>0.01434694258400504</v>
      </c>
      <c r="S401" s="1">
        <v>0.005740568330226514</v>
      </c>
      <c r="T401" s="1">
        <v>0.003113571084309985</v>
      </c>
      <c r="U401" s="1">
        <v>0.003918210432878322</v>
      </c>
      <c r="V401" s="1">
        <v>0.009467148096561351</v>
      </c>
      <c r="W401" s="1">
        <v>0.003357335678257911</v>
      </c>
      <c r="X401" s="1">
        <v>0.005505691597351259</v>
      </c>
      <c r="Y401" s="1">
        <v>0.006171485763298845</v>
      </c>
      <c r="Z401" s="1">
        <v>0.0138492848125904</v>
      </c>
    </row>
    <row r="402" spans="1:26">
      <c r="A402" s="11">
        <v>42954</v>
      </c>
      <c r="B402" s="1">
        <v>-0.01835473426244838</v>
      </c>
      <c r="C402" s="1">
        <v>0.01060110124962166</v>
      </c>
      <c r="D402" s="1">
        <v>-0.002504815493231893</v>
      </c>
      <c r="E402" s="1">
        <v>0.006255807725334961</v>
      </c>
      <c r="F402" s="1">
        <v>0.0002528412502595945</v>
      </c>
      <c r="G402" s="1">
        <v>0.007007703711505497</v>
      </c>
      <c r="H402" s="1">
        <v>0.00112819912171136</v>
      </c>
      <c r="I402" s="1">
        <v>0.001618597292912805</v>
      </c>
      <c r="J402" s="1">
        <v>-0.002581272091128128</v>
      </c>
      <c r="K402" s="1">
        <v>0.01557327154110211</v>
      </c>
      <c r="L402" s="1">
        <v>0.003843421331753749</v>
      </c>
      <c r="M402" s="1">
        <v>-0.02138581164085906</v>
      </c>
      <c r="N402" s="1">
        <v>0.007173811335911884</v>
      </c>
      <c r="O402" s="1">
        <v>-0.002302067279890352</v>
      </c>
      <c r="P402" s="1">
        <v>-0.003852179544014511</v>
      </c>
      <c r="Q402" s="1">
        <v>-0.001515218311732069</v>
      </c>
      <c r="R402" s="1">
        <v>-0.0004375758228967186</v>
      </c>
      <c r="S402" s="1">
        <v>-0.002035069611698415</v>
      </c>
      <c r="T402" s="1">
        <v>-0.002029491827744145</v>
      </c>
      <c r="U402" s="1">
        <v>0.002342307816568079</v>
      </c>
      <c r="V402" s="1">
        <v>0.00521006574025118</v>
      </c>
      <c r="W402" s="1">
        <v>0.005784730307488051</v>
      </c>
      <c r="X402" s="1">
        <v>0.001824842377556424</v>
      </c>
      <c r="Y402" s="1">
        <v>-0.001022123316839263</v>
      </c>
      <c r="Z402" s="1">
        <v>-0.007806007806995363</v>
      </c>
    </row>
    <row r="403" spans="1:26">
      <c r="A403" s="11">
        <v>42955</v>
      </c>
      <c r="B403" s="1">
        <v>-0.006082448599685097</v>
      </c>
      <c r="C403" s="1">
        <v>-0.003038704366940204</v>
      </c>
      <c r="D403" s="1">
        <v>-0.0001674759738096165</v>
      </c>
      <c r="E403" s="1">
        <v>0.01083468481963035</v>
      </c>
      <c r="F403" s="1">
        <v>0.007826327346586837</v>
      </c>
      <c r="G403" s="1">
        <v>0.01078635757281199</v>
      </c>
      <c r="H403" s="1">
        <v>0.0001877542799031406</v>
      </c>
      <c r="I403" s="1">
        <v>0.01585109163660392</v>
      </c>
      <c r="J403" s="1">
        <v>0</v>
      </c>
      <c r="K403" s="1">
        <v>-0.004273567922006505</v>
      </c>
      <c r="L403" s="1">
        <v>-0.003616045904907383</v>
      </c>
      <c r="M403" s="1">
        <v>-0.01011363134200038</v>
      </c>
      <c r="N403" s="1">
        <v>-0.009244354824690992</v>
      </c>
      <c r="O403" s="1">
        <v>-0.007179108940314261</v>
      </c>
      <c r="P403" s="1">
        <v>0.005386575977434527</v>
      </c>
      <c r="Q403" s="1">
        <v>-0.001517614296413616</v>
      </c>
      <c r="R403" s="1">
        <v>-0.009482062578535566</v>
      </c>
      <c r="S403" s="1">
        <v>-0.001989207846386121</v>
      </c>
      <c r="T403" s="1">
        <v>-0.005652056899390634</v>
      </c>
      <c r="U403" s="1">
        <v>-0.004153877987058574</v>
      </c>
      <c r="V403" s="1">
        <v>0.01485858861829792</v>
      </c>
      <c r="W403" s="1">
        <v>-0.01894609380067891</v>
      </c>
      <c r="X403" s="1">
        <v>-0.00688211662500493</v>
      </c>
      <c r="Y403" s="1">
        <v>-0.005321398104017439</v>
      </c>
      <c r="Z403" s="1">
        <v>0.00109301378062221</v>
      </c>
    </row>
    <row r="404" spans="1:26">
      <c r="A404" s="11">
        <v>42956</v>
      </c>
      <c r="B404" s="1">
        <v>-0.01223934237023105</v>
      </c>
      <c r="C404" s="1">
        <v>-0.01583503618897864</v>
      </c>
      <c r="D404" s="1">
        <v>0.00502334749002209</v>
      </c>
      <c r="E404" s="1">
        <v>0.008609960362699676</v>
      </c>
      <c r="F404" s="1">
        <v>0.01778550484153096</v>
      </c>
      <c r="G404" s="1">
        <v>0.0003441079755963639</v>
      </c>
      <c r="H404" s="1">
        <v>-0.0007512781073579777</v>
      </c>
      <c r="I404" s="1">
        <v>0.002954147854745903</v>
      </c>
      <c r="J404" s="1">
        <v>0</v>
      </c>
      <c r="K404" s="1">
        <v>-0.004039395917332822</v>
      </c>
      <c r="L404" s="1">
        <v>-0.001601152697581432</v>
      </c>
      <c r="M404" s="1">
        <v>-0.002189410521090673</v>
      </c>
      <c r="N404" s="1">
        <v>-0.001070265566223139</v>
      </c>
      <c r="O404" s="1">
        <v>0.0005159345553409356</v>
      </c>
      <c r="P404" s="1">
        <v>-0.004396416539870329</v>
      </c>
      <c r="Q404" s="1">
        <v>0.002279687903372185</v>
      </c>
      <c r="R404" s="1">
        <v>-0.01016177419773701</v>
      </c>
      <c r="S404" s="1">
        <v>0.0009969182041444924</v>
      </c>
      <c r="T404" s="1">
        <v>0.009563785995919449</v>
      </c>
      <c r="U404" s="1">
        <v>0</v>
      </c>
      <c r="V404" s="1">
        <v>-0.01481114339166989</v>
      </c>
      <c r="W404" s="1">
        <v>-0.004195362188357032</v>
      </c>
      <c r="X404" s="1">
        <v>0.001426440575533761</v>
      </c>
      <c r="Y404" s="1">
        <v>-0.007819238483534829</v>
      </c>
      <c r="Z404" s="1">
        <v>-0.01135137493916993</v>
      </c>
    </row>
    <row r="405" spans="1:26">
      <c r="A405" s="11">
        <v>42957</v>
      </c>
      <c r="B405" s="1">
        <v>-0.02225828115725903</v>
      </c>
      <c r="C405" s="1">
        <v>-0.006102916363004862</v>
      </c>
      <c r="D405" s="1">
        <v>-0.005164832878485681</v>
      </c>
      <c r="E405" s="1">
        <v>-0.01411103420130755</v>
      </c>
      <c r="F405" s="1">
        <v>0.002461118483102043</v>
      </c>
      <c r="G405" s="1">
        <v>0.002408881804685459</v>
      </c>
      <c r="H405" s="1">
        <v>0.000751842950506898</v>
      </c>
      <c r="I405" s="1">
        <v>-0.03496730255320657</v>
      </c>
      <c r="J405" s="1">
        <v>-0.02173927318141522</v>
      </c>
      <c r="K405" s="1">
        <v>-0.01419552148455905</v>
      </c>
      <c r="L405" s="1">
        <v>-0.01432690812858639</v>
      </c>
      <c r="M405" s="1">
        <v>-0.01243367318345645</v>
      </c>
      <c r="N405" s="1">
        <v>-0.008268515063399207</v>
      </c>
      <c r="O405" s="1">
        <v>-0.005162663806670631</v>
      </c>
      <c r="P405" s="1">
        <v>-0.01462690708448589</v>
      </c>
      <c r="Q405" s="1">
        <v>-0.0003788263488593291</v>
      </c>
      <c r="R405" s="1">
        <v>-0.02975770355531571</v>
      </c>
      <c r="S405" s="1">
        <v>-0.001145225741421174</v>
      </c>
      <c r="T405" s="1">
        <v>-0.01084352674234079</v>
      </c>
      <c r="U405" s="1">
        <v>-0.004431563925825777</v>
      </c>
      <c r="V405" s="1">
        <v>-0.0385345757851645</v>
      </c>
      <c r="W405" s="1">
        <v>-0.008773073347323468</v>
      </c>
      <c r="X405" s="1">
        <v>-0.01811506569787702</v>
      </c>
      <c r="Y405" s="1">
        <v>-0.004147579919018707</v>
      </c>
      <c r="Z405" s="1">
        <v>-0.01876757717867616</v>
      </c>
    </row>
    <row r="406" spans="1:26">
      <c r="A406" s="11">
        <v>42958</v>
      </c>
      <c r="B406" s="1">
        <v>-0.005162682962420617</v>
      </c>
      <c r="C406" s="1">
        <v>0.008588058532787324</v>
      </c>
      <c r="D406" s="1">
        <v>0.002177251893086707</v>
      </c>
      <c r="E406" s="1">
        <v>0.002473682960760781</v>
      </c>
      <c r="F406" s="1">
        <v>0.009329608589425442</v>
      </c>
      <c r="G406" s="1">
        <v>-0.01064177448150494</v>
      </c>
      <c r="H406" s="1">
        <v>0.006760498046335162</v>
      </c>
      <c r="I406" s="1">
        <v>-0.008451865749808829</v>
      </c>
      <c r="J406" s="1">
        <v>0</v>
      </c>
      <c r="K406" s="1">
        <v>-0.005656894970146764</v>
      </c>
      <c r="L406" s="1">
        <v>-0.008352245657695989</v>
      </c>
      <c r="M406" s="1">
        <v>0.002406867699689119</v>
      </c>
      <c r="N406" s="1">
        <v>-0.007102169339839981</v>
      </c>
      <c r="O406" s="1">
        <v>-0.0007781524651818694</v>
      </c>
      <c r="P406" s="1">
        <v>0.01526428041685413</v>
      </c>
      <c r="Q406" s="1">
        <v>-0.000758712444892895</v>
      </c>
      <c r="R406" s="1">
        <v>-0.006134027358736249</v>
      </c>
      <c r="S406" s="1">
        <v>-0.01006748016376158</v>
      </c>
      <c r="T406" s="1">
        <v>-0.0004818587014140396</v>
      </c>
      <c r="U406" s="1">
        <v>-0.002356715555642985</v>
      </c>
      <c r="V406" s="1">
        <v>0.0001795771964669957</v>
      </c>
      <c r="W406" s="1">
        <v>0.008676005504871354</v>
      </c>
      <c r="X406" s="1">
        <v>0.004975090933099668</v>
      </c>
      <c r="Y406" s="1">
        <v>0.0008332823769832132</v>
      </c>
      <c r="Z406" s="1">
        <v>-0.007426133544452207</v>
      </c>
    </row>
    <row r="407" spans="1:26">
      <c r="A407" s="11">
        <v>42961</v>
      </c>
      <c r="B407" s="1">
        <v>-0.01934430698694545</v>
      </c>
      <c r="C407" s="1">
        <v>0.009664470209663767</v>
      </c>
      <c r="D407" s="1">
        <v>0.006517196598914365</v>
      </c>
      <c r="E407" s="1">
        <v>0.01568828270341083</v>
      </c>
      <c r="F407" s="1">
        <v>0.01921677391580623</v>
      </c>
      <c r="G407" s="1">
        <v>0.008685615424542714</v>
      </c>
      <c r="H407" s="1">
        <v>0.004476800292584127</v>
      </c>
      <c r="I407" s="1">
        <v>0.0147592646585426</v>
      </c>
      <c r="J407" s="1">
        <v>0.01058212774367284</v>
      </c>
      <c r="K407" s="1">
        <v>-0.0005169420986848028</v>
      </c>
      <c r="L407" s="1">
        <v>0.01170395653981737</v>
      </c>
      <c r="M407" s="1">
        <v>0.01071312244116718</v>
      </c>
      <c r="N407" s="1">
        <v>0.00824138897698834</v>
      </c>
      <c r="O407" s="1">
        <v>0.009738124107010027</v>
      </c>
      <c r="P407" s="1">
        <v>0.0150340872074084</v>
      </c>
      <c r="Q407" s="1">
        <v>0.01100581760374109</v>
      </c>
      <c r="R407" s="1">
        <v>0.01006813070754387</v>
      </c>
      <c r="S407" s="1">
        <v>0.00961641519827916</v>
      </c>
      <c r="T407" s="1">
        <v>0.01696392364829435</v>
      </c>
      <c r="U407" s="1">
        <v>0.01049854904396219</v>
      </c>
      <c r="V407" s="1">
        <v>0.01381083895618174</v>
      </c>
      <c r="W407" s="1">
        <v>0.004618202064569754</v>
      </c>
      <c r="X407" s="1">
        <v>0.00969459489763036</v>
      </c>
      <c r="Y407" s="1">
        <v>0.01498108174772139</v>
      </c>
      <c r="Z407" s="1">
        <v>0.01995034156380826</v>
      </c>
    </row>
    <row r="408" spans="1:26">
      <c r="A408" s="11">
        <v>42962</v>
      </c>
      <c r="B408" s="1">
        <v>-0.0007216094785247318</v>
      </c>
      <c r="C408" s="1">
        <v>0.008517800835984524</v>
      </c>
      <c r="D408" s="1">
        <v>0.009463954202253877</v>
      </c>
      <c r="E408" s="1">
        <v>0.00433873987661304</v>
      </c>
      <c r="F408" s="1">
        <v>-0.009546335219904667</v>
      </c>
      <c r="G408" s="1">
        <v>0.00138908901073842</v>
      </c>
      <c r="H408" s="1">
        <v>-0.002228622681967107</v>
      </c>
      <c r="I408" s="1">
        <v>-0.01081126383975406</v>
      </c>
      <c r="J408" s="1">
        <v>-0.003141313503991605</v>
      </c>
      <c r="K408" s="1">
        <v>-0.02121620991196638</v>
      </c>
      <c r="L408" s="1">
        <v>0.002595182980928756</v>
      </c>
      <c r="M408" s="1">
        <v>0.0087717316403646</v>
      </c>
      <c r="N408" s="1">
        <v>0.007094844812254308</v>
      </c>
      <c r="O408" s="1">
        <v>0.00437135961059365</v>
      </c>
      <c r="P408" s="1">
        <v>0.0002735870865977486</v>
      </c>
      <c r="Q408" s="1">
        <v>0.0007506405108790304</v>
      </c>
      <c r="R408" s="1">
        <v>-0.005213586061007969</v>
      </c>
      <c r="S408" s="1">
        <v>0.005185444137391748</v>
      </c>
      <c r="T408" s="1">
        <v>-0.01463658421053449</v>
      </c>
      <c r="U408" s="1">
        <v>-0.00883114610911484</v>
      </c>
      <c r="V408" s="1">
        <v>-0.02581139055774495</v>
      </c>
      <c r="W408" s="1">
        <v>-0.002700657153611563</v>
      </c>
      <c r="X408" s="1">
        <v>0.002860318547699192</v>
      </c>
      <c r="Y408" s="1">
        <v>-0.006150042558194846</v>
      </c>
      <c r="Z408" s="1">
        <v>0.005794488464173631</v>
      </c>
    </row>
    <row r="409" spans="1:26">
      <c r="A409" s="11">
        <v>42963</v>
      </c>
      <c r="B409" s="1">
        <v>-0.02190675967252564</v>
      </c>
      <c r="C409" s="1">
        <v>-0.006606192908748088</v>
      </c>
      <c r="D409" s="1">
        <v>0.009210263420675213</v>
      </c>
      <c r="E409" s="1">
        <v>-0.006393609615431561</v>
      </c>
      <c r="F409" s="1">
        <v>-0.006264950000813618</v>
      </c>
      <c r="G409" s="1">
        <v>0.003814284348050201</v>
      </c>
      <c r="H409" s="1">
        <v>0.004839484424403517</v>
      </c>
      <c r="I409" s="1">
        <v>-0.004324411091717328</v>
      </c>
      <c r="J409" s="1">
        <v>-0.003676689284380252</v>
      </c>
      <c r="K409" s="1">
        <v>-0.007401525563068501</v>
      </c>
      <c r="L409" s="1">
        <v>-0.006901878063408362</v>
      </c>
      <c r="M409" s="1">
        <v>0.001992825641054408</v>
      </c>
      <c r="N409" s="1">
        <v>0.002296493741507755</v>
      </c>
      <c r="O409" s="1">
        <v>0.0005121935948086964</v>
      </c>
      <c r="P409" s="1">
        <v>0.005872893686347025</v>
      </c>
      <c r="Q409" s="1">
        <v>0.01125297709684481</v>
      </c>
      <c r="R409" s="1">
        <v>-0.006783415986497232</v>
      </c>
      <c r="S409" s="1">
        <v>-0.01274943975479492</v>
      </c>
      <c r="T409" s="1">
        <v>0.005154939424358407</v>
      </c>
      <c r="U409" s="1">
        <v>0.001834560113211259</v>
      </c>
      <c r="V409" s="1">
        <v>0.03606272348223349</v>
      </c>
      <c r="W409" s="1">
        <v>0.01083170144452139</v>
      </c>
      <c r="X409" s="1">
        <v>0.0008145884150081439</v>
      </c>
      <c r="Y409" s="1">
        <v>-0.001443652017174668</v>
      </c>
      <c r="Z409" s="1">
        <v>-0.0002218907033946227</v>
      </c>
    </row>
    <row r="410" spans="1:26">
      <c r="A410" s="11">
        <v>42964</v>
      </c>
      <c r="B410" s="1">
        <v>-0.01821337224027653</v>
      </c>
      <c r="C410" s="1">
        <v>-0.008417944821958456</v>
      </c>
      <c r="D410" s="1">
        <v>-0.008800514035107287</v>
      </c>
      <c r="E410" s="1">
        <v>-0.01269580516597724</v>
      </c>
      <c r="F410" s="1">
        <v>-0.02352099176245703</v>
      </c>
      <c r="G410" s="1">
        <v>-0.006217949431567504</v>
      </c>
      <c r="H410" s="1">
        <v>-0.0005560329024788535</v>
      </c>
      <c r="I410" s="1">
        <v>-0.02092720251989655</v>
      </c>
      <c r="J410" s="1">
        <v>-0.01739569573406652</v>
      </c>
      <c r="K410" s="1">
        <v>-0.01757654193313696</v>
      </c>
      <c r="L410" s="1">
        <v>-0.01563704616227446</v>
      </c>
      <c r="M410" s="1">
        <v>-0.03905243359710242</v>
      </c>
      <c r="N410" s="1">
        <v>-0.01757021993248542</v>
      </c>
      <c r="O410" s="1">
        <v>-0.01202805078505265</v>
      </c>
      <c r="P410" s="1">
        <v>-0.01697232364462686</v>
      </c>
      <c r="Q410" s="1">
        <v>-0.0100146881967601</v>
      </c>
      <c r="R410" s="1">
        <v>-0.01986611394319648</v>
      </c>
      <c r="S410" s="1">
        <v>-0.006431498726829687</v>
      </c>
      <c r="T410" s="1">
        <v>-0.01160680624361921</v>
      </c>
      <c r="U410" s="1">
        <v>-0.01647881508071181</v>
      </c>
      <c r="V410" s="1">
        <v>-0.003374159108440633</v>
      </c>
      <c r="W410" s="1">
        <v>-0.01453443659285236</v>
      </c>
      <c r="X410" s="1">
        <v>-0.02055754911487384</v>
      </c>
      <c r="Y410" s="1">
        <v>-0.01074159793294005</v>
      </c>
      <c r="Z410" s="1">
        <v>-0.02814710904757667</v>
      </c>
    </row>
    <row r="411" spans="1:26">
      <c r="A411" s="11">
        <v>42965</v>
      </c>
      <c r="B411" s="1">
        <v>0.01052904214414596</v>
      </c>
      <c r="C411" s="1">
        <v>0.0007642544559416375</v>
      </c>
      <c r="D411" s="1">
        <v>0.0008221550619851303</v>
      </c>
      <c r="E411" s="1">
        <v>-0.006165259616351948</v>
      </c>
      <c r="F411" s="1">
        <v>0.006207929253908784</v>
      </c>
      <c r="G411" s="1">
        <v>0.008342182852943969</v>
      </c>
      <c r="H411" s="1">
        <v>-0.005003708452465117</v>
      </c>
      <c r="I411" s="1">
        <v>-0.05379905079240432</v>
      </c>
      <c r="J411" s="1">
        <v>-0.006974493559347761</v>
      </c>
      <c r="K411" s="1">
        <v>0.004337485152690501</v>
      </c>
      <c r="L411" s="1">
        <v>0.000992760330023934</v>
      </c>
      <c r="M411" s="1">
        <v>0.0003761234537809077</v>
      </c>
      <c r="N411" s="1">
        <v>-0.009486980694099034</v>
      </c>
      <c r="O411" s="1">
        <v>0.00194250884547631</v>
      </c>
      <c r="P411" s="1">
        <v>0.001242949022287165</v>
      </c>
      <c r="Q411" s="1">
        <v>0.003746743212212467</v>
      </c>
      <c r="R411" s="1">
        <v>-0.002375095837339747</v>
      </c>
      <c r="S411" s="1">
        <v>-0.007282945620246117</v>
      </c>
      <c r="T411" s="1">
        <v>-0.001790062219413691</v>
      </c>
      <c r="U411" s="1">
        <v>-0.006117522834357625</v>
      </c>
      <c r="V411" s="1">
        <v>-0.008374825088963811</v>
      </c>
      <c r="W411" s="1">
        <v>-0.001851510672825962</v>
      </c>
      <c r="X411" s="1">
        <v>-0.008936193871698417</v>
      </c>
      <c r="Y411" s="1">
        <v>-0.004176483674899534</v>
      </c>
      <c r="Z411" s="1">
        <v>0.001596387920538067</v>
      </c>
    </row>
    <row r="412" spans="1:26">
      <c r="A412" s="11">
        <v>42968</v>
      </c>
      <c r="B412" s="1">
        <v>-0.01959783778497304</v>
      </c>
      <c r="C412" s="1">
        <v>-0.0003819378230622839</v>
      </c>
      <c r="D412" s="1">
        <v>0.003942551516460835</v>
      </c>
      <c r="E412" s="1">
        <v>0.003899484246212115</v>
      </c>
      <c r="F412" s="1">
        <v>0.006910417379364153</v>
      </c>
      <c r="G412" s="1">
        <v>0.009307290877685448</v>
      </c>
      <c r="H412" s="1">
        <v>0.002421445062998018</v>
      </c>
      <c r="I412" s="1">
        <v>-0.006734460990575619</v>
      </c>
      <c r="J412" s="1">
        <v>0.003241795813991644</v>
      </c>
      <c r="K412" s="1">
        <v>0.0329281750981647</v>
      </c>
      <c r="L412" s="1">
        <v>-0.001212122894358125</v>
      </c>
      <c r="M412" s="1">
        <v>0.00695869526078563</v>
      </c>
      <c r="N412" s="1">
        <v>0.01099071311757904</v>
      </c>
      <c r="O412" s="1">
        <v>0.001292840677394658</v>
      </c>
      <c r="P412" s="1">
        <v>-0.004690167580553406</v>
      </c>
      <c r="Q412" s="1">
        <v>-0.0003735989682204233</v>
      </c>
      <c r="R412" s="1">
        <v>0.003968277965716194</v>
      </c>
      <c r="S412" s="1">
        <v>0.02078577677892057</v>
      </c>
      <c r="T412" s="1">
        <v>0.001975962279757049</v>
      </c>
      <c r="U412" s="1">
        <v>0.005619518302816484</v>
      </c>
      <c r="V412" s="1">
        <v>0.01635198307811292</v>
      </c>
      <c r="W412" s="1">
        <v>0.008345030858609936</v>
      </c>
      <c r="X412" s="1">
        <v>-0.003354574356655426</v>
      </c>
      <c r="Y412" s="1">
        <v>0.009436401612708867</v>
      </c>
      <c r="Z412" s="1">
        <v>-0.008652194933648438</v>
      </c>
    </row>
    <row r="413" spans="1:26">
      <c r="A413" s="11">
        <v>42969</v>
      </c>
      <c r="B413" s="1">
        <v>0.009361975756282837</v>
      </c>
      <c r="C413" s="1">
        <v>0.01726924316612055</v>
      </c>
      <c r="D413" s="1">
        <v>0.01701898316745631</v>
      </c>
      <c r="E413" s="1">
        <v>0.01818490100960379</v>
      </c>
      <c r="F413" s="1">
        <v>0.01347981392279007</v>
      </c>
      <c r="G413" s="1">
        <v>0.007854976748384868</v>
      </c>
      <c r="H413" s="1">
        <v>0.00334454877723811</v>
      </c>
      <c r="I413" s="1">
        <v>0.008239138729044582</v>
      </c>
      <c r="J413" s="1">
        <v>0.02423247421849073</v>
      </c>
      <c r="K413" s="1">
        <v>0.009145611544888466</v>
      </c>
      <c r="L413" s="1">
        <v>0.01026178420111079</v>
      </c>
      <c r="M413" s="1">
        <v>0.000280939820670012</v>
      </c>
      <c r="N413" s="1">
        <v>-0.005125230346301302</v>
      </c>
      <c r="O413" s="1">
        <v>0.008649479799498705</v>
      </c>
      <c r="P413" s="1">
        <v>0.01399854575967319</v>
      </c>
      <c r="Q413" s="1">
        <v>0.005974967502335282</v>
      </c>
      <c r="R413" s="1">
        <v>0.0189723702090685</v>
      </c>
      <c r="S413" s="1">
        <v>0.006088482758605407</v>
      </c>
      <c r="T413" s="1">
        <v>0.02854803240427195</v>
      </c>
      <c r="U413" s="1">
        <v>0.01064381909115197</v>
      </c>
      <c r="V413" s="1">
        <v>-0.0003533145844094587</v>
      </c>
      <c r="W413" s="1">
        <v>0.01597579734839805</v>
      </c>
      <c r="X413" s="1">
        <v>0.01115083534607852</v>
      </c>
      <c r="Y413" s="1">
        <v>0.004361866291354266</v>
      </c>
      <c r="Z413" s="1">
        <v>0.01033523105278156</v>
      </c>
    </row>
    <row r="414" spans="1:26">
      <c r="A414" s="11">
        <v>42970</v>
      </c>
      <c r="B414" s="1">
        <v>0.008774393551661985</v>
      </c>
      <c r="C414" s="1">
        <v>-0.006923911767762858</v>
      </c>
      <c r="D414" s="1">
        <v>-0.01126335509263876</v>
      </c>
      <c r="E414" s="1">
        <v>0.00346813102152943</v>
      </c>
      <c r="F414" s="1">
        <v>-0.01692804980547402</v>
      </c>
      <c r="G414" s="1">
        <v>0.007455199802910428</v>
      </c>
      <c r="H414" s="1">
        <v>0.003518412779136781</v>
      </c>
      <c r="I414" s="1">
        <v>-0.008767370545375242</v>
      </c>
      <c r="J414" s="1">
        <v>-0.0084120704299111</v>
      </c>
      <c r="K414" s="1">
        <v>-0.001553619033019982</v>
      </c>
      <c r="L414" s="1">
        <v>0.001201160977683413</v>
      </c>
      <c r="M414" s="1">
        <v>-0.03200459829595015</v>
      </c>
      <c r="N414" s="1">
        <v>-0.005463790861603535</v>
      </c>
      <c r="O414" s="1">
        <v>-0.01241480732836553</v>
      </c>
      <c r="P414" s="1">
        <v>-0.006014292100216756</v>
      </c>
      <c r="Q414" s="1">
        <v>0.003340643965892065</v>
      </c>
      <c r="R414" s="1">
        <v>-0.006827185388146972</v>
      </c>
      <c r="S414" s="1">
        <v>0.01899932693510564</v>
      </c>
      <c r="T414" s="1">
        <v>-0.009615839057569686</v>
      </c>
      <c r="U414" s="1">
        <v>-0.001579726890427402</v>
      </c>
      <c r="V414" s="1">
        <v>-0.001415333739390401</v>
      </c>
      <c r="W414" s="1">
        <v>-0.005543202699594296</v>
      </c>
      <c r="X414" s="1">
        <v>-0.001456442325333707</v>
      </c>
      <c r="Y414" s="1">
        <v>-0.001447598034247766</v>
      </c>
      <c r="Z414" s="1">
        <v>-0.00136389598546216</v>
      </c>
    </row>
    <row r="415" spans="1:26">
      <c r="A415" s="11">
        <v>42971</v>
      </c>
      <c r="B415" s="1">
        <v>-0.005218699866948229</v>
      </c>
      <c r="C415" s="1">
        <v>0.00272999892768877</v>
      </c>
      <c r="D415" s="1">
        <v>0.0009762990410568939</v>
      </c>
      <c r="E415" s="1">
        <v>0.005183848411733472</v>
      </c>
      <c r="F415" s="1">
        <v>-0.0125462302846413</v>
      </c>
      <c r="G415" s="1">
        <v>-0.003027071542317405</v>
      </c>
      <c r="H415" s="1">
        <v>-0.03155558131802616</v>
      </c>
      <c r="I415" s="1">
        <v>-0.008673359229132815</v>
      </c>
      <c r="J415" s="1">
        <v>0.02916194193629984</v>
      </c>
      <c r="K415" s="1">
        <v>0.0007780485065032039</v>
      </c>
      <c r="L415" s="1">
        <v>-0.001636154631882603</v>
      </c>
      <c r="M415" s="1">
        <v>-0.0195280325925119</v>
      </c>
      <c r="N415" s="1">
        <v>-0.001726296758323476</v>
      </c>
      <c r="O415" s="1">
        <v>-0.003629150550866767</v>
      </c>
      <c r="P415" s="1">
        <v>-0.0004122240288190193</v>
      </c>
      <c r="Q415" s="1">
        <v>-0.003329521220916121</v>
      </c>
      <c r="R415" s="1">
        <v>-0.002968264437107071</v>
      </c>
      <c r="S415" s="1">
        <v>-0.003651207159158565</v>
      </c>
      <c r="T415" s="1">
        <v>-0.0006254683440771736</v>
      </c>
      <c r="U415" s="1">
        <v>-0.006328717330318367</v>
      </c>
      <c r="V415" s="1">
        <v>-0.03985121702631322</v>
      </c>
      <c r="W415" s="1">
        <v>0.0008533558876882008</v>
      </c>
      <c r="X415" s="1">
        <v>-0.001042178085428391</v>
      </c>
      <c r="Y415" s="1">
        <v>0.0006211601989003501</v>
      </c>
      <c r="Z415" s="1">
        <v>0.01024347777531265</v>
      </c>
    </row>
    <row r="416" spans="1:26">
      <c r="A416" s="11">
        <v>42972</v>
      </c>
      <c r="B416" s="1">
        <v>0.0007493706867283123</v>
      </c>
      <c r="C416" s="1">
        <v>-0.01193767590011641</v>
      </c>
      <c r="D416" s="1">
        <v>0</v>
      </c>
      <c r="E416" s="1">
        <v>0.003438595931564592</v>
      </c>
      <c r="F416" s="1">
        <v>0.001494632516394034</v>
      </c>
      <c r="G416" s="1">
        <v>0.00303626252620548</v>
      </c>
      <c r="H416" s="1">
        <v>-0.02057937531080645</v>
      </c>
      <c r="I416" s="1">
        <v>0.003464964904833945</v>
      </c>
      <c r="J416" s="1">
        <v>-0.005151704306713523</v>
      </c>
      <c r="K416" s="1">
        <v>0.006219065381243283</v>
      </c>
      <c r="L416" s="1">
        <v>0.0040429490834617</v>
      </c>
      <c r="M416" s="1">
        <v>0.03884820002962641</v>
      </c>
      <c r="N416" s="1">
        <v>0.007547237873149593</v>
      </c>
      <c r="O416" s="1">
        <v>0.001040544503729146</v>
      </c>
      <c r="P416" s="1">
        <v>0.001788194981465985</v>
      </c>
      <c r="Q416" s="1">
        <v>0.006310147284037004</v>
      </c>
      <c r="R416" s="1">
        <v>0.002977101260905446</v>
      </c>
      <c r="S416" s="1">
        <v>-0.003908524368540389</v>
      </c>
      <c r="T416" s="1">
        <v>0.01072861330919284</v>
      </c>
      <c r="U416" s="1">
        <v>0.008227017740629394</v>
      </c>
      <c r="V416" s="1">
        <v>0.01475737619981921</v>
      </c>
      <c r="W416" s="1">
        <v>0.00716074333886918</v>
      </c>
      <c r="X416" s="1">
        <v>0.01022118191858068</v>
      </c>
      <c r="Y416" s="1">
        <v>0.007659188099607084</v>
      </c>
      <c r="Z416" s="1">
        <v>0.007210719932416954</v>
      </c>
    </row>
    <row r="417" spans="1:26">
      <c r="A417" s="11">
        <v>42975</v>
      </c>
      <c r="B417" s="1">
        <v>-0.01772353454509668</v>
      </c>
      <c r="C417" s="1">
        <v>0.005468610424562481</v>
      </c>
      <c r="D417" s="1">
        <v>0.002113753588054657</v>
      </c>
      <c r="E417" s="1">
        <v>0.003597554759022348</v>
      </c>
      <c r="F417" s="1">
        <v>0.003482486519021499</v>
      </c>
      <c r="G417" s="1">
        <v>0.006727507258433851</v>
      </c>
      <c r="H417" s="1">
        <v>-0.01284048304877583</v>
      </c>
      <c r="I417" s="1">
        <v>0.001035824671472785</v>
      </c>
      <c r="J417" s="1">
        <v>-0.006732160482492922</v>
      </c>
      <c r="K417" s="1">
        <v>0.0002576462950685254</v>
      </c>
      <c r="L417" s="1">
        <v>-0.003156522596250877</v>
      </c>
      <c r="M417" s="1">
        <v>-0.01765364854318419</v>
      </c>
      <c r="N417" s="1">
        <v>-0.002340563409854224</v>
      </c>
      <c r="O417" s="1">
        <v>0.006237471896592739</v>
      </c>
      <c r="P417" s="1">
        <v>0.0001373345145023741</v>
      </c>
      <c r="Q417" s="1">
        <v>-0.0007379085857612822</v>
      </c>
      <c r="R417" s="1">
        <v>0.006092845647555301</v>
      </c>
      <c r="S417" s="1">
        <v>0.002109204527178221</v>
      </c>
      <c r="T417" s="1">
        <v>-0.0007076341703933231</v>
      </c>
      <c r="U417" s="1">
        <v>-0.001316290427612166</v>
      </c>
      <c r="V417" s="1">
        <v>-0.01036151516923944</v>
      </c>
      <c r="W417" s="1">
        <v>0.006827377943650292</v>
      </c>
      <c r="X417" s="1">
        <v>-0.00702083259928965</v>
      </c>
      <c r="Y417" s="1">
        <v>-0.001438168610734203</v>
      </c>
      <c r="Z417" s="1">
        <v>-0.009395962847939199</v>
      </c>
    </row>
    <row r="418" spans="1:26">
      <c r="A418" s="11">
        <v>42976</v>
      </c>
      <c r="B418" s="1">
        <v>-0.01219817265290069</v>
      </c>
      <c r="C418" s="1">
        <v>0.01395579596781582</v>
      </c>
      <c r="D418" s="1">
        <v>-0.003731372666084476</v>
      </c>
      <c r="E418" s="1">
        <v>0.004779848428466682</v>
      </c>
      <c r="F418" s="1">
        <v>-0.004462440689599001</v>
      </c>
      <c r="G418" s="1">
        <v>-0.001336643626335121</v>
      </c>
      <c r="H418" s="1">
        <v>0.001379563165399889</v>
      </c>
      <c r="I418" s="1">
        <v>-0.0006035179034474814</v>
      </c>
      <c r="J418" s="1">
        <v>0.001563696173533469</v>
      </c>
      <c r="K418" s="1">
        <v>-0.002317258479928919</v>
      </c>
      <c r="L418" s="1">
        <v>-0.005458124013239307</v>
      </c>
      <c r="M418" s="1">
        <v>-0.005603937751900379</v>
      </c>
      <c r="N418" s="1">
        <v>-0.001877561330409505</v>
      </c>
      <c r="O418" s="1">
        <v>-0.005682412314420349</v>
      </c>
      <c r="P418" s="1">
        <v>0.003020483648320305</v>
      </c>
      <c r="Q418" s="1">
        <v>-0.004060413110910432</v>
      </c>
      <c r="R418" s="1">
        <v>0.01180127967693978</v>
      </c>
      <c r="S418" s="1">
        <v>0.006216174484487302</v>
      </c>
      <c r="T418" s="1">
        <v>-0.01705445293842478</v>
      </c>
      <c r="U418" s="1">
        <v>-0.002372182292984193</v>
      </c>
      <c r="V418" s="1">
        <v>0.002020494456938415</v>
      </c>
      <c r="W418" s="1">
        <v>0.01171366137667329</v>
      </c>
      <c r="X418" s="1">
        <v>0.001456016220166889</v>
      </c>
      <c r="Y418" s="1">
        <v>-0.002057183295987142</v>
      </c>
      <c r="Z418" s="1">
        <v>-0.01287289129791502</v>
      </c>
    </row>
    <row r="419" spans="1:26">
      <c r="A419" s="11">
        <v>42977</v>
      </c>
      <c r="B419" s="1">
        <v>-0.01286337791925063</v>
      </c>
      <c r="C419" s="1">
        <v>-0.0001246354146376971</v>
      </c>
      <c r="D419" s="1">
        <v>0.003755120177498128</v>
      </c>
      <c r="E419" s="1">
        <v>0.008834671985884723</v>
      </c>
      <c r="F419" s="1">
        <v>0.01643452608617868</v>
      </c>
      <c r="G419" s="1">
        <v>-0.007695089114889253</v>
      </c>
      <c r="H419" s="1">
        <v>-0.01102130074265928</v>
      </c>
      <c r="I419" s="1">
        <v>-0.003451585835942295</v>
      </c>
      <c r="J419" s="1">
        <v>-0.002082081618661524</v>
      </c>
      <c r="K419" s="1">
        <v>0.01006485636136567</v>
      </c>
      <c r="L419" s="1">
        <v>0.002305246101689473</v>
      </c>
      <c r="M419" s="1">
        <v>0.00116595219845661</v>
      </c>
      <c r="N419" s="1">
        <v>0.003761374530654615</v>
      </c>
      <c r="O419" s="1">
        <v>0.005325116971398147</v>
      </c>
      <c r="P419" s="1">
        <v>0.01314191687581956</v>
      </c>
      <c r="Q419" s="1">
        <v>-0.00259451095648966</v>
      </c>
      <c r="R419" s="1">
        <v>0.01411914545710347</v>
      </c>
      <c r="S419" s="1">
        <v>0.001800081942658682</v>
      </c>
      <c r="T419" s="1">
        <v>0.01458853878814748</v>
      </c>
      <c r="U419" s="1">
        <v>-0.004755520163767457</v>
      </c>
      <c r="V419" s="1">
        <v>-0.004216324755735523</v>
      </c>
      <c r="W419" s="1">
        <v>0.01346054466125146</v>
      </c>
      <c r="X419" s="1">
        <v>0.01681880223610466</v>
      </c>
      <c r="Y419" s="1">
        <v>-0.008039624372443543</v>
      </c>
      <c r="Z419" s="1">
        <v>0.002516974886486611</v>
      </c>
    </row>
    <row r="420" spans="1:26">
      <c r="A420" s="11">
        <v>42978</v>
      </c>
      <c r="B420" s="1">
        <v>0.01224927277655041</v>
      </c>
      <c r="C420" s="1">
        <v>-0.003327082487599164</v>
      </c>
      <c r="D420" s="1">
        <v>0.009108644138436039</v>
      </c>
      <c r="E420" s="1">
        <v>0.01852468984304845</v>
      </c>
      <c r="F420" s="1">
        <v>-0.005144294109315606</v>
      </c>
      <c r="G420" s="1">
        <v>-0.001348474932045596</v>
      </c>
      <c r="H420" s="1">
        <v>-0.08059714048998878</v>
      </c>
      <c r="I420" s="1">
        <v>0.003809735688519611</v>
      </c>
      <c r="J420" s="1">
        <v>-0.004694969566306328</v>
      </c>
      <c r="K420" s="1">
        <v>0.01149694632104392</v>
      </c>
      <c r="L420" s="1">
        <v>-0.004599463965225148</v>
      </c>
      <c r="M420" s="1">
        <v>0.01203397523179661</v>
      </c>
      <c r="N420" s="1">
        <v>-0.0101481938103043</v>
      </c>
      <c r="O420" s="1">
        <v>0.008655179977338445</v>
      </c>
      <c r="P420" s="1">
        <v>0.01026858057842461</v>
      </c>
      <c r="Q420" s="1">
        <v>-0.001486501859002787</v>
      </c>
      <c r="R420" s="1">
        <v>0.003783315819387179</v>
      </c>
      <c r="S420" s="1">
        <v>-0.002913503714587873</v>
      </c>
      <c r="T420" s="1">
        <v>0.003757330504040368</v>
      </c>
      <c r="U420" s="1">
        <v>-0.005574511826903272</v>
      </c>
      <c r="V420" s="1">
        <v>0.003866019778449248</v>
      </c>
      <c r="W420" s="1">
        <v>0.02290259790982097</v>
      </c>
      <c r="X420" s="1">
        <v>0.002450621185365875</v>
      </c>
      <c r="Y420" s="1">
        <v>-0.003117294295046369</v>
      </c>
      <c r="Z420" s="1">
        <v>-0.003651203046005635</v>
      </c>
    </row>
    <row r="421" spans="1:26">
      <c r="A421" s="11">
        <v>42979</v>
      </c>
      <c r="B421" s="1">
        <v>0.01647778947101974</v>
      </c>
      <c r="C421" s="1">
        <v>0.002795537591215203</v>
      </c>
      <c r="D421" s="1">
        <v>0.003062533470189921</v>
      </c>
      <c r="E421" s="1">
        <v>-0.009590003331858332</v>
      </c>
      <c r="F421" s="1">
        <v>0.01108074449627483</v>
      </c>
      <c r="G421" s="1">
        <v>0.0003376372025420959</v>
      </c>
      <c r="H421" s="1">
        <v>-0.01731599374952153</v>
      </c>
      <c r="I421" s="1">
        <v>0.001811625339717349</v>
      </c>
      <c r="J421" s="1">
        <v>0.01467524439662071</v>
      </c>
      <c r="K421" s="1">
        <v>0.007577709018895984</v>
      </c>
      <c r="L421" s="1">
        <v>0.008911138758247006</v>
      </c>
      <c r="M421" s="1">
        <v>0.0009591195123530571</v>
      </c>
      <c r="N421" s="1">
        <v>0.002208080411667535</v>
      </c>
      <c r="O421" s="1">
        <v>-0.002689506804715802</v>
      </c>
      <c r="P421" s="1">
        <v>-0.01110081533149054</v>
      </c>
      <c r="Q421" s="1">
        <v>-0.0003721076238368815</v>
      </c>
      <c r="R421" s="1">
        <v>-0.007085927397403768</v>
      </c>
      <c r="S421" s="1">
        <v>0.002629793697684457</v>
      </c>
      <c r="T421" s="1">
        <v>0.01282182410021004</v>
      </c>
      <c r="U421" s="1">
        <v>0.0005334194152857297</v>
      </c>
      <c r="V421" s="1">
        <v>0.03099214741052636</v>
      </c>
      <c r="W421" s="1">
        <v>-0.006091766851597957</v>
      </c>
      <c r="X421" s="1">
        <v>0.002852160460233844</v>
      </c>
      <c r="Y421" s="1">
        <v>-0.001042282421757523</v>
      </c>
      <c r="Z421" s="1">
        <v>0.01511682470150344</v>
      </c>
    </row>
    <row r="422" spans="1:26">
      <c r="A422" s="11">
        <v>42983</v>
      </c>
      <c r="B422" s="1">
        <v>-0.001519620611258765</v>
      </c>
      <c r="C422" s="1">
        <v>-0.01385593336420254</v>
      </c>
      <c r="D422" s="1">
        <v>-0.0008034840982852343</v>
      </c>
      <c r="E422" s="1">
        <v>-0.001502681904407166</v>
      </c>
      <c r="F422" s="1">
        <v>-0.009497783709196739</v>
      </c>
      <c r="G422" s="1">
        <v>-0.0003375232421388707</v>
      </c>
      <c r="H422" s="1">
        <v>0.02797368718823967</v>
      </c>
      <c r="I422" s="1">
        <v>-0.005252429969356154</v>
      </c>
      <c r="J422" s="1">
        <v>-0.006198388421712497</v>
      </c>
      <c r="K422" s="1">
        <v>0.002757569750586164</v>
      </c>
      <c r="L422" s="1">
        <v>-0.02388176125929309</v>
      </c>
      <c r="M422" s="1">
        <v>-0.02011892780344626</v>
      </c>
      <c r="N422" s="1">
        <v>-0.01054435939668052</v>
      </c>
      <c r="O422" s="1">
        <v>0.002824888165064987</v>
      </c>
      <c r="P422" s="1">
        <v>-0.004462597872150198</v>
      </c>
      <c r="Q422" s="1">
        <v>0.0003722461394632948</v>
      </c>
      <c r="R422" s="1">
        <v>-0.008654658536756177</v>
      </c>
      <c r="S422" s="1">
        <v>0.003788399952556087</v>
      </c>
      <c r="T422" s="1">
        <v>0.003957904772656784</v>
      </c>
      <c r="U422" s="1">
        <v>-0.01040523973815022</v>
      </c>
      <c r="V422" s="1">
        <v>0.02009959503910808</v>
      </c>
      <c r="W422" s="1">
        <v>0.0001077997902911854</v>
      </c>
      <c r="X422" s="1">
        <v>-0.01076616793540663</v>
      </c>
      <c r="Y422" s="1">
        <v>-0.01168626335215883</v>
      </c>
      <c r="Z422" s="1">
        <v>-0.03519894807558122</v>
      </c>
    </row>
    <row r="423" spans="1:26">
      <c r="A423" s="11">
        <v>42984</v>
      </c>
      <c r="B423" s="1">
        <v>0.01801103603916898</v>
      </c>
      <c r="C423" s="1">
        <v>-0.01004213269935839</v>
      </c>
      <c r="D423" s="1">
        <v>0.005628911428819938</v>
      </c>
      <c r="E423" s="1">
        <v>0.001003265851899027</v>
      </c>
      <c r="F423" s="1">
        <v>0.01229367935275838</v>
      </c>
      <c r="G423" s="1">
        <v>-0.006076710531387697</v>
      </c>
      <c r="H423" s="1">
        <v>0.01842729347349881</v>
      </c>
      <c r="I423" s="1">
        <v>0.005972389922710652</v>
      </c>
      <c r="J423" s="1">
        <v>0.006756858720399883</v>
      </c>
      <c r="K423" s="1">
        <v>-0.009500101700165464</v>
      </c>
      <c r="L423" s="1">
        <v>0.00670276452510965</v>
      </c>
      <c r="M423" s="1">
        <v>0.010363691847592</v>
      </c>
      <c r="N423" s="1">
        <v>0.006362371356768648</v>
      </c>
      <c r="O423" s="1">
        <v>0.01126897746318578</v>
      </c>
      <c r="P423" s="1">
        <v>-0.00285284462117974</v>
      </c>
      <c r="Q423" s="1">
        <v>-0.002977050551379867</v>
      </c>
      <c r="R423" s="1">
        <v>-0.0007657695895310068</v>
      </c>
      <c r="S423" s="1">
        <v>0.005952047182399722</v>
      </c>
      <c r="T423" s="1">
        <v>-0.00585560942318708</v>
      </c>
      <c r="U423" s="1">
        <v>-0.01402014945583074</v>
      </c>
      <c r="V423" s="1">
        <v>0.01168261970475259</v>
      </c>
      <c r="W423" s="1">
        <v>0.01822385793973469</v>
      </c>
      <c r="X423" s="1">
        <v>0.001848096356904527</v>
      </c>
      <c r="Y423" s="1">
        <v>-0.009501232985689279</v>
      </c>
      <c r="Z423" s="1">
        <v>-0.003507762593513375</v>
      </c>
    </row>
    <row r="424" spans="1:26">
      <c r="A424" s="11">
        <v>42985</v>
      </c>
      <c r="B424" s="1">
        <v>0.01495139181420591</v>
      </c>
      <c r="C424" s="1">
        <v>0.007203126521234671</v>
      </c>
      <c r="D424" s="1">
        <v>0.004957264427883246</v>
      </c>
      <c r="E424" s="1">
        <v>0.0496074769884487</v>
      </c>
      <c r="F424" s="1">
        <v>-0.06242416977894416</v>
      </c>
      <c r="G424" s="1">
        <v>0.01766286406951334</v>
      </c>
      <c r="H424" s="1">
        <v>-0.002945692150401413</v>
      </c>
      <c r="I424" s="1">
        <v>0.0009466396473196692</v>
      </c>
      <c r="J424" s="1">
        <v>-0.004646289764030698</v>
      </c>
      <c r="K424" s="1">
        <v>-0.01034798077611443</v>
      </c>
      <c r="L424" s="1">
        <v>-0.01753364490783815</v>
      </c>
      <c r="M424" s="1">
        <v>0.0104511717110114</v>
      </c>
      <c r="N424" s="1">
        <v>-0.008534998558921369</v>
      </c>
      <c r="O424" s="1">
        <v>-0.001646416514386795</v>
      </c>
      <c r="P424" s="1">
        <v>0.01280640518003362</v>
      </c>
      <c r="Q424" s="1">
        <v>0.007465134803158469</v>
      </c>
      <c r="R424" s="1">
        <v>0.02437163474272963</v>
      </c>
      <c r="S424" s="1">
        <v>0.03073721016380437</v>
      </c>
      <c r="T424" s="1">
        <v>-0.009942698057869848</v>
      </c>
      <c r="U424" s="1">
        <v>-0.02652456458293984</v>
      </c>
      <c r="V424" s="1">
        <v>0.006894108133735477</v>
      </c>
      <c r="W424" s="1">
        <v>0.006229732565099289</v>
      </c>
      <c r="X424" s="1">
        <v>-0.001639510947810563</v>
      </c>
      <c r="Y424" s="1">
        <v>-0.01513557254584597</v>
      </c>
      <c r="Z424" s="1">
        <v>-0.03003980661129713</v>
      </c>
    </row>
    <row r="425" spans="1:26">
      <c r="A425" s="11">
        <v>42986</v>
      </c>
      <c r="B425" s="1">
        <v>-0.03510891633102065</v>
      </c>
      <c r="C425" s="1">
        <v>0.010452314885395</v>
      </c>
      <c r="D425" s="1">
        <v>0.00700196970668987</v>
      </c>
      <c r="E425" s="1">
        <v>-0.00350109583731173</v>
      </c>
      <c r="F425" s="1">
        <v>-0.01010348612830481</v>
      </c>
      <c r="G425" s="1">
        <v>0.00166886076591144</v>
      </c>
      <c r="H425" s="1">
        <v>0.01118365611222916</v>
      </c>
      <c r="I425" s="1">
        <v>0.008338461843583334</v>
      </c>
      <c r="J425" s="1">
        <v>-0.008298967697987325</v>
      </c>
      <c r="K425" s="1">
        <v>-0.001275448742011354</v>
      </c>
      <c r="L425" s="1">
        <v>-0.001242709191386582</v>
      </c>
      <c r="M425" s="1">
        <v>0.0126412346887752</v>
      </c>
      <c r="N425" s="1">
        <v>-0.007970920880089327</v>
      </c>
      <c r="O425" s="1">
        <v>0.03944707140429404</v>
      </c>
      <c r="P425" s="1">
        <v>-0.004842502427571227</v>
      </c>
      <c r="Q425" s="1">
        <v>0.004446288008610022</v>
      </c>
      <c r="R425" s="1">
        <v>0.01152147318931251</v>
      </c>
      <c r="S425" s="1">
        <v>0.01880727928535708</v>
      </c>
      <c r="T425" s="1">
        <v>0.01472520379556408</v>
      </c>
      <c r="U425" s="1">
        <v>-0.0002804776404601306</v>
      </c>
      <c r="V425" s="1">
        <v>-0.01968491493987923</v>
      </c>
      <c r="W425" s="1">
        <v>0.005456791082609325</v>
      </c>
      <c r="X425" s="1">
        <v>0.01088046907414841</v>
      </c>
      <c r="Y425" s="1">
        <v>-0.001948187325548689</v>
      </c>
      <c r="Z425" s="1">
        <v>0.007500610309597588</v>
      </c>
    </row>
    <row r="426" spans="1:26">
      <c r="A426" s="11">
        <v>42989</v>
      </c>
      <c r="B426" s="1">
        <v>0.01170449843272903</v>
      </c>
      <c r="C426" s="1">
        <v>0.007580286172808703</v>
      </c>
      <c r="D426" s="1">
        <v>0.01580283378137137</v>
      </c>
      <c r="E426" s="1">
        <v>0.001597161011388737</v>
      </c>
      <c r="F426" s="1">
        <v>-0.009944977234549124</v>
      </c>
      <c r="G426" s="1">
        <v>0.01466197292613258</v>
      </c>
      <c r="H426" s="1">
        <v>-0.003964823677853335</v>
      </c>
      <c r="I426" s="1">
        <v>0.00537072789019799</v>
      </c>
      <c r="J426" s="1">
        <v>0.01046043564662003</v>
      </c>
      <c r="K426" s="1">
        <v>0.006128661993182183</v>
      </c>
      <c r="L426" s="1">
        <v>0.01549441487400727</v>
      </c>
      <c r="M426" s="1">
        <v>0.01380750975726053</v>
      </c>
      <c r="N426" s="1">
        <v>0.004178330290028454</v>
      </c>
      <c r="O426" s="1">
        <v>-0.009151968595608517</v>
      </c>
      <c r="P426" s="1">
        <v>0.01054321939712843</v>
      </c>
      <c r="Q426" s="1">
        <v>0.004426418160724088</v>
      </c>
      <c r="R426" s="1">
        <v>0.00147920428847037</v>
      </c>
      <c r="S426" s="1">
        <v>-0.02249120222720646</v>
      </c>
      <c r="T426" s="1">
        <v>0.008619948666168442</v>
      </c>
      <c r="U426" s="1">
        <v>0.004214359739110662</v>
      </c>
      <c r="V426" s="1">
        <v>0.0003493665376177457</v>
      </c>
      <c r="W426" s="1">
        <v>0.01012380224802589</v>
      </c>
      <c r="X426" s="1">
        <v>0.03960186212275607</v>
      </c>
      <c r="Y426" s="1">
        <v>0.004120980801542995</v>
      </c>
      <c r="Z426" s="1">
        <v>0.02617690875830947</v>
      </c>
    </row>
    <row r="427" spans="1:26">
      <c r="A427" s="11">
        <v>42990</v>
      </c>
      <c r="B427" s="1">
        <v>0.01911495908281347</v>
      </c>
      <c r="C427" s="1">
        <v>-4.155017340679024E-05</v>
      </c>
      <c r="D427" s="1">
        <v>-0.002022188823755711</v>
      </c>
      <c r="E427" s="1">
        <v>0.004782992278670184</v>
      </c>
      <c r="F427" s="1">
        <v>0.001850432821537185</v>
      </c>
      <c r="G427" s="1">
        <v>-0.01543557157913922</v>
      </c>
      <c r="H427" s="1">
        <v>-0.007332477081664734</v>
      </c>
      <c r="I427" s="1">
        <v>-0.005681217759511581</v>
      </c>
      <c r="J427" s="1">
        <v>0.0152704755394506</v>
      </c>
      <c r="K427" s="1">
        <v>0.01522850332894832</v>
      </c>
      <c r="L427" s="1">
        <v>0.01225097969321953</v>
      </c>
      <c r="M427" s="1">
        <v>0.006529919168220433</v>
      </c>
      <c r="N427" s="1">
        <v>0.0001601183170143461</v>
      </c>
      <c r="O427" s="1">
        <v>0.006896958781932971</v>
      </c>
      <c r="P427" s="1">
        <v>-0.001069941446124489</v>
      </c>
      <c r="Q427" s="1">
        <v>-0.01615851899197429</v>
      </c>
      <c r="R427" s="1">
        <v>0.01536232945175886</v>
      </c>
      <c r="S427" s="1">
        <v>-0.01806999052517655</v>
      </c>
      <c r="T427" s="1">
        <v>0.00814344732132577</v>
      </c>
      <c r="U427" s="1">
        <v>0.01454946620855968</v>
      </c>
      <c r="V427" s="1">
        <v>0.0104727562918665</v>
      </c>
      <c r="W427" s="1">
        <v>0.002428038029316459</v>
      </c>
      <c r="X427" s="1">
        <v>0.02383303781108559</v>
      </c>
      <c r="Y427" s="1">
        <v>0.01058285373434176</v>
      </c>
      <c r="Z427" s="1">
        <v>0.01404160389480458</v>
      </c>
    </row>
    <row r="428" spans="1:26">
      <c r="A428" s="11">
        <v>42991</v>
      </c>
      <c r="B428" s="1">
        <v>0.04491600645686411</v>
      </c>
      <c r="C428" s="1">
        <v>0.005611446912764162</v>
      </c>
      <c r="D428" s="1">
        <v>0.007170453527274967</v>
      </c>
      <c r="E428" s="1">
        <v>-0.008568708104878642</v>
      </c>
      <c r="F428" s="1">
        <v>0.001583038272588544</v>
      </c>
      <c r="G428" s="1">
        <v>-0.001333914999272934</v>
      </c>
      <c r="H428" s="1">
        <v>0.006542736049560904</v>
      </c>
      <c r="I428" s="1">
        <v>0.0009377962986893973</v>
      </c>
      <c r="J428" s="1">
        <v>-0.01026671974973525</v>
      </c>
      <c r="K428" s="1">
        <v>-0.002500051316597252</v>
      </c>
      <c r="L428" s="1">
        <v>0.002860103679957371</v>
      </c>
      <c r="M428" s="1">
        <v>0.01316030961437287</v>
      </c>
      <c r="N428" s="1">
        <v>0.0001599742714954999</v>
      </c>
      <c r="O428" s="1">
        <v>-0.000122468129412634</v>
      </c>
      <c r="P428" s="1">
        <v>0.007096881174003533</v>
      </c>
      <c r="Q428" s="1">
        <v>-0.00410635649650104</v>
      </c>
      <c r="R428" s="1">
        <v>0.005528268214178844</v>
      </c>
      <c r="S428" s="1">
        <v>0.00558843284451771</v>
      </c>
      <c r="T428" s="1">
        <v>-0.009790037005650287</v>
      </c>
      <c r="U428" s="1">
        <v>0.007998328611507732</v>
      </c>
      <c r="V428" s="1">
        <v>0.02798441353221448</v>
      </c>
      <c r="W428" s="1">
        <v>-0.01324486750695864</v>
      </c>
      <c r="X428" s="1">
        <v>-0.001144996023378142</v>
      </c>
      <c r="Y428" s="1">
        <v>0.009831422124999989</v>
      </c>
      <c r="Z428" s="1">
        <v>-0.006462065838869879</v>
      </c>
    </row>
    <row r="429" spans="1:26">
      <c r="A429" s="11">
        <v>42992</v>
      </c>
      <c r="B429" s="1">
        <v>-0.002834401140332954</v>
      </c>
      <c r="C429" s="1">
        <v>0.01364026910853666</v>
      </c>
      <c r="D429" s="1">
        <v>-0.004488420716487918</v>
      </c>
      <c r="E429" s="1">
        <v>0.003361160794030482</v>
      </c>
      <c r="F429" s="1">
        <v>-0.009483559446943679</v>
      </c>
      <c r="G429" s="1">
        <v>0.006679985527379584</v>
      </c>
      <c r="H429" s="1">
        <v>0.001257963398662243</v>
      </c>
      <c r="I429" s="1">
        <v>0.008520195031961109</v>
      </c>
      <c r="J429" s="1">
        <v>0.009336226912903811</v>
      </c>
      <c r="K429" s="1">
        <v>0.005012400634740288</v>
      </c>
      <c r="L429" s="1">
        <v>-0.001974310266732227</v>
      </c>
      <c r="M429" s="1">
        <v>-0.005671726526707777</v>
      </c>
      <c r="N429" s="1">
        <v>0.006952499266260626</v>
      </c>
      <c r="O429" s="1">
        <v>-0.006728072414118547</v>
      </c>
      <c r="P429" s="1">
        <v>-0.005850583502195583</v>
      </c>
      <c r="Q429" s="1">
        <v>0.008995518849801432</v>
      </c>
      <c r="R429" s="1">
        <v>0.001446442633029177</v>
      </c>
      <c r="S429" s="1">
        <v>0.01830046492321347</v>
      </c>
      <c r="T429" s="1">
        <v>-0.001095406620643002</v>
      </c>
      <c r="U429" s="1">
        <v>-0.006293200842885205</v>
      </c>
      <c r="V429" s="1">
        <v>-0.0006721825954366656</v>
      </c>
      <c r="W429" s="1">
        <v>0.001934092877005522</v>
      </c>
      <c r="X429" s="1">
        <v>-0.01089251226157073</v>
      </c>
      <c r="Y429" s="1">
        <v>-0.001481694052608007</v>
      </c>
      <c r="Z429" s="1">
        <v>-0.009059305511475158</v>
      </c>
    </row>
    <row r="430" spans="1:26">
      <c r="A430" s="11">
        <v>42993</v>
      </c>
      <c r="B430" s="1">
        <v>0.007105686792274968</v>
      </c>
      <c r="C430" s="1">
        <v>0.01537341172187601</v>
      </c>
      <c r="D430" s="1">
        <v>-0.005597024882736723</v>
      </c>
      <c r="E430" s="1">
        <v>-0.00334990123732759</v>
      </c>
      <c r="F430" s="1">
        <v>-0.01781940731194875</v>
      </c>
      <c r="G430" s="1">
        <v>0.004313141321152125</v>
      </c>
      <c r="H430" s="1">
        <v>0.02052361055155449</v>
      </c>
      <c r="I430" s="1">
        <v>0.005406715587874311</v>
      </c>
      <c r="J430" s="1">
        <v>0.0005136664921516765</v>
      </c>
      <c r="K430" s="1">
        <v>-0.007231558072692046</v>
      </c>
      <c r="L430" s="1">
        <v>0.007145089574513763</v>
      </c>
      <c r="M430" s="1">
        <v>0.006808111486607871</v>
      </c>
      <c r="N430" s="1">
        <v>0.001765981990040633</v>
      </c>
      <c r="O430" s="1">
        <v>0.001478217520245684</v>
      </c>
      <c r="P430" s="1">
        <v>0.007222094179528238</v>
      </c>
      <c r="Q430" s="1">
        <v>0.002600294049114549</v>
      </c>
      <c r="R430" s="1">
        <v>0.01011244404651168</v>
      </c>
      <c r="S430" s="1">
        <v>0.007479724995747894</v>
      </c>
      <c r="T430" s="1">
        <v>-0.01604435847116503</v>
      </c>
      <c r="U430" s="1">
        <v>0.0214760448845015</v>
      </c>
      <c r="V430" s="1">
        <v>0.0082393384357351</v>
      </c>
      <c r="W430" s="1">
        <v>-0.005530068821118173</v>
      </c>
      <c r="X430" s="1">
        <v>-0.002897703354804548</v>
      </c>
      <c r="Y430" s="1">
        <v>0.01441305138490589</v>
      </c>
      <c r="Z430" s="1">
        <v>0.01453329471512688</v>
      </c>
    </row>
    <row r="431" spans="1:26">
      <c r="A431" s="11">
        <v>42996</v>
      </c>
      <c r="B431" s="1">
        <v>-0.005173723203649727</v>
      </c>
      <c r="C431" s="1">
        <v>0.01638545798523272</v>
      </c>
      <c r="D431" s="1">
        <v>0.005472397794994421</v>
      </c>
      <c r="E431" s="1">
        <v>0.003521012866427586</v>
      </c>
      <c r="F431" s="1">
        <v>0.004874277730445797</v>
      </c>
      <c r="G431" s="1">
        <v>-0.009580644588871201</v>
      </c>
      <c r="H431" s="1">
        <v>-0.01354447193679331</v>
      </c>
      <c r="I431" s="1">
        <v>0.007394328730875532</v>
      </c>
      <c r="J431" s="1">
        <v>0.006163501705783281</v>
      </c>
      <c r="K431" s="1">
        <v>-0.006029414901134289</v>
      </c>
      <c r="L431" s="1">
        <v>0.01418890464176825</v>
      </c>
      <c r="M431" s="1">
        <v>-0.01151337106320471</v>
      </c>
      <c r="N431" s="1">
        <v>0.002724935074903678</v>
      </c>
      <c r="O431" s="1">
        <v>0.001598947297619224</v>
      </c>
      <c r="P431" s="1">
        <v>-0.001991461758107826</v>
      </c>
      <c r="Q431" s="1">
        <v>-0.01667266003254064</v>
      </c>
      <c r="R431" s="1">
        <v>0.01344409838173655</v>
      </c>
      <c r="S431" s="1">
        <v>0.007938781822595775</v>
      </c>
      <c r="T431" s="1">
        <v>-0.003754026483828721</v>
      </c>
      <c r="U431" s="1">
        <v>0.008624964634836862</v>
      </c>
      <c r="V431" s="1">
        <v>-0.01450961067493373</v>
      </c>
      <c r="W431" s="1">
        <v>0.006452563562226565</v>
      </c>
      <c r="X431" s="1">
        <v>0.01646983309730654</v>
      </c>
      <c r="Y431" s="1">
        <v>0.004805386785049492</v>
      </c>
      <c r="Z431" s="1">
        <v>0.0157117238906952</v>
      </c>
    </row>
    <row r="432" spans="1:26">
      <c r="A432" s="11">
        <v>42997</v>
      </c>
      <c r="B432" s="1">
        <v>-0.01300248827077177</v>
      </c>
      <c r="C432" s="1">
        <v>-0.002449801490705616</v>
      </c>
      <c r="D432" s="1">
        <v>-0.004509562880702922</v>
      </c>
      <c r="E432" s="1">
        <v>0.003668290223644677</v>
      </c>
      <c r="F432" s="1">
        <v>0.00511995077277283</v>
      </c>
      <c r="G432" s="1">
        <v>-0.0003334995831255627</v>
      </c>
      <c r="H432" s="1">
        <v>-0.015602083528377</v>
      </c>
      <c r="I432" s="1">
        <v>0.02660795984186093</v>
      </c>
      <c r="J432" s="1">
        <v>-0.005105097459504937</v>
      </c>
      <c r="K432" s="1">
        <v>-0.01339346662350094</v>
      </c>
      <c r="L432" s="1">
        <v>0.010977181174469</v>
      </c>
      <c r="M432" s="1">
        <v>-0.01016814203854999</v>
      </c>
      <c r="N432" s="1">
        <v>-0.005275404931514571</v>
      </c>
      <c r="O432" s="1">
        <v>0.003928535413910916</v>
      </c>
      <c r="P432" s="1">
        <v>0.003725534956122489</v>
      </c>
      <c r="Q432" s="1">
        <v>-0.00527504921488875</v>
      </c>
      <c r="R432" s="1">
        <v>0.0005640304759826353</v>
      </c>
      <c r="S432" s="1">
        <v>-0.0006027386709123173</v>
      </c>
      <c r="T432" s="1">
        <v>0.008949217549502952</v>
      </c>
      <c r="U432" s="1">
        <v>0.02111163578549369</v>
      </c>
      <c r="V432" s="1">
        <v>0.004399949301271411</v>
      </c>
      <c r="W432" s="1">
        <v>-0.01167509677890588</v>
      </c>
      <c r="X432" s="1">
        <v>0.005337236110150689</v>
      </c>
      <c r="Y432" s="1">
        <v>0.02599307574682874</v>
      </c>
      <c r="Z432" s="1">
        <v>0.01023637090948171</v>
      </c>
    </row>
    <row r="433" spans="1:26">
      <c r="A433" s="11">
        <v>42998</v>
      </c>
      <c r="B433" s="1">
        <v>0.03113751043639312</v>
      </c>
      <c r="C433" s="1">
        <v>0.01188305907856502</v>
      </c>
      <c r="D433" s="1">
        <v>0.004061146184351161</v>
      </c>
      <c r="E433" s="1">
        <v>0.008899059371576756</v>
      </c>
      <c r="F433" s="1">
        <v>0.004289827954272907</v>
      </c>
      <c r="G433" s="1">
        <v>-0.009008909876973337</v>
      </c>
      <c r="H433" s="1">
        <v>-0.01711716673204888</v>
      </c>
      <c r="I433" s="1">
        <v>0.007068298722477495</v>
      </c>
      <c r="J433" s="1">
        <v>0.00564436921906486</v>
      </c>
      <c r="K433" s="1">
        <v>0.01818677837523408</v>
      </c>
      <c r="L433" s="1">
        <v>0.007025510205133978</v>
      </c>
      <c r="M433" s="1">
        <v>0.01326100986016843</v>
      </c>
      <c r="N433" s="1">
        <v>-0.01622979754893594</v>
      </c>
      <c r="O433" s="1">
        <v>0.01002775786219456</v>
      </c>
      <c r="P433" s="1">
        <v>-0.006628135349684539</v>
      </c>
      <c r="Q433" s="1">
        <v>-0.007954630850392719</v>
      </c>
      <c r="R433" s="1">
        <v>-0.0008458516052514131</v>
      </c>
      <c r="S433" s="1">
        <v>-0.0074630327211479</v>
      </c>
      <c r="T433" s="1">
        <v>0.01254575261380708</v>
      </c>
      <c r="U433" s="1">
        <v>0.005757611371254523</v>
      </c>
      <c r="V433" s="1">
        <v>-0.001516217328431546</v>
      </c>
      <c r="W433" s="1">
        <v>-0.005379285042885429</v>
      </c>
      <c r="X433" s="1">
        <v>0.007205245782451852</v>
      </c>
      <c r="Y433" s="1">
        <v>0.00283754622976562</v>
      </c>
      <c r="Z433" s="1">
        <v>0.01576258091264982</v>
      </c>
    </row>
    <row r="434" spans="1:26">
      <c r="A434" s="11">
        <v>42999</v>
      </c>
      <c r="B434" s="1">
        <v>0.007201330892226965</v>
      </c>
      <c r="C434" s="1">
        <v>0.002270325443139987</v>
      </c>
      <c r="D434" s="1">
        <v>-0.01400099592885151</v>
      </c>
      <c r="E434" s="1">
        <v>-0.002520221317879101</v>
      </c>
      <c r="F434" s="1">
        <v>0.0002667306579886564</v>
      </c>
      <c r="G434" s="1">
        <v>-0.007070693985552712</v>
      </c>
      <c r="H434" s="1">
        <v>-0.01827576145554421</v>
      </c>
      <c r="I434" s="1">
        <v>0.006696333828616341</v>
      </c>
      <c r="J434" s="1">
        <v>0.00867327034749743</v>
      </c>
      <c r="K434" s="1">
        <v>0.005786069750418843</v>
      </c>
      <c r="L434" s="1">
        <v>0.004545797589740053</v>
      </c>
      <c r="M434" s="1">
        <v>0.007004833511165209</v>
      </c>
      <c r="N434" s="1">
        <v>0.004573512334632435</v>
      </c>
      <c r="O434" s="1">
        <v>-0.00302683639615986</v>
      </c>
      <c r="P434" s="1">
        <v>-0.009740914381764609</v>
      </c>
      <c r="Q434" s="1">
        <v>-0.002672480654830167</v>
      </c>
      <c r="R434" s="1">
        <v>-0.001835230100083352</v>
      </c>
      <c r="S434" s="1">
        <v>0.003549581987650985</v>
      </c>
      <c r="T434" s="1">
        <v>0.007405538007897894</v>
      </c>
      <c r="U434" s="1">
        <v>-0.005464147062642644</v>
      </c>
      <c r="V434" s="1">
        <v>-0.01569365378368193</v>
      </c>
      <c r="W434" s="1">
        <v>-0.003658603938833216</v>
      </c>
      <c r="X434" s="1">
        <v>-0.001129623599739671</v>
      </c>
      <c r="Y434" s="1">
        <v>-0.01091324963782936</v>
      </c>
      <c r="Z434" s="1">
        <v>0.005541895070767966</v>
      </c>
    </row>
    <row r="435" spans="1:26">
      <c r="A435" s="11">
        <v>43000</v>
      </c>
      <c r="B435" s="1">
        <v>0.004842848647720555</v>
      </c>
      <c r="C435" s="1">
        <v>0.001601389702720279</v>
      </c>
      <c r="D435" s="1">
        <v>0.00205104239506082</v>
      </c>
      <c r="E435" s="1">
        <v>0.0004737091027000595</v>
      </c>
      <c r="F435" s="1">
        <v>0.01681341374385537</v>
      </c>
      <c r="G435" s="1">
        <v>-0.009833625977072269</v>
      </c>
      <c r="H435" s="1">
        <v>-0.01160797537182978</v>
      </c>
      <c r="I435" s="1">
        <v>-0.0082545944984731</v>
      </c>
      <c r="J435" s="1">
        <v>0.00859882296695913</v>
      </c>
      <c r="K435" s="1">
        <v>0.004026866938827256</v>
      </c>
      <c r="L435" s="1">
        <v>-0.002104711620256938</v>
      </c>
      <c r="M435" s="1">
        <v>0.005491634648724597</v>
      </c>
      <c r="N435" s="1">
        <v>0.01609780607858879</v>
      </c>
      <c r="O435" s="1">
        <v>0.004615058048227594</v>
      </c>
      <c r="P435" s="1">
        <v>0.002695130122926326</v>
      </c>
      <c r="Q435" s="1">
        <v>-0.01646259377601167</v>
      </c>
      <c r="R435" s="1">
        <v>0.01004125942073464</v>
      </c>
      <c r="S435" s="1">
        <v>-0.005398830270499255</v>
      </c>
      <c r="T435" s="1">
        <v>0.0004290163167384176</v>
      </c>
      <c r="U435" s="1">
        <v>0.009680900141186166</v>
      </c>
      <c r="V435" s="1">
        <v>0.0113147454311695</v>
      </c>
      <c r="W435" s="1">
        <v>0.002075395061666763</v>
      </c>
      <c r="X435" s="1">
        <v>0.0005654141804334323</v>
      </c>
      <c r="Y435" s="1">
        <v>0.0196154924512586</v>
      </c>
      <c r="Z435" s="1">
        <v>-0.005291142468831889</v>
      </c>
    </row>
    <row r="436" spans="1:26">
      <c r="A436" s="11">
        <v>43003</v>
      </c>
      <c r="B436" s="1">
        <v>0.03419784135607107</v>
      </c>
      <c r="C436" s="1">
        <v>-0.008305739910995036</v>
      </c>
      <c r="D436" s="1">
        <v>-0.01180928708880424</v>
      </c>
      <c r="E436" s="1">
        <v>-0.002683108635644138</v>
      </c>
      <c r="F436" s="1">
        <v>-0.004987185051778864</v>
      </c>
      <c r="G436" s="1">
        <v>0.01575307814269067</v>
      </c>
      <c r="H436" s="1">
        <v>0.03212973407270736</v>
      </c>
      <c r="I436" s="1">
        <v>0.0001615790795768124</v>
      </c>
      <c r="J436" s="1">
        <v>-0.004513537845173277</v>
      </c>
      <c r="K436" s="1">
        <v>0.005765855055431812</v>
      </c>
      <c r="L436" s="1">
        <v>-0.007487194113378282</v>
      </c>
      <c r="M436" s="1">
        <v>0.003458628877917702</v>
      </c>
      <c r="N436" s="1">
        <v>0.02080324729958072</v>
      </c>
      <c r="O436" s="1">
        <v>0.001934272638210777</v>
      </c>
      <c r="P436" s="1">
        <v>-0.0154548648491406</v>
      </c>
      <c r="Q436" s="1">
        <v>0.008563574058945145</v>
      </c>
      <c r="R436" s="1">
        <v>0.008820871454258361</v>
      </c>
      <c r="S436" s="1">
        <v>0.002339706633696537</v>
      </c>
      <c r="T436" s="1">
        <v>0.006404402158642908</v>
      </c>
      <c r="U436" s="1">
        <v>0.01373405197030797</v>
      </c>
      <c r="V436" s="1">
        <v>-0.0074590212838338</v>
      </c>
      <c r="W436" s="1">
        <v>-0.005204528587738011</v>
      </c>
      <c r="X436" s="1">
        <v>-0.000376754008708402</v>
      </c>
      <c r="Y436" s="1">
        <v>0</v>
      </c>
      <c r="Z436" s="1">
        <v>0.007313726773352291</v>
      </c>
    </row>
    <row r="437" spans="1:26">
      <c r="A437" s="11">
        <v>43004</v>
      </c>
      <c r="B437" s="1">
        <v>0.01997339910826423</v>
      </c>
      <c r="C437" s="1">
        <v>-0.002437793663179644</v>
      </c>
      <c r="D437" s="1">
        <v>-0.003824098482387184</v>
      </c>
      <c r="E437" s="1">
        <v>-0.004114687374896953</v>
      </c>
      <c r="F437" s="1">
        <v>-0.002637770425250263</v>
      </c>
      <c r="G437" s="1">
        <v>-0.0006740268852662989</v>
      </c>
      <c r="H437" s="1">
        <v>0.001932313649199546</v>
      </c>
      <c r="I437" s="1">
        <v>-0.003958754000077835</v>
      </c>
      <c r="J437" s="1">
        <v>0.001511574000613081</v>
      </c>
      <c r="K437" s="1">
        <v>0.02043861493911536</v>
      </c>
      <c r="L437" s="1">
        <v>-0.004462351303845202</v>
      </c>
      <c r="M437" s="1">
        <v>0.01088532246738327</v>
      </c>
      <c r="N437" s="1">
        <v>0.01144352131094539</v>
      </c>
      <c r="O437" s="1">
        <v>0.009290360248943808</v>
      </c>
      <c r="P437" s="1">
        <v>0</v>
      </c>
      <c r="Q437" s="1">
        <v>0.006175199122526953</v>
      </c>
      <c r="R437" s="1">
        <v>-0.002498164865745167</v>
      </c>
      <c r="S437" s="1">
        <v>-0.0003732821168914713</v>
      </c>
      <c r="T437" s="1">
        <v>0.0003979173007071513</v>
      </c>
      <c r="U437" s="1">
        <v>-0.01022475192653849</v>
      </c>
      <c r="V437" s="1">
        <v>0.0006833732242483848</v>
      </c>
      <c r="W437" s="1">
        <v>0.001868771058846308</v>
      </c>
      <c r="X437" s="1">
        <v>0.001130760735100544</v>
      </c>
      <c r="Y437" s="1">
        <v>-0.007815612121857218</v>
      </c>
      <c r="Z437" s="1">
        <v>0.008581040974553922</v>
      </c>
    </row>
    <row r="438" spans="1:26">
      <c r="A438" s="11">
        <v>43005</v>
      </c>
      <c r="B438" s="1">
        <v>0.006527354762020376</v>
      </c>
      <c r="C438" s="1">
        <v>0.006227840538551632</v>
      </c>
      <c r="D438" s="1">
        <v>-0.0009596241922441573</v>
      </c>
      <c r="E438" s="1">
        <v>0.0003179264417183525</v>
      </c>
      <c r="F438" s="1">
        <v>0.01904278044817742</v>
      </c>
      <c r="G438" s="1">
        <v>-0.01889348957613368</v>
      </c>
      <c r="H438" s="1">
        <v>0.008142260466798223</v>
      </c>
      <c r="I438" s="1">
        <v>0.00032446102217909</v>
      </c>
      <c r="J438" s="1">
        <v>-0.0005031410873989062</v>
      </c>
      <c r="K438" s="1">
        <v>-0.011968831846496</v>
      </c>
      <c r="L438" s="1">
        <v>0.01579492913899649</v>
      </c>
      <c r="M438" s="1">
        <v>0.002871418643292101</v>
      </c>
      <c r="N438" s="1">
        <v>-0.001704671651526102</v>
      </c>
      <c r="O438" s="1">
        <v>0.006814229861887844</v>
      </c>
      <c r="P438" s="1">
        <v>0.008053039962748532</v>
      </c>
      <c r="Q438" s="1">
        <v>-0.02493301966104711</v>
      </c>
      <c r="R438" s="1">
        <v>0.0114094520728798</v>
      </c>
      <c r="S438" s="1">
        <v>-0.01004088944977433</v>
      </c>
      <c r="T438" s="1">
        <v>-0.006531644135910564</v>
      </c>
      <c r="U438" s="1">
        <v>0.001291043791428859</v>
      </c>
      <c r="V438" s="1">
        <v>0.004778909534357112</v>
      </c>
      <c r="W438" s="1">
        <v>0.004262687702559775</v>
      </c>
      <c r="X438" s="1">
        <v>0.01562202875004148</v>
      </c>
      <c r="Y438" s="1">
        <v>0</v>
      </c>
      <c r="Z438" s="1">
        <v>0.01636147524693055</v>
      </c>
    </row>
    <row r="439" spans="1:26">
      <c r="A439" s="11">
        <v>43006</v>
      </c>
      <c r="B439" s="1">
        <v>-0.009943878609778634</v>
      </c>
      <c r="C439" s="1">
        <v>-0.00395652763370713</v>
      </c>
      <c r="D439" s="1">
        <v>-0.001921232835930931</v>
      </c>
      <c r="E439" s="1">
        <v>0.0009532220650789736</v>
      </c>
      <c r="F439" s="1">
        <v>-0.01842726883101664</v>
      </c>
      <c r="G439" s="1">
        <v>0.002407262613364436</v>
      </c>
      <c r="H439" s="1">
        <v>0</v>
      </c>
      <c r="I439" s="1">
        <v>0.007659742919165158</v>
      </c>
      <c r="J439" s="1">
        <v>0.005032701677229579</v>
      </c>
      <c r="K439" s="1">
        <v>-0.009640879833577087</v>
      </c>
      <c r="L439" s="1">
        <v>0.002101395407158035</v>
      </c>
      <c r="M439" s="1">
        <v>0.005189683845058024</v>
      </c>
      <c r="N439" s="1">
        <v>-0.003415278725329429</v>
      </c>
      <c r="O439" s="1">
        <v>-0.006649219455551414</v>
      </c>
      <c r="P439" s="1">
        <v>0.000270951879514314</v>
      </c>
      <c r="Q439" s="1">
        <v>0.003147367637486465</v>
      </c>
      <c r="R439" s="1">
        <v>-0.004402177343219349</v>
      </c>
      <c r="S439" s="1">
        <v>0.003632659827799367</v>
      </c>
      <c r="T439" s="1">
        <v>0.02058087500641648</v>
      </c>
      <c r="U439" s="1">
        <v>0.006964070695792968</v>
      </c>
      <c r="V439" s="1">
        <v>0.0006796585176314096</v>
      </c>
      <c r="W439" s="1">
        <v>-0.01071758199280914</v>
      </c>
      <c r="X439" s="1">
        <v>-0.00704262521501986</v>
      </c>
      <c r="Y439" s="1">
        <v>-0.002019598504220288</v>
      </c>
      <c r="Z439" s="1">
        <v>0.007511862717483053</v>
      </c>
    </row>
    <row r="440" spans="1:26">
      <c r="A440" s="11">
        <v>43007</v>
      </c>
      <c r="B440" s="1">
        <v>0</v>
      </c>
      <c r="C440" s="1">
        <v>-0.0002360150031597286</v>
      </c>
      <c r="D440" s="1">
        <v>0.006577000808279054</v>
      </c>
      <c r="E440" s="1">
        <v>0.01158543278169955</v>
      </c>
      <c r="F440" s="1">
        <v>0.01745101257503578</v>
      </c>
      <c r="G440" s="1">
        <v>0.002058314864408439</v>
      </c>
      <c r="H440" s="1">
        <v>-0.004888641049230702</v>
      </c>
      <c r="I440" s="1">
        <v>0.01560727850182175</v>
      </c>
      <c r="J440" s="1">
        <v>-0.0005008085782135518</v>
      </c>
      <c r="K440" s="1">
        <v>0.005741152595692967</v>
      </c>
      <c r="L440" s="1">
        <v>0.001363189990516878</v>
      </c>
      <c r="M440" s="1">
        <v>-0.003382735643254198</v>
      </c>
      <c r="N440" s="1">
        <v>-0.01199586585474366</v>
      </c>
      <c r="O440" s="1">
        <v>0.001793065408180805</v>
      </c>
      <c r="P440" s="1">
        <v>0.008393485014684288</v>
      </c>
      <c r="Q440" s="1">
        <v>0.003528992770433614</v>
      </c>
      <c r="R440" s="1">
        <v>-0.0004146120778127926</v>
      </c>
      <c r="S440" s="1">
        <v>0.005828575161609617</v>
      </c>
      <c r="T440" s="1">
        <v>0.002800705570781492</v>
      </c>
      <c r="U440" s="1">
        <v>0.003330224530767367</v>
      </c>
      <c r="V440" s="1">
        <v>0.00169744605833877</v>
      </c>
      <c r="W440" s="1">
        <v>0.01474889136905699</v>
      </c>
      <c r="X440" s="1">
        <v>0.005599485161108531</v>
      </c>
      <c r="Y440" s="1">
        <v>0.001619112453842053</v>
      </c>
      <c r="Z440" s="1">
        <v>0.005113151817447426</v>
      </c>
    </row>
    <row r="441" spans="1:26">
      <c r="A441" s="11">
        <v>43010</v>
      </c>
      <c r="B441" s="1">
        <v>-0.001746533173317966</v>
      </c>
      <c r="C441" s="1">
        <v>0.007002143760229229</v>
      </c>
      <c r="D441" s="1">
        <v>0.00653353555212921</v>
      </c>
      <c r="E441" s="1">
        <v>0.01286481743735002</v>
      </c>
      <c r="F441" s="1">
        <v>-0.01325355112864557</v>
      </c>
      <c r="G441" s="1">
        <v>-0.00855898054476234</v>
      </c>
      <c r="H441" s="1">
        <v>0.0008544546850999257</v>
      </c>
      <c r="I441" s="1">
        <v>0.01353612827648276</v>
      </c>
      <c r="J441" s="1">
        <v>0.008015911047229984</v>
      </c>
      <c r="K441" s="1">
        <v>0.00397078174772858</v>
      </c>
      <c r="L441" s="1">
        <v>0.01392461746071905</v>
      </c>
      <c r="M441" s="1">
        <v>0.0001789409800014852</v>
      </c>
      <c r="N441" s="1">
        <v>-0.008199643823064262</v>
      </c>
      <c r="O441" s="1">
        <v>0.008471709081369738</v>
      </c>
      <c r="P441" s="1">
        <v>0.001610841723931777</v>
      </c>
      <c r="Q441" s="1">
        <v>-0.003125663371220111</v>
      </c>
      <c r="R441" s="1">
        <v>0.008017495216567472</v>
      </c>
      <c r="S441" s="1">
        <v>0.001355000878155765</v>
      </c>
      <c r="T441" s="1">
        <v>0.003882187769615575</v>
      </c>
      <c r="U441" s="1">
        <v>-0.001531794264473141</v>
      </c>
      <c r="V441" s="1">
        <v>-0.002033466764298164</v>
      </c>
      <c r="W441" s="1">
        <v>0.01236771579210161</v>
      </c>
      <c r="X441" s="1">
        <v>0.0128059638591238</v>
      </c>
      <c r="Y441" s="1">
        <v>-0.002627080202220355</v>
      </c>
      <c r="Z441" s="1">
        <v>0.002119285271309668</v>
      </c>
    </row>
    <row r="442" spans="1:26">
      <c r="A442" s="11">
        <v>43011</v>
      </c>
      <c r="B442" s="1">
        <v>-0.006124036627136675</v>
      </c>
      <c r="C442" s="1">
        <v>-0.002070372153230471</v>
      </c>
      <c r="D442" s="1">
        <v>-0.008549591533064893</v>
      </c>
      <c r="E442" s="1">
        <v>-0.004182072847177754</v>
      </c>
      <c r="F442" s="1">
        <v>0.01290622849779899</v>
      </c>
      <c r="G442" s="1">
        <v>-0.006215544978869891</v>
      </c>
      <c r="H442" s="1">
        <v>-0.01429795603840434</v>
      </c>
      <c r="I442" s="1">
        <v>0.006363528849352429</v>
      </c>
      <c r="J442" s="1">
        <v>-0.001490708570735078</v>
      </c>
      <c r="K442" s="1">
        <v>0.0004947714338205955</v>
      </c>
      <c r="L442" s="1">
        <v>0.005267020208800099</v>
      </c>
      <c r="M442" s="1">
        <v>0.04500788147919699</v>
      </c>
      <c r="N442" s="1">
        <v>0.007472658421895151</v>
      </c>
      <c r="O442" s="1">
        <v>-0.001538093289210285</v>
      </c>
      <c r="P442" s="1">
        <v>-0.004691388288846521</v>
      </c>
      <c r="Q442" s="1">
        <v>-0.005488434314694479</v>
      </c>
      <c r="R442" s="1">
        <v>0.01151959937796576</v>
      </c>
      <c r="S442" s="1">
        <v>-0.006346903868980958</v>
      </c>
      <c r="T442" s="1">
        <v>0.04156610671453298</v>
      </c>
      <c r="U442" s="1">
        <v>0.009460110272776046</v>
      </c>
      <c r="V442" s="1">
        <v>-0.005264197539166071</v>
      </c>
      <c r="W442" s="1">
        <v>-0.006317062601410184</v>
      </c>
      <c r="X442" s="1">
        <v>-0.001282628729087243</v>
      </c>
      <c r="Y442" s="1">
        <v>0.009927041169968343</v>
      </c>
      <c r="Z442" s="1">
        <v>-0.00740213216165464</v>
      </c>
    </row>
    <row r="443" spans="1:26">
      <c r="A443" s="11">
        <v>43012</v>
      </c>
      <c r="B443" s="1">
        <v>-0.006602475255735762</v>
      </c>
      <c r="C443" s="1">
        <v>0.001174262805876181</v>
      </c>
      <c r="D443" s="1">
        <v>0.004471446062747075</v>
      </c>
      <c r="E443" s="1">
        <v>0.006999199852096627</v>
      </c>
      <c r="F443" s="1">
        <v>0.007571674455005839</v>
      </c>
      <c r="G443" s="1">
        <v>0.007296808404806621</v>
      </c>
      <c r="H443" s="1">
        <v>0.00801046374356873</v>
      </c>
      <c r="I443" s="1">
        <v>0.001795491318782094</v>
      </c>
      <c r="J443" s="1">
        <v>0.008461468438912823</v>
      </c>
      <c r="K443" s="1">
        <v>0.01186050885966972</v>
      </c>
      <c r="L443" s="1">
        <v>-0.01016957551739228</v>
      </c>
      <c r="M443" s="1">
        <v>-0.00222191203743316</v>
      </c>
      <c r="N443" s="1">
        <v>0.001893336023407244</v>
      </c>
      <c r="O443" s="1">
        <v>-0.01339061395560159</v>
      </c>
      <c r="P443" s="1">
        <v>0.005790759865644812</v>
      </c>
      <c r="Q443" s="1">
        <v>0.01340139518019168</v>
      </c>
      <c r="R443" s="1">
        <v>0.008134562653759225</v>
      </c>
      <c r="S443" s="1">
        <v>0.004461801806100674</v>
      </c>
      <c r="T443" s="1">
        <v>-0.0005342777540696675</v>
      </c>
      <c r="U443" s="1">
        <v>0.000506729605323164</v>
      </c>
      <c r="V443" s="1">
        <v>0.001365792718752257</v>
      </c>
      <c r="W443" s="1">
        <v>0.0167077673261673</v>
      </c>
      <c r="X443" s="1">
        <v>0.008990852374894498</v>
      </c>
      <c r="Y443" s="1">
        <v>0.001003099654217632</v>
      </c>
      <c r="Z443" s="1">
        <v>-0.005114346013207371</v>
      </c>
    </row>
    <row r="444" spans="1:26">
      <c r="A444" s="11">
        <v>43013</v>
      </c>
      <c r="B444" s="1">
        <v>0.01506446375070603</v>
      </c>
      <c r="C444" s="1">
        <v>0.0122381651853336</v>
      </c>
      <c r="D444" s="1">
        <v>-0.003020521268544796</v>
      </c>
      <c r="E444" s="1">
        <v>-0.008546807911468224</v>
      </c>
      <c r="F444" s="1">
        <v>-0.006219193494129804</v>
      </c>
      <c r="G444" s="1">
        <v>0.002414564049159518</v>
      </c>
      <c r="H444" s="1">
        <v>0.0006441896393158952</v>
      </c>
      <c r="I444" s="1">
        <v>-0.002493812736681478</v>
      </c>
      <c r="J444" s="1">
        <v>0.00444237699672656</v>
      </c>
      <c r="K444" s="1">
        <v>0.006105221329556709</v>
      </c>
      <c r="L444" s="1">
        <v>0.01346551271922158</v>
      </c>
      <c r="M444" s="1">
        <v>-0.00154147475258315</v>
      </c>
      <c r="N444" s="1">
        <v>0.005040123767908966</v>
      </c>
      <c r="O444" s="1">
        <v>0.005284992088293583</v>
      </c>
      <c r="P444" s="1">
        <v>0.01713769001142951</v>
      </c>
      <c r="Q444" s="1">
        <v>0.0003893920145414675</v>
      </c>
      <c r="R444" s="1">
        <v>0.004975623446836774</v>
      </c>
      <c r="S444" s="1">
        <v>-0.0008885199033188407</v>
      </c>
      <c r="T444" s="1">
        <v>0.01531380838011587</v>
      </c>
      <c r="U444" s="1">
        <v>0.000253085941374076</v>
      </c>
      <c r="V444" s="1">
        <v>-0.004773459205644759</v>
      </c>
      <c r="W444" s="1">
        <v>-0.0004135740883588479</v>
      </c>
      <c r="X444" s="1">
        <v>0.0120019711809527</v>
      </c>
      <c r="Y444" s="1">
        <v>-0.002605245685237567</v>
      </c>
      <c r="Z444" s="1">
        <v>0.02077518726196992</v>
      </c>
    </row>
    <row r="445" spans="1:26">
      <c r="A445" s="11">
        <v>43014</v>
      </c>
      <c r="B445" s="1">
        <v>-0.01418621656431074</v>
      </c>
      <c r="C445" s="1">
        <v>-0.001197504782806336</v>
      </c>
      <c r="D445" s="1">
        <v>0.003189125210062427</v>
      </c>
      <c r="E445" s="1">
        <v>0.0158310017303942</v>
      </c>
      <c r="F445" s="1">
        <v>-0.008866099765221236</v>
      </c>
      <c r="G445" s="1">
        <v>-0.006193812824171419</v>
      </c>
      <c r="H445" s="1">
        <v>-0.002360776062920622</v>
      </c>
      <c r="I445" s="1">
        <v>0.0009375432467300104</v>
      </c>
      <c r="J445" s="1">
        <v>0.01130274386157515</v>
      </c>
      <c r="K445" s="1">
        <v>-0.003155499878868318</v>
      </c>
      <c r="L445" s="1">
        <v>-0.001751192053512263</v>
      </c>
      <c r="M445" s="1">
        <v>0.002573335847034786</v>
      </c>
      <c r="N445" s="1">
        <v>-0.01974599391654142</v>
      </c>
      <c r="O445" s="1">
        <v>-0.001500371660483668</v>
      </c>
      <c r="P445" s="1">
        <v>0.0003945889736842734</v>
      </c>
      <c r="Q445" s="1">
        <v>0</v>
      </c>
      <c r="R445" s="1">
        <v>-0.01940276016386167</v>
      </c>
      <c r="S445" s="1">
        <v>-0.001216587706649341</v>
      </c>
      <c r="T445" s="1">
        <v>0.009397030768882209</v>
      </c>
      <c r="U445" s="1">
        <v>-0.006979684201211089</v>
      </c>
      <c r="V445" s="1">
        <v>-0.02158261974203457</v>
      </c>
      <c r="W445" s="1">
        <v>-0.001137172665648722</v>
      </c>
      <c r="X445" s="1">
        <v>-0.002875104383764482</v>
      </c>
      <c r="Y445" s="1">
        <v>-0.007523252205440478</v>
      </c>
      <c r="Z445" s="1">
        <v>0.004616530487560055</v>
      </c>
    </row>
    <row r="446" spans="1:26">
      <c r="A446" s="11">
        <v>43017</v>
      </c>
      <c r="B446" s="1">
        <v>0.0150543525112834</v>
      </c>
      <c r="C446" s="1">
        <v>-0.0007347160296399258</v>
      </c>
      <c r="D446" s="1">
        <v>-0.02320777357155812</v>
      </c>
      <c r="E446" s="1">
        <v>-0.01018368048090157</v>
      </c>
      <c r="F446" s="1">
        <v>-0.005524748341214525</v>
      </c>
      <c r="G446" s="1">
        <v>-0.005194155154569446</v>
      </c>
      <c r="H446" s="1">
        <v>-0.02086932795143392</v>
      </c>
      <c r="I446" s="1">
        <v>0.003980283607254664</v>
      </c>
      <c r="J446" s="1">
        <v>-0.0004861535540898743</v>
      </c>
      <c r="K446" s="1">
        <v>-0.01144386825571342</v>
      </c>
      <c r="L446" s="1">
        <v>-0.005262096736128763</v>
      </c>
      <c r="M446" s="1">
        <v>-0.013346926807977</v>
      </c>
      <c r="N446" s="1">
        <v>0.01630685269688681</v>
      </c>
      <c r="O446" s="1">
        <v>0.001803108753061222</v>
      </c>
      <c r="P446" s="1">
        <v>0.003815836172727183</v>
      </c>
      <c r="Q446" s="1">
        <v>0.007387250974239867</v>
      </c>
      <c r="R446" s="1">
        <v>0.0002728660789046433</v>
      </c>
      <c r="S446" s="1">
        <v>0.001921130998382203</v>
      </c>
      <c r="T446" s="1">
        <v>-0.003833210393587416</v>
      </c>
      <c r="U446" s="1">
        <v>-0.007515003241232332</v>
      </c>
      <c r="V446" s="1">
        <v>-0.01523128665058415</v>
      </c>
      <c r="W446" s="1">
        <v>0.0002587131320632707</v>
      </c>
      <c r="X446" s="1">
        <v>-0.002883185804519184</v>
      </c>
      <c r="Y446" s="1">
        <v>0.004916877347460824</v>
      </c>
      <c r="Z446" s="1">
        <v>-0.01127851134191937</v>
      </c>
    </row>
    <row r="447" spans="1:26">
      <c r="A447" s="11">
        <v>43018</v>
      </c>
      <c r="B447" s="1">
        <v>-0.07393686145804235</v>
      </c>
      <c r="C447" s="1">
        <v>0.009830018253069284</v>
      </c>
      <c r="D447" s="1">
        <v>0.004231065630362574</v>
      </c>
      <c r="E447" s="1">
        <v>0.01527656620434725</v>
      </c>
      <c r="F447" s="1">
        <v>-0.002909712558115229</v>
      </c>
      <c r="G447" s="1">
        <v>0.01357507221287269</v>
      </c>
      <c r="H447" s="1">
        <v>0.01604031024960983</v>
      </c>
      <c r="I447" s="1">
        <v>-0.003031754903049744</v>
      </c>
      <c r="J447" s="1">
        <v>0</v>
      </c>
      <c r="K447" s="1">
        <v>0.02192119095656242</v>
      </c>
      <c r="L447" s="1">
        <v>0.007468340318648625</v>
      </c>
      <c r="M447" s="1">
        <v>0.006069832260740204</v>
      </c>
      <c r="N447" s="1">
        <v>0.02265236028464246</v>
      </c>
      <c r="O447" s="1">
        <v>0.001679418536443711</v>
      </c>
      <c r="P447" s="1">
        <v>0</v>
      </c>
      <c r="Q447" s="1">
        <v>0.01698162557583172</v>
      </c>
      <c r="R447" s="1">
        <v>0.001636640436869286</v>
      </c>
      <c r="S447" s="1">
        <v>-0.0037882029063252</v>
      </c>
      <c r="T447" s="1">
        <v>-0.001387452643958231</v>
      </c>
      <c r="U447" s="1">
        <v>0.005222063210958083</v>
      </c>
      <c r="V447" s="1">
        <v>0.02400027738050015</v>
      </c>
      <c r="W447" s="1">
        <v>-0.003208232783537435</v>
      </c>
      <c r="X447" s="1">
        <v>-0.01680845289626198</v>
      </c>
      <c r="Y447" s="1">
        <v>0.001834650491734147</v>
      </c>
      <c r="Z447" s="1">
        <v>0.007815706066759853</v>
      </c>
    </row>
    <row r="448" spans="1:26">
      <c r="A448" s="11">
        <v>43019</v>
      </c>
      <c r="B448" s="1">
        <v>-0.01177549259312527</v>
      </c>
      <c r="C448" s="1">
        <v>0.001954676237777564</v>
      </c>
      <c r="D448" s="1">
        <v>0.004861457206196462</v>
      </c>
      <c r="E448" s="1">
        <v>-0.0003071270816832339</v>
      </c>
      <c r="F448" s="1">
        <v>-0.007163818117211007</v>
      </c>
      <c r="G448" s="1">
        <v>0.006524482681997457</v>
      </c>
      <c r="H448" s="1">
        <v>-0.01081303401333145</v>
      </c>
      <c r="I448" s="1">
        <v>-0.00374268033496894</v>
      </c>
      <c r="J448" s="1">
        <v>-0.00777851479612568</v>
      </c>
      <c r="K448" s="1">
        <v>-0.003374573275873649</v>
      </c>
      <c r="L448" s="1">
        <v>-0.002985735853202387</v>
      </c>
      <c r="M448" s="1">
        <v>0.009308725440660304</v>
      </c>
      <c r="N448" s="1">
        <v>-0.002153863482766361</v>
      </c>
      <c r="O448" s="1">
        <v>0.001078256158865143</v>
      </c>
      <c r="P448" s="1">
        <v>0.001703923544046582</v>
      </c>
      <c r="Q448" s="1">
        <v>0.002656446684337066</v>
      </c>
      <c r="R448" s="1">
        <v>-0.007626887194389198</v>
      </c>
      <c r="S448" s="1">
        <v>0.007793209318939454</v>
      </c>
      <c r="T448" s="1">
        <v>0.00411573366603557</v>
      </c>
      <c r="U448" s="1">
        <v>-0.008051991155752725</v>
      </c>
      <c r="V448" s="1">
        <v>0.02690960897985573</v>
      </c>
      <c r="W448" s="1">
        <v>0.004256798162929787</v>
      </c>
      <c r="X448" s="1">
        <v>-0.008823505000092546</v>
      </c>
      <c r="Y448" s="1">
        <v>-0.005697836405490264</v>
      </c>
      <c r="Z448" s="1">
        <v>-0.009012963348516645</v>
      </c>
    </row>
    <row r="449" spans="1:26">
      <c r="A449" s="11">
        <v>43020</v>
      </c>
      <c r="B449" s="1">
        <v>-0.01310796349887433</v>
      </c>
      <c r="C449" s="1">
        <v>0.001797793709729323</v>
      </c>
      <c r="D449" s="1">
        <v>0.00838592442227748</v>
      </c>
      <c r="E449" s="1">
        <v>0.003685924609943214</v>
      </c>
      <c r="F449" s="1">
        <v>-0.03928395246560468</v>
      </c>
      <c r="G449" s="1">
        <v>0.01398851569549464</v>
      </c>
      <c r="H449" s="1">
        <v>0.01321877196884236</v>
      </c>
      <c r="I449" s="1">
        <v>0.005713352244205439</v>
      </c>
      <c r="J449" s="1">
        <v>-0.0004903303420106253</v>
      </c>
      <c r="K449" s="1">
        <v>0.0009677808142387612</v>
      </c>
      <c r="L449" s="1">
        <v>-0.008777670083083611</v>
      </c>
      <c r="M449" s="1">
        <v>0.004440788487187097</v>
      </c>
      <c r="N449" s="1">
        <v>0.007399921299288792</v>
      </c>
      <c r="O449" s="1">
        <v>-0.0001196889868942952</v>
      </c>
      <c r="P449" s="1">
        <v>0.009159999451069822</v>
      </c>
      <c r="Q449" s="1">
        <v>0.005677937746945139</v>
      </c>
      <c r="R449" s="1">
        <v>0.0009608118023092249</v>
      </c>
      <c r="S449" s="1">
        <v>0.009921533489196221</v>
      </c>
      <c r="T449" s="1">
        <v>0.001383361687402163</v>
      </c>
      <c r="U449" s="1">
        <v>-0.06101068169033275</v>
      </c>
      <c r="V449" s="1">
        <v>0.01758253180122726</v>
      </c>
      <c r="W449" s="1">
        <v>-0.0003616171635971721</v>
      </c>
      <c r="X449" s="1">
        <v>-0.00686190918604046</v>
      </c>
      <c r="Y449" s="1">
        <v>-0.01043789482523116</v>
      </c>
      <c r="Z449" s="1">
        <v>-0.01184428684420413</v>
      </c>
    </row>
    <row r="450" spans="1:26">
      <c r="A450" s="11">
        <v>43021</v>
      </c>
      <c r="B450" s="1">
        <v>0.004588474643978824</v>
      </c>
      <c r="C450" s="1">
        <v>-0.004467303937452316</v>
      </c>
      <c r="D450" s="1">
        <v>0.004637652067492892</v>
      </c>
      <c r="E450" s="1">
        <v>-0.000917955180623431</v>
      </c>
      <c r="F450" s="1">
        <v>0.001669083704774366</v>
      </c>
      <c r="G450" s="1">
        <v>-0.01211303108310235</v>
      </c>
      <c r="H450" s="1">
        <v>0.004131235158371105</v>
      </c>
      <c r="I450" s="1">
        <v>-0.004591265746162088</v>
      </c>
      <c r="J450" s="1">
        <v>0.06421601520063014</v>
      </c>
      <c r="K450" s="1">
        <v>0.007247866181108398</v>
      </c>
      <c r="L450" s="1">
        <v>-0.001353779249402498</v>
      </c>
      <c r="M450" s="1">
        <v>0.005271203550090142</v>
      </c>
      <c r="N450" s="1">
        <v>-0.004590879891193111</v>
      </c>
      <c r="O450" s="1">
        <v>0.003949042044515627</v>
      </c>
      <c r="P450" s="1">
        <v>0.004797945183125485</v>
      </c>
      <c r="Q450" s="1">
        <v>0.001128926946215136</v>
      </c>
      <c r="R450" s="1">
        <v>-0.003291096947632632</v>
      </c>
      <c r="S450" s="1">
        <v>0.008071425753076955</v>
      </c>
      <c r="T450" s="1">
        <v>0.005918451926869128</v>
      </c>
      <c r="U450" s="1">
        <v>-0.004461802858797492</v>
      </c>
      <c r="V450" s="1">
        <v>0.01096493067668947</v>
      </c>
      <c r="W450" s="1">
        <v>-0.005015947481278094</v>
      </c>
      <c r="X450" s="1">
        <v>-0.005415537874101428</v>
      </c>
      <c r="Y450" s="1">
        <v>-0.01013448301739572</v>
      </c>
      <c r="Z450" s="1">
        <v>-0.002568182368172689</v>
      </c>
    </row>
    <row r="451" spans="1:26">
      <c r="A451" s="11">
        <v>43024</v>
      </c>
      <c r="B451" s="1">
        <v>0.02716295648600964</v>
      </c>
      <c r="C451" s="1">
        <v>-0.003796812995955134</v>
      </c>
      <c r="D451" s="1">
        <v>0.01321224652818431</v>
      </c>
      <c r="E451" s="1">
        <v>-0.02511872618373046</v>
      </c>
      <c r="F451" s="1">
        <v>0.01666216314637903</v>
      </c>
      <c r="G451" s="1">
        <v>0.003405930962546933</v>
      </c>
      <c r="H451" s="1">
        <v>0.01017767727624763</v>
      </c>
      <c r="I451" s="1">
        <v>-0.001485331787670852</v>
      </c>
      <c r="J451" s="1">
        <v>0.003685002135834337</v>
      </c>
      <c r="K451" s="1">
        <v>0.00143949836734536</v>
      </c>
      <c r="L451" s="1">
        <v>0.02065470963749139</v>
      </c>
      <c r="M451" s="1">
        <v>-0.004059388275294618</v>
      </c>
      <c r="N451" s="1">
        <v>0.004919140758411489</v>
      </c>
      <c r="O451" s="1">
        <v>0.0001188096499227242</v>
      </c>
      <c r="P451" s="1">
        <v>0.002064710204876308</v>
      </c>
      <c r="Q451" s="1">
        <v>-0.00864649553160679</v>
      </c>
      <c r="R451" s="1">
        <v>0.0002754119372536667</v>
      </c>
      <c r="S451" s="1">
        <v>-0.004575472096794431</v>
      </c>
      <c r="T451" s="1">
        <v>-0.004587642229991196</v>
      </c>
      <c r="U451" s="1">
        <v>0.01316518851547333</v>
      </c>
      <c r="V451" s="1">
        <v>-0.01150346680545877</v>
      </c>
      <c r="W451" s="1">
        <v>-0.005924518854842797</v>
      </c>
      <c r="X451" s="1">
        <v>0.001502133499098557</v>
      </c>
      <c r="Y451" s="1">
        <v>0.004805700320513084</v>
      </c>
      <c r="Z451" s="1">
        <v>0.004077300169616827</v>
      </c>
    </row>
    <row r="452" spans="1:26">
      <c r="A452" s="11">
        <v>43025</v>
      </c>
      <c r="B452" s="1">
        <v>0.0007024723680633116</v>
      </c>
      <c r="C452" s="1">
        <v>-0.004350449704707438</v>
      </c>
      <c r="D452" s="1">
        <v>0.0042420594489887</v>
      </c>
      <c r="E452" s="1">
        <v>0.008326615366128998</v>
      </c>
      <c r="F452" s="1">
        <v>-0.00382431777494241</v>
      </c>
      <c r="G452" s="1">
        <v>0.002376126824232161</v>
      </c>
      <c r="H452" s="1">
        <v>-0.01093217516341116</v>
      </c>
      <c r="I452" s="1">
        <v>0.007594590731744955</v>
      </c>
      <c r="J452" s="1">
        <v>-0.01101417982217134</v>
      </c>
      <c r="K452" s="1">
        <v>-0.01317371373406129</v>
      </c>
      <c r="L452" s="1">
        <v>-0.002248054804579791</v>
      </c>
      <c r="M452" s="1">
        <v>-0.002547767920948463</v>
      </c>
      <c r="N452" s="1">
        <v>-0.007648904282111624</v>
      </c>
      <c r="O452" s="1">
        <v>-0.004528392820057014</v>
      </c>
      <c r="P452" s="1">
        <v>-0.0007728600673803099</v>
      </c>
      <c r="Q452" s="1">
        <v>0.003033304540376314</v>
      </c>
      <c r="R452" s="1">
        <v>-0.0001381092969618969</v>
      </c>
      <c r="S452" s="1">
        <v>-0.007721858635766576</v>
      </c>
      <c r="T452" s="1">
        <v>-0.003619011441172937</v>
      </c>
      <c r="U452" s="1">
        <v>0.001659030061818667</v>
      </c>
      <c r="V452" s="1">
        <v>0.0003323918718296515</v>
      </c>
      <c r="W452" s="1">
        <v>-0.01312210390618973</v>
      </c>
      <c r="X452" s="1">
        <v>-0.005061870521918754</v>
      </c>
      <c r="Y452" s="1">
        <v>0.006445957525085477</v>
      </c>
      <c r="Z452" s="1">
        <v>-0.01709764510544731</v>
      </c>
    </row>
    <row r="453" spans="1:26">
      <c r="A453" s="11">
        <v>43026</v>
      </c>
      <c r="B453" s="1">
        <v>-0.002572681064717086</v>
      </c>
      <c r="C453" s="1">
        <v>0.005490844732990441</v>
      </c>
      <c r="D453" s="1">
        <v>-0.001251681307714025</v>
      </c>
      <c r="E453" s="1">
        <v>-0.007478754766974238</v>
      </c>
      <c r="F453" s="1">
        <v>-0.007403394355959603</v>
      </c>
      <c r="G453" s="1">
        <v>0.00169290800986599</v>
      </c>
      <c r="H453" s="1">
        <v>-0.01083686966385444</v>
      </c>
      <c r="I453" s="1">
        <v>0.0002332148652277599</v>
      </c>
      <c r="J453" s="1">
        <v>0.007888813107551629</v>
      </c>
      <c r="K453" s="1">
        <v>-0.01310697631816637</v>
      </c>
      <c r="L453" s="1">
        <v>0.00378989414835007</v>
      </c>
      <c r="M453" s="1">
        <v>0.001702777493993723</v>
      </c>
      <c r="N453" s="1">
        <v>-0.000924722069770012</v>
      </c>
      <c r="O453" s="1">
        <v>0.0002388842132465818</v>
      </c>
      <c r="P453" s="1">
        <v>0.0002576751066167837</v>
      </c>
      <c r="Q453" s="1">
        <v>-0.0007559365718088351</v>
      </c>
      <c r="R453" s="1">
        <v>-0.00137543645035676</v>
      </c>
      <c r="S453" s="1">
        <v>-0.005605118614325555</v>
      </c>
      <c r="T453" s="1">
        <v>0.003684592360493788</v>
      </c>
      <c r="U453" s="1">
        <v>-0.0143525734783948</v>
      </c>
      <c r="V453" s="1">
        <v>-0.002326628115220664</v>
      </c>
      <c r="W453" s="1">
        <v>0.002384095469207814</v>
      </c>
      <c r="X453" s="1">
        <v>0.009421382096487019</v>
      </c>
      <c r="Y453" s="1">
        <v>0.005165549730849817</v>
      </c>
      <c r="Z453" s="1">
        <v>0.003913858243087986</v>
      </c>
    </row>
    <row r="454" spans="1:26">
      <c r="A454" s="11">
        <v>43027</v>
      </c>
      <c r="B454" s="1">
        <v>-0.01172314789023321</v>
      </c>
      <c r="C454" s="1">
        <v>-0.003845599329307503</v>
      </c>
      <c r="D454" s="1">
        <v>-0.005795462489157521</v>
      </c>
      <c r="E454" s="1">
        <v>0.0152275596955469</v>
      </c>
      <c r="F454" s="1">
        <v>0.01933709295844444</v>
      </c>
      <c r="G454" s="1">
        <v>0.005747341955697705</v>
      </c>
      <c r="H454" s="1">
        <v>-0.005915974224102838</v>
      </c>
      <c r="I454" s="1">
        <v>-0.00155361502129181</v>
      </c>
      <c r="J454" s="1">
        <v>0.01104955459966361</v>
      </c>
      <c r="K454" s="1">
        <v>0.0142646844704335</v>
      </c>
      <c r="L454" s="1">
        <v>0.001224522049161347</v>
      </c>
      <c r="M454" s="1">
        <v>-0.003399329160996944</v>
      </c>
      <c r="N454" s="1">
        <v>-0.006789078270317161</v>
      </c>
      <c r="O454" s="1">
        <v>0.008857303318667853</v>
      </c>
      <c r="P454" s="1">
        <v>0.003865752449363935</v>
      </c>
      <c r="Q454" s="1">
        <v>0.01248590640474823</v>
      </c>
      <c r="R454" s="1">
        <v>0.01611599762030091</v>
      </c>
      <c r="S454" s="1">
        <v>0.002515484237118226</v>
      </c>
      <c r="T454" s="1">
        <v>0.009060552730913551</v>
      </c>
      <c r="U454" s="1">
        <v>-0.0005607230503753557</v>
      </c>
      <c r="V454" s="1">
        <v>0.006663517790518103</v>
      </c>
      <c r="W454" s="1">
        <v>0.01701712515648834</v>
      </c>
      <c r="X454" s="1">
        <v>-0.008773416735313844</v>
      </c>
      <c r="Y454" s="1">
        <v>0.01151095351952036</v>
      </c>
      <c r="Z454" s="1">
        <v>-0.002598884249677025</v>
      </c>
    </row>
    <row r="455" spans="1:26">
      <c r="A455" s="11">
        <v>43028</v>
      </c>
      <c r="B455" s="1">
        <v>-0.008830607576794769</v>
      </c>
      <c r="C455" s="1">
        <v>0.02204291630206878</v>
      </c>
      <c r="D455" s="1">
        <v>0.001890451841774166</v>
      </c>
      <c r="E455" s="1">
        <v>-0.003865740687619468</v>
      </c>
      <c r="F455" s="1">
        <v>0.008672110313510561</v>
      </c>
      <c r="G455" s="1">
        <v>-0.001680725054744925</v>
      </c>
      <c r="H455" s="1">
        <v>0.0132246001509857</v>
      </c>
      <c r="I455" s="1">
        <v>0.004901688452587871</v>
      </c>
      <c r="J455" s="1">
        <v>0.002732199067146279</v>
      </c>
      <c r="K455" s="1">
        <v>0.009214503718109501</v>
      </c>
      <c r="L455" s="1">
        <v>0.01426999263083362</v>
      </c>
      <c r="M455" s="1">
        <v>0.01262106165229082</v>
      </c>
      <c r="N455" s="1">
        <v>0.00978704747959136</v>
      </c>
      <c r="O455" s="1">
        <v>0.001779686303853945</v>
      </c>
      <c r="P455" s="1">
        <v>0.01155195174615131</v>
      </c>
      <c r="Q455" s="1">
        <v>-0.003737038210447241</v>
      </c>
      <c r="R455" s="1">
        <v>0.01558868554728265</v>
      </c>
      <c r="S455" s="1">
        <v>-0.0005574235688494689</v>
      </c>
      <c r="T455" s="1">
        <v>0.005495457027419048</v>
      </c>
      <c r="U455" s="1">
        <v>-0.004202439999158369</v>
      </c>
      <c r="V455" s="1">
        <v>0.02200880463588817</v>
      </c>
      <c r="W455" s="1">
        <v>0.007378687362653791</v>
      </c>
      <c r="X455" s="1">
        <v>0.01205276789738763</v>
      </c>
      <c r="Y455" s="1">
        <v>0.006502798139793597</v>
      </c>
      <c r="Z455" s="1">
        <v>0.01541812268690901</v>
      </c>
    </row>
    <row r="456" spans="1:26">
      <c r="A456" s="11">
        <v>43031</v>
      </c>
      <c r="B456" s="1">
        <v>-0.02961704265312082</v>
      </c>
      <c r="C456" s="1">
        <v>-0.009178348890715671</v>
      </c>
      <c r="D456" s="1">
        <v>0.00833487730335003</v>
      </c>
      <c r="E456" s="1">
        <v>-0.01040050873296683</v>
      </c>
      <c r="F456" s="1">
        <v>-0.01800113410042625</v>
      </c>
      <c r="G456" s="1">
        <v>-0.001010099140793197</v>
      </c>
      <c r="H456" s="1">
        <v>0.01044145559366405</v>
      </c>
      <c r="I456" s="1">
        <v>0.003406842883622252</v>
      </c>
      <c r="J456" s="1">
        <v>0.004541257492425954</v>
      </c>
      <c r="K456" s="1">
        <v>-0.0002404869264334142</v>
      </c>
      <c r="L456" s="1">
        <v>-0.001708507502121925</v>
      </c>
      <c r="M456" s="1">
        <v>-0.01027460600641306</v>
      </c>
      <c r="N456" s="1">
        <v>-0.007692106645853958</v>
      </c>
      <c r="O456" s="1">
        <v>-0.001894889606033789</v>
      </c>
      <c r="P456" s="1">
        <v>0.0002534732272763129</v>
      </c>
      <c r="Q456" s="1">
        <v>0.006001766101924266</v>
      </c>
      <c r="R456" s="1">
        <v>-0.003603539562282321</v>
      </c>
      <c r="S456" s="1">
        <v>-0.001441521209246011</v>
      </c>
      <c r="T456" s="1">
        <v>-0.008006010443042944</v>
      </c>
      <c r="U456" s="1">
        <v>-0.008159733536077574</v>
      </c>
      <c r="V456" s="1">
        <v>0.01327712877451548</v>
      </c>
      <c r="W456" s="1">
        <v>0.002630816756097776</v>
      </c>
      <c r="X456" s="1">
        <v>-0.0007445377406597453</v>
      </c>
      <c r="Y456" s="1">
        <v>-0.0109026523533402</v>
      </c>
      <c r="Z456" s="1">
        <v>-0.007912862765526496</v>
      </c>
    </row>
    <row r="457" spans="1:26">
      <c r="A457" s="11">
        <v>43032</v>
      </c>
      <c r="B457" s="1">
        <v>-0.003970194759414403</v>
      </c>
      <c r="C457" s="1">
        <v>0.01402855859958518</v>
      </c>
      <c r="D457" s="1">
        <v>0.003586903826870325</v>
      </c>
      <c r="E457" s="1">
        <v>-0.00156862803786062</v>
      </c>
      <c r="F457" s="1">
        <v>-0.001367893314794699</v>
      </c>
      <c r="G457" s="1">
        <v>-0.002696293192602783</v>
      </c>
      <c r="H457" s="1">
        <v>-0.006888810159194403</v>
      </c>
      <c r="I457" s="1">
        <v>0.01103503194651578</v>
      </c>
      <c r="J457" s="1">
        <v>-0.00768517837820315</v>
      </c>
      <c r="K457" s="1">
        <v>0.008411490887375139</v>
      </c>
      <c r="L457" s="1">
        <v>0.01590507658105755</v>
      </c>
      <c r="M457" s="1">
        <v>0.0006809528529614362</v>
      </c>
      <c r="N457" s="1">
        <v>-0.00573637384155401</v>
      </c>
      <c r="O457" s="1">
        <v>0.002491435394881947</v>
      </c>
      <c r="P457" s="1">
        <v>0.0003808052850409194</v>
      </c>
      <c r="Q457" s="1">
        <v>-0.005592968622401551</v>
      </c>
      <c r="R457" s="1">
        <v>-0.05720071738348431</v>
      </c>
      <c r="S457" s="1">
        <v>-0.02174290775004173</v>
      </c>
      <c r="T457" s="1">
        <v>0.006027319175933465</v>
      </c>
      <c r="U457" s="1">
        <v>-0.01106387875805759</v>
      </c>
      <c r="V457" s="1">
        <v>0.005592688183508221</v>
      </c>
      <c r="W457" s="1">
        <v>5.149819929295418E-05</v>
      </c>
      <c r="X457" s="1">
        <v>0.01340807159097013</v>
      </c>
      <c r="Y457" s="1">
        <v>-0.00102030294723443</v>
      </c>
      <c r="Z457" s="1">
        <v>-0.0008624764116454964</v>
      </c>
    </row>
    <row r="458" spans="1:26">
      <c r="A458" s="11">
        <v>43033</v>
      </c>
      <c r="B458" s="1">
        <v>-0.01569503614577761</v>
      </c>
      <c r="C458" s="1">
        <v>-0.02849628897867451</v>
      </c>
      <c r="D458" s="1">
        <v>0.0004662354120192891</v>
      </c>
      <c r="E458" s="1">
        <v>0.005498698833634297</v>
      </c>
      <c r="F458" s="1">
        <v>0.009041029163423753</v>
      </c>
      <c r="G458" s="1">
        <v>-0.007096894413189281</v>
      </c>
      <c r="H458" s="1">
        <v>0.001734091203942079</v>
      </c>
      <c r="I458" s="1">
        <v>-0.00351101780552987</v>
      </c>
      <c r="J458" s="1">
        <v>-0.01275642528486831</v>
      </c>
      <c r="K458" s="1">
        <v>-0.01811233883886532</v>
      </c>
      <c r="L458" s="1">
        <v>0.0009902838241044876</v>
      </c>
      <c r="M458" s="1">
        <v>-0.02789140107632848</v>
      </c>
      <c r="N458" s="1">
        <v>-0.005301773591248282</v>
      </c>
      <c r="O458" s="1">
        <v>-0.0002363799688339663</v>
      </c>
      <c r="P458" s="1">
        <v>-0.002916764544671491</v>
      </c>
      <c r="Q458" s="1">
        <v>-0.004874343259951619</v>
      </c>
      <c r="R458" s="1">
        <v>-0.002131107560531476</v>
      </c>
      <c r="S458" s="1">
        <v>-0.0005237493756664602</v>
      </c>
      <c r="T458" s="1">
        <v>0.009333539547720759</v>
      </c>
      <c r="U458" s="1">
        <v>-0.03930028317110024</v>
      </c>
      <c r="V458" s="1">
        <v>-0.01604965025751348</v>
      </c>
      <c r="W458" s="1">
        <v>0.0272147530881035</v>
      </c>
      <c r="X458" s="1">
        <v>-0.01304658151099602</v>
      </c>
      <c r="Y458" s="1">
        <v>-0.006130210036571548</v>
      </c>
      <c r="Z458" s="1">
        <v>-0.007766919244359904</v>
      </c>
    </row>
    <row r="459" spans="1:26">
      <c r="A459" s="11">
        <v>43034</v>
      </c>
      <c r="B459" s="1">
        <v>0.002025153819248393</v>
      </c>
      <c r="C459" s="1">
        <v>0.003289082924494924</v>
      </c>
      <c r="D459" s="1">
        <v>0.008542891100783212</v>
      </c>
      <c r="E459" s="1">
        <v>-0.04765623227207172</v>
      </c>
      <c r="F459" s="1">
        <v>-0.01520519541626364</v>
      </c>
      <c r="G459" s="1">
        <v>0.003743922758250973</v>
      </c>
      <c r="H459" s="1">
        <v>0.02834923095574782</v>
      </c>
      <c r="I459" s="1">
        <v>0.01210188524431288</v>
      </c>
      <c r="J459" s="1">
        <v>-0.006922267487190159</v>
      </c>
      <c r="K459" s="1">
        <v>0.02354354208377774</v>
      </c>
      <c r="L459" s="1">
        <v>0.007127813765618329</v>
      </c>
      <c r="M459" s="1">
        <v>-0.03586381505369163</v>
      </c>
      <c r="N459" s="1">
        <v>0.03135296861856296</v>
      </c>
      <c r="O459" s="1">
        <v>-0.03681785052928244</v>
      </c>
      <c r="P459" s="1">
        <v>0.001653001907802265</v>
      </c>
      <c r="Q459" s="1">
        <v>-0.002637524607444375</v>
      </c>
      <c r="R459" s="1">
        <v>0.0263420389032536</v>
      </c>
      <c r="S459" s="1">
        <v>-0.02757136107127056</v>
      </c>
      <c r="T459" s="1">
        <v>0.01008832401733373</v>
      </c>
      <c r="U459" s="1">
        <v>0.00567379909405874</v>
      </c>
      <c r="V459" s="1">
        <v>0.001453446657564417</v>
      </c>
      <c r="W459" s="1">
        <v>0.003505661814197758</v>
      </c>
      <c r="X459" s="1">
        <v>0.000930617079165863</v>
      </c>
      <c r="Y459" s="1">
        <v>0.00513949004049663</v>
      </c>
      <c r="Z459" s="1">
        <v>0.02043937893209025</v>
      </c>
    </row>
    <row r="460" spans="1:26">
      <c r="A460" s="11">
        <v>43035</v>
      </c>
      <c r="B460" s="1">
        <v>0.02904732888915462</v>
      </c>
      <c r="C460" s="1">
        <v>-0.01083811637398047</v>
      </c>
      <c r="D460" s="1">
        <v>0.01155095456544109</v>
      </c>
      <c r="E460" s="1">
        <v>-0.01657090685617402</v>
      </c>
      <c r="F460" s="1">
        <v>0.01433720025321339</v>
      </c>
      <c r="G460" s="1">
        <v>0.008816588028722094</v>
      </c>
      <c r="H460" s="1">
        <v>0.01283634517564547</v>
      </c>
      <c r="I460" s="1">
        <v>0.00840010380265066</v>
      </c>
      <c r="J460" s="1">
        <v>-0.0009291128650023017</v>
      </c>
      <c r="K460" s="1">
        <v>0.005691023393693317</v>
      </c>
      <c r="L460" s="1">
        <v>0.0002945866113035489</v>
      </c>
      <c r="M460" s="1">
        <v>-0.01814549328504067</v>
      </c>
      <c r="N460" s="1">
        <v>-0.01322396744622978</v>
      </c>
      <c r="O460" s="1">
        <v>-0.004424848213993693</v>
      </c>
      <c r="P460" s="1">
        <v>0.06411908902148089</v>
      </c>
      <c r="Q460" s="1">
        <v>-0.001133288222451956</v>
      </c>
      <c r="R460" s="1">
        <v>-0.002913183244678597</v>
      </c>
      <c r="S460" s="1">
        <v>0.0131728750040383</v>
      </c>
      <c r="T460" s="1">
        <v>0.00199218340448537</v>
      </c>
      <c r="U460" s="1">
        <v>0.008610218957415983</v>
      </c>
      <c r="V460" s="1">
        <v>-0.02822088935735001</v>
      </c>
      <c r="W460" s="1">
        <v>-0.03967654668406184</v>
      </c>
      <c r="X460" s="1">
        <v>-0.01357888487063619</v>
      </c>
      <c r="Y460" s="1">
        <v>-0.0004089434566841854</v>
      </c>
      <c r="Z460" s="1">
        <v>0.003835571296637807</v>
      </c>
    </row>
    <row r="461" spans="1:26">
      <c r="A461" s="11">
        <v>43038</v>
      </c>
      <c r="B461" s="1">
        <v>0.0017183996073038</v>
      </c>
      <c r="C461" s="1">
        <v>0.01087891016442688</v>
      </c>
      <c r="D461" s="1">
        <v>-0.01690025024849962</v>
      </c>
      <c r="E461" s="1">
        <v>0.01501528666644569</v>
      </c>
      <c r="F461" s="1">
        <v>-0.007882586704973771</v>
      </c>
      <c r="G461" s="1">
        <v>-0.009411858760647096</v>
      </c>
      <c r="H461" s="1">
        <v>-0.0367753431307648</v>
      </c>
      <c r="I461" s="1">
        <v>-0.007129556809393089</v>
      </c>
      <c r="J461" s="1">
        <v>-0.005116262519785586</v>
      </c>
      <c r="K461" s="1">
        <v>-0.006366403578828339</v>
      </c>
      <c r="L461" s="1">
        <v>-0.003537215810478389</v>
      </c>
      <c r="M461" s="1">
        <v>0.01145780247095529</v>
      </c>
      <c r="N461" s="1">
        <v>-0.01340129706490478</v>
      </c>
      <c r="O461" s="1">
        <v>-0.004691298171808245</v>
      </c>
      <c r="P461" s="1">
        <v>0.0009545068137872814</v>
      </c>
      <c r="Q461" s="1">
        <v>-0.0005711880422313298</v>
      </c>
      <c r="R461" s="1">
        <v>-0.01975826715159212</v>
      </c>
      <c r="S461" s="1">
        <v>0.008941221837664992</v>
      </c>
      <c r="T461" s="1">
        <v>-0.007651716060899538</v>
      </c>
      <c r="U461" s="1">
        <v>-0.01265834989330572</v>
      </c>
      <c r="V461" s="1">
        <v>-0.01178235457007049</v>
      </c>
      <c r="W461" s="1">
        <v>-0.002078852696997591</v>
      </c>
      <c r="X461" s="1">
        <v>-0.008108540613328885</v>
      </c>
      <c r="Y461" s="1">
        <v>-0.02128094463428643</v>
      </c>
      <c r="Z461" s="1">
        <v>-0.006580722218781809</v>
      </c>
    </row>
    <row r="462" spans="1:26">
      <c r="A462" s="11">
        <v>43039</v>
      </c>
      <c r="B462" s="1">
        <v>0.01372184897387108</v>
      </c>
      <c r="C462" s="1">
        <v>-0.004898549950729469</v>
      </c>
      <c r="D462" s="1">
        <v>-0.001548732311959733</v>
      </c>
      <c r="E462" s="1">
        <v>0.01347759381064773</v>
      </c>
      <c r="F462" s="1">
        <v>-0.01287673110240595</v>
      </c>
      <c r="G462" s="1">
        <v>0.003732489648928361</v>
      </c>
      <c r="H462" s="1">
        <v>0.02178589170591616</v>
      </c>
      <c r="I462" s="1">
        <v>0.00438412548745748</v>
      </c>
      <c r="J462" s="1">
        <v>0.007480200424947014</v>
      </c>
      <c r="K462" s="1">
        <v>-0.01779745652866038</v>
      </c>
      <c r="L462" s="1">
        <v>-0.007888836233545304</v>
      </c>
      <c r="M462" s="1">
        <v>-0.01589595816729561</v>
      </c>
      <c r="N462" s="1">
        <v>0.002654427049958441</v>
      </c>
      <c r="O462" s="1">
        <v>0.003844826194099538</v>
      </c>
      <c r="P462" s="1">
        <v>-0.008463357338098332</v>
      </c>
      <c r="Q462" s="1">
        <v>0.004571537614905141</v>
      </c>
      <c r="R462" s="1">
        <v>0.01816950585119304</v>
      </c>
      <c r="S462" s="1">
        <v>-0.007185581052012169</v>
      </c>
      <c r="T462" s="1">
        <v>0.002282953340226213</v>
      </c>
      <c r="U462" s="1">
        <v>0.003279915461422256</v>
      </c>
      <c r="V462" s="1">
        <v>-0.008564260842170213</v>
      </c>
      <c r="W462" s="1">
        <v>0.009426290529465531</v>
      </c>
      <c r="X462" s="1">
        <v>0.002661699393705641</v>
      </c>
      <c r="Y462" s="1">
        <v>0.000836399045804459</v>
      </c>
      <c r="Z462" s="1">
        <v>-0.007264723683818808</v>
      </c>
    </row>
    <row r="463" spans="1:26">
      <c r="A463" s="11">
        <v>43040</v>
      </c>
      <c r="B463" s="1">
        <v>0.02078808033971402</v>
      </c>
      <c r="C463" s="1">
        <v>0.00201552731644461</v>
      </c>
      <c r="D463" s="1">
        <v>-0.004187967859387798</v>
      </c>
      <c r="E463" s="1">
        <v>0.008109246955271709</v>
      </c>
      <c r="F463" s="1">
        <v>0.001387707002080463</v>
      </c>
      <c r="G463" s="1">
        <v>0.004395051042626275</v>
      </c>
      <c r="H463" s="1">
        <v>0.003377845138378133</v>
      </c>
      <c r="I463" s="1">
        <v>0.01046042274433145</v>
      </c>
      <c r="J463" s="1">
        <v>-0.003712361366561723</v>
      </c>
      <c r="K463" s="1">
        <v>-0.004590498192933778</v>
      </c>
      <c r="L463" s="1">
        <v>0.003081474271637852</v>
      </c>
      <c r="M463" s="1">
        <v>0.002413660643368676</v>
      </c>
      <c r="N463" s="1">
        <v>0.007474018299646001</v>
      </c>
      <c r="O463" s="1">
        <v>0.0184114815338372</v>
      </c>
      <c r="P463" s="1">
        <v>0</v>
      </c>
      <c r="Q463" s="1">
        <v>0.007963448303783371</v>
      </c>
      <c r="R463" s="1">
        <v>-0.01045632946070152</v>
      </c>
      <c r="S463" s="1">
        <v>-0.003522233074971903</v>
      </c>
      <c r="T463" s="1">
        <v>0.00156901155724265</v>
      </c>
      <c r="U463" s="1">
        <v>-0.002972258893816582</v>
      </c>
      <c r="V463" s="1">
        <v>-0.003048943827915651</v>
      </c>
      <c r="W463" s="1">
        <v>0.00185716335242847</v>
      </c>
      <c r="X463" s="1">
        <v>0.01251400068767738</v>
      </c>
      <c r="Y463" s="1">
        <v>-0.0008357000670657921</v>
      </c>
      <c r="Z463" s="1">
        <v>-0.005165975653688482</v>
      </c>
    </row>
    <row r="464" spans="1:26">
      <c r="A464" s="11">
        <v>43041</v>
      </c>
      <c r="B464" s="1">
        <v>-0.01302424241803923</v>
      </c>
      <c r="C464" s="1">
        <v>0.01597676727042208</v>
      </c>
      <c r="D464" s="1">
        <v>-0.002024982854930357</v>
      </c>
      <c r="E464" s="1">
        <v>0.001126049692165232</v>
      </c>
      <c r="F464" s="1">
        <v>-0.02577589670744584</v>
      </c>
      <c r="G464" s="1">
        <v>0.001009759126871179</v>
      </c>
      <c r="H464" s="1">
        <v>-0.0143068429287293</v>
      </c>
      <c r="I464" s="1">
        <v>0.001265938879732476</v>
      </c>
      <c r="J464" s="1">
        <v>-0.001397217011830931</v>
      </c>
      <c r="K464" s="1">
        <v>-0.01335002733761348</v>
      </c>
      <c r="L464" s="1">
        <v>0.006638537529151778</v>
      </c>
      <c r="M464" s="1">
        <v>0</v>
      </c>
      <c r="N464" s="1">
        <v>-0.01236443716787294</v>
      </c>
      <c r="O464" s="1">
        <v>0.01504461229664278</v>
      </c>
      <c r="P464" s="1">
        <v>0.01045927110589662</v>
      </c>
      <c r="Q464" s="1">
        <v>0.01354415126808672</v>
      </c>
      <c r="R464" s="1">
        <v>0.01380663144996119</v>
      </c>
      <c r="S464" s="1">
        <v>0.008764084451174714</v>
      </c>
      <c r="T464" s="1">
        <v>-0.009247905731025408</v>
      </c>
      <c r="U464" s="1">
        <v>-0.01132632973851544</v>
      </c>
      <c r="V464" s="1">
        <v>0.0158003100906623</v>
      </c>
      <c r="W464" s="1">
        <v>-0.0149852892733715</v>
      </c>
      <c r="X464" s="1">
        <v>0.01647950003009968</v>
      </c>
      <c r="Y464" s="1">
        <v>-0.007735660808374401</v>
      </c>
      <c r="Z464" s="1">
        <v>0.01363066723219042</v>
      </c>
    </row>
    <row r="465" spans="1:26">
      <c r="A465" s="11">
        <v>43042</v>
      </c>
      <c r="B465" s="1">
        <v>0.02567194750039081</v>
      </c>
      <c r="C465" s="1">
        <v>-0.003350671019895168</v>
      </c>
      <c r="D465" s="1">
        <v>0.01295482232996936</v>
      </c>
      <c r="E465" s="1">
        <v>-0.0001605494624361548</v>
      </c>
      <c r="F465" s="1">
        <v>0.01507806066014705</v>
      </c>
      <c r="G465" s="1">
        <v>-0.00504370270951171</v>
      </c>
      <c r="H465" s="1">
        <v>-0.007897710380335266</v>
      </c>
      <c r="I465" s="1">
        <v>0.004388537985684282</v>
      </c>
      <c r="J465" s="1">
        <v>0.001399171958694101</v>
      </c>
      <c r="K465" s="1">
        <v>0.0007384487512573923</v>
      </c>
      <c r="L465" s="1">
        <v>-0.001771646787780967</v>
      </c>
      <c r="M465" s="1">
        <v>0.002778287207552133</v>
      </c>
      <c r="N465" s="1">
        <v>0.0001566508125043775</v>
      </c>
      <c r="O465" s="1">
        <v>-0.01529992489488197</v>
      </c>
      <c r="P465" s="1">
        <v>0.001070866122868663</v>
      </c>
      <c r="Q465" s="1">
        <v>0.01447644215057631</v>
      </c>
      <c r="R465" s="1">
        <v>-0.008893896199535178</v>
      </c>
      <c r="S465" s="1">
        <v>0.003072337205713316</v>
      </c>
      <c r="T465" s="1">
        <v>0.0127515698057088</v>
      </c>
      <c r="U465" s="1">
        <v>0.003919387472193003</v>
      </c>
      <c r="V465" s="1">
        <v>-0.007191483312667279</v>
      </c>
      <c r="W465" s="1">
        <v>0.01270395356487075</v>
      </c>
      <c r="X465" s="1">
        <v>0.004974282536261976</v>
      </c>
      <c r="Y465" s="1">
        <v>-0.0008427897860575628</v>
      </c>
      <c r="Z465" s="1">
        <v>-0.0008540082257141313</v>
      </c>
    </row>
    <row r="466" spans="1:26">
      <c r="A466" s="11">
        <v>43045</v>
      </c>
      <c r="B466" s="1">
        <v>0.06994192158683998</v>
      </c>
      <c r="C466" s="1">
        <v>0.008863441731459032</v>
      </c>
      <c r="D466" s="1">
        <v>-0.008320506419966733</v>
      </c>
      <c r="E466" s="1">
        <v>-0.008679070571754322</v>
      </c>
      <c r="F466" s="1">
        <v>-0.003923782013205757</v>
      </c>
      <c r="G466" s="1">
        <v>0.004393480431678309</v>
      </c>
      <c r="H466" s="1">
        <v>-0.02259016718956131</v>
      </c>
      <c r="I466" s="1">
        <v>0.002073806622475693</v>
      </c>
      <c r="J466" s="1">
        <v>-0.001397217011830931</v>
      </c>
      <c r="K466" s="1">
        <v>0.01007868391230571</v>
      </c>
      <c r="L466" s="1">
        <v>-0.006212623543523144</v>
      </c>
      <c r="M466" s="1">
        <v>0.007018669068028949</v>
      </c>
      <c r="N466" s="1">
        <v>-0.007197934137218365</v>
      </c>
      <c r="O466" s="1">
        <v>0.003034627414412183</v>
      </c>
      <c r="P466" s="1">
        <v>0.00392190999768971</v>
      </c>
      <c r="Q466" s="1">
        <v>-0.004390699293287392</v>
      </c>
      <c r="R466" s="1">
        <v>-0.009954704111357904</v>
      </c>
      <c r="S466" s="1">
        <v>0.001674849029434711</v>
      </c>
      <c r="T466" s="1">
        <v>-0.007982851790510836</v>
      </c>
      <c r="U466" s="1">
        <v>-0.01321323456368251</v>
      </c>
      <c r="V466" s="1">
        <v>-0.001179396133835553</v>
      </c>
      <c r="W466" s="1">
        <v>-0.0009290762098438377</v>
      </c>
      <c r="X466" s="1">
        <v>-0.002199881007208138</v>
      </c>
      <c r="Y466" s="1">
        <v>-0.0398566087817086</v>
      </c>
      <c r="Z466" s="1">
        <v>-0.007690702740995592</v>
      </c>
    </row>
    <row r="467" spans="1:26">
      <c r="A467" s="11">
        <v>43046</v>
      </c>
      <c r="B467" s="1">
        <v>-0.0120245745588301</v>
      </c>
      <c r="C467" s="1">
        <v>0.007800774389939535</v>
      </c>
      <c r="D467" s="1">
        <v>-0.0006216646045946739</v>
      </c>
      <c r="E467" s="1">
        <v>0.003728916356833034</v>
      </c>
      <c r="F467" s="1">
        <v>0.02391649465974366</v>
      </c>
      <c r="G467" s="1">
        <v>0.007738937011246394</v>
      </c>
      <c r="H467" s="1">
        <v>0.01760951006119127</v>
      </c>
      <c r="I467" s="1">
        <v>0.002956155966310492</v>
      </c>
      <c r="J467" s="1">
        <v>-0.002798465078797885</v>
      </c>
      <c r="K467" s="1">
        <v>-0.002433632187578083</v>
      </c>
      <c r="L467" s="1">
        <v>-0.02014253641891794</v>
      </c>
      <c r="M467" s="1">
        <v>-0.0119222107073903</v>
      </c>
      <c r="N467" s="1">
        <v>0.01355366903020894</v>
      </c>
      <c r="O467" s="1">
        <v>-0.002057247682081376</v>
      </c>
      <c r="P467" s="1">
        <v>-0.002367969627693145</v>
      </c>
      <c r="Q467" s="1">
        <v>0.009555104536761672</v>
      </c>
      <c r="R467" s="1">
        <v>-0.001841094297015067</v>
      </c>
      <c r="S467" s="1">
        <v>0.0103670165063714</v>
      </c>
      <c r="T467" s="1">
        <v>0.0001778084255252832</v>
      </c>
      <c r="U467" s="1">
        <v>0.006390865887359709</v>
      </c>
      <c r="V467" s="1">
        <v>-0.023613019884556</v>
      </c>
      <c r="W467" s="1">
        <v>-0.001653720884111531</v>
      </c>
      <c r="X467" s="1">
        <v>-0.002755843040952111</v>
      </c>
      <c r="Y467" s="1">
        <v>0.0008786506231972524</v>
      </c>
      <c r="Z467" s="1">
        <v>-0.03379971009012417</v>
      </c>
    </row>
    <row r="468" spans="1:26">
      <c r="A468" s="11">
        <v>43047</v>
      </c>
      <c r="B468" s="1">
        <v>-0.01504781244945252</v>
      </c>
      <c r="C468" s="1">
        <v>-0.002104054810310285</v>
      </c>
      <c r="D468" s="1">
        <v>0.01072773366268542</v>
      </c>
      <c r="E468" s="1">
        <v>0.0108224309546936</v>
      </c>
      <c r="F468" s="1">
        <v>-0.00494613968116242</v>
      </c>
      <c r="G468" s="1">
        <v>0</v>
      </c>
      <c r="H468" s="1">
        <v>0.02011681405113519</v>
      </c>
      <c r="I468" s="1">
        <v>-0.007884541035775516</v>
      </c>
      <c r="J468" s="1">
        <v>0.00187045372034933</v>
      </c>
      <c r="K468" s="1">
        <v>0.0002438438200691451</v>
      </c>
      <c r="L468" s="1">
        <v>-0.01124055639169319</v>
      </c>
      <c r="M468" s="1">
        <v>0.002598844742359718</v>
      </c>
      <c r="N468" s="1">
        <v>0.0043542757436974</v>
      </c>
      <c r="O468" s="1">
        <v>-0.0003637288553026696</v>
      </c>
      <c r="P468" s="1">
        <v>0.003441661013364961</v>
      </c>
      <c r="Q468" s="1">
        <v>0.001820380078709327</v>
      </c>
      <c r="R468" s="1">
        <v>0.0005672990828076152</v>
      </c>
      <c r="S468" s="1">
        <v>0.008038107755689472</v>
      </c>
      <c r="T468" s="1">
        <v>0.003807030065811512</v>
      </c>
      <c r="U468" s="1">
        <v>0.01118836991316341</v>
      </c>
      <c r="V468" s="1">
        <v>0.008291662248733678</v>
      </c>
      <c r="W468" s="1">
        <v>0.003364161156263146</v>
      </c>
      <c r="X468" s="1">
        <v>0.01050119993501752</v>
      </c>
      <c r="Y468" s="1">
        <v>-0.002414100412004405</v>
      </c>
      <c r="Z468" s="1">
        <v>-0.007575738831908874</v>
      </c>
    </row>
    <row r="469" spans="1:26">
      <c r="A469" s="11">
        <v>43048</v>
      </c>
      <c r="B469" s="1">
        <v>0.0164011583229049</v>
      </c>
      <c r="C469" s="1">
        <v>-0.005489229662121953</v>
      </c>
      <c r="D469" s="1">
        <v>0.00584517400632345</v>
      </c>
      <c r="E469" s="1">
        <v>-0.009428162202875678</v>
      </c>
      <c r="F469" s="1">
        <v>0.009666018013014144</v>
      </c>
      <c r="G469" s="1">
        <v>-0.004674670385270696</v>
      </c>
      <c r="H469" s="1">
        <v>-0.0322307279582611</v>
      </c>
      <c r="I469" s="1">
        <v>-0.02495556521428521</v>
      </c>
      <c r="J469" s="1">
        <v>-0.003734590320189746</v>
      </c>
      <c r="K469" s="1">
        <v>-0.06073170817201179</v>
      </c>
      <c r="L469" s="1">
        <v>-0.0001024832611495885</v>
      </c>
      <c r="M469" s="1">
        <v>-0.01018328243211908</v>
      </c>
      <c r="N469" s="1">
        <v>-0.001238571836542968</v>
      </c>
      <c r="O469" s="1">
        <v>0.00606535751945203</v>
      </c>
      <c r="P469" s="1">
        <v>-0.005558076236299669</v>
      </c>
      <c r="Q469" s="1">
        <v>0</v>
      </c>
      <c r="R469" s="1">
        <v>-0.01559830564167008</v>
      </c>
      <c r="S469" s="1">
        <v>-0.008536820104140141</v>
      </c>
      <c r="T469" s="1">
        <v>-0.02144070064389703</v>
      </c>
      <c r="U469" s="1">
        <v>0.01674608745852946</v>
      </c>
      <c r="V469" s="1">
        <v>0.02621201691456787</v>
      </c>
      <c r="W469" s="1">
        <v>-0.01016207328594332</v>
      </c>
      <c r="X469" s="1">
        <v>-0.0082043626391749</v>
      </c>
      <c r="Y469" s="1">
        <v>-0.008578884152880217</v>
      </c>
      <c r="Z469" s="1">
        <v>-0.01279752016104352</v>
      </c>
    </row>
    <row r="470" spans="1:26">
      <c r="A470" s="11">
        <v>43049</v>
      </c>
      <c r="B470" s="1">
        <v>-0.02453585956348092</v>
      </c>
      <c r="C470" s="1">
        <v>-0.007042351383736989</v>
      </c>
      <c r="D470" s="1">
        <v>-0.02064542816667381</v>
      </c>
      <c r="E470" s="1">
        <v>-0.01822883022566768</v>
      </c>
      <c r="F470" s="1">
        <v>0.007932104283177921</v>
      </c>
      <c r="G470" s="1">
        <v>-0.01341823576339563</v>
      </c>
      <c r="H470" s="1">
        <v>0.03900091405210837</v>
      </c>
      <c r="I470" s="1">
        <v>0.007236612293754829</v>
      </c>
      <c r="J470" s="1">
        <v>-0.005154561996436713</v>
      </c>
      <c r="K470" s="1">
        <v>-0.0410283073687906</v>
      </c>
      <c r="L470" s="1">
        <v>-0.001229037361591523</v>
      </c>
      <c r="M470" s="1">
        <v>0.0005610861743927664</v>
      </c>
      <c r="N470" s="1">
        <v>0.007906041941410535</v>
      </c>
      <c r="O470" s="1">
        <v>0.002653476387717513</v>
      </c>
      <c r="P470" s="1">
        <v>-0.002615828586502777</v>
      </c>
      <c r="Q470" s="1">
        <v>-0.01162784711587805</v>
      </c>
      <c r="R470" s="1">
        <v>0.002448847170099633</v>
      </c>
      <c r="S470" s="1">
        <v>0.0007093597617184866</v>
      </c>
      <c r="T470" s="1">
        <v>0.006278648295526823</v>
      </c>
      <c r="U470" s="1">
        <v>0.006470600256391013</v>
      </c>
      <c r="V470" s="1">
        <v>0.02504195172324764</v>
      </c>
      <c r="W470" s="1">
        <v>-0.02975658019515937</v>
      </c>
      <c r="X470" s="1">
        <v>-0.002389397776275226</v>
      </c>
      <c r="Y470" s="1">
        <v>-0.004215572646835475</v>
      </c>
      <c r="Z470" s="1">
        <v>-0.0009098304737650276</v>
      </c>
    </row>
    <row r="471" spans="1:26">
      <c r="A471" s="11">
        <v>43052</v>
      </c>
      <c r="B471" s="1">
        <v>-0.01450271696042593</v>
      </c>
      <c r="C471" s="1">
        <v>0.006018730285702878</v>
      </c>
      <c r="D471" s="1">
        <v>0.005777775425885201</v>
      </c>
      <c r="E471" s="1">
        <v>0.002136042209106792</v>
      </c>
      <c r="F471" s="1">
        <v>0.01085475682607329</v>
      </c>
      <c r="G471" s="1">
        <v>0.007480462951282574</v>
      </c>
      <c r="H471" s="1">
        <v>-0.003162970412760591</v>
      </c>
      <c r="I471" s="1">
        <v>-0.002419931596845726</v>
      </c>
      <c r="J471" s="1">
        <v>-0.002826024459868237</v>
      </c>
      <c r="K471" s="1">
        <v>-0.02518276507400741</v>
      </c>
      <c r="L471" s="1">
        <v>0.003589325674735688</v>
      </c>
      <c r="M471" s="1">
        <v>-0.004486732717183917</v>
      </c>
      <c r="N471" s="1">
        <v>0.01261092005647257</v>
      </c>
      <c r="O471" s="1">
        <v>-0.001804512015965987</v>
      </c>
      <c r="P471" s="1">
        <v>0.0007147422976387929</v>
      </c>
      <c r="Q471" s="1">
        <v>0.004411683595079374</v>
      </c>
      <c r="R471" s="1">
        <v>-0.0002883721702183761</v>
      </c>
      <c r="S471" s="1">
        <v>0.008178990428872046</v>
      </c>
      <c r="T471" s="1">
        <v>0.0006418434957811137</v>
      </c>
      <c r="U471" s="1">
        <v>-0.001460487066933469</v>
      </c>
      <c r="V471" s="1">
        <v>-0.01628664731459817</v>
      </c>
      <c r="W471" s="1">
        <v>0.01090384498746055</v>
      </c>
      <c r="X471" s="1">
        <v>-0.01050334582329771</v>
      </c>
      <c r="Y471" s="1">
        <v>-0.002896903785665095</v>
      </c>
      <c r="Z471" s="1">
        <v>0.03414557699026854</v>
      </c>
    </row>
    <row r="472" spans="1:26">
      <c r="A472" s="11">
        <v>43053</v>
      </c>
      <c r="B472" s="1">
        <v>-0.03702037844628991</v>
      </c>
      <c r="C472" s="1">
        <v>-0.002515020259885481</v>
      </c>
      <c r="D472" s="1">
        <v>0.0007760846753614992</v>
      </c>
      <c r="E472" s="1">
        <v>0.004262717804796257</v>
      </c>
      <c r="F472" s="1">
        <v>-0.0104694810253676</v>
      </c>
      <c r="G472" s="1">
        <v>0.0107999848902911</v>
      </c>
      <c r="H472" s="1">
        <v>0.01142338523231423</v>
      </c>
      <c r="I472" s="1">
        <v>0.007353619860219318</v>
      </c>
      <c r="J472" s="1">
        <v>0.008974766659441302</v>
      </c>
      <c r="K472" s="1">
        <v>-0.003055621768420447</v>
      </c>
      <c r="L472" s="1">
        <v>-0.006028884319822625</v>
      </c>
      <c r="M472" s="1">
        <v>0.009389655502989536</v>
      </c>
      <c r="N472" s="1">
        <v>-0.00167071778471406</v>
      </c>
      <c r="O472" s="1">
        <v>0.007228852840729161</v>
      </c>
      <c r="P472" s="1">
        <v>0.001429863086411132</v>
      </c>
      <c r="Q472" s="1">
        <v>0.009516910221177399</v>
      </c>
      <c r="R472" s="1">
        <v>-0.009376874181585726</v>
      </c>
      <c r="S472" s="1">
        <v>-0.001547596826637632</v>
      </c>
      <c r="T472" s="1">
        <v>-0.001488124314803163</v>
      </c>
      <c r="U472" s="1">
        <v>-0.01316970229048453</v>
      </c>
      <c r="V472" s="1">
        <v>0.005185535770263927</v>
      </c>
      <c r="W472" s="1">
        <v>0.004622327260005443</v>
      </c>
      <c r="X472" s="1">
        <v>-0.002420831946645441</v>
      </c>
      <c r="Y472" s="1">
        <v>-0.01184325807744069</v>
      </c>
      <c r="Z472" s="1">
        <v>0.02694934303442276</v>
      </c>
    </row>
    <row r="473" spans="1:26">
      <c r="A473" s="11">
        <v>43054</v>
      </c>
      <c r="B473" s="1">
        <v>-0.02029549344910664</v>
      </c>
      <c r="C473" s="1">
        <v>0.004202146888577563</v>
      </c>
      <c r="D473" s="1">
        <v>-0.0006203589574719226</v>
      </c>
      <c r="E473" s="1">
        <v>-0.002938379611196917</v>
      </c>
      <c r="F473" s="1">
        <v>0.008680956109992977</v>
      </c>
      <c r="G473" s="1">
        <v>-0.01118525833851836</v>
      </c>
      <c r="H473" s="1">
        <v>-0.02907332490757042</v>
      </c>
      <c r="I473" s="1">
        <v>-0.00459071897637231</v>
      </c>
      <c r="J473" s="1">
        <v>0</v>
      </c>
      <c r="K473" s="1">
        <v>-0.004457910742581284</v>
      </c>
      <c r="L473" s="1">
        <v>0.009458184617870513</v>
      </c>
      <c r="M473" s="1">
        <v>0.01637230466065254</v>
      </c>
      <c r="N473" s="1">
        <v>-0.007150366581059941</v>
      </c>
      <c r="O473" s="1">
        <v>-0.005502150386382132</v>
      </c>
      <c r="P473" s="1">
        <v>-0.00777226406831899</v>
      </c>
      <c r="Q473" s="1">
        <v>-0.01232766951439945</v>
      </c>
      <c r="R473" s="1">
        <v>-0.006989854934324358</v>
      </c>
      <c r="S473" s="1">
        <v>-0.0134791880530839</v>
      </c>
      <c r="T473" s="1">
        <v>-0.008146685207820581</v>
      </c>
      <c r="U473" s="1">
        <v>0.002668938966155165</v>
      </c>
      <c r="V473" s="1">
        <v>-0.09868514707342735</v>
      </c>
      <c r="W473" s="1">
        <v>-0.003014709841829055</v>
      </c>
      <c r="X473" s="1">
        <v>-0.02053335532924894</v>
      </c>
      <c r="Y473" s="1">
        <v>-0.002487591991727212</v>
      </c>
      <c r="Z473" s="1">
        <v>0.0002151819347571138</v>
      </c>
    </row>
    <row r="474" spans="1:26">
      <c r="A474" s="11">
        <v>43055</v>
      </c>
      <c r="B474" s="1">
        <v>-0.01316110594070496</v>
      </c>
      <c r="C474" s="1">
        <v>0.003195953854685296</v>
      </c>
      <c r="D474" s="1">
        <v>0.0088480279079306</v>
      </c>
      <c r="E474" s="1">
        <v>0.01309946569510534</v>
      </c>
      <c r="F474" s="1">
        <v>-0.002958303469135171</v>
      </c>
      <c r="G474" s="1">
        <v>-0.01090314243673951</v>
      </c>
      <c r="H474" s="1">
        <v>0.04093092074180626</v>
      </c>
      <c r="I474" s="1">
        <v>0.01769117735144277</v>
      </c>
      <c r="J474" s="1">
        <v>0.009831434625955149</v>
      </c>
      <c r="K474" s="1">
        <v>0.01147490965982811</v>
      </c>
      <c r="L474" s="1">
        <v>0.002851790276940047</v>
      </c>
      <c r="M474" s="1">
        <v>0.01171499598349945</v>
      </c>
      <c r="N474" s="1">
        <v>0.009500637276864676</v>
      </c>
      <c r="O474" s="1">
        <v>-0.002766455771748388</v>
      </c>
      <c r="P474" s="1">
        <v>0.002651255568803634</v>
      </c>
      <c r="Q474" s="1">
        <v>0.002936679451407409</v>
      </c>
      <c r="R474" s="1">
        <v>0.02214361199724402</v>
      </c>
      <c r="S474" s="1">
        <v>0.01723412279046821</v>
      </c>
      <c r="T474" s="1">
        <v>0.007582386622157378</v>
      </c>
      <c r="U474" s="1">
        <v>0.02099963313193642</v>
      </c>
      <c r="V474" s="1">
        <v>0.01735558085396138</v>
      </c>
      <c r="W474" s="1">
        <v>0.01113976893444191</v>
      </c>
      <c r="X474" s="1">
        <v>0.00819485605458059</v>
      </c>
      <c r="Y474" s="1">
        <v>0.01496270339642347</v>
      </c>
      <c r="Z474" s="1">
        <v>-0.008386936972503922</v>
      </c>
    </row>
    <row r="475" spans="1:26">
      <c r="A475" s="11">
        <v>43056</v>
      </c>
      <c r="B475" s="1">
        <v>0.01704088797794756</v>
      </c>
      <c r="C475" s="1">
        <v>-0.005460829476299112</v>
      </c>
      <c r="D475" s="1">
        <v>-0.01707948054227648</v>
      </c>
      <c r="E475" s="1">
        <v>-0.00888939832636082</v>
      </c>
      <c r="F475" s="1">
        <v>-0.02454831293972459</v>
      </c>
      <c r="G475" s="1">
        <v>-0.001033376015390441</v>
      </c>
      <c r="H475" s="1">
        <v>0.02897317323603144</v>
      </c>
      <c r="I475" s="1">
        <v>0.008617199213527771</v>
      </c>
      <c r="J475" s="1">
        <v>0.00834521989292214</v>
      </c>
      <c r="K475" s="1">
        <v>0.006917465048685401</v>
      </c>
      <c r="L475" s="1">
        <v>-0.003351679923320861</v>
      </c>
      <c r="M475" s="1">
        <v>-0.01013206161341074</v>
      </c>
      <c r="N475" s="1">
        <v>0.008196683046546527</v>
      </c>
      <c r="O475" s="1">
        <v>-0.006754287895143762</v>
      </c>
      <c r="P475" s="1">
        <v>-0.009615664397409351</v>
      </c>
      <c r="Q475" s="1">
        <v>-0.008784797464700733</v>
      </c>
      <c r="R475" s="1">
        <v>-0.04318463546447215</v>
      </c>
      <c r="S475" s="1">
        <v>-0.008517951035547422</v>
      </c>
      <c r="T475" s="1">
        <v>-0.002705803518979644</v>
      </c>
      <c r="U475" s="1">
        <v>-0.0002896537235141938</v>
      </c>
      <c r="V475" s="1">
        <v>0.05517279214580517</v>
      </c>
      <c r="W475" s="1">
        <v>-0.002308157486413998</v>
      </c>
      <c r="X475" s="1">
        <v>0.00132326564950036</v>
      </c>
      <c r="Y475" s="1">
        <v>0.01451831707397955</v>
      </c>
      <c r="Z475" s="1">
        <v>0.004120513231651302</v>
      </c>
    </row>
    <row r="476" spans="1:26">
      <c r="A476" s="11">
        <v>43059</v>
      </c>
      <c r="B476" s="1">
        <v>-0.00267128998290167</v>
      </c>
      <c r="C476" s="1">
        <v>0.009036762267851328</v>
      </c>
      <c r="D476" s="1">
        <v>0</v>
      </c>
      <c r="E476" s="1">
        <v>-0.008480073021218337</v>
      </c>
      <c r="F476" s="1">
        <v>-0.009126182411348438</v>
      </c>
      <c r="G476" s="1">
        <v>0.004138206836233449</v>
      </c>
      <c r="H476" s="1">
        <v>0.004223743597285612</v>
      </c>
      <c r="I476" s="1">
        <v>0.008469978432717795</v>
      </c>
      <c r="J476" s="1">
        <v>0.01701123418769401</v>
      </c>
      <c r="K476" s="1">
        <v>-0.009068176269177441</v>
      </c>
      <c r="L476" s="1">
        <v>0.00886482993979687</v>
      </c>
      <c r="M476" s="1">
        <v>-0.001096689758209313</v>
      </c>
      <c r="N476" s="1">
        <v>-0.008882919389488264</v>
      </c>
      <c r="O476" s="1">
        <v>0.007042848861333662</v>
      </c>
      <c r="P476" s="1">
        <v>0.001578001188363709</v>
      </c>
      <c r="Q476" s="1">
        <v>0.0003690203406814252</v>
      </c>
      <c r="R476" s="1">
        <v>0.01514427684578612</v>
      </c>
      <c r="S476" s="1">
        <v>-0.003492777351248422</v>
      </c>
      <c r="T476" s="1">
        <v>0.001834536862423297</v>
      </c>
      <c r="U476" s="1">
        <v>0.00376719952904403</v>
      </c>
      <c r="V476" s="1">
        <v>-0.004471866333431107</v>
      </c>
      <c r="W476" s="1">
        <v>0.004364392700763498</v>
      </c>
      <c r="X476" s="1">
        <v>0.009627861735480581</v>
      </c>
      <c r="Y476" s="1">
        <v>0.01717321841345631</v>
      </c>
      <c r="Z476" s="1">
        <v>0.01727845957543517</v>
      </c>
    </row>
    <row r="477" spans="1:26">
      <c r="A477" s="11">
        <v>43060</v>
      </c>
      <c r="B477" s="1">
        <v>0.009008836237038187</v>
      </c>
      <c r="C477" s="1">
        <v>0.008918014925012763</v>
      </c>
      <c r="D477" s="1">
        <v>0.005792315655126057</v>
      </c>
      <c r="E477" s="1">
        <v>0.007236862063831229</v>
      </c>
      <c r="F477" s="1">
        <v>0.01646701216002744</v>
      </c>
      <c r="G477" s="1">
        <v>-0.001030521986594701</v>
      </c>
      <c r="H477" s="1">
        <v>-0.08191464289330319</v>
      </c>
      <c r="I477" s="1">
        <v>0.01687155103202276</v>
      </c>
      <c r="J477" s="1">
        <v>0.01537047419315662</v>
      </c>
      <c r="K477" s="1">
        <v>-0.001664116196039123</v>
      </c>
      <c r="L477" s="1">
        <v>-0.0008076463281418977</v>
      </c>
      <c r="M477" s="1">
        <v>0.01427261949234038</v>
      </c>
      <c r="N477" s="1">
        <v>-0.002734266067970559</v>
      </c>
      <c r="O477" s="1">
        <v>0.006270045039481253</v>
      </c>
      <c r="P477" s="1">
        <v>0.01441855191193553</v>
      </c>
      <c r="Q477" s="1">
        <v>0.004798950164863314</v>
      </c>
      <c r="R477" s="1">
        <v>-0.0001472067663643717</v>
      </c>
      <c r="S477" s="1">
        <v>0.0009945142854523858</v>
      </c>
      <c r="T477" s="1">
        <v>0.006293798880341983</v>
      </c>
      <c r="U477" s="1">
        <v>-0.008949238146379157</v>
      </c>
      <c r="V477" s="1">
        <v>-0.01088495501063014</v>
      </c>
      <c r="W477" s="1">
        <v>0.01010461141681307</v>
      </c>
      <c r="X477" s="1">
        <v>0.003926744640152746</v>
      </c>
      <c r="Y477" s="1">
        <v>-0.0004330874837383814</v>
      </c>
      <c r="Z477" s="1">
        <v>-0.004458801549320102</v>
      </c>
    </row>
    <row r="478" spans="1:26">
      <c r="A478" s="11">
        <v>43061</v>
      </c>
      <c r="B478" s="1">
        <v>0.002413704864866473</v>
      </c>
      <c r="C478" s="1">
        <v>-0.006891654847540729</v>
      </c>
      <c r="D478" s="1">
        <v>-0.00326872735064232</v>
      </c>
      <c r="E478" s="1">
        <v>-0.001632920197397469</v>
      </c>
      <c r="F478" s="1">
        <v>-0.0002749101943461119</v>
      </c>
      <c r="G478" s="1">
        <v>0.002062999886798034</v>
      </c>
      <c r="H478" s="1">
        <v>0.02028819465360576</v>
      </c>
      <c r="I478" s="1">
        <v>0.04323761515298785</v>
      </c>
      <c r="J478" s="1">
        <v>-0.04986626926228632</v>
      </c>
      <c r="K478" s="1">
        <v>0.02194457461657606</v>
      </c>
      <c r="L478" s="1">
        <v>-0.00293170285938138</v>
      </c>
      <c r="M478" s="1">
        <v>-0.006133852103160309</v>
      </c>
      <c r="N478" s="1">
        <v>-0.002437258794922736</v>
      </c>
      <c r="O478" s="1">
        <v>-0.009586003300190105</v>
      </c>
      <c r="P478" s="1">
        <v>-0.007285889679929936</v>
      </c>
      <c r="Q478" s="1">
        <v>-0.006612478778930453</v>
      </c>
      <c r="R478" s="1">
        <v>0.002658612668895</v>
      </c>
      <c r="S478" s="1">
        <v>-0.0001420512491768777</v>
      </c>
      <c r="T478" s="1">
        <v>0.001102365451560949</v>
      </c>
      <c r="U478" s="1">
        <v>0.0157297055396779</v>
      </c>
      <c r="V478" s="1">
        <v>0.004192319008186063</v>
      </c>
      <c r="W478" s="1">
        <v>-0.0009326705117065348</v>
      </c>
      <c r="X478" s="1">
        <v>-0.002980062262169181</v>
      </c>
      <c r="Y478" s="1">
        <v>0.01992211852862802</v>
      </c>
      <c r="Z478" s="1">
        <v>-0.01151619742806642</v>
      </c>
    </row>
    <row r="479" spans="1:26">
      <c r="A479" s="11">
        <v>43063</v>
      </c>
      <c r="B479" s="1">
        <v>-0.009629375021894426</v>
      </c>
      <c r="C479" s="1">
        <v>0.002753376321978029</v>
      </c>
      <c r="D479" s="1">
        <v>0.001249542211359866</v>
      </c>
      <c r="E479" s="1">
        <v>0.004743187854997943</v>
      </c>
      <c r="F479" s="1">
        <v>-0.01483083401251006</v>
      </c>
      <c r="G479" s="1">
        <v>-0.004117080665256179</v>
      </c>
      <c r="H479" s="1">
        <v>-0.01560852433069793</v>
      </c>
      <c r="I479" s="1">
        <v>0.001721084964297681</v>
      </c>
      <c r="J479" s="1">
        <v>-0.004685965451306173</v>
      </c>
      <c r="K479" s="1">
        <v>0.003261562698448905</v>
      </c>
      <c r="L479" s="1">
        <v>-0.003243874872193797</v>
      </c>
      <c r="M479" s="1">
        <v>0.0009077596620588047</v>
      </c>
      <c r="N479" s="1">
        <v>-0.0001520649129332918</v>
      </c>
      <c r="O479" s="1">
        <v>-0.003750928557885613</v>
      </c>
      <c r="P479" s="1">
        <v>0.00180468247150789</v>
      </c>
      <c r="Q479" s="1">
        <v>0</v>
      </c>
      <c r="R479" s="1">
        <v>-0.01370198045322912</v>
      </c>
      <c r="S479" s="1">
        <v>0.00709909601978298</v>
      </c>
      <c r="T479" s="1">
        <v>0.008884684329365289</v>
      </c>
      <c r="U479" s="1">
        <v>-0.001720947644976656</v>
      </c>
      <c r="V479" s="1">
        <v>-0.02800482376314373</v>
      </c>
      <c r="W479" s="1">
        <v>0.003942781430214426</v>
      </c>
      <c r="X479" s="1">
        <v>-0.004296445512475988</v>
      </c>
      <c r="Y479" s="1">
        <v>-0.001910934533374875</v>
      </c>
      <c r="Z479" s="1">
        <v>0</v>
      </c>
    </row>
    <row r="480" spans="1:26">
      <c r="A480" s="11">
        <v>43066</v>
      </c>
      <c r="B480" s="1">
        <v>-0.03111327777065676</v>
      </c>
      <c r="C480" s="1">
        <v>-0.001128472828609728</v>
      </c>
      <c r="D480" s="1">
        <v>0.009669224155131939</v>
      </c>
      <c r="E480" s="1">
        <v>0.002930027401222057</v>
      </c>
      <c r="F480" s="1">
        <v>-0.00892127061425485</v>
      </c>
      <c r="G480" s="1">
        <v>0.01756824516359812</v>
      </c>
      <c r="H480" s="1">
        <v>0.01607285240189094</v>
      </c>
      <c r="I480" s="1">
        <v>0.02247481070258917</v>
      </c>
      <c r="J480" s="1">
        <v>0.0004704358034606226</v>
      </c>
      <c r="K480" s="1">
        <v>0.004876690439587827</v>
      </c>
      <c r="L480" s="1">
        <v>-0.003966853067065013</v>
      </c>
      <c r="M480" s="1">
        <v>-0.009793312949982758</v>
      </c>
      <c r="N480" s="1">
        <v>-0.006262113225296351</v>
      </c>
      <c r="O480" s="1">
        <v>0.001943109677722266</v>
      </c>
      <c r="P480" s="1">
        <v>0.00732694421899116</v>
      </c>
      <c r="Q480" s="1">
        <v>0.002218800382627339</v>
      </c>
      <c r="R480" s="1">
        <v>-0.0005977802974145296</v>
      </c>
      <c r="S480" s="1">
        <v>0.01005730644219494</v>
      </c>
      <c r="T480" s="1">
        <v>-0.009694767758650746</v>
      </c>
      <c r="U480" s="1">
        <v>-0.003734666244699314</v>
      </c>
      <c r="V480" s="1">
        <v>-0.0007158646746603381</v>
      </c>
      <c r="W480" s="1">
        <v>0.00211878927620246</v>
      </c>
      <c r="X480" s="1">
        <v>0.003376846888495377</v>
      </c>
      <c r="Y480" s="1">
        <v>0.01382758112335991</v>
      </c>
      <c r="Z480" s="1">
        <v>0.001510280771373829</v>
      </c>
    </row>
    <row r="481" spans="1:26">
      <c r="A481" s="11">
        <v>43067</v>
      </c>
      <c r="B481" s="1">
        <v>0.01028566230423889</v>
      </c>
      <c r="C481" s="1">
        <v>0.009074516625751761</v>
      </c>
      <c r="D481" s="1">
        <v>0.02023469367707631</v>
      </c>
      <c r="E481" s="1">
        <v>0.01477053460212718</v>
      </c>
      <c r="F481" s="1">
        <v>0.01969057941548358</v>
      </c>
      <c r="G481" s="1">
        <v>0.001353906770782842</v>
      </c>
      <c r="H481" s="1">
        <v>0.00342056048244066</v>
      </c>
      <c r="I481" s="1">
        <v>0.004099744470384081</v>
      </c>
      <c r="J481" s="1">
        <v>0.01929469032796138</v>
      </c>
      <c r="K481" s="1">
        <v>0.03585874140488632</v>
      </c>
      <c r="L481" s="1">
        <v>0.03502504978437515</v>
      </c>
      <c r="M481" s="1">
        <v>0.0287543700064703</v>
      </c>
      <c r="N481" s="1">
        <v>0.02043957636746985</v>
      </c>
      <c r="O481" s="1">
        <v>0.01357571176277528</v>
      </c>
      <c r="P481" s="1">
        <v>0.01204192932046499</v>
      </c>
      <c r="Q481" s="1">
        <v>0.003690093739471489</v>
      </c>
      <c r="R481" s="1">
        <v>0.02436441133535139</v>
      </c>
      <c r="S481" s="1">
        <v>-0.02558995801343755</v>
      </c>
      <c r="T481" s="1">
        <v>0.01878463530109742</v>
      </c>
      <c r="U481" s="1">
        <v>0.02133818818331612</v>
      </c>
      <c r="V481" s="1">
        <v>0.0139685278209789</v>
      </c>
      <c r="W481" s="1">
        <v>0.01227291537672826</v>
      </c>
      <c r="X481" s="1">
        <v>0.0157071228811223</v>
      </c>
      <c r="Y481" s="1">
        <v>0.02433858604084849</v>
      </c>
      <c r="Z481" s="1">
        <v>0.03597592178839348</v>
      </c>
    </row>
    <row r="482" spans="1:26">
      <c r="A482" s="11">
        <v>43068</v>
      </c>
      <c r="B482" s="1">
        <v>0.01167145844184758</v>
      </c>
      <c r="C482" s="1">
        <v>0.004888152627225972</v>
      </c>
      <c r="D482" s="1">
        <v>-0.01317182887243729</v>
      </c>
      <c r="E482" s="1">
        <v>0.006078090685163851</v>
      </c>
      <c r="F482" s="1">
        <v>0.025930930005297</v>
      </c>
      <c r="G482" s="1">
        <v>0.003042569013390395</v>
      </c>
      <c r="H482" s="1">
        <v>0.04367256639170414</v>
      </c>
      <c r="I482" s="1">
        <v>-0.006292410985107355</v>
      </c>
      <c r="J482" s="1">
        <v>-0.01061861008876797</v>
      </c>
      <c r="K482" s="1">
        <v>-0.00858928226023159</v>
      </c>
      <c r="L482" s="1">
        <v>0.02338201784066096</v>
      </c>
      <c r="M482" s="1">
        <v>0.04824662260146528</v>
      </c>
      <c r="N482" s="1">
        <v>0.01460846937665949</v>
      </c>
      <c r="O482" s="1">
        <v>-0.0002391574953390929</v>
      </c>
      <c r="P482" s="1">
        <v>-0.01814316673379035</v>
      </c>
      <c r="Q482" s="1">
        <v>-0.001102920898769844</v>
      </c>
      <c r="R482" s="1">
        <v>0.007004485398954596</v>
      </c>
      <c r="S482" s="1">
        <v>0.003963346604342055</v>
      </c>
      <c r="T482" s="1">
        <v>-0.009005228796337139</v>
      </c>
      <c r="U482" s="1">
        <v>0.02992657653388275</v>
      </c>
      <c r="V482" s="1">
        <v>0.08936758609411055</v>
      </c>
      <c r="W482" s="1">
        <v>-0.01874668801739332</v>
      </c>
      <c r="X482" s="1">
        <v>0.009572729312345984</v>
      </c>
      <c r="Y482" s="1">
        <v>0.02212217524817839</v>
      </c>
      <c r="Z482" s="1">
        <v>0.02911176744974098</v>
      </c>
    </row>
    <row r="483" spans="1:26">
      <c r="A483" s="11">
        <v>43069</v>
      </c>
      <c r="B483" s="1">
        <v>0.02675502331574853</v>
      </c>
      <c r="C483" s="1">
        <v>0.02785015858640794</v>
      </c>
      <c r="D483" s="1">
        <v>0.00784384451622655</v>
      </c>
      <c r="E483" s="1">
        <v>0.004610468731830464</v>
      </c>
      <c r="F483" s="1">
        <v>0.009410960409384383</v>
      </c>
      <c r="G483" s="1">
        <v>0.01145958065655628</v>
      </c>
      <c r="H483" s="1">
        <v>0.006327643050518805</v>
      </c>
      <c r="I483" s="1">
        <v>0.009565935623331967</v>
      </c>
      <c r="J483" s="1">
        <v>0.0009331356430481996</v>
      </c>
      <c r="K483" s="1">
        <v>-0.01181412701437123</v>
      </c>
      <c r="L483" s="1">
        <v>0.00761593013265216</v>
      </c>
      <c r="M483" s="1">
        <v>0.03040061446680919</v>
      </c>
      <c r="N483" s="1">
        <v>0.006827828995371821</v>
      </c>
      <c r="O483" s="1">
        <v>0.003947626088426803</v>
      </c>
      <c r="P483" s="1">
        <v>0.00995951346440993</v>
      </c>
      <c r="Q483" s="1">
        <v>0.01325003657028723</v>
      </c>
      <c r="R483" s="1">
        <v>0.01912751098813348</v>
      </c>
      <c r="S483" s="1">
        <v>0.01360180708960734</v>
      </c>
      <c r="T483" s="1">
        <v>0.01385910279662239</v>
      </c>
      <c r="U483" s="1">
        <v>-0.002741296594939713</v>
      </c>
      <c r="V483" s="1">
        <v>-0.02885881688716019</v>
      </c>
      <c r="W483" s="1">
        <v>0.0007269566790495396</v>
      </c>
      <c r="X483" s="1">
        <v>0.01586395145490394</v>
      </c>
      <c r="Y483" s="1">
        <v>0.01983960763733417</v>
      </c>
      <c r="Z483" s="1">
        <v>0.001212624917287464</v>
      </c>
    </row>
    <row r="484" spans="1:26">
      <c r="A484" s="11">
        <v>43070</v>
      </c>
      <c r="B484" s="1">
        <v>0.05713575188926834</v>
      </c>
      <c r="C484" s="1">
        <v>-0.01958104171535269</v>
      </c>
      <c r="D484" s="1">
        <v>-0.0006103392950507214</v>
      </c>
      <c r="E484" s="1">
        <v>0.0007909710860225516</v>
      </c>
      <c r="F484" s="1">
        <v>0.02370825033000945</v>
      </c>
      <c r="G484" s="1">
        <v>-0.01599465961876267</v>
      </c>
      <c r="H484" s="1">
        <v>-0.001622589059286139</v>
      </c>
      <c r="I484" s="1">
        <v>0.0005342461285726685</v>
      </c>
      <c r="J484" s="1">
        <v>-0.001864713082753156</v>
      </c>
      <c r="K484" s="1">
        <v>-0.005844849933431817</v>
      </c>
      <c r="L484" s="1">
        <v>0.002583433846788941</v>
      </c>
      <c r="M484" s="1">
        <v>-0.01236193806388441</v>
      </c>
      <c r="N484" s="1">
        <v>0.01105719711539543</v>
      </c>
      <c r="O484" s="1">
        <v>0.01346370113518858</v>
      </c>
      <c r="P484" s="1">
        <v>0.001068954614357187</v>
      </c>
      <c r="Q484" s="1">
        <v>-0.007265096247500269</v>
      </c>
      <c r="R484" s="1">
        <v>-0.009668230008921475</v>
      </c>
      <c r="S484" s="1">
        <v>-0.004926294925960639</v>
      </c>
      <c r="T484" s="1">
        <v>-0.01089056451181658</v>
      </c>
      <c r="U484" s="1">
        <v>0.003298971326195943</v>
      </c>
      <c r="V484" s="1">
        <v>-0.006510465868944659</v>
      </c>
      <c r="W484" s="1">
        <v>-0.002905065283642205</v>
      </c>
      <c r="X484" s="1">
        <v>-0.01471852343578928</v>
      </c>
      <c r="Y484" s="1">
        <v>0.007073990248357198</v>
      </c>
      <c r="Z484" s="1">
        <v>0.01069607682620233</v>
      </c>
    </row>
    <row r="485" spans="1:26">
      <c r="A485" s="11">
        <v>43073</v>
      </c>
      <c r="B485" s="1">
        <v>-0.02284019207391541</v>
      </c>
      <c r="C485" s="1">
        <v>0.02428325229672557</v>
      </c>
      <c r="D485" s="1">
        <v>-0.01893428537373498</v>
      </c>
      <c r="E485" s="1">
        <v>-0.0121756019620024</v>
      </c>
      <c r="F485" s="1">
        <v>0.04918031793883437</v>
      </c>
      <c r="G485" s="1">
        <v>-0.005756786080213794</v>
      </c>
      <c r="H485" s="1">
        <v>0.02234826187977301</v>
      </c>
      <c r="I485" s="1">
        <v>0.006869337468600856</v>
      </c>
      <c r="J485" s="1">
        <v>-0.01541360886833809</v>
      </c>
      <c r="K485" s="1">
        <v>0.0002672932706457853</v>
      </c>
      <c r="L485" s="1">
        <v>0.02061219337416231</v>
      </c>
      <c r="M485" s="1">
        <v>0.03521363174357162</v>
      </c>
      <c r="N485" s="1">
        <v>0.02187254518724036</v>
      </c>
      <c r="O485" s="1">
        <v>0.01069801726771424</v>
      </c>
      <c r="P485" s="1">
        <v>-0.03774023071818511</v>
      </c>
      <c r="Q485" s="1">
        <v>-0.01097693336980521</v>
      </c>
      <c r="R485" s="1">
        <v>0.008901236833025461</v>
      </c>
      <c r="S485" s="1">
        <v>-0.00990271498960682</v>
      </c>
      <c r="T485" s="1">
        <v>0.0300197062190326</v>
      </c>
      <c r="U485" s="1">
        <v>0.0210956276752341</v>
      </c>
      <c r="V485" s="1">
        <v>0.05125179935480495</v>
      </c>
      <c r="W485" s="1">
        <v>-0.0529137083000919</v>
      </c>
      <c r="X485" s="1">
        <v>0.005283189354793549</v>
      </c>
      <c r="Y485" s="1">
        <v>0.009170727954703528</v>
      </c>
      <c r="Z485" s="1">
        <v>0.033147242003158</v>
      </c>
    </row>
    <row r="486" spans="1:26">
      <c r="A486" s="11">
        <v>43074</v>
      </c>
      <c r="B486" s="1">
        <v>-0.02453119838669737</v>
      </c>
      <c r="C486" s="1">
        <v>-0.008741808370740567</v>
      </c>
      <c r="D486" s="1">
        <v>-0.003579742788497153</v>
      </c>
      <c r="E486" s="1">
        <v>-0.007203502465720324</v>
      </c>
      <c r="F486" s="1">
        <v>-0.01984116419971438</v>
      </c>
      <c r="G486" s="1">
        <v>-0.01532708700930963</v>
      </c>
      <c r="H486" s="1">
        <v>-0.009737434765508257</v>
      </c>
      <c r="I486" s="1">
        <v>-0.001987050472602836</v>
      </c>
      <c r="J486" s="1">
        <v>-0.0004740681224923993</v>
      </c>
      <c r="K486" s="1">
        <v>-0.008014859392386442</v>
      </c>
      <c r="L486" s="1">
        <v>-0.01150057708650065</v>
      </c>
      <c r="M486" s="1">
        <v>-0.004997504492707083</v>
      </c>
      <c r="N486" s="1">
        <v>0.001426798249055672</v>
      </c>
      <c r="O486" s="1">
        <v>-0.01116648603794668</v>
      </c>
      <c r="P486" s="1">
        <v>0.006289874774957127</v>
      </c>
      <c r="Q486" s="1">
        <v>-0.008509345482552666</v>
      </c>
      <c r="R486" s="1">
        <v>-0.001423233207349384</v>
      </c>
      <c r="S486" s="1">
        <v>0.005143687250073858</v>
      </c>
      <c r="T486" s="1">
        <v>-0.00339115512932131</v>
      </c>
      <c r="U486" s="1">
        <v>-0.01931851521539274</v>
      </c>
      <c r="V486" s="1">
        <v>-0.005754524774192027</v>
      </c>
      <c r="W486" s="1">
        <v>0.002307402952891557</v>
      </c>
      <c r="X486" s="1">
        <v>-0.021203532299509</v>
      </c>
      <c r="Y486" s="1">
        <v>-0.01546785854663701</v>
      </c>
      <c r="Z486" s="1">
        <v>-0.01662157975629641</v>
      </c>
    </row>
    <row r="487" spans="1:26">
      <c r="A487" s="11">
        <v>43075</v>
      </c>
      <c r="B487" s="1">
        <v>-0.03748517059906908</v>
      </c>
      <c r="C487" s="1">
        <v>0.0099078700113302</v>
      </c>
      <c r="D487" s="1">
        <v>-0.004686129641906178</v>
      </c>
      <c r="E487" s="1">
        <v>-0.01692998620923525</v>
      </c>
      <c r="F487" s="1">
        <v>-0.02252036600928708</v>
      </c>
      <c r="G487" s="1">
        <v>0.003458826933013359</v>
      </c>
      <c r="H487" s="1">
        <v>0.007224735140112015</v>
      </c>
      <c r="I487" s="1">
        <v>-0.008097707208074567</v>
      </c>
      <c r="J487" s="1">
        <v>-0.002373252539554005</v>
      </c>
      <c r="K487" s="1">
        <v>0.002962440687040546</v>
      </c>
      <c r="L487" s="1">
        <v>-0.007472391886898744</v>
      </c>
      <c r="M487" s="1">
        <v>-0.007711749769023557</v>
      </c>
      <c r="N487" s="1">
        <v>0.02108882334933293</v>
      </c>
      <c r="O487" s="1">
        <v>-0.0071756061730055</v>
      </c>
      <c r="P487" s="1">
        <v>0.01458508228984257</v>
      </c>
      <c r="Q487" s="1">
        <v>0.007463087410511049</v>
      </c>
      <c r="R487" s="1">
        <v>-0.0007124030568070872</v>
      </c>
      <c r="S487" s="1">
        <v>0.00355353185304752</v>
      </c>
      <c r="T487" s="1">
        <v>-0.01075090988413763</v>
      </c>
      <c r="U487" s="1">
        <v>-0.01203825779410894</v>
      </c>
      <c r="V487" s="1">
        <v>-0.023794215004598</v>
      </c>
      <c r="W487" s="1">
        <v>0.0077828766769239</v>
      </c>
      <c r="X487" s="1">
        <v>-0.001666406938117704</v>
      </c>
      <c r="Y487" s="1">
        <v>-0.004713195089208422</v>
      </c>
      <c r="Z487" s="1">
        <v>-0.01886828822737441</v>
      </c>
    </row>
    <row r="488" spans="1:26">
      <c r="A488" s="11">
        <v>43076</v>
      </c>
      <c r="B488" s="1">
        <v>0.001478781404572471</v>
      </c>
      <c r="C488" s="1">
        <v>0.0132961629971029</v>
      </c>
      <c r="D488" s="1">
        <v>-0.003138519630457748</v>
      </c>
      <c r="E488" s="1">
        <v>0.01426950017238671</v>
      </c>
      <c r="F488" s="1">
        <v>-0.01915609508494687</v>
      </c>
      <c r="G488" s="1">
        <v>-0.005170527727372032</v>
      </c>
      <c r="H488" s="1">
        <v>-0.01813124435937885</v>
      </c>
      <c r="I488" s="1">
        <v>0.01110772823965989</v>
      </c>
      <c r="J488" s="1">
        <v>-0.002378651101223705</v>
      </c>
      <c r="K488" s="1">
        <v>0.003222400269294878</v>
      </c>
      <c r="L488" s="1">
        <v>-0.002954425176192599</v>
      </c>
      <c r="M488" s="1">
        <v>0.03108652239298393</v>
      </c>
      <c r="N488" s="1">
        <v>-0.002233462597650782</v>
      </c>
      <c r="O488" s="1">
        <v>-0.007938309245627329</v>
      </c>
      <c r="P488" s="1">
        <v>-0.003503043241714243</v>
      </c>
      <c r="Q488" s="1">
        <v>0.00111099700573325</v>
      </c>
      <c r="R488" s="1">
        <v>0.01568734587076404</v>
      </c>
      <c r="S488" s="1">
        <v>-0.01633594066846822</v>
      </c>
      <c r="T488" s="1">
        <v>0.0131608022524996</v>
      </c>
      <c r="U488" s="1">
        <v>0.001661397648504259</v>
      </c>
      <c r="V488" s="1">
        <v>0.006093504524762539</v>
      </c>
      <c r="W488" s="1">
        <v>0.009571826851233034</v>
      </c>
      <c r="X488" s="1">
        <v>0.01613505926363468</v>
      </c>
      <c r="Y488" s="1">
        <v>-0.005130500294279305</v>
      </c>
      <c r="Z488" s="1">
        <v>0.0110180996956768</v>
      </c>
    </row>
    <row r="489" spans="1:26">
      <c r="A489" s="11">
        <v>43077</v>
      </c>
      <c r="B489" s="1">
        <v>0.001722933885958122</v>
      </c>
      <c r="C489" s="1">
        <v>0.01393791101119612</v>
      </c>
      <c r="D489" s="1">
        <v>0.00834362192039606</v>
      </c>
      <c r="E489" s="1">
        <v>0.009378649875194434</v>
      </c>
      <c r="F489" s="1">
        <v>0.001583488738949201</v>
      </c>
      <c r="G489" s="1">
        <v>0.001732581401298505</v>
      </c>
      <c r="H489" s="1">
        <v>-0.006696434825167907</v>
      </c>
      <c r="I489" s="1">
        <v>0.003110242505910854</v>
      </c>
      <c r="J489" s="1">
        <v>0.004768892899475574</v>
      </c>
      <c r="K489" s="1">
        <v>0.001338178273290858</v>
      </c>
      <c r="L489" s="1">
        <v>0.01252168716301294</v>
      </c>
      <c r="M489" s="1">
        <v>0.004919071534403407</v>
      </c>
      <c r="N489" s="1">
        <v>0.0005598971681821663</v>
      </c>
      <c r="O489" s="1">
        <v>0.004777287969716104</v>
      </c>
      <c r="P489" s="1">
        <v>0.02024490618730068</v>
      </c>
      <c r="Q489" s="1">
        <v>0.004069634068006422</v>
      </c>
      <c r="R489" s="1">
        <v>0.0105304074745447</v>
      </c>
      <c r="S489" s="1">
        <v>0.01199963857845643</v>
      </c>
      <c r="T489" s="1">
        <v>0.005855416090919885</v>
      </c>
      <c r="U489" s="1">
        <v>0.01548246955000709</v>
      </c>
      <c r="V489" s="1">
        <v>0.00458361034901178</v>
      </c>
      <c r="W489" s="1">
        <v>0.01255173121530984</v>
      </c>
      <c r="X489" s="1">
        <v>0.0009126959614507157</v>
      </c>
      <c r="Y489" s="1">
        <v>0.01328850155229233</v>
      </c>
      <c r="Z489" s="1">
        <v>0.009114207422810328</v>
      </c>
    </row>
    <row r="490" spans="1:26">
      <c r="A490" s="11">
        <v>43080</v>
      </c>
      <c r="B490" s="1">
        <v>-0.01253102814492879</v>
      </c>
      <c r="C490" s="1">
        <v>-0.009583789949632604</v>
      </c>
      <c r="D490" s="1">
        <v>0.001405098287992734</v>
      </c>
      <c r="E490" s="1">
        <v>0.009612478798312729</v>
      </c>
      <c r="F490" s="1">
        <v>0.01291150462743351</v>
      </c>
      <c r="G490" s="1">
        <v>-0.002075587350110819</v>
      </c>
      <c r="H490" s="1">
        <v>-0.008171604785323749</v>
      </c>
      <c r="I490" s="1">
        <v>-0.001649384125888331</v>
      </c>
      <c r="J490" s="1">
        <v>0.01091570413365361</v>
      </c>
      <c r="K490" s="1">
        <v>0.008019393020708421</v>
      </c>
      <c r="L490" s="1">
        <v>-0.002926352684640143</v>
      </c>
      <c r="M490" s="1">
        <v>-0.0001580553816068475</v>
      </c>
      <c r="N490" s="1">
        <v>0.001537908812498934</v>
      </c>
      <c r="O490" s="1">
        <v>-0.0023773924138486</v>
      </c>
      <c r="P490" s="1">
        <v>0.0127139205209359</v>
      </c>
      <c r="Q490" s="1">
        <v>0.001473936620725258</v>
      </c>
      <c r="R490" s="1">
        <v>-0.003195316393511116</v>
      </c>
      <c r="S490" s="1">
        <v>0.003983986036648401</v>
      </c>
      <c r="T490" s="1">
        <v>-0.002666442288979276</v>
      </c>
      <c r="U490" s="1">
        <v>0.004628472237924397</v>
      </c>
      <c r="V490" s="1">
        <v>0.006354757054800597</v>
      </c>
      <c r="W490" s="1">
        <v>0.00814044197033148</v>
      </c>
      <c r="X490" s="1">
        <v>-0.003829433493940382</v>
      </c>
      <c r="Y490" s="1">
        <v>0.01467980927558088</v>
      </c>
      <c r="Z490" s="1">
        <v>-0.01943834169076197</v>
      </c>
    </row>
    <row r="491" spans="1:26">
      <c r="A491" s="11">
        <v>43081</v>
      </c>
      <c r="B491" s="1">
        <v>-0.01169415450011824</v>
      </c>
      <c r="C491" s="1">
        <v>0.02394421532185498</v>
      </c>
      <c r="D491" s="1">
        <v>0.002650669967529273</v>
      </c>
      <c r="E491" s="1">
        <v>0.004125659094940337</v>
      </c>
      <c r="F491" s="1">
        <v>0.02783593528166572</v>
      </c>
      <c r="G491" s="1">
        <v>-0.01629105375928452</v>
      </c>
      <c r="H491" s="1">
        <v>0.02492307517304537</v>
      </c>
      <c r="I491" s="1">
        <v>-0.001717853237451106</v>
      </c>
      <c r="J491" s="1">
        <v>-0.00855350983553016</v>
      </c>
      <c r="K491" s="1">
        <v>0.01431988476820778</v>
      </c>
      <c r="L491" s="1">
        <v>0.01164529874588172</v>
      </c>
      <c r="M491" s="1">
        <v>0.001737399081176427</v>
      </c>
      <c r="N491" s="1">
        <v>0.0009765160910535364</v>
      </c>
      <c r="O491" s="1">
        <v>0.008578395503498593</v>
      </c>
      <c r="P491" s="1">
        <v>0.004106477315155566</v>
      </c>
      <c r="Q491" s="1">
        <v>-0.02906572932251605</v>
      </c>
      <c r="R491" s="1">
        <v>0.002369607266364815</v>
      </c>
      <c r="S491" s="1">
        <v>0.009729180966672191</v>
      </c>
      <c r="T491" s="1">
        <v>-0.001814427973873767</v>
      </c>
      <c r="U491" s="1">
        <v>0.03252005768635424</v>
      </c>
      <c r="V491" s="1">
        <v>-0.01198194569142896</v>
      </c>
      <c r="W491" s="1">
        <v>0</v>
      </c>
      <c r="X491" s="1">
        <v>-0.001098329836474732</v>
      </c>
      <c r="Y491" s="1">
        <v>0.02604211105219645</v>
      </c>
      <c r="Z491" s="1">
        <v>0.01041222903640815</v>
      </c>
    </row>
    <row r="492" spans="1:26">
      <c r="A492" s="11">
        <v>43082</v>
      </c>
      <c r="B492" s="1">
        <v>0.002013721527142076</v>
      </c>
      <c r="C492" s="1">
        <v>0.006552904506915258</v>
      </c>
      <c r="D492" s="1">
        <v>0.006375100788565735</v>
      </c>
      <c r="E492" s="1">
        <v>0.003002671991944483</v>
      </c>
      <c r="F492" s="1">
        <v>-0.02353826708099094</v>
      </c>
      <c r="G492" s="1">
        <v>0.0007046667925882932</v>
      </c>
      <c r="H492" s="1">
        <v>-0.01145535014144305</v>
      </c>
      <c r="I492" s="1">
        <v>0.005824915421749122</v>
      </c>
      <c r="J492" s="1">
        <v>-0.006196011697263137</v>
      </c>
      <c r="K492" s="1">
        <v>-0.01542500452537665</v>
      </c>
      <c r="L492" s="1">
        <v>-0.01254094243285953</v>
      </c>
      <c r="M492" s="1">
        <v>-0.004572067265867563</v>
      </c>
      <c r="N492" s="1">
        <v>0.008366056314156989</v>
      </c>
      <c r="O492" s="1">
        <v>-0.01476677608433918</v>
      </c>
      <c r="P492" s="1">
        <v>-0.002687762457750709</v>
      </c>
      <c r="Q492" s="1">
        <v>0.001515730049158837</v>
      </c>
      <c r="R492" s="1">
        <v>-0.00862693634844891</v>
      </c>
      <c r="S492" s="1">
        <v>0.003967599072683514</v>
      </c>
      <c r="T492" s="1">
        <v>-0.003857575498506516</v>
      </c>
      <c r="U492" s="1">
        <v>-0.001574376131966648</v>
      </c>
      <c r="V492" s="1">
        <v>0.02704047444054658</v>
      </c>
      <c r="W492" s="1">
        <v>0.01044883850208067</v>
      </c>
      <c r="X492" s="1">
        <v>0.000916234096821622</v>
      </c>
      <c r="Y492" s="1">
        <v>-0.005640277464589838</v>
      </c>
      <c r="Z492" s="1">
        <v>-0.01387267519560098</v>
      </c>
    </row>
    <row r="493" spans="1:26">
      <c r="A493" s="11">
        <v>43083</v>
      </c>
      <c r="B493" s="1">
        <v>-0.009547417466473029</v>
      </c>
      <c r="C493" s="1">
        <v>0.006990081948901272</v>
      </c>
      <c r="D493" s="1">
        <v>0.0009271706378599642</v>
      </c>
      <c r="E493" s="1">
        <v>-0.02111252536768216</v>
      </c>
      <c r="F493" s="1">
        <v>0.0139968466233138</v>
      </c>
      <c r="G493" s="1">
        <v>0.007746661096305729</v>
      </c>
      <c r="H493" s="1">
        <v>-0.012807435173951</v>
      </c>
      <c r="I493" s="1">
        <v>-0.01651858279037188</v>
      </c>
      <c r="J493" s="1">
        <v>-0.005275742095020242</v>
      </c>
      <c r="K493" s="1">
        <v>-0.006638392476574717</v>
      </c>
      <c r="L493" s="1">
        <v>-0.008055932208804739</v>
      </c>
      <c r="M493" s="1">
        <v>0.01124473579913809</v>
      </c>
      <c r="N493" s="1">
        <v>-0.007328569056365364</v>
      </c>
      <c r="O493" s="1">
        <v>-0.004556191612064775</v>
      </c>
      <c r="P493" s="1">
        <v>-0.007732712994870106</v>
      </c>
      <c r="Q493" s="1">
        <v>0.001891819040865661</v>
      </c>
      <c r="R493" s="1">
        <v>-0.01255347389756334</v>
      </c>
      <c r="S493" s="1">
        <v>-0.007245185641420848</v>
      </c>
      <c r="T493" s="1">
        <v>-0.01287425802146835</v>
      </c>
      <c r="U493" s="1">
        <v>-0.00788650750151787</v>
      </c>
      <c r="V493" s="1">
        <v>-0.0116484826226112</v>
      </c>
      <c r="W493" s="1">
        <v>-0.01568035285164049</v>
      </c>
      <c r="X493" s="1">
        <v>-0.004029265803588311</v>
      </c>
      <c r="Y493" s="1">
        <v>-0.01039924049810226</v>
      </c>
      <c r="Z493" s="1">
        <v>-0.01085167906336815</v>
      </c>
    </row>
    <row r="494" spans="1:26">
      <c r="A494" s="11">
        <v>43084</v>
      </c>
      <c r="B494" s="1">
        <v>0.001268451188995545</v>
      </c>
      <c r="C494" s="1">
        <v>0.0002040930184714629</v>
      </c>
      <c r="D494" s="1">
        <v>0.008490310357145869</v>
      </c>
      <c r="E494" s="1">
        <v>0.004506886245781772</v>
      </c>
      <c r="F494" s="1">
        <v>0.0150816021208009</v>
      </c>
      <c r="G494" s="1">
        <v>0.006289077477392713</v>
      </c>
      <c r="H494" s="1">
        <v>0.02121093653887685</v>
      </c>
      <c r="I494" s="1">
        <v>0.009569198670396295</v>
      </c>
      <c r="J494" s="1">
        <v>0.008678729236738292</v>
      </c>
      <c r="K494" s="1">
        <v>0.002961087680638519</v>
      </c>
      <c r="L494" s="1">
        <v>0.01414115146484152</v>
      </c>
      <c r="M494" s="1">
        <v>0.01331264510847419</v>
      </c>
      <c r="N494" s="1">
        <v>-0.001671681507187772</v>
      </c>
      <c r="O494" s="1">
        <v>0.001083933082220989</v>
      </c>
      <c r="P494" s="1">
        <v>0.02550498588669381</v>
      </c>
      <c r="Q494" s="1">
        <v>0.001132909875863453</v>
      </c>
      <c r="R494" s="1">
        <v>-0.0008666864965384269</v>
      </c>
      <c r="S494" s="1">
        <v>0.002558972025973105</v>
      </c>
      <c r="T494" s="1">
        <v>0.008969685501689195</v>
      </c>
      <c r="U494" s="1">
        <v>0.01324856154932386</v>
      </c>
      <c r="V494" s="1">
        <v>0.0108169098306099</v>
      </c>
      <c r="W494" s="1">
        <v>0.02097485717500835</v>
      </c>
      <c r="X494" s="1">
        <v>0.01544690179825103</v>
      </c>
      <c r="Y494" s="1">
        <v>0.006305183300627126</v>
      </c>
      <c r="Z494" s="1">
        <v>0.01605036760697365</v>
      </c>
    </row>
    <row r="495" spans="1:26">
      <c r="A495" s="11">
        <v>43087</v>
      </c>
      <c r="B495" s="1">
        <v>0.01140098994299787</v>
      </c>
      <c r="C495" s="1">
        <v>0.007484534638129148</v>
      </c>
      <c r="D495" s="1">
        <v>0.00183682504592575</v>
      </c>
      <c r="E495" s="1">
        <v>-0.0001605110263431797</v>
      </c>
      <c r="F495" s="1">
        <v>-0.004280608057378399</v>
      </c>
      <c r="G495" s="1">
        <v>-0.0118055837350487</v>
      </c>
      <c r="H495" s="1">
        <v>0.001411676771743808</v>
      </c>
      <c r="I495" s="1">
        <v>0.02101142167195125</v>
      </c>
      <c r="J495" s="1">
        <v>0.01768608280895956</v>
      </c>
      <c r="K495" s="1">
        <v>0.006709730174436768</v>
      </c>
      <c r="L495" s="1">
        <v>0.007725557338140732</v>
      </c>
      <c r="M495" s="1">
        <v>0.0154557998421998</v>
      </c>
      <c r="N495" s="1">
        <v>0.01367375079591215</v>
      </c>
      <c r="O495" s="1">
        <v>-0.007339651404172587</v>
      </c>
      <c r="P495" s="1">
        <v>-0.005411780424143697</v>
      </c>
      <c r="Q495" s="1">
        <v>-0.01999215552296041</v>
      </c>
      <c r="R495" s="1">
        <v>0.02082124612499148</v>
      </c>
      <c r="S495" s="1">
        <v>0.00250507574124148</v>
      </c>
      <c r="T495" s="1">
        <v>0.0107225050337012</v>
      </c>
      <c r="U495" s="1">
        <v>0.005753023813959146</v>
      </c>
      <c r="V495" s="1">
        <v>0.02347876983847508</v>
      </c>
      <c r="W495" s="1">
        <v>0.006761446344461408</v>
      </c>
      <c r="X495" s="1">
        <v>0.01756616610189976</v>
      </c>
      <c r="Y495" s="1">
        <v>0.0110119236287054</v>
      </c>
      <c r="Z495" s="1">
        <v>0.0193961663456097</v>
      </c>
    </row>
    <row r="496" spans="1:26">
      <c r="A496" s="11">
        <v>43088</v>
      </c>
      <c r="B496" s="1">
        <v>0.008266812749984087</v>
      </c>
      <c r="C496" s="1">
        <v>0.003748258227233681</v>
      </c>
      <c r="D496" s="1">
        <v>0.005042091438627105</v>
      </c>
      <c r="E496" s="1">
        <v>-0.01346147737000303</v>
      </c>
      <c r="F496" s="1">
        <v>-0.01011673854251904</v>
      </c>
      <c r="G496" s="1">
        <v>-0.01581152457391666</v>
      </c>
      <c r="H496" s="1">
        <v>-0.017720584752136</v>
      </c>
      <c r="I496" s="1">
        <v>0.002856190820420546</v>
      </c>
      <c r="J496" s="1">
        <v>0.006106217405389414</v>
      </c>
      <c r="K496" s="1">
        <v>-0.001333136958896364</v>
      </c>
      <c r="L496" s="1">
        <v>-0.004207288605717729</v>
      </c>
      <c r="M496" s="1">
        <v>0.003348532289781048</v>
      </c>
      <c r="N496" s="1">
        <v>0.01720613658794612</v>
      </c>
      <c r="O496" s="1">
        <v>0.0002427267175575398</v>
      </c>
      <c r="P496" s="1">
        <v>-0.006367249539549813</v>
      </c>
      <c r="Q496" s="1">
        <v>-0.02617433966247473</v>
      </c>
      <c r="R496" s="1">
        <v>0.004249061595531289</v>
      </c>
      <c r="S496" s="1">
        <v>-0.01829387222606416</v>
      </c>
      <c r="T496" s="1">
        <v>0.009114526248922505</v>
      </c>
      <c r="U496" s="1">
        <v>-0.01066029055757822</v>
      </c>
      <c r="V496" s="1">
        <v>-0.0003120912976376511</v>
      </c>
      <c r="W496" s="1">
        <v>0.001652891227517772</v>
      </c>
      <c r="X496" s="1">
        <v>0.002847323249764333</v>
      </c>
      <c r="Y496" s="1">
        <v>-0.007887377061602363</v>
      </c>
      <c r="Z496" s="1">
        <v>-0.001765281230521332</v>
      </c>
    </row>
    <row r="497" spans="1:26">
      <c r="A497" s="11">
        <v>43089</v>
      </c>
      <c r="B497" s="1">
        <v>0.0250932883849182</v>
      </c>
      <c r="C497" s="1">
        <v>0.002186713062588774</v>
      </c>
      <c r="D497" s="1">
        <v>-0.007449008440727933</v>
      </c>
      <c r="E497" s="1">
        <v>-0.0058479386147684</v>
      </c>
      <c r="F497" s="1">
        <v>0.006132000474208477</v>
      </c>
      <c r="G497" s="1">
        <v>0.0003572085543714909</v>
      </c>
      <c r="H497" s="1">
        <v>-0.009224902446711036</v>
      </c>
      <c r="I497" s="1">
        <v>-0.0007121547991464361</v>
      </c>
      <c r="J497" s="1">
        <v>0.001867549020978077</v>
      </c>
      <c r="K497" s="1">
        <v>0.005072302041652987</v>
      </c>
      <c r="L497" s="1">
        <v>-0.003473656731715402</v>
      </c>
      <c r="M497" s="1">
        <v>0.002578972900069587</v>
      </c>
      <c r="N497" s="1">
        <v>-0.008738658897120222</v>
      </c>
      <c r="O497" s="1">
        <v>-0.00484744544837179</v>
      </c>
      <c r="P497" s="1">
        <v>-0.003611792992858964</v>
      </c>
      <c r="Q497" s="1">
        <v>-0.01343852483113728</v>
      </c>
      <c r="R497" s="1">
        <v>0.005782949951779193</v>
      </c>
      <c r="S497" s="1">
        <v>-0.01469664780587099</v>
      </c>
      <c r="T497" s="1">
        <v>0.005996951409490858</v>
      </c>
      <c r="U497" s="1">
        <v>0.0131404996787472</v>
      </c>
      <c r="V497" s="1">
        <v>0.006556269226909883</v>
      </c>
      <c r="W497" s="1">
        <v>-0.008251866257509732</v>
      </c>
      <c r="X497" s="1">
        <v>0.01153522575315002</v>
      </c>
      <c r="Y497" s="1">
        <v>-0.001135276285155862</v>
      </c>
      <c r="Z497" s="1">
        <v>-0.003144145941820109</v>
      </c>
    </row>
    <row r="498" spans="1:26">
      <c r="A498" s="11">
        <v>43090</v>
      </c>
      <c r="B498" s="1">
        <v>0.04968485084103791</v>
      </c>
      <c r="C498" s="1">
        <v>-0.009634060908832787</v>
      </c>
      <c r="D498" s="1">
        <v>-0.01164048530813289</v>
      </c>
      <c r="E498" s="1">
        <v>0.004901876301411257</v>
      </c>
      <c r="F498" s="1">
        <v>0.03631273449750827</v>
      </c>
      <c r="G498" s="1">
        <v>-0.008922253365804322</v>
      </c>
      <c r="H498" s="1">
        <v>0.007034516630380461</v>
      </c>
      <c r="I498" s="1">
        <v>0.009652321065137803</v>
      </c>
      <c r="J498" s="1">
        <v>-0.009785859794274931</v>
      </c>
      <c r="K498" s="1">
        <v>0.009296034823691901</v>
      </c>
      <c r="L498" s="1">
        <v>0.01592195065649826</v>
      </c>
      <c r="M498" s="1">
        <v>-0.0009078234554342757</v>
      </c>
      <c r="N498" s="1">
        <v>-0.009090989968773111</v>
      </c>
      <c r="O498" s="1">
        <v>-0.01717014068128497</v>
      </c>
      <c r="P498" s="1">
        <v>-0.0002339800762597433</v>
      </c>
      <c r="Q498" s="1">
        <v>-0.01201961841416166</v>
      </c>
      <c r="R498" s="1">
        <v>-0.001121750172714653</v>
      </c>
      <c r="S498" s="1">
        <v>-0.006970758872777538</v>
      </c>
      <c r="T498" s="1">
        <v>-0.006781972726722652</v>
      </c>
      <c r="U498" s="1">
        <v>0.008560657786515602</v>
      </c>
      <c r="V498" s="1">
        <v>0.01147658069393631</v>
      </c>
      <c r="W498" s="1">
        <v>-0.006032702468330098</v>
      </c>
      <c r="X498" s="1">
        <v>0.003157778114820431</v>
      </c>
      <c r="Y498" s="1">
        <v>0.00454766727176148</v>
      </c>
      <c r="Z498" s="1">
        <v>0.01438993428350144</v>
      </c>
    </row>
    <row r="499" spans="1:26">
      <c r="A499" s="11">
        <v>43091</v>
      </c>
      <c r="B499" s="1">
        <v>-0.009236172770056728</v>
      </c>
      <c r="C499" s="1">
        <v>0.0002372708426046088</v>
      </c>
      <c r="D499" s="1">
        <v>0.002944208423967032</v>
      </c>
      <c r="E499" s="1">
        <v>-0.008780164849366057</v>
      </c>
      <c r="F499" s="1">
        <v>-0.0007351892637016411</v>
      </c>
      <c r="G499" s="1">
        <v>0.01080289581053995</v>
      </c>
      <c r="H499" s="1">
        <v>0.002054927242875593</v>
      </c>
      <c r="I499" s="1">
        <v>0.01071473568819514</v>
      </c>
      <c r="J499" s="1">
        <v>0.0004710322741816597</v>
      </c>
      <c r="K499" s="1">
        <v>0.002894549392186363</v>
      </c>
      <c r="L499" s="1">
        <v>-0.003523933272217894</v>
      </c>
      <c r="M499" s="1">
        <v>-0.0009085836199532737</v>
      </c>
      <c r="N499" s="1">
        <v>0.002780211191136805</v>
      </c>
      <c r="O499" s="1">
        <v>-0.000247890186405475</v>
      </c>
      <c r="P499" s="1">
        <v>0.0001168709630332554</v>
      </c>
      <c r="Q499" s="1">
        <v>0.02514236798933389</v>
      </c>
      <c r="R499" s="1">
        <v>-0.003228805187623918</v>
      </c>
      <c r="S499" s="1">
        <v>0.01104493616216806</v>
      </c>
      <c r="T499" s="1">
        <v>0.003790883932978772</v>
      </c>
      <c r="U499" s="1">
        <v>0.001542549757248102</v>
      </c>
      <c r="V499" s="1">
        <v>0.002606332013616042</v>
      </c>
      <c r="W499" s="1">
        <v>-0.003714786915694934</v>
      </c>
      <c r="X499" s="1">
        <v>-0.00734524754934085</v>
      </c>
      <c r="Y499" s="1">
        <v>0.003395774555246645</v>
      </c>
      <c r="Z499" s="1">
        <v>-0.002526120808507226</v>
      </c>
    </row>
    <row r="500" spans="1:26">
      <c r="A500" s="11">
        <v>43095</v>
      </c>
      <c r="B500" s="1">
        <v>0.01048716754587642</v>
      </c>
      <c r="C500" s="1">
        <v>0.0008809276239500896</v>
      </c>
      <c r="D500" s="1">
        <v>0.004635514013619835</v>
      </c>
      <c r="E500" s="1">
        <v>0.004921086890801396</v>
      </c>
      <c r="F500" s="1">
        <v>0.0009808678444691576</v>
      </c>
      <c r="G500" s="1">
        <v>-0.0014250743938935</v>
      </c>
      <c r="H500" s="1">
        <v>-0.009842203751213252</v>
      </c>
      <c r="I500" s="1">
        <v>0.007744193621402662</v>
      </c>
      <c r="J500" s="1">
        <v>-0.001411035538515404</v>
      </c>
      <c r="K500" s="1">
        <v>-0.00551019014012577</v>
      </c>
      <c r="L500" s="1">
        <v>-0.0040020288897189</v>
      </c>
      <c r="M500" s="1">
        <v>0.0001516007091284521</v>
      </c>
      <c r="N500" s="1">
        <v>-0.0008316503153370514</v>
      </c>
      <c r="O500" s="1">
        <v>0.0006196593126728267</v>
      </c>
      <c r="P500" s="1">
        <v>-0.001286016114788402</v>
      </c>
      <c r="Q500" s="1">
        <v>-0.008702405047773198</v>
      </c>
      <c r="R500" s="1">
        <v>0.00211261650548189</v>
      </c>
      <c r="S500" s="1">
        <v>0.0100011951007215</v>
      </c>
      <c r="T500" s="1">
        <v>-0.004115311151469347</v>
      </c>
      <c r="U500" s="1">
        <v>0.003081849888551202</v>
      </c>
      <c r="V500" s="1">
        <v>0.006575988370625119</v>
      </c>
      <c r="W500" s="1">
        <v>-0.0004201201351541339</v>
      </c>
      <c r="X500" s="1">
        <v>0.002114268361742333</v>
      </c>
      <c r="Y500" s="1">
        <v>0.0005636802961017651</v>
      </c>
      <c r="Z500" s="1">
        <v>-0.009156886791750307</v>
      </c>
    </row>
    <row r="501" spans="1:26">
      <c r="A501" s="11">
        <v>43096</v>
      </c>
      <c r="B501" s="1">
        <v>-0.01083920580202824</v>
      </c>
      <c r="C501" s="1">
        <v>0.0008801522734991352</v>
      </c>
      <c r="D501" s="1">
        <v>-0.0036912326152444</v>
      </c>
      <c r="E501" s="1">
        <v>0.006855991389454141</v>
      </c>
      <c r="F501" s="1">
        <v>-0.010043964322906</v>
      </c>
      <c r="G501" s="1">
        <v>0.004281412720448241</v>
      </c>
      <c r="H501" s="1">
        <v>0.006005346540968404</v>
      </c>
      <c r="I501" s="1">
        <v>-0.001070232589327369</v>
      </c>
      <c r="J501" s="1">
        <v>0.001883654219896558</v>
      </c>
      <c r="K501" s="1">
        <v>0.0005276703197469867</v>
      </c>
      <c r="L501" s="1">
        <v>0.001868848366627152</v>
      </c>
      <c r="M501" s="1">
        <v>-0.0003034145669048582</v>
      </c>
      <c r="N501" s="1">
        <v>0.004855717393784209</v>
      </c>
      <c r="O501" s="1">
        <v>0.01176612604355842</v>
      </c>
      <c r="P501" s="1">
        <v>0.003629880443855482</v>
      </c>
      <c r="Q501" s="1">
        <v>0.007182426526661789</v>
      </c>
      <c r="R501" s="1">
        <v>-0.00435692862322179</v>
      </c>
      <c r="S501" s="1">
        <v>0.006008795545556112</v>
      </c>
      <c r="T501" s="1">
        <v>-0.002892423317603976</v>
      </c>
      <c r="U501" s="1">
        <v>-0.004352195743095533</v>
      </c>
      <c r="V501" s="1">
        <v>-0.01033126257009853</v>
      </c>
      <c r="W501" s="1">
        <v>0.004360609158461592</v>
      </c>
      <c r="X501" s="1">
        <v>0.00158215228052927</v>
      </c>
      <c r="Y501" s="1">
        <v>0.001127535740023999</v>
      </c>
      <c r="Z501" s="1">
        <v>-0.002948913193963731</v>
      </c>
    </row>
    <row r="502" spans="1:26">
      <c r="A502" s="11">
        <v>43097</v>
      </c>
      <c r="B502" s="1">
        <v>-0.0004664876858896383</v>
      </c>
      <c r="C502" s="1">
        <v>0.002469581938926213</v>
      </c>
      <c r="D502" s="1">
        <v>0.001852352488337816</v>
      </c>
      <c r="E502" s="1">
        <v>0.001459118766166334</v>
      </c>
      <c r="F502" s="1">
        <v>-0.002969610077062868</v>
      </c>
      <c r="G502" s="1">
        <v>0.007459936944032908</v>
      </c>
      <c r="H502" s="1">
        <v>-0.002469737409219852</v>
      </c>
      <c r="I502" s="1">
        <v>-0.001772689482100853</v>
      </c>
      <c r="J502" s="1">
        <v>-0.005641733540262428</v>
      </c>
      <c r="K502" s="1">
        <v>0.006856642729656803</v>
      </c>
      <c r="L502" s="1">
        <v>0.005316107363380063</v>
      </c>
      <c r="M502" s="1">
        <v>-0.001364548815714905</v>
      </c>
      <c r="N502" s="1">
        <v>-0.01601573157568148</v>
      </c>
      <c r="O502" s="1">
        <v>0.003427960874607727</v>
      </c>
      <c r="P502" s="1">
        <v>0.0001166819888882564</v>
      </c>
      <c r="Q502" s="1">
        <v>0.0126783252839211</v>
      </c>
      <c r="R502" s="1">
        <v>0.008469663232460789</v>
      </c>
      <c r="S502" s="1">
        <v>-0.0001908981550016176</v>
      </c>
      <c r="T502" s="1">
        <v>0.006996126235081279</v>
      </c>
      <c r="U502" s="1">
        <v>0.007456971318623884</v>
      </c>
      <c r="V502" s="1">
        <v>-0.004912204645911245</v>
      </c>
      <c r="W502" s="1">
        <v>0</v>
      </c>
      <c r="X502" s="1">
        <v>0.0005267541543088061</v>
      </c>
      <c r="Y502" s="1">
        <v>0.00281549115584756</v>
      </c>
      <c r="Z502" s="1">
        <v>0.01242325720712767</v>
      </c>
    </row>
    <row r="503" spans="1:26">
      <c r="A503" s="11">
        <v>43098</v>
      </c>
      <c r="B503" s="1">
        <v>-0.01516243610807577</v>
      </c>
      <c r="C503" s="1">
        <v>-0.004859027999896237</v>
      </c>
      <c r="D503" s="1">
        <v>-0.00400598730008872</v>
      </c>
      <c r="E503" s="1">
        <v>-0.007932630984986422</v>
      </c>
      <c r="F503" s="1">
        <v>-0.005956845657282273</v>
      </c>
      <c r="G503" s="1">
        <v>0</v>
      </c>
      <c r="H503" s="1">
        <v>-0.007222860769644401</v>
      </c>
      <c r="I503" s="1">
        <v>-0.007545825990780464</v>
      </c>
      <c r="J503" s="1">
        <v>-0.00661946885377529</v>
      </c>
      <c r="K503" s="1">
        <v>-0.001833663552340603</v>
      </c>
      <c r="L503" s="1">
        <v>-0.007885532545959473</v>
      </c>
      <c r="M503" s="1">
        <v>-0.006376119825996618</v>
      </c>
      <c r="N503" s="1">
        <v>0.00196444349134528</v>
      </c>
      <c r="O503" s="1">
        <v>-0.007076255319903968</v>
      </c>
      <c r="P503" s="1">
        <v>-0.002099933378267194</v>
      </c>
      <c r="Q503" s="1">
        <v>0.004303784939425181</v>
      </c>
      <c r="R503" s="1">
        <v>-0.005039404309234108</v>
      </c>
      <c r="S503" s="1">
        <v>-0.00114748157361344</v>
      </c>
      <c r="T503" s="1">
        <v>-0.007335171490025494</v>
      </c>
      <c r="U503" s="1">
        <v>-0.007656621007619879</v>
      </c>
      <c r="V503" s="1">
        <v>0.006633661742432295</v>
      </c>
      <c r="W503" s="1">
        <v>-0.006747951641682737</v>
      </c>
      <c r="X503" s="1">
        <v>-0.007193152972211792</v>
      </c>
      <c r="Y503" s="1">
        <v>-0.009357929624366101</v>
      </c>
      <c r="Z503" s="1">
        <v>-0.009933249970904168</v>
      </c>
    </row>
    <row r="504" spans="1:26">
      <c r="A504" s="11">
        <v>43102</v>
      </c>
      <c r="B504" s="1">
        <v>0.04926575373879993</v>
      </c>
      <c r="C504" s="1">
        <v>0.006544325100797055</v>
      </c>
      <c r="D504" s="1">
        <v>0.0391397261122497</v>
      </c>
      <c r="E504" s="1">
        <v>0.0004895476812953881</v>
      </c>
      <c r="F504" s="1">
        <v>0.02952976002383823</v>
      </c>
      <c r="G504" s="1">
        <v>-0.01198865487133449</v>
      </c>
      <c r="H504" s="1">
        <v>-0.01496561801966989</v>
      </c>
      <c r="I504" s="1">
        <v>0.009583960290435067</v>
      </c>
      <c r="J504" s="1">
        <v>0.01475541258731305</v>
      </c>
      <c r="K504" s="1">
        <v>0.003149180544420815</v>
      </c>
      <c r="L504" s="1">
        <v>0.009444621459550273</v>
      </c>
      <c r="M504" s="1">
        <v>0.01283420183075012</v>
      </c>
      <c r="N504" s="1">
        <v>-0.009382629979923562</v>
      </c>
      <c r="O504" s="1">
        <v>-0.01216336339896429</v>
      </c>
      <c r="P504" s="1">
        <v>0.004793176601061599</v>
      </c>
      <c r="Q504" s="1">
        <v>-0.01207636151403979</v>
      </c>
      <c r="R504" s="1">
        <v>0.02729347718532282</v>
      </c>
      <c r="S504" s="1">
        <v>-0.01282242767392217</v>
      </c>
      <c r="T504" s="1">
        <v>0.008925904364749826</v>
      </c>
      <c r="U504" s="1">
        <v>-0.008745287163303583</v>
      </c>
      <c r="V504" s="1">
        <v>0.03647502635092503</v>
      </c>
      <c r="W504" s="1">
        <v>0.01632601528750155</v>
      </c>
      <c r="X504" s="1">
        <v>0.01254634169219848</v>
      </c>
      <c r="Y504" s="1">
        <v>0.0113355001244162</v>
      </c>
      <c r="Z504" s="1">
        <v>-0.002558023304609525</v>
      </c>
    </row>
    <row r="505" spans="1:26">
      <c r="A505" s="11">
        <v>43103</v>
      </c>
      <c r="B505" s="1">
        <v>0.02325047912252987</v>
      </c>
      <c r="C505" s="1">
        <v>0.003234112458954552</v>
      </c>
      <c r="D505" s="1">
        <v>0.01607897004864278</v>
      </c>
      <c r="E505" s="1">
        <v>0.0008155712028499185</v>
      </c>
      <c r="F505" s="1">
        <v>-0.01606996609638744</v>
      </c>
      <c r="G505" s="1">
        <v>-0.002141514002240941</v>
      </c>
      <c r="H505" s="1">
        <v>-0.01413799954214623</v>
      </c>
      <c r="I505" s="1">
        <v>0.004556665466601384</v>
      </c>
      <c r="J505" s="1">
        <v>0.002344824964886971</v>
      </c>
      <c r="K505" s="1">
        <v>0.01909473464027478</v>
      </c>
      <c r="L505" s="1">
        <v>0.001018935371786878</v>
      </c>
      <c r="M505" s="1">
        <v>-0.02081746335029233</v>
      </c>
      <c r="N505" s="1">
        <v>-0.003675073179844723</v>
      </c>
      <c r="O505" s="1">
        <v>0.01306000133026708</v>
      </c>
      <c r="P505" s="1">
        <v>0.00465356698196473</v>
      </c>
      <c r="Q505" s="1">
        <v>-0.006308965740426609</v>
      </c>
      <c r="R505" s="1">
        <v>0.01218804123587081</v>
      </c>
      <c r="S505" s="1">
        <v>0.002180578921373133</v>
      </c>
      <c r="T505" s="1">
        <v>0.004012269163508719</v>
      </c>
      <c r="U505" s="1">
        <v>-0.02309313940714819</v>
      </c>
      <c r="V505" s="1">
        <v>-0.006801817778249175</v>
      </c>
      <c r="W505" s="1">
        <v>0.01834372629757097</v>
      </c>
      <c r="X505" s="1">
        <v>0.005759242600082759</v>
      </c>
      <c r="Y505" s="1">
        <v>-0.02054924105111466</v>
      </c>
      <c r="Z505" s="1">
        <v>-0.001183188466238771</v>
      </c>
    </row>
    <row r="506" spans="1:26">
      <c r="A506" s="11">
        <v>43104</v>
      </c>
      <c r="B506" s="1">
        <v>0.03331154342478038</v>
      </c>
      <c r="C506" s="1">
        <v>-0.003794463870009035</v>
      </c>
      <c r="D506" s="1">
        <v>0.002344060023889538</v>
      </c>
      <c r="E506" s="1">
        <v>0.0129591224231731</v>
      </c>
      <c r="F506" s="1">
        <v>0.006434230073388836</v>
      </c>
      <c r="G506" s="1">
        <v>0.001072922132118403</v>
      </c>
      <c r="H506" s="1">
        <v>0.008347506886732914</v>
      </c>
      <c r="I506" s="1">
        <v>0.00573320171025582</v>
      </c>
      <c r="J506" s="1">
        <v>0.00748743258593465</v>
      </c>
      <c r="K506" s="1">
        <v>0.02284376307213098</v>
      </c>
      <c r="L506" s="1">
        <v>0.01432535078094554</v>
      </c>
      <c r="M506" s="1">
        <v>-0.00323514385634438</v>
      </c>
      <c r="N506" s="1">
        <v>-0.003973027278948438</v>
      </c>
      <c r="O506" s="1">
        <v>0.01043569267340194</v>
      </c>
      <c r="P506" s="1">
        <v>0.008801721132657425</v>
      </c>
      <c r="Q506" s="1">
        <v>-0.004365466792424999</v>
      </c>
      <c r="R506" s="1">
        <v>0.01271825746603272</v>
      </c>
      <c r="S506" s="1">
        <v>-0.01770071210560564</v>
      </c>
      <c r="T506" s="1">
        <v>-0.005440690573847218</v>
      </c>
      <c r="U506" s="1">
        <v>0.00929625898416031</v>
      </c>
      <c r="V506" s="1">
        <v>-0.01965141163764728</v>
      </c>
      <c r="W506" s="1">
        <v>0.01251791858311146</v>
      </c>
      <c r="X506" s="1">
        <v>-0.0008671998701911265</v>
      </c>
      <c r="Y506" s="1">
        <v>0.00324193935933148</v>
      </c>
      <c r="Z506" s="1">
        <v>0.004146611468563988</v>
      </c>
    </row>
    <row r="507" spans="1:26">
      <c r="A507" s="11">
        <v>43105</v>
      </c>
      <c r="B507" s="1">
        <v>-0.009607060776466003</v>
      </c>
      <c r="C507" s="1">
        <v>0.04102214152067818</v>
      </c>
      <c r="D507" s="1">
        <v>0.0112555951158626</v>
      </c>
      <c r="E507" s="1">
        <v>0.002267453422123644</v>
      </c>
      <c r="F507" s="1">
        <v>0.009097004093268524</v>
      </c>
      <c r="G507" s="1">
        <v>-0.004287088816000484</v>
      </c>
      <c r="H507" s="1">
        <v>0.003820879357963269</v>
      </c>
      <c r="I507" s="1">
        <v>0.004259298253992627</v>
      </c>
      <c r="J507" s="1">
        <v>0.01021846818391814</v>
      </c>
      <c r="K507" s="1">
        <v>-0.03588421367473282</v>
      </c>
      <c r="L507" s="1">
        <v>-0.006419608551581857</v>
      </c>
      <c r="M507" s="1">
        <v>-0.005873444392361149</v>
      </c>
      <c r="N507" s="1">
        <v>0.002849432858138323</v>
      </c>
      <c r="O507" s="1">
        <v>0.006925684904235396</v>
      </c>
      <c r="P507" s="1">
        <v>0.01239816654256432</v>
      </c>
      <c r="Q507" s="1">
        <v>-0.01195673754295601</v>
      </c>
      <c r="R507" s="1">
        <v>0.003340060419890323</v>
      </c>
      <c r="S507" s="1">
        <v>-0.00585865943884889</v>
      </c>
      <c r="T507" s="1">
        <v>0.02072110296231267</v>
      </c>
      <c r="U507" s="1">
        <v>0.003684278441910438</v>
      </c>
      <c r="V507" s="1">
        <v>0.01063010749520155</v>
      </c>
      <c r="W507" s="1">
        <v>0.01713745448010906</v>
      </c>
      <c r="X507" s="1">
        <v>0.01597729481665167</v>
      </c>
      <c r="Y507" s="1">
        <v>-0.002281067258867342</v>
      </c>
      <c r="Z507" s="1">
        <v>0.0003937602891017633</v>
      </c>
    </row>
    <row r="508" spans="1:26">
      <c r="A508" s="11">
        <v>43108</v>
      </c>
      <c r="B508" s="1">
        <v>-0.0101312336447108</v>
      </c>
      <c r="C508" s="1">
        <v>0.004241548113736116</v>
      </c>
      <c r="D508" s="1">
        <v>0.001445660521213199</v>
      </c>
      <c r="E508" s="1">
        <v>0.0003230554013211595</v>
      </c>
      <c r="F508" s="1">
        <v>-0.01364493379321996</v>
      </c>
      <c r="G508" s="1">
        <v>0.006099495414828571</v>
      </c>
      <c r="H508" s="1">
        <v>0.00719000742806486</v>
      </c>
      <c r="I508" s="1">
        <v>0.004927984629919058</v>
      </c>
      <c r="J508" s="1">
        <v>0.004137502239614399</v>
      </c>
      <c r="K508" s="1">
        <v>0.01353433749939792</v>
      </c>
      <c r="L508" s="1">
        <v>0.001477026890432054</v>
      </c>
      <c r="M508" s="1">
        <v>-0.004975074128411805</v>
      </c>
      <c r="N508" s="1">
        <v>-0.001278565417233146</v>
      </c>
      <c r="O508" s="1">
        <v>-0.01061912827882128</v>
      </c>
      <c r="P508" s="1">
        <v>0.001020512094312975</v>
      </c>
      <c r="Q508" s="1">
        <v>0.008471001825623992</v>
      </c>
      <c r="R508" s="1">
        <v>-0.003195524382328174</v>
      </c>
      <c r="S508" s="1">
        <v>0.007973374616343065</v>
      </c>
      <c r="T508" s="1">
        <v>0.005549923485762331</v>
      </c>
      <c r="U508" s="1">
        <v>0.002884391970123579</v>
      </c>
      <c r="V508" s="1">
        <v>0.009466371478738855</v>
      </c>
      <c r="W508" s="1">
        <v>0.00163043318791356</v>
      </c>
      <c r="X508" s="1">
        <v>-0.002564030363996439</v>
      </c>
      <c r="Y508" s="1">
        <v>-0.001714858546766229</v>
      </c>
      <c r="Z508" s="1">
        <v>-0.004914677819574886</v>
      </c>
    </row>
    <row r="509" spans="1:26">
      <c r="A509" s="11">
        <v>43109</v>
      </c>
      <c r="B509" s="1">
        <v>-0.02983441050314828</v>
      </c>
      <c r="C509" s="1">
        <v>0.02669664210460776</v>
      </c>
      <c r="D509" s="1">
        <v>0.00144325675274648</v>
      </c>
      <c r="E509" s="1">
        <v>-0.0009691083735164918</v>
      </c>
      <c r="F509" s="1">
        <v>0.003211488627857806</v>
      </c>
      <c r="G509" s="1">
        <v>-0.009985665132045241</v>
      </c>
      <c r="H509" s="1">
        <v>0.0004227686328417413</v>
      </c>
      <c r="I509" s="1">
        <v>0.02786889794808611</v>
      </c>
      <c r="J509" s="1">
        <v>-0.001373327062649365</v>
      </c>
      <c r="K509" s="1">
        <v>-0.004879340625171813</v>
      </c>
      <c r="L509" s="1">
        <v>0.005068809338434788</v>
      </c>
      <c r="M509" s="1">
        <v>-0.02531248096745686</v>
      </c>
      <c r="N509" s="1">
        <v>-0.01052494897718514</v>
      </c>
      <c r="O509" s="1">
        <v>0</v>
      </c>
      <c r="P509" s="1">
        <v>-0.0006796162867721556</v>
      </c>
      <c r="Q509" s="1">
        <v>-0.01200018579522633</v>
      </c>
      <c r="R509" s="1">
        <v>-0.0004010097467413987</v>
      </c>
      <c r="S509" s="1">
        <v>-0.01169377962162665</v>
      </c>
      <c r="T509" s="1">
        <v>0.000495099553418088</v>
      </c>
      <c r="U509" s="1">
        <v>-0.002607287855490581</v>
      </c>
      <c r="V509" s="1">
        <v>0.02917551611329161</v>
      </c>
      <c r="W509" s="1">
        <v>0.01667342370418101</v>
      </c>
      <c r="X509" s="1">
        <v>0.001713923979498322</v>
      </c>
      <c r="Y509" s="1">
        <v>-0.00366772215193889</v>
      </c>
      <c r="Z509" s="1">
        <v>0.02350840604362769</v>
      </c>
    </row>
    <row r="510" spans="1:26">
      <c r="A510" s="11">
        <v>43110</v>
      </c>
      <c r="B510" s="1">
        <v>-0.01257032097682087</v>
      </c>
      <c r="C510" s="1">
        <v>0.005746881960034145</v>
      </c>
      <c r="D510" s="1">
        <v>-0.01369247648145067</v>
      </c>
      <c r="E510" s="1">
        <v>0.002586625608036242</v>
      </c>
      <c r="F510" s="1">
        <v>0.01181981070742877</v>
      </c>
      <c r="G510" s="1">
        <v>-0.01801146440323131</v>
      </c>
      <c r="H510" s="1">
        <v>-0.03128982328227814</v>
      </c>
      <c r="I510" s="1">
        <v>-0.003985465278403377</v>
      </c>
      <c r="J510" s="1">
        <v>0.01100397371305162</v>
      </c>
      <c r="K510" s="1">
        <v>0.008000195793202547</v>
      </c>
      <c r="L510" s="1">
        <v>0.01100443640833237</v>
      </c>
      <c r="M510" s="1">
        <v>0.00929777872541826</v>
      </c>
      <c r="N510" s="1">
        <v>0.0103495138501184</v>
      </c>
      <c r="O510" s="1">
        <v>-0.01012316207389075</v>
      </c>
      <c r="P510" s="1">
        <v>-0.004534108864411857</v>
      </c>
      <c r="Q510" s="1">
        <v>-0.02307671113643051</v>
      </c>
      <c r="R510" s="1">
        <v>-0.00962168875397984</v>
      </c>
      <c r="S510" s="1">
        <v>-0.02505620532813513</v>
      </c>
      <c r="T510" s="1">
        <v>-0.01103195434876336</v>
      </c>
      <c r="U510" s="1">
        <v>-0.02320658507095374</v>
      </c>
      <c r="V510" s="1">
        <v>0.02299693891426591</v>
      </c>
      <c r="W510" s="1">
        <v>0.000921751026676354</v>
      </c>
      <c r="X510" s="1">
        <v>-0.0008552977342298762</v>
      </c>
      <c r="Y510" s="1">
        <v>0.001549815071373306</v>
      </c>
      <c r="Z510" s="1">
        <v>0.01042278556093845</v>
      </c>
    </row>
    <row r="511" spans="1:26">
      <c r="A511" s="11">
        <v>43111</v>
      </c>
      <c r="B511" s="1">
        <v>0.04569168337953244</v>
      </c>
      <c r="C511" s="1">
        <v>0.02454271199412306</v>
      </c>
      <c r="D511" s="1">
        <v>0.0004380664894854114</v>
      </c>
      <c r="E511" s="1">
        <v>0.007418445376249583</v>
      </c>
      <c r="F511" s="1">
        <v>0.03674865100186353</v>
      </c>
      <c r="G511" s="1">
        <v>0.006236348535778369</v>
      </c>
      <c r="H511" s="1">
        <v>-0.001527644744310774</v>
      </c>
      <c r="I511" s="1">
        <v>0.01527846529972821</v>
      </c>
      <c r="J511" s="1">
        <v>0.01632624780358416</v>
      </c>
      <c r="K511" s="1">
        <v>0.01280093234840196</v>
      </c>
      <c r="L511" s="1">
        <v>0.00535142889147644</v>
      </c>
      <c r="M511" s="1">
        <v>0.02986005447824458</v>
      </c>
      <c r="N511" s="1">
        <v>0</v>
      </c>
      <c r="O511" s="1">
        <v>-0.001724517554139715</v>
      </c>
      <c r="P511" s="1">
        <v>0.002960461339192477</v>
      </c>
      <c r="Q511" s="1">
        <v>0</v>
      </c>
      <c r="R511" s="1">
        <v>0.01970072893163621</v>
      </c>
      <c r="S511" s="1">
        <v>5.109617399634558E-05</v>
      </c>
      <c r="T511" s="1">
        <v>0.01389616299589558</v>
      </c>
      <c r="U511" s="1">
        <v>-0.003822931865742674</v>
      </c>
      <c r="V511" s="1">
        <v>0.04623189001093242</v>
      </c>
      <c r="W511" s="1">
        <v>0.01148885322754012</v>
      </c>
      <c r="X511" s="1">
        <v>0.0118147186410269</v>
      </c>
      <c r="Y511" s="1">
        <v>0.008125470384913402</v>
      </c>
      <c r="Z511" s="1">
        <v>0.01451781826133391</v>
      </c>
    </row>
    <row r="512" spans="1:26">
      <c r="A512" s="11">
        <v>43112</v>
      </c>
      <c r="B512" s="1">
        <v>0.02521755817003069</v>
      </c>
      <c r="C512" s="1">
        <v>0.02465562619700301</v>
      </c>
      <c r="D512" s="1">
        <v>-0.001752973658324275</v>
      </c>
      <c r="E512" s="1">
        <v>0.005442722531236122</v>
      </c>
      <c r="F512" s="1">
        <v>-0.003755787001689548</v>
      </c>
      <c r="G512" s="1">
        <v>-0.002187396110419182</v>
      </c>
      <c r="H512" s="1">
        <v>-0.00524565261700205</v>
      </c>
      <c r="I512" s="1">
        <v>0.01098752711261075</v>
      </c>
      <c r="J512" s="1">
        <v>0.02275792376943686</v>
      </c>
      <c r="K512" s="1">
        <v>0.006066340121424485</v>
      </c>
      <c r="L512" s="1">
        <v>0.01651046043115834</v>
      </c>
      <c r="M512" s="1">
        <v>0.008019834305007967</v>
      </c>
      <c r="N512" s="1">
        <v>-0.009674300644320177</v>
      </c>
      <c r="O512" s="1">
        <v>0.008886395148385517</v>
      </c>
      <c r="P512" s="1">
        <v>0.01725721027310256</v>
      </c>
      <c r="Q512" s="1">
        <v>-0.002486590684652734</v>
      </c>
      <c r="R512" s="1">
        <v>0.01098291214231839</v>
      </c>
      <c r="S512" s="1">
        <v>-0.01310394396768844</v>
      </c>
      <c r="T512" s="1">
        <v>0.01758541527315982</v>
      </c>
      <c r="U512" s="1">
        <v>0.01151331243884313</v>
      </c>
      <c r="V512" s="1">
        <v>0.03783797669219413</v>
      </c>
      <c r="W512" s="1">
        <v>0.007236502952084223</v>
      </c>
      <c r="X512" s="1">
        <v>0.01793887675195971</v>
      </c>
      <c r="Y512" s="1">
        <v>-0.004797578873681152</v>
      </c>
      <c r="Z512" s="1">
        <v>0.003200417744718242</v>
      </c>
    </row>
    <row r="513" spans="1:26">
      <c r="A513" s="11">
        <v>43116</v>
      </c>
      <c r="B513" s="1">
        <v>-0.01887192689363637</v>
      </c>
      <c r="C513" s="1">
        <v>-0.003123042681170585</v>
      </c>
      <c r="D513" s="1">
        <v>-0.009803697351846608</v>
      </c>
      <c r="E513" s="1">
        <v>-0.0460117849270103</v>
      </c>
      <c r="F513" s="1">
        <v>-0.01460872331197272</v>
      </c>
      <c r="G513" s="1">
        <v>0.005480161632156255</v>
      </c>
      <c r="H513" s="1">
        <v>0.02043490483003785</v>
      </c>
      <c r="I513" s="1">
        <v>-0.01039587599786251</v>
      </c>
      <c r="J513" s="1">
        <v>-0.001745158056214335</v>
      </c>
      <c r="K513" s="1">
        <v>0.009296692075226654</v>
      </c>
      <c r="L513" s="1">
        <v>-0.003550402630386418</v>
      </c>
      <c r="M513" s="1">
        <v>0.001683106583562965</v>
      </c>
      <c r="N513" s="1">
        <v>-0.009912574801730245</v>
      </c>
      <c r="O513" s="1">
        <v>-0.005872226454160967</v>
      </c>
      <c r="P513" s="1">
        <v>-0.01395127962196585</v>
      </c>
      <c r="Q513" s="1">
        <v>-0.001661509135462369</v>
      </c>
      <c r="R513" s="1">
        <v>-0.005628519560494039</v>
      </c>
      <c r="S513" s="1">
        <v>0.001033301200941139</v>
      </c>
      <c r="T513" s="1">
        <v>-0.02072365784070918</v>
      </c>
      <c r="U513" s="1">
        <v>-0.004878238119874312</v>
      </c>
      <c r="V513" s="1">
        <v>-0.0239583761275014</v>
      </c>
      <c r="W513" s="1">
        <v>-0.0102776001230781</v>
      </c>
      <c r="X513" s="1">
        <v>-0.02277637240291142</v>
      </c>
      <c r="Y513" s="1">
        <v>-0.003856565275033419</v>
      </c>
      <c r="Z513" s="1">
        <v>-0.007131735614612666</v>
      </c>
    </row>
    <row r="514" spans="1:26">
      <c r="A514" s="11">
        <v>43117</v>
      </c>
      <c r="B514" s="1">
        <v>0.005619372933241218</v>
      </c>
      <c r="C514" s="1">
        <v>0.04729078667685438</v>
      </c>
      <c r="D514" s="1">
        <v>0.007831739347465616</v>
      </c>
      <c r="E514" s="1">
        <v>0.03220949578198407</v>
      </c>
      <c r="F514" s="1">
        <v>-0.003348099947581451</v>
      </c>
      <c r="G514" s="1">
        <v>0.01308154926555227</v>
      </c>
      <c r="H514" s="1">
        <v>0.01119693823681867</v>
      </c>
      <c r="I514" s="1">
        <v>-0.0006566389517936866</v>
      </c>
      <c r="J514" s="1">
        <v>0.02534965025105329</v>
      </c>
      <c r="K514" s="1">
        <v>-0.01593251679074947</v>
      </c>
      <c r="L514" s="1">
        <v>0.006413188006425319</v>
      </c>
      <c r="M514" s="1">
        <v>0.00916433644634318</v>
      </c>
      <c r="N514" s="1">
        <v>0.01784710749762786</v>
      </c>
      <c r="O514" s="1">
        <v>0.003322775087983176</v>
      </c>
      <c r="P514" s="1">
        <v>0.02026056300832235</v>
      </c>
      <c r="Q514" s="1">
        <v>0.004993559991046892</v>
      </c>
      <c r="R514" s="1">
        <v>0.007503209048082882</v>
      </c>
      <c r="S514" s="1">
        <v>0.0100125968373439</v>
      </c>
      <c r="T514" s="1">
        <v>0.007242511322700818</v>
      </c>
      <c r="U514" s="1">
        <v>0.003540613533129955</v>
      </c>
      <c r="V514" s="1">
        <v>0.02481352422787997</v>
      </c>
      <c r="W514" s="1">
        <v>0.01668229884007366</v>
      </c>
      <c r="X514" s="1">
        <v>0.006635037062107552</v>
      </c>
      <c r="Y514" s="1">
        <v>0.001161472366366434</v>
      </c>
      <c r="Z514" s="1">
        <v>0.007939679429310509</v>
      </c>
    </row>
    <row r="515" spans="1:26">
      <c r="A515" s="11">
        <v>43118</v>
      </c>
      <c r="B515" s="1">
        <v>0.003653820905800798</v>
      </c>
      <c r="C515" s="1">
        <v>-0.03091068744597436</v>
      </c>
      <c r="D515" s="1">
        <v>0.01466318644890907</v>
      </c>
      <c r="E515" s="1">
        <v>-0.0003233494851991869</v>
      </c>
      <c r="F515" s="1">
        <v>0.004078761611131743</v>
      </c>
      <c r="G515" s="1">
        <v>-0.001793127555124618</v>
      </c>
      <c r="H515" s="1">
        <v>-0.01511898493309882</v>
      </c>
      <c r="I515" s="1">
        <v>0.002807529701931877</v>
      </c>
      <c r="J515" s="1">
        <v>-0.007246336954228383</v>
      </c>
      <c r="K515" s="1">
        <v>-0.006071179425305107</v>
      </c>
      <c r="L515" s="1">
        <v>0.00238951442404356</v>
      </c>
      <c r="M515" s="1">
        <v>-0.01528675547634217</v>
      </c>
      <c r="N515" s="1">
        <v>-0.001710691417896926</v>
      </c>
      <c r="O515" s="1">
        <v>0.0003677690710452985</v>
      </c>
      <c r="P515" s="1">
        <v>-0.0004439754641043514</v>
      </c>
      <c r="Q515" s="1">
        <v>-0.00703927826341566</v>
      </c>
      <c r="R515" s="1">
        <v>-0.001829105770056128</v>
      </c>
      <c r="S515" s="1">
        <v>-0.01246839848515324</v>
      </c>
      <c r="T515" s="1">
        <v>0.008947812888245199</v>
      </c>
      <c r="U515" s="1">
        <v>0.008141157314043301</v>
      </c>
      <c r="V515" s="1">
        <v>0.01405870114716312</v>
      </c>
      <c r="W515" s="1">
        <v>0.004397585019435102</v>
      </c>
      <c r="X515" s="1">
        <v>-0.00608426512585758</v>
      </c>
      <c r="Y515" s="1">
        <v>-0.003286883192697654</v>
      </c>
      <c r="Z515" s="1">
        <v>-0.008627516233130739</v>
      </c>
    </row>
    <row r="516" spans="1:26">
      <c r="A516" s="11">
        <v>43119</v>
      </c>
      <c r="B516" s="1">
        <v>-0.008611781624798587</v>
      </c>
      <c r="C516" s="1">
        <v>-0.00714386175787296</v>
      </c>
      <c r="D516" s="1">
        <v>0.01170481597613615</v>
      </c>
      <c r="E516" s="1">
        <v>0.007277886991550853</v>
      </c>
      <c r="F516" s="1">
        <v>0.01553147947099154</v>
      </c>
      <c r="G516" s="1">
        <v>-0.001078289608482108</v>
      </c>
      <c r="H516" s="1">
        <v>0.0246486169088318</v>
      </c>
      <c r="I516" s="1">
        <v>0.01441291100925057</v>
      </c>
      <c r="J516" s="1">
        <v>0.01760416128779907</v>
      </c>
      <c r="K516" s="1">
        <v>-0.009926368061267787</v>
      </c>
      <c r="L516" s="1">
        <v>-0.002207188996944609</v>
      </c>
      <c r="M516" s="1">
        <v>-0.0001533927419810066</v>
      </c>
      <c r="N516" s="1">
        <v>0.01556478621010271</v>
      </c>
      <c r="O516" s="1">
        <v>0.006375582413161274</v>
      </c>
      <c r="P516" s="1">
        <v>-0.001109690450380341</v>
      </c>
      <c r="Q516" s="1">
        <v>-0.00166816670146408</v>
      </c>
      <c r="R516" s="1">
        <v>0.01452861611552536</v>
      </c>
      <c r="S516" s="1">
        <v>0.00160392851454394</v>
      </c>
      <c r="T516" s="1">
        <v>9.250187819032085E-05</v>
      </c>
      <c r="U516" s="1">
        <v>0.001614909545943455</v>
      </c>
      <c r="V516" s="1">
        <v>0.002567744318878296</v>
      </c>
      <c r="W516" s="1">
        <v>0.00517867179175191</v>
      </c>
      <c r="X516" s="1">
        <v>0.001530492297422859</v>
      </c>
      <c r="Y516" s="1">
        <v>0.00698358594406967</v>
      </c>
      <c r="Z516" s="1">
        <v>0.01645865545179048</v>
      </c>
    </row>
    <row r="517" spans="1:26">
      <c r="A517" s="11">
        <v>43122</v>
      </c>
      <c r="B517" s="1">
        <v>0.03496222257168657</v>
      </c>
      <c r="C517" s="1">
        <v>0.0007994105354742764</v>
      </c>
      <c r="D517" s="1">
        <v>0.002714380056226595</v>
      </c>
      <c r="E517" s="1">
        <v>0.01605661196685948</v>
      </c>
      <c r="F517" s="1">
        <v>0.009176728864051187</v>
      </c>
      <c r="G517" s="1">
        <v>-0.0003594616020462515</v>
      </c>
      <c r="H517" s="1">
        <v>0.005486573877875101</v>
      </c>
      <c r="I517" s="1">
        <v>0.0003525148910836773</v>
      </c>
      <c r="J517" s="1">
        <v>0.006329040180508727</v>
      </c>
      <c r="K517" s="1">
        <v>0.007712413272778385</v>
      </c>
      <c r="L517" s="1">
        <v>0.01168018153703687</v>
      </c>
      <c r="M517" s="1">
        <v>-0.00245985092800094</v>
      </c>
      <c r="N517" s="1">
        <v>0.002249302469294001</v>
      </c>
      <c r="O517" s="1">
        <v>0.007675615356589782</v>
      </c>
      <c r="P517" s="1">
        <v>0.01788895275566382</v>
      </c>
      <c r="Q517" s="1">
        <v>0.0004177385328765215</v>
      </c>
      <c r="R517" s="1">
        <v>0.001677352386856068</v>
      </c>
      <c r="S517" s="1">
        <v>0.001136899233949107</v>
      </c>
      <c r="T517" s="1">
        <v>-0.008402874715439435</v>
      </c>
      <c r="U517" s="1">
        <v>0.01773734107317559</v>
      </c>
      <c r="V517" s="1">
        <v>0.006145222134015915</v>
      </c>
      <c r="W517" s="1">
        <v>0.008477249757284699</v>
      </c>
      <c r="X517" s="1">
        <v>0.003225483196992451</v>
      </c>
      <c r="Y517" s="1">
        <v>0.02985970584763531</v>
      </c>
      <c r="Z517" s="1">
        <v>0.008002843441830221</v>
      </c>
    </row>
    <row r="518" spans="1:26">
      <c r="A518" s="11">
        <v>43123</v>
      </c>
      <c r="B518" s="1">
        <v>0.002308064926904718</v>
      </c>
      <c r="C518" s="1">
        <v>-0.007130112955511358</v>
      </c>
      <c r="D518" s="1">
        <v>-0.008547179595838283</v>
      </c>
      <c r="E518" s="1">
        <v>0.002370484797301398</v>
      </c>
      <c r="F518" s="1">
        <v>-0.01049181907331964</v>
      </c>
      <c r="G518" s="1">
        <v>0.01043526264165462</v>
      </c>
      <c r="H518" s="1">
        <v>-0.001678718036876692</v>
      </c>
      <c r="I518" s="1">
        <v>-0.0100950519163493</v>
      </c>
      <c r="J518" s="1">
        <v>-0.001677215994580927</v>
      </c>
      <c r="K518" s="1">
        <v>0.03239809028805407</v>
      </c>
      <c r="L518" s="1">
        <v>-0.001049522125525337</v>
      </c>
      <c r="M518" s="1">
        <v>0.005701926068077068</v>
      </c>
      <c r="N518" s="1">
        <v>0.002385264870489401</v>
      </c>
      <c r="O518" s="1">
        <v>0.003022412689072329</v>
      </c>
      <c r="P518" s="1">
        <v>0.003165577211416082</v>
      </c>
      <c r="Q518" s="1">
        <v>0.009185987676947116</v>
      </c>
      <c r="R518" s="1">
        <v>-0.003606382254048635</v>
      </c>
      <c r="S518" s="1">
        <v>0.02224148501844825</v>
      </c>
      <c r="T518" s="1">
        <v>0.004752266402230809</v>
      </c>
      <c r="U518" s="1">
        <v>-0.01795654275162217</v>
      </c>
      <c r="V518" s="1">
        <v>-0.005853373441085719</v>
      </c>
      <c r="W518" s="1">
        <v>-0.003576013290256697</v>
      </c>
      <c r="X518" s="1">
        <v>0.0001692851901833325</v>
      </c>
      <c r="Y518" s="1">
        <v>-0.004302949913877252</v>
      </c>
      <c r="Z518" s="1">
        <v>0.0001848941910256308</v>
      </c>
    </row>
    <row r="519" spans="1:26">
      <c r="A519" s="11">
        <v>43124</v>
      </c>
      <c r="B519" s="1">
        <v>0.00732624102056989</v>
      </c>
      <c r="C519" s="1">
        <v>-0.00268185311517688</v>
      </c>
      <c r="D519" s="1">
        <v>0.007758701604625662</v>
      </c>
      <c r="E519" s="1">
        <v>0.005202617330767545</v>
      </c>
      <c r="F519" s="1">
        <v>0.0129591594229379</v>
      </c>
      <c r="G519" s="1">
        <v>0.002136850298179338</v>
      </c>
      <c r="H519" s="1">
        <v>-0.009880257668574366</v>
      </c>
      <c r="I519" s="1">
        <v>0.005573595063848025</v>
      </c>
      <c r="J519" s="1">
        <v>-0.00629947631721417</v>
      </c>
      <c r="K519" s="1">
        <v>0.003211819824574969</v>
      </c>
      <c r="L519" s="1">
        <v>0.0127835801876528</v>
      </c>
      <c r="M519" s="1">
        <v>-0.04673610380244253</v>
      </c>
      <c r="N519" s="1">
        <v>0.001539500993255949</v>
      </c>
      <c r="O519" s="1">
        <v>0.005544810889119622</v>
      </c>
      <c r="P519" s="1">
        <v>-0.0008707638713838506</v>
      </c>
      <c r="Q519" s="1">
        <v>0.0004132399224097139</v>
      </c>
      <c r="R519" s="1">
        <v>0.0120219498486247</v>
      </c>
      <c r="S519" s="1">
        <v>-0.01600281167032325</v>
      </c>
      <c r="T519" s="1">
        <v>0.0003957924677417957</v>
      </c>
      <c r="U519" s="1">
        <v>-0.004570801712970418</v>
      </c>
      <c r="V519" s="1">
        <v>-0.01574525921334291</v>
      </c>
      <c r="W519" s="1">
        <v>0.003588847055022049</v>
      </c>
      <c r="X519" s="1">
        <v>0.01032138507069869</v>
      </c>
      <c r="Y519" s="1">
        <v>0.0185986530857678</v>
      </c>
      <c r="Z519" s="1">
        <v>-0.007938117298737501</v>
      </c>
    </row>
    <row r="520" spans="1:26">
      <c r="A520" s="11">
        <v>43125</v>
      </c>
      <c r="B520" s="1">
        <v>-0.01392319100021133</v>
      </c>
      <c r="C520" s="1">
        <v>0.02515761000552175</v>
      </c>
      <c r="D520" s="1">
        <v>0.01297401229130801</v>
      </c>
      <c r="E520" s="1">
        <v>-0.00376420589452231</v>
      </c>
      <c r="F520" s="1">
        <v>-0.019771824974125</v>
      </c>
      <c r="G520" s="1">
        <v>0.008528647695052127</v>
      </c>
      <c r="H520" s="1">
        <v>0.007643282590382938</v>
      </c>
      <c r="I520" s="1">
        <v>-0.002771504394490143</v>
      </c>
      <c r="J520" s="1">
        <v>-0.01437048846375266</v>
      </c>
      <c r="K520" s="1">
        <v>0.00468029476275289</v>
      </c>
      <c r="L520" s="1">
        <v>0.0002593408898083904</v>
      </c>
      <c r="M520" s="1">
        <v>-0.03247059641491779</v>
      </c>
      <c r="N520" s="1">
        <v>-0.02305752566665875</v>
      </c>
      <c r="O520" s="1">
        <v>0.001798460002842672</v>
      </c>
      <c r="P520" s="1">
        <v>0.005554525676964461</v>
      </c>
      <c r="Q520" s="1">
        <v>0.009925693575455252</v>
      </c>
      <c r="R520" s="1">
        <v>-0.0136673592024108</v>
      </c>
      <c r="S520" s="1">
        <v>-0.01205609518546313</v>
      </c>
      <c r="T520" s="1">
        <v>-0.01099261375943661</v>
      </c>
      <c r="U520" s="1">
        <v>0.01161513372366962</v>
      </c>
      <c r="V520" s="1">
        <v>-0.007673353093522128</v>
      </c>
      <c r="W520" s="1">
        <v>0.01188939137589262</v>
      </c>
      <c r="X520" s="1">
        <v>0.01373324297749656</v>
      </c>
      <c r="Y520" s="1">
        <v>0.001291203449020673</v>
      </c>
      <c r="Z520" s="1">
        <v>-0.01339807816999372</v>
      </c>
    </row>
    <row r="521" spans="1:26">
      <c r="A521" s="11">
        <v>43126</v>
      </c>
      <c r="B521" s="1">
        <v>0.01327735823185749</v>
      </c>
      <c r="C521" s="1">
        <v>0.000320592810171938</v>
      </c>
      <c r="D521" s="1">
        <v>0.01703030683890927</v>
      </c>
      <c r="E521" s="1">
        <v>0.01149254440310665</v>
      </c>
      <c r="F521" s="1">
        <v>0.01566235022616613</v>
      </c>
      <c r="G521" s="1">
        <v>0.002818754413982383</v>
      </c>
      <c r="H521" s="1">
        <v>-0.00252854638459854</v>
      </c>
      <c r="I521" s="1">
        <v>0.01395371519536814</v>
      </c>
      <c r="J521" s="1">
        <v>0.02529974361837506</v>
      </c>
      <c r="K521" s="1">
        <v>0.01569000302928925</v>
      </c>
      <c r="L521" s="1">
        <v>0.005358625722132082</v>
      </c>
      <c r="M521" s="1">
        <v>0.01046672807915927</v>
      </c>
      <c r="N521" s="1">
        <v>0.0158775982423276</v>
      </c>
      <c r="O521" s="1">
        <v>0.0257267678470956</v>
      </c>
      <c r="P521" s="1">
        <v>0.01873712617653478</v>
      </c>
      <c r="Q521" s="1">
        <v>0.003276012948653095</v>
      </c>
      <c r="R521" s="1">
        <v>0.01929523149291157</v>
      </c>
      <c r="S521" s="1">
        <v>0.00145393838798924</v>
      </c>
      <c r="T521" s="1">
        <v>-0.002307651242772435</v>
      </c>
      <c r="U521" s="1">
        <v>0.00987992074602273</v>
      </c>
      <c r="V521" s="1">
        <v>0.008519268474430186</v>
      </c>
      <c r="W521" s="1">
        <v>0.008720227139771275</v>
      </c>
      <c r="X521" s="1">
        <v>0.00545191724970584</v>
      </c>
      <c r="Y521" s="1">
        <v>0.007920328202891236</v>
      </c>
      <c r="Z521" s="1">
        <v>0.01886107121648783</v>
      </c>
    </row>
    <row r="522" spans="1:26">
      <c r="A522" s="11">
        <v>43129</v>
      </c>
      <c r="B522" s="1">
        <v>-0.02974214000379327</v>
      </c>
      <c r="C522" s="1">
        <v>-0.006992468063655055</v>
      </c>
      <c r="D522" s="1">
        <v>-0.002906181959933085</v>
      </c>
      <c r="E522" s="1">
        <v>0.002801685190899406</v>
      </c>
      <c r="F522" s="1">
        <v>-0.01915899931289511</v>
      </c>
      <c r="G522" s="1">
        <v>-0.02564973886559652</v>
      </c>
      <c r="H522" s="1">
        <v>-0.008238217731865616</v>
      </c>
      <c r="I522" s="1">
        <v>-0.01346998089097839</v>
      </c>
      <c r="J522" s="1">
        <v>-0.00418208757040528</v>
      </c>
      <c r="K522" s="1">
        <v>-0.02341313319658012</v>
      </c>
      <c r="L522" s="1">
        <v>-0.001031731552115223</v>
      </c>
      <c r="M522" s="1">
        <v>-0.007563361396196955</v>
      </c>
      <c r="N522" s="1">
        <v>-0.01675572623219335</v>
      </c>
      <c r="O522" s="1">
        <v>-0.01178245324279215</v>
      </c>
      <c r="P522" s="1">
        <v>-0.001488177781864275</v>
      </c>
      <c r="Q522" s="1">
        <v>-0.01142850180123123</v>
      </c>
      <c r="R522" s="1">
        <v>0.003684755241236459</v>
      </c>
      <c r="S522" s="1">
        <v>-0.001607594278988489</v>
      </c>
      <c r="T522" s="1">
        <v>-0.006821085560257845</v>
      </c>
      <c r="U522" s="1">
        <v>-0.01480689357650855</v>
      </c>
      <c r="V522" s="1">
        <v>-0.001949519789090193</v>
      </c>
      <c r="W522" s="1">
        <v>-0.004413473680677682</v>
      </c>
      <c r="X522" s="1">
        <v>0.005915186898012292</v>
      </c>
      <c r="Y522" s="1">
        <v>-0.0107818874798068</v>
      </c>
      <c r="Z522" s="1">
        <v>0.0031470640018465</v>
      </c>
    </row>
    <row r="523" spans="1:26">
      <c r="A523" s="11">
        <v>43130</v>
      </c>
      <c r="B523" s="1">
        <v>-0.04458754085065619</v>
      </c>
      <c r="C523" s="1">
        <v>-0.009125232922697846</v>
      </c>
      <c r="D523" s="1">
        <v>-0.004163615146443367</v>
      </c>
      <c r="E523" s="1">
        <v>-0.007295086455531563</v>
      </c>
      <c r="F523" s="1">
        <v>0.008575447534389991</v>
      </c>
      <c r="G523" s="1">
        <v>0.003245284622694022</v>
      </c>
      <c r="H523" s="1">
        <v>-0.01171481692721554</v>
      </c>
      <c r="I523" s="1">
        <v>-0.003960737782279788</v>
      </c>
      <c r="J523" s="1">
        <v>-0.01553966207475499</v>
      </c>
      <c r="K523" s="1">
        <v>-0.01532380851708048</v>
      </c>
      <c r="L523" s="1">
        <v>-0.009380099930500929</v>
      </c>
      <c r="M523" s="1">
        <v>-0.008780271512129012</v>
      </c>
      <c r="N523" s="1">
        <v>-0.0001434187475115589</v>
      </c>
      <c r="O523" s="1">
        <v>-0.007055287654958331</v>
      </c>
      <c r="P523" s="1">
        <v>-0.01256410377200434</v>
      </c>
      <c r="Q523" s="1">
        <v>0.009496598591136607</v>
      </c>
      <c r="R523" s="1">
        <v>-0.04126564942113453</v>
      </c>
      <c r="S523" s="1">
        <v>0.005505417735633955</v>
      </c>
      <c r="T523" s="1">
        <v>0.001354412480357059</v>
      </c>
      <c r="U523" s="1">
        <v>0.004830734858719321</v>
      </c>
      <c r="V523" s="1">
        <v>-0.0221355040491682</v>
      </c>
      <c r="W523" s="1">
        <v>-0.01914910196110609</v>
      </c>
      <c r="X523" s="1">
        <v>-0.01698800654589405</v>
      </c>
      <c r="Y523" s="1">
        <v>-0.004249127939687236</v>
      </c>
      <c r="Z523" s="1">
        <v>-0.004797718420001429</v>
      </c>
    </row>
    <row r="524" spans="1:26">
      <c r="A524" s="11">
        <v>43131</v>
      </c>
      <c r="B524" s="1">
        <v>0.006731063144216565</v>
      </c>
      <c r="C524" s="1">
        <v>0.04933227105596338</v>
      </c>
      <c r="D524" s="1">
        <v>0.003902064072025535</v>
      </c>
      <c r="E524" s="1">
        <v>-0.02126339345732997</v>
      </c>
      <c r="F524" s="1">
        <v>0.004487232416381381</v>
      </c>
      <c r="G524" s="1">
        <v>0.01294039327232688</v>
      </c>
      <c r="H524" s="1">
        <v>0.003232945920578434</v>
      </c>
      <c r="I524" s="1">
        <v>-0.01240247471597178</v>
      </c>
      <c r="J524" s="1">
        <v>-0.005119328793975697</v>
      </c>
      <c r="K524" s="1">
        <v>-0.01782140301703017</v>
      </c>
      <c r="L524" s="1">
        <v>0.004864802552589698</v>
      </c>
      <c r="M524" s="1">
        <v>0.01621238226481725</v>
      </c>
      <c r="N524" s="1">
        <v>0.007447930747496612</v>
      </c>
      <c r="O524" s="1">
        <v>-0.002627141768443808</v>
      </c>
      <c r="P524" s="1">
        <v>0.02447731406019504</v>
      </c>
      <c r="Q524" s="1">
        <v>0.00940653729974672</v>
      </c>
      <c r="R524" s="1">
        <v>-0.01557989502729529</v>
      </c>
      <c r="S524" s="1">
        <v>0.01115690748563503</v>
      </c>
      <c r="T524" s="1">
        <v>-0.01008632245524499</v>
      </c>
      <c r="U524" s="1">
        <v>0.0002671078264557813</v>
      </c>
      <c r="V524" s="1">
        <v>0.001598100832288507</v>
      </c>
      <c r="W524" s="1">
        <v>0.04421777425668738</v>
      </c>
      <c r="X524" s="1">
        <v>-0.02509144450230094</v>
      </c>
      <c r="Y524" s="1">
        <v>0.003153943876297527</v>
      </c>
      <c r="Z524" s="1">
        <v>0.001854308415611294</v>
      </c>
    </row>
    <row r="525" spans="1:26">
      <c r="A525" s="11">
        <v>43132</v>
      </c>
      <c r="B525" s="1">
        <v>-0.004011337225611866</v>
      </c>
      <c r="C525" s="1">
        <v>0.007252387438484664</v>
      </c>
      <c r="D525" s="1">
        <v>-0.02887650502905525</v>
      </c>
      <c r="E525" s="1">
        <v>0.003195092155411139</v>
      </c>
      <c r="F525" s="1">
        <v>-0.01504811951509466</v>
      </c>
      <c r="G525" s="1">
        <v>-0.01632359455946375</v>
      </c>
      <c r="H525" s="1">
        <v>0.004940688188232345</v>
      </c>
      <c r="I525" s="1">
        <v>0.008592712785657097</v>
      </c>
      <c r="J525" s="1">
        <v>-0.0008576671961332272</v>
      </c>
      <c r="K525" s="1">
        <v>0.0173782602327055</v>
      </c>
      <c r="L525" s="1">
        <v>0.0103745467228995</v>
      </c>
      <c r="M525" s="1">
        <v>-0.008059183298320227</v>
      </c>
      <c r="N525" s="1">
        <v>-0.005829074347368124</v>
      </c>
      <c r="O525" s="1">
        <v>0.01831887085358841</v>
      </c>
      <c r="P525" s="1">
        <v>-0.007894194631093643</v>
      </c>
      <c r="Q525" s="1">
        <v>-0.01782794644748043</v>
      </c>
      <c r="R525" s="1">
        <v>0.002146024526717305</v>
      </c>
      <c r="S525" s="1">
        <v>-0.02441767238093751</v>
      </c>
      <c r="T525" s="1">
        <v>-0.01193929194105059</v>
      </c>
      <c r="U525" s="1">
        <v>0.04566090858217242</v>
      </c>
      <c r="V525" s="1">
        <v>-0.003323581477539972</v>
      </c>
      <c r="W525" s="1">
        <v>-0.0078087954228232</v>
      </c>
      <c r="X525" s="1">
        <v>0.01994217040170043</v>
      </c>
      <c r="Y525" s="1">
        <v>0.00425373104064497</v>
      </c>
      <c r="Z525" s="1">
        <v>0.01758234761268795</v>
      </c>
    </row>
    <row r="526" spans="1:26">
      <c r="A526" s="11">
        <v>43133</v>
      </c>
      <c r="B526" s="1">
        <v>-0.04184396086643849</v>
      </c>
      <c r="C526" s="1">
        <v>-0.02249693959621957</v>
      </c>
      <c r="D526" s="1">
        <v>-0.02001444433223776</v>
      </c>
      <c r="E526" s="1">
        <v>0.01082816118472429</v>
      </c>
      <c r="F526" s="1">
        <v>-0.01862003923135092</v>
      </c>
      <c r="G526" s="1">
        <v>-0.006132591636727081</v>
      </c>
      <c r="H526" s="1">
        <v>-0.04660092914746339</v>
      </c>
      <c r="I526" s="1">
        <v>-0.01721750401679478</v>
      </c>
      <c r="J526" s="1">
        <v>-0.03519332186506363</v>
      </c>
      <c r="K526" s="1">
        <v>-0.007033761895196555</v>
      </c>
      <c r="L526" s="1">
        <v>-0.02216144987065272</v>
      </c>
      <c r="M526" s="1">
        <v>-0.02652953854117091</v>
      </c>
      <c r="N526" s="1">
        <v>-0.007578806448767406</v>
      </c>
      <c r="O526" s="1">
        <v>-0.004232611769156347</v>
      </c>
      <c r="P526" s="1">
        <v>-0.0263102216734481</v>
      </c>
      <c r="Q526" s="1">
        <v>-0.01113893110012687</v>
      </c>
      <c r="R526" s="1">
        <v>-0.02837243510479492</v>
      </c>
      <c r="S526" s="1">
        <v>-0.003508101963537902</v>
      </c>
      <c r="T526" s="1">
        <v>-0.02183795348784701</v>
      </c>
      <c r="U526" s="1">
        <v>-0.02783437792801569</v>
      </c>
      <c r="V526" s="1">
        <v>-0.02694407353043715</v>
      </c>
      <c r="W526" s="1">
        <v>-0.02100160756099756</v>
      </c>
      <c r="X526" s="1">
        <v>-0.01303500923331424</v>
      </c>
      <c r="Y526" s="1">
        <v>-0.02430972654908758</v>
      </c>
      <c r="Z526" s="1">
        <v>-0.01509629591275818</v>
      </c>
    </row>
    <row r="527" spans="1:26">
      <c r="A527" s="11">
        <v>43136</v>
      </c>
      <c r="B527" s="1">
        <v>-0.04413854606308198</v>
      </c>
      <c r="C527" s="1">
        <v>-0.057406973153035</v>
      </c>
      <c r="D527" s="1">
        <v>-0.04420153573666719</v>
      </c>
      <c r="E527" s="1">
        <v>-0.03969762485653683</v>
      </c>
      <c r="F527" s="1">
        <v>-0.04646092539828739</v>
      </c>
      <c r="G527" s="1">
        <v>-0.02323065606117047</v>
      </c>
      <c r="H527" s="1">
        <v>-0.008520246310641189</v>
      </c>
      <c r="I527" s="1">
        <v>-0.04813286071651968</v>
      </c>
      <c r="J527" s="1">
        <v>-0.05293606102874071</v>
      </c>
      <c r="K527" s="1">
        <v>-0.05084726319430455</v>
      </c>
      <c r="L527" s="1">
        <v>-0.04795254126167914</v>
      </c>
      <c r="M527" s="1">
        <v>-0.02929655963653388</v>
      </c>
      <c r="N527" s="1">
        <v>-0.04841522794133712</v>
      </c>
      <c r="O527" s="1">
        <v>-0.02562277869456697</v>
      </c>
      <c r="P527" s="1">
        <v>-0.04118543080631698</v>
      </c>
      <c r="Q527" s="1">
        <v>-0.01877312800926001</v>
      </c>
      <c r="R527" s="1">
        <v>-0.04683186467566569</v>
      </c>
      <c r="S527" s="1">
        <v>-0.0280071443795129</v>
      </c>
      <c r="T527" s="1">
        <v>-0.02455754289139289</v>
      </c>
      <c r="U527" s="1">
        <v>-0.03782513547884048</v>
      </c>
      <c r="V527" s="1">
        <v>-0.02988378160001925</v>
      </c>
      <c r="W527" s="1">
        <v>-0.04308913241243373</v>
      </c>
      <c r="X527" s="1">
        <v>-0.0406363497234965</v>
      </c>
      <c r="Y527" s="1">
        <v>-0.04680973857779602</v>
      </c>
      <c r="Z527" s="1">
        <v>-0.04616808284045437</v>
      </c>
    </row>
    <row r="528" spans="1:26">
      <c r="A528" s="11">
        <v>43137</v>
      </c>
      <c r="B528" s="1">
        <v>0.004642215827089569</v>
      </c>
      <c r="C528" s="1">
        <v>0.03657849893073717</v>
      </c>
      <c r="D528" s="1">
        <v>0.01755224961507906</v>
      </c>
      <c r="E528" s="1">
        <v>-0.0009844700433720988</v>
      </c>
      <c r="F528" s="1">
        <v>0.01198963604167447</v>
      </c>
      <c r="G528" s="1">
        <v>-0.02192474749616991</v>
      </c>
      <c r="H528" s="1">
        <v>0.02080502967421483</v>
      </c>
      <c r="I528" s="1">
        <v>0.0309511844091328</v>
      </c>
      <c r="J528" s="1">
        <v>0.006576122251627847</v>
      </c>
      <c r="K528" s="1">
        <v>0.002665686201310136</v>
      </c>
      <c r="L528" s="1">
        <v>0.03042286959205653</v>
      </c>
      <c r="M528" s="1">
        <v>0.02017887245378303</v>
      </c>
      <c r="N528" s="1">
        <v>0.007419947186406928</v>
      </c>
      <c r="O528" s="1">
        <v>-0.003393330134911499</v>
      </c>
      <c r="P528" s="1">
        <v>0.03784114316482357</v>
      </c>
      <c r="Q528" s="1">
        <v>-0.01020410907229474</v>
      </c>
      <c r="R528" s="1">
        <v>0.01228292797929709</v>
      </c>
      <c r="S528" s="1">
        <v>0.002270688650336972</v>
      </c>
      <c r="T528" s="1">
        <v>0.02993165176209001</v>
      </c>
      <c r="U528" s="1">
        <v>0.005459910571793847</v>
      </c>
      <c r="V528" s="1">
        <v>0.02741312677163199</v>
      </c>
      <c r="W528" s="1">
        <v>0.005616700883126047</v>
      </c>
      <c r="X528" s="1">
        <v>0.007765544501820765</v>
      </c>
      <c r="Y528" s="1">
        <v>0.006534833428416098</v>
      </c>
      <c r="Z528" s="1">
        <v>0.01684423035593663</v>
      </c>
    </row>
    <row r="529" spans="1:26">
      <c r="A529" s="11">
        <v>43138</v>
      </c>
      <c r="B529" s="1">
        <v>-0.03818108251091012</v>
      </c>
      <c r="C529" s="1">
        <v>0.02114922787578899</v>
      </c>
      <c r="D529" s="1">
        <v>-0.01679919298233368</v>
      </c>
      <c r="E529" s="1">
        <v>0.02840751587278945</v>
      </c>
      <c r="F529" s="1">
        <v>0.01209982439551527</v>
      </c>
      <c r="G529" s="1">
        <v>0.001519638319682937</v>
      </c>
      <c r="H529" s="1">
        <v>-0.007532114628833075</v>
      </c>
      <c r="I529" s="1">
        <v>-0.00271806961289589</v>
      </c>
      <c r="J529" s="1">
        <v>-0.01026603205703902</v>
      </c>
      <c r="K529" s="1">
        <v>-0.0005320257797848393</v>
      </c>
      <c r="L529" s="1">
        <v>0.00677905091748876</v>
      </c>
      <c r="M529" s="1">
        <v>-0.00430007124026055</v>
      </c>
      <c r="N529" s="1">
        <v>0.003907847448543667</v>
      </c>
      <c r="O529" s="1">
        <v>-0.0009728853565937889</v>
      </c>
      <c r="P529" s="1">
        <v>-0.01883305305834881</v>
      </c>
      <c r="Q529" s="1">
        <v>-0.008161724377272361</v>
      </c>
      <c r="R529" s="1">
        <v>-0.01941478220814774</v>
      </c>
      <c r="S529" s="1">
        <v>-0.0002695342098717468</v>
      </c>
      <c r="T529" s="1">
        <v>-0.003753008471844455</v>
      </c>
      <c r="U529" s="1">
        <v>0.002715567861668822</v>
      </c>
      <c r="V529" s="1">
        <v>0.007426522625130882</v>
      </c>
      <c r="W529" s="1">
        <v>-0.009213291155577674</v>
      </c>
      <c r="X529" s="1">
        <v>0.01418572441982224</v>
      </c>
      <c r="Y529" s="1">
        <v>0.00354107305022433</v>
      </c>
      <c r="Z529" s="1">
        <v>0.02856050864894932</v>
      </c>
    </row>
    <row r="530" spans="1:26">
      <c r="A530" s="11">
        <v>43139</v>
      </c>
      <c r="B530" s="1">
        <v>-0.04601747112709365</v>
      </c>
      <c r="C530" s="1">
        <v>-0.0483531516992447</v>
      </c>
      <c r="D530" s="1">
        <v>-0.04561413143942539</v>
      </c>
      <c r="E530" s="1">
        <v>0.000957883236950785</v>
      </c>
      <c r="F530" s="1">
        <v>-0.04881685432680916</v>
      </c>
      <c r="G530" s="1">
        <v>-0.01934753950075685</v>
      </c>
      <c r="H530" s="1">
        <v>0.0006694933641324674</v>
      </c>
      <c r="I530" s="1">
        <v>-0.04819157103667215</v>
      </c>
      <c r="J530" s="1">
        <v>-0.06082043349398014</v>
      </c>
      <c r="K530" s="1">
        <v>-0.02792562097714912</v>
      </c>
      <c r="L530" s="1">
        <v>-0.04421023020173642</v>
      </c>
      <c r="M530" s="1">
        <v>-0.03903964984856145</v>
      </c>
      <c r="N530" s="1">
        <v>-0.04102376153882592</v>
      </c>
      <c r="O530" s="1">
        <v>-0.03468830634445286</v>
      </c>
      <c r="P530" s="1">
        <v>-0.05133345083714014</v>
      </c>
      <c r="Q530" s="1">
        <v>-0.01681572648156715</v>
      </c>
      <c r="R530" s="1">
        <v>-0.0248941260296377</v>
      </c>
      <c r="S530" s="1">
        <v>-0.02622079675061417</v>
      </c>
      <c r="T530" s="1">
        <v>-0.03923383666231361</v>
      </c>
      <c r="U530" s="1">
        <v>-0.03682663660971308</v>
      </c>
      <c r="V530" s="1">
        <v>-0.02921495204335911</v>
      </c>
      <c r="W530" s="1">
        <v>-0.04249572218384157</v>
      </c>
      <c r="X530" s="1">
        <v>-0.04092550563002828</v>
      </c>
      <c r="Y530" s="1">
        <v>-0.03862020428880275</v>
      </c>
      <c r="Z530" s="1">
        <v>-0.06127347856759191</v>
      </c>
    </row>
    <row r="531" spans="1:26">
      <c r="A531" s="11">
        <v>43140</v>
      </c>
      <c r="B531" s="1">
        <v>-0.01325218559174968</v>
      </c>
      <c r="C531" s="1">
        <v>0.009615932056693088</v>
      </c>
      <c r="D531" s="1">
        <v>0.02797328772747076</v>
      </c>
      <c r="E531" s="1">
        <v>0.0001595924244668367</v>
      </c>
      <c r="F531" s="1">
        <v>0.009950372263676233</v>
      </c>
      <c r="G531" s="1">
        <v>0.02514497858545717</v>
      </c>
      <c r="H531" s="1">
        <v>0.02007618416927959</v>
      </c>
      <c r="I531" s="1">
        <v>0.008265313682389142</v>
      </c>
      <c r="J531" s="1">
        <v>0.009538276572838233</v>
      </c>
      <c r="K531" s="1">
        <v>-0.007113460865920129</v>
      </c>
      <c r="L531" s="1">
        <v>0.02002212997501474</v>
      </c>
      <c r="M531" s="1">
        <v>-0.002336588433376363</v>
      </c>
      <c r="N531" s="1">
        <v>-0.0003127222551625453</v>
      </c>
      <c r="O531" s="1">
        <v>0.01412191224761083</v>
      </c>
      <c r="P531" s="1">
        <v>0.03728942383513512</v>
      </c>
      <c r="Q531" s="1">
        <v>0.02576627048081459</v>
      </c>
      <c r="R531" s="1">
        <v>0.007763026705159159</v>
      </c>
      <c r="S531" s="1">
        <v>0.03695510531820911</v>
      </c>
      <c r="T531" s="1">
        <v>0.02891803057222964</v>
      </c>
      <c r="U531" s="1">
        <v>0.01349443739342537</v>
      </c>
      <c r="V531" s="1">
        <v>0.01884361167845894</v>
      </c>
      <c r="W531" s="1">
        <v>0.007296354119196602</v>
      </c>
      <c r="X531" s="1">
        <v>0.01386388581381359</v>
      </c>
      <c r="Y531" s="1">
        <v>0.01712897868444418</v>
      </c>
      <c r="Z531" s="1">
        <v>0.01833961822506192</v>
      </c>
    </row>
    <row r="532" spans="1:26">
      <c r="A532" s="11">
        <v>43143</v>
      </c>
      <c r="B532" s="1">
        <v>0.02363704611694883</v>
      </c>
      <c r="C532" s="1">
        <v>0.03295971559466238</v>
      </c>
      <c r="D532" s="1">
        <v>0.01072913952318766</v>
      </c>
      <c r="E532" s="1">
        <v>0.007336384869457868</v>
      </c>
      <c r="F532" s="1">
        <v>-0.0007777563812393362</v>
      </c>
      <c r="G532" s="1">
        <v>0.008679551637474026</v>
      </c>
      <c r="H532" s="1">
        <v>0.01268276545333102</v>
      </c>
      <c r="I532" s="1">
        <v>0.02762548960156241</v>
      </c>
      <c r="J532" s="1">
        <v>0.01491790691672668</v>
      </c>
      <c r="K532" s="1">
        <v>0.03086246416756899</v>
      </c>
      <c r="L532" s="1">
        <v>0.01544898268541317</v>
      </c>
      <c r="M532" s="1">
        <v>0.02360358095892878</v>
      </c>
      <c r="N532" s="1">
        <v>0.02061563671977318</v>
      </c>
      <c r="O532" s="1">
        <v>0.007583900868977311</v>
      </c>
      <c r="P532" s="1">
        <v>0.01077372915645425</v>
      </c>
      <c r="Q532" s="1">
        <v>0.0008663051303972047</v>
      </c>
      <c r="R532" s="1">
        <v>0.01472142136319832</v>
      </c>
      <c r="S532" s="1">
        <v>0.003526163103666047</v>
      </c>
      <c r="T532" s="1">
        <v>0.01210936852841171</v>
      </c>
      <c r="U532" s="1">
        <v>0.008876316797569839</v>
      </c>
      <c r="V532" s="1">
        <v>-0.00786730032805838</v>
      </c>
      <c r="W532" s="1">
        <v>0.02163058017817598</v>
      </c>
      <c r="X532" s="1">
        <v>0.02202070355815611</v>
      </c>
      <c r="Y532" s="1">
        <v>0.004611235172993888</v>
      </c>
      <c r="Z532" s="1">
        <v>0.008133015079835548</v>
      </c>
    </row>
    <row r="533" spans="1:26">
      <c r="A533" s="11">
        <v>43144</v>
      </c>
      <c r="B533" s="1">
        <v>-0.01075879705434324</v>
      </c>
      <c r="C533" s="1">
        <v>-0.001861513722824504</v>
      </c>
      <c r="D533" s="1">
        <v>-0.00569217911138109</v>
      </c>
      <c r="E533" s="1">
        <v>0.01124140789221273</v>
      </c>
      <c r="F533" s="1">
        <v>0.0108979336046191</v>
      </c>
      <c r="G533" s="1">
        <v>0.001496051271273169</v>
      </c>
      <c r="H533" s="1">
        <v>0.007342048299780135</v>
      </c>
      <c r="I533" s="1">
        <v>0.0131271573857088</v>
      </c>
      <c r="J533" s="1">
        <v>0.008329268116893163</v>
      </c>
      <c r="K533" s="1">
        <v>-0.0005348279308656778</v>
      </c>
      <c r="L533" s="1">
        <v>0.006175058774867681</v>
      </c>
      <c r="M533" s="1">
        <v>0.006160737245147097</v>
      </c>
      <c r="N533" s="1">
        <v>0.004437606650812942</v>
      </c>
      <c r="O533" s="1">
        <v>0.002961874768892869</v>
      </c>
      <c r="P533" s="1">
        <v>0.007853398728058458</v>
      </c>
      <c r="Q533" s="1">
        <v>0.000865121106643052</v>
      </c>
      <c r="R533" s="1">
        <v>-0.001465722852059148</v>
      </c>
      <c r="S533" s="1">
        <v>0.007347770622626593</v>
      </c>
      <c r="T533" s="1">
        <v>0.005127006334821216</v>
      </c>
      <c r="U533" s="1">
        <v>0.006324221103113592</v>
      </c>
      <c r="V533" s="1">
        <v>0.02782447804864607</v>
      </c>
      <c r="W533" s="1">
        <v>-0.004938636516642725</v>
      </c>
      <c r="X533" s="1">
        <v>0</v>
      </c>
      <c r="Y533" s="1">
        <v>-0.0005991248328673926</v>
      </c>
      <c r="Z533" s="1">
        <v>-0.001920819384721439</v>
      </c>
    </row>
    <row r="534" spans="1:26">
      <c r="A534" s="11">
        <v>43145</v>
      </c>
      <c r="B534" s="1">
        <v>0.01326311672124314</v>
      </c>
      <c r="C534" s="1">
        <v>0.00492479096219367</v>
      </c>
      <c r="D534" s="1">
        <v>0.02166172467637839</v>
      </c>
      <c r="E534" s="1">
        <v>0.02317184359778479</v>
      </c>
      <c r="F534" s="1">
        <v>0.01206349097188886</v>
      </c>
      <c r="G534" s="1">
        <v>-0.01139947228536253</v>
      </c>
      <c r="H534" s="1">
        <v>0.006644914319057671</v>
      </c>
      <c r="I534" s="1">
        <v>0.01227524135983304</v>
      </c>
      <c r="J534" s="1">
        <v>0.03449926612314203</v>
      </c>
      <c r="K534" s="1">
        <v>0.003209699725375437</v>
      </c>
      <c r="L534" s="1">
        <v>0.02312560626604365</v>
      </c>
      <c r="M534" s="1">
        <v>0.009972209442419055</v>
      </c>
      <c r="N534" s="1">
        <v>-0.0070081043125928</v>
      </c>
      <c r="O534" s="1">
        <v>0.01205692217715892</v>
      </c>
      <c r="P534" s="1">
        <v>0.01565828646240086</v>
      </c>
      <c r="Q534" s="1">
        <v>-0.01686102774963716</v>
      </c>
      <c r="R534" s="1">
        <v>0.014382525872219</v>
      </c>
      <c r="S534" s="1">
        <v>-0.01279097025084786</v>
      </c>
      <c r="T534" s="1">
        <v>-0.0002456861435149449</v>
      </c>
      <c r="U534" s="1">
        <v>-0.005191210149633974</v>
      </c>
      <c r="V534" s="1">
        <v>0.01989700531313177</v>
      </c>
      <c r="W534" s="1">
        <v>0.02363615768445837</v>
      </c>
      <c r="X534" s="1">
        <v>0.02172039049351171</v>
      </c>
      <c r="Y534" s="1">
        <v>-0.01138149986785564</v>
      </c>
      <c r="Z534" s="1">
        <v>0.05312978751434172</v>
      </c>
    </row>
    <row r="535" spans="1:26">
      <c r="A535" s="11">
        <v>43146</v>
      </c>
      <c r="B535" s="1">
        <v>-0.002617851787159453</v>
      </c>
      <c r="C535" s="1">
        <v>0.0336670048660046</v>
      </c>
      <c r="D535" s="1">
        <v>0.006209237067098083</v>
      </c>
      <c r="E535" s="1">
        <v>0.05554724716529891</v>
      </c>
      <c r="F535" s="1">
        <v>0.01648471625706649</v>
      </c>
      <c r="G535" s="1">
        <v>0.0217638254545427</v>
      </c>
      <c r="H535" s="1">
        <v>0.01575846980709827</v>
      </c>
      <c r="I535" s="1">
        <v>0.02161945443144053</v>
      </c>
      <c r="J535" s="1">
        <v>0.007515507678153011</v>
      </c>
      <c r="K535" s="1">
        <v>0.01812849024878194</v>
      </c>
      <c r="L535" s="1">
        <v>0.004172873920737397</v>
      </c>
      <c r="M535" s="1">
        <v>0.007794801861358946</v>
      </c>
      <c r="N535" s="1">
        <v>0.002148210969147746</v>
      </c>
      <c r="O535" s="1">
        <v>0.002188298890630769</v>
      </c>
      <c r="P535" s="1">
        <v>0.02037211882131729</v>
      </c>
      <c r="Q535" s="1">
        <v>0.02770453889842184</v>
      </c>
      <c r="R535" s="1">
        <v>-0.002025546901628039</v>
      </c>
      <c r="S535" s="1">
        <v>0.01980948013541362</v>
      </c>
      <c r="T535" s="1">
        <v>-0.01126596490620113</v>
      </c>
      <c r="U535" s="1">
        <v>0.01620428936700069</v>
      </c>
      <c r="V535" s="1">
        <v>0.009157176435400816</v>
      </c>
      <c r="W535" s="1">
        <v>0.01156942702778951</v>
      </c>
      <c r="X535" s="1">
        <v>0.01496577654004261</v>
      </c>
      <c r="Y535" s="1">
        <v>0.004645634432907997</v>
      </c>
      <c r="Z535" s="1">
        <v>0.004770221625642002</v>
      </c>
    </row>
    <row r="536" spans="1:26">
      <c r="A536" s="11">
        <v>43147</v>
      </c>
      <c r="B536" s="1">
        <v>0.0002624785611686775</v>
      </c>
      <c r="C536" s="1">
        <v>-0.003983689071472285</v>
      </c>
      <c r="D536" s="1">
        <v>-0.001655543477046995</v>
      </c>
      <c r="E536" s="1">
        <v>-0.0002896216811065777</v>
      </c>
      <c r="F536" s="1">
        <v>-0.007235405742327172</v>
      </c>
      <c r="G536" s="1">
        <v>0.005605661607430701</v>
      </c>
      <c r="H536" s="1">
        <v>-0.03207538058116366</v>
      </c>
      <c r="I536" s="1">
        <v>0.01576617963439397</v>
      </c>
      <c r="J536" s="1">
        <v>-0.002331095722069354</v>
      </c>
      <c r="K536" s="1">
        <v>0.00602267122445066</v>
      </c>
      <c r="L536" s="1">
        <v>-0.007185672052602898</v>
      </c>
      <c r="M536" s="1">
        <v>0.001546873188721376</v>
      </c>
      <c r="N536" s="1">
        <v>0.002142939437851599</v>
      </c>
      <c r="O536" s="1">
        <v>0.003881778868943142</v>
      </c>
      <c r="P536" s="1">
        <v>-0.007122640862281537</v>
      </c>
      <c r="Q536" s="1">
        <v>0.004706732734886643</v>
      </c>
      <c r="R536" s="1">
        <v>-0.002899316951163522</v>
      </c>
      <c r="S536" s="1">
        <v>-0.009082381862591582</v>
      </c>
      <c r="T536" s="1">
        <v>0.003016867480584828</v>
      </c>
      <c r="U536" s="1">
        <v>0.003783978683959521</v>
      </c>
      <c r="V536" s="1">
        <v>-0.004471322981471348</v>
      </c>
      <c r="W536" s="1">
        <v>-0.0005219686658605172</v>
      </c>
      <c r="X536" s="1">
        <v>0.0108916531412766</v>
      </c>
      <c r="Y536" s="1">
        <v>0.008242763955343735</v>
      </c>
      <c r="Z536" s="1">
        <v>0.005476922271923756</v>
      </c>
    </row>
    <row r="537" spans="1:26">
      <c r="A537" s="11">
        <v>43151</v>
      </c>
      <c r="B537" s="1">
        <v>0.004985345293415655</v>
      </c>
      <c r="C537" s="1">
        <v>-0.00476009176971548</v>
      </c>
      <c r="D537" s="1">
        <v>0.01070395202121732</v>
      </c>
      <c r="E537" s="1">
        <v>-0.02334726170188361</v>
      </c>
      <c r="F537" s="1">
        <v>-0.008042242247919718</v>
      </c>
      <c r="G537" s="1">
        <v>-0.006688913572600597</v>
      </c>
      <c r="H537" s="1">
        <v>-0.001949453051404926</v>
      </c>
      <c r="I537" s="1">
        <v>-0.02756124172132435</v>
      </c>
      <c r="J537" s="1">
        <v>-0.0004675496767009291</v>
      </c>
      <c r="K537" s="1">
        <v>-0.0143154895782881</v>
      </c>
      <c r="L537" s="1">
        <v>0.0002615797276797061</v>
      </c>
      <c r="M537" s="1">
        <v>-0.009267051101907287</v>
      </c>
      <c r="N537" s="1">
        <v>-0.01940108928937878</v>
      </c>
      <c r="O537" s="1">
        <v>0.00906239628295169</v>
      </c>
      <c r="P537" s="1">
        <v>0.007826436589769559</v>
      </c>
      <c r="Q537" s="1">
        <v>-0.01959086238383911</v>
      </c>
      <c r="R537" s="1">
        <v>0.00305311203763492</v>
      </c>
      <c r="S537" s="1">
        <v>-0.01292741498787509</v>
      </c>
      <c r="T537" s="1">
        <v>-0.01399424894553136</v>
      </c>
      <c r="U537" s="1">
        <v>-0.009962568409634387</v>
      </c>
      <c r="V537" s="1">
        <v>-0.0295684087954351</v>
      </c>
      <c r="W537" s="1">
        <v>-0.01315227287736531</v>
      </c>
      <c r="X537" s="1">
        <v>-0.004475220068261065</v>
      </c>
      <c r="Y537" s="1">
        <v>-0.02452631095688063</v>
      </c>
      <c r="Z537" s="1">
        <v>-0.001815393066625037</v>
      </c>
    </row>
    <row r="538" spans="1:26">
      <c r="A538" s="11">
        <v>43152</v>
      </c>
      <c r="B538" s="1">
        <v>-0.02872062956268562</v>
      </c>
      <c r="C538" s="1">
        <v>-0.002773437549317914</v>
      </c>
      <c r="D538" s="1">
        <v>0.0001489188257495222</v>
      </c>
      <c r="E538" s="1">
        <v>-0.01217516684718112</v>
      </c>
      <c r="F538" s="1">
        <v>-0.01165423493880235</v>
      </c>
      <c r="G538" s="1">
        <v>-0.01870577062692957</v>
      </c>
      <c r="H538" s="1">
        <v>-0.06901039283478716</v>
      </c>
      <c r="I538" s="1">
        <v>-0.01626509071280002</v>
      </c>
      <c r="J538" s="1">
        <v>-0.01028463048469586</v>
      </c>
      <c r="K538" s="1">
        <v>-0.0005282098076100361</v>
      </c>
      <c r="L538" s="1">
        <v>0.004184682285460317</v>
      </c>
      <c r="M538" s="1">
        <v>0.005196509896289614</v>
      </c>
      <c r="N538" s="1">
        <v>-0.004050305872994375</v>
      </c>
      <c r="O538" s="1">
        <v>-0.00898100683994818</v>
      </c>
      <c r="P538" s="1">
        <v>-0.0132664463985992</v>
      </c>
      <c r="Q538" s="1">
        <v>-0.009557024056344399</v>
      </c>
      <c r="R538" s="1">
        <v>0.003334117146116533</v>
      </c>
      <c r="S538" s="1">
        <v>0.02383151339259149</v>
      </c>
      <c r="T538" s="1">
        <v>0.001159310660317381</v>
      </c>
      <c r="U538" s="1">
        <v>-0.01251028111884833</v>
      </c>
      <c r="V538" s="1">
        <v>0.001372710831457402</v>
      </c>
      <c r="W538" s="1">
        <v>0.009382084733440044</v>
      </c>
      <c r="X538" s="1">
        <v>-0.008991381928867059</v>
      </c>
      <c r="Y538" s="1">
        <v>-0.01962429281140665</v>
      </c>
      <c r="Z538" s="1">
        <v>0.01619042975025087</v>
      </c>
    </row>
    <row r="539" spans="1:26">
      <c r="A539" s="11">
        <v>43153</v>
      </c>
      <c r="B539" s="1">
        <v>-0.06317209634283538</v>
      </c>
      <c r="C539" s="1">
        <v>0.01007468611898776</v>
      </c>
      <c r="D539" s="1">
        <v>0.005667567074536972</v>
      </c>
      <c r="E539" s="1">
        <v>-0.008868048013969343</v>
      </c>
      <c r="F539" s="1">
        <v>-0.005383547193476557</v>
      </c>
      <c r="G539" s="1">
        <v>0.02935578195489996</v>
      </c>
      <c r="H539" s="1">
        <v>0.02470867697956036</v>
      </c>
      <c r="I539" s="1">
        <v>0.01277087354831852</v>
      </c>
      <c r="J539" s="1">
        <v>0.01039150325586302</v>
      </c>
      <c r="K539" s="1">
        <v>0.003434630902458435</v>
      </c>
      <c r="L539" s="1">
        <v>-0.001823366657475844</v>
      </c>
      <c r="M539" s="1">
        <v>-0.01223485044329875</v>
      </c>
      <c r="N539" s="1">
        <v>-0.009229002543481357</v>
      </c>
      <c r="O539" s="1">
        <v>-0.01039168144865199</v>
      </c>
      <c r="P539" s="1">
        <v>0.002623718927684537</v>
      </c>
      <c r="Q539" s="1">
        <v>0.01228066353585056</v>
      </c>
      <c r="R539" s="1">
        <v>0.01704670067561298</v>
      </c>
      <c r="S539" s="1">
        <v>0.01252944073117157</v>
      </c>
      <c r="T539" s="1">
        <v>0.004406897604287696</v>
      </c>
      <c r="U539" s="1">
        <v>0.004406600618942491</v>
      </c>
      <c r="V539" s="1">
        <v>0.02837162648207614</v>
      </c>
      <c r="W539" s="1">
        <v>-0.003146068051851358</v>
      </c>
      <c r="X539" s="1">
        <v>0</v>
      </c>
      <c r="Y539" s="1">
        <v>-0.001876171893057776</v>
      </c>
      <c r="Z539" s="1">
        <v>-0.02040838658060995</v>
      </c>
    </row>
    <row r="540" spans="1:26">
      <c r="A540" s="11">
        <v>43154</v>
      </c>
      <c r="B540" s="1">
        <v>0.03672920519339962</v>
      </c>
      <c r="C540" s="1">
        <v>0.002079069831570468</v>
      </c>
      <c r="D540" s="1">
        <v>0.01379213804118073</v>
      </c>
      <c r="E540" s="1">
        <v>0.03048242092312181</v>
      </c>
      <c r="F540" s="1">
        <v>0.01804151417382505</v>
      </c>
      <c r="G540" s="1">
        <v>0.02703691391894769</v>
      </c>
      <c r="H540" s="1">
        <v>0.003639618857453675</v>
      </c>
      <c r="I540" s="1">
        <v>0.01267031705611488</v>
      </c>
      <c r="J540" s="1">
        <v>0.03459615915948877</v>
      </c>
      <c r="K540" s="1">
        <v>0.02211668150138602</v>
      </c>
      <c r="L540" s="1">
        <v>0.02026449198405489</v>
      </c>
      <c r="M540" s="1">
        <v>0.01168863192355585</v>
      </c>
      <c r="N540" s="1">
        <v>0.01973479030317304</v>
      </c>
      <c r="O540" s="1">
        <v>0.02039089254880277</v>
      </c>
      <c r="P540" s="1">
        <v>0.02540032235571488</v>
      </c>
      <c r="Q540" s="1">
        <v>0.02253032213144701</v>
      </c>
      <c r="R540" s="1">
        <v>0.01306847179465276</v>
      </c>
      <c r="S540" s="1">
        <v>0.01315104591085503</v>
      </c>
      <c r="T540" s="1">
        <v>0.0004521954966216768</v>
      </c>
      <c r="U540" s="1">
        <v>0.006854735409898671</v>
      </c>
      <c r="V540" s="1">
        <v>0.005064503266336118</v>
      </c>
      <c r="W540" s="1">
        <v>0.01233688230118091</v>
      </c>
      <c r="X540" s="1">
        <v>-0.004032131573059594</v>
      </c>
      <c r="Y540" s="1">
        <v>0.008773750232051736</v>
      </c>
      <c r="Z540" s="1">
        <v>0.01754387731875484</v>
      </c>
    </row>
    <row r="541" spans="1:26">
      <c r="A541" s="11">
        <v>43157</v>
      </c>
      <c r="B541" s="1">
        <v>-0.004152118430536422</v>
      </c>
      <c r="C541" s="1">
        <v>0.01912194084684216</v>
      </c>
      <c r="D541" s="1">
        <v>0.01141006453969684</v>
      </c>
      <c r="E541" s="1">
        <v>0.01000701629525658</v>
      </c>
      <c r="F541" s="1">
        <v>0.00202507680212527</v>
      </c>
      <c r="G541" s="1">
        <v>0.002163971039723211</v>
      </c>
      <c r="H541" s="1">
        <v>0.005666632317647746</v>
      </c>
      <c r="I541" s="1">
        <v>0.007339029167663824</v>
      </c>
      <c r="J541" s="1">
        <v>0.06009924393293886</v>
      </c>
      <c r="K541" s="1">
        <v>-0.002060660210579601</v>
      </c>
      <c r="L541" s="1">
        <v>0.01244568295630089</v>
      </c>
      <c r="M541" s="1">
        <v>0.02603888749019023</v>
      </c>
      <c r="N541" s="1">
        <v>0.01300531711394304</v>
      </c>
      <c r="O541" s="1">
        <v>0.01340182986096439</v>
      </c>
      <c r="P541" s="1">
        <v>0.01445876853965467</v>
      </c>
      <c r="Q541" s="1">
        <v>-0.0004240046360958205</v>
      </c>
      <c r="R541" s="1">
        <v>0.003224862707859266</v>
      </c>
      <c r="S541" s="1">
        <v>0.001022165244778606</v>
      </c>
      <c r="T541" s="1">
        <v>0.01506783804801359</v>
      </c>
      <c r="U541" s="1">
        <v>0.02015235932694526</v>
      </c>
      <c r="V541" s="1">
        <v>0.0197586834683896</v>
      </c>
      <c r="W541" s="1">
        <v>0.01114755647318955</v>
      </c>
      <c r="X541" s="1">
        <v>0.02952084198711225</v>
      </c>
      <c r="Y541" s="1">
        <v>0.0165666354783951</v>
      </c>
      <c r="Z541" s="1">
        <v>0.01095533095402446</v>
      </c>
    </row>
    <row r="542" spans="1:26">
      <c r="A542" s="11">
        <v>43158</v>
      </c>
      <c r="B542" s="1">
        <v>-0.03279583711493395</v>
      </c>
      <c r="C542" s="1">
        <v>0.003191379776648073</v>
      </c>
      <c r="D542" s="1">
        <v>-0.006508284338907044</v>
      </c>
      <c r="E542" s="1">
        <v>-0.01151090595922977</v>
      </c>
      <c r="F542" s="1">
        <v>-0.07377467624646183</v>
      </c>
      <c r="G542" s="1">
        <v>-0.01943165750089026</v>
      </c>
      <c r="H542" s="1">
        <v>-0.009691600438710757</v>
      </c>
      <c r="I542" s="1">
        <v>-0.02316975779573571</v>
      </c>
      <c r="J542" s="1">
        <v>0.002557647167017896</v>
      </c>
      <c r="K542" s="1">
        <v>-0.01858530722923568</v>
      </c>
      <c r="L542" s="1">
        <v>-0.01187152375865674</v>
      </c>
      <c r="M542" s="1">
        <v>-0.01714287602428133</v>
      </c>
      <c r="N542" s="1">
        <v>-0.021855553058726</v>
      </c>
      <c r="O542" s="1">
        <v>-0.004487257209120354</v>
      </c>
      <c r="P542" s="1">
        <v>-0.01278518184658484</v>
      </c>
      <c r="Q542" s="1">
        <v>-0.01144521857730285</v>
      </c>
      <c r="R542" s="1">
        <v>-0.004472456998614982</v>
      </c>
      <c r="S542" s="1">
        <v>-0.01511108560716912</v>
      </c>
      <c r="T542" s="1">
        <v>-0.01185092008586952</v>
      </c>
      <c r="U542" s="1">
        <v>-0.01574978516966774</v>
      </c>
      <c r="V542" s="1">
        <v>-0.01729519461240636</v>
      </c>
      <c r="W542" s="1">
        <v>-0.01583633439505094</v>
      </c>
      <c r="X542" s="1">
        <v>-0.01278052994911072</v>
      </c>
      <c r="Y542" s="1">
        <v>-0.0213892546563621</v>
      </c>
      <c r="Z542" s="1">
        <v>-0.009770574454379899</v>
      </c>
    </row>
    <row r="543" spans="1:26">
      <c r="A543" s="11">
        <v>43159</v>
      </c>
      <c r="B543" s="1">
        <v>-0.01867794417151913</v>
      </c>
      <c r="C543" s="1">
        <v>-0.006664121894582764</v>
      </c>
      <c r="D543" s="1">
        <v>-0.0131021587451533</v>
      </c>
      <c r="E543" s="1">
        <v>-0.02417460734018539</v>
      </c>
      <c r="F543" s="1">
        <v>-0.01227480139683501</v>
      </c>
      <c r="G543" s="1">
        <v>-0.007339276305022957</v>
      </c>
      <c r="H543" s="1">
        <v>-0.02025483054204424</v>
      </c>
      <c r="I543" s="1">
        <v>-0.01656709110480681</v>
      </c>
      <c r="J543" s="1">
        <v>-0.005527102464921829</v>
      </c>
      <c r="K543" s="1">
        <v>-0.03024769691274909</v>
      </c>
      <c r="L543" s="1">
        <v>-0.01584881625130441</v>
      </c>
      <c r="M543" s="1">
        <v>-0.01094387455679802</v>
      </c>
      <c r="N543" s="1">
        <v>-0.01640636950634389</v>
      </c>
      <c r="O543" s="1">
        <v>-0.01530033116525498</v>
      </c>
      <c r="P543" s="1">
        <v>-0.004564775408498534</v>
      </c>
      <c r="Q543" s="1">
        <v>-0.008147760339412558</v>
      </c>
      <c r="R543" s="1">
        <v>0.005054228368420288</v>
      </c>
      <c r="S543" s="1">
        <v>0.007878892445219776</v>
      </c>
      <c r="T543" s="1">
        <v>0.005433246922903701</v>
      </c>
      <c r="U543" s="1">
        <v>-0.01545964760488505</v>
      </c>
      <c r="V543" s="1">
        <v>-0.002117266252275374</v>
      </c>
      <c r="W543" s="1">
        <v>-0.009967431953329942</v>
      </c>
      <c r="X543" s="1">
        <v>-0.006638923117458062</v>
      </c>
      <c r="Y543" s="1">
        <v>-0.006244777898226861</v>
      </c>
      <c r="Z543" s="1">
        <v>-0.01381384463934776</v>
      </c>
    </row>
    <row r="544" spans="1:26">
      <c r="A544" s="11">
        <v>43160</v>
      </c>
      <c r="B544" s="1">
        <v>0.003513851531257606</v>
      </c>
      <c r="C544" s="1">
        <v>-0.03456554653416399</v>
      </c>
      <c r="D544" s="1">
        <v>-0.01951816280139107</v>
      </c>
      <c r="E544" s="1">
        <v>-0.007703527461196624</v>
      </c>
      <c r="F544" s="1">
        <v>0.009113556783016064</v>
      </c>
      <c r="G544" s="1">
        <v>-0.01219967538790678</v>
      </c>
      <c r="H544" s="1">
        <v>-0.01788624635551961</v>
      </c>
      <c r="I544" s="1">
        <v>-0.02523760766100658</v>
      </c>
      <c r="J544" s="1">
        <v>-0.001710200651774074</v>
      </c>
      <c r="K544" s="1">
        <v>-0.02630808073240531</v>
      </c>
      <c r="L544" s="1">
        <v>-0.01792193871359249</v>
      </c>
      <c r="M544" s="1">
        <v>0.002939170274064207</v>
      </c>
      <c r="N544" s="1">
        <v>-0.00826029444281895</v>
      </c>
      <c r="O544" s="1">
        <v>-0.01445404218653257</v>
      </c>
      <c r="P544" s="1">
        <v>-0.009811529805773711</v>
      </c>
      <c r="Q544" s="1">
        <v>0.001729397358271267</v>
      </c>
      <c r="R544" s="1">
        <v>-0.03561989218600636</v>
      </c>
      <c r="S544" s="1">
        <v>0.008588421360544496</v>
      </c>
      <c r="T544" s="1">
        <v>-0.01262518006958335</v>
      </c>
      <c r="U544" s="1">
        <v>-0.008264825008880816</v>
      </c>
      <c r="V544" s="1">
        <v>-0.01697393976829475</v>
      </c>
      <c r="W544" s="1">
        <v>-0.01615710747743593</v>
      </c>
      <c r="X544" s="1">
        <v>-0.02690056526992612</v>
      </c>
      <c r="Y544" s="1">
        <v>0.004607805168133972</v>
      </c>
      <c r="Z544" s="1">
        <v>-0.01073361645812076</v>
      </c>
    </row>
    <row r="545" spans="1:26">
      <c r="A545" s="11">
        <v>43161</v>
      </c>
      <c r="B545" s="1">
        <v>0.01488176901578142</v>
      </c>
      <c r="C545" s="1">
        <v>-0.01435559431415057</v>
      </c>
      <c r="D545" s="1">
        <v>-0.0004525241946211622</v>
      </c>
      <c r="E545" s="1">
        <v>0.00730650085310236</v>
      </c>
      <c r="F545" s="1">
        <v>-0.00136836907158755</v>
      </c>
      <c r="G545" s="1">
        <v>-0.001122883737837421</v>
      </c>
      <c r="H545" s="1">
        <v>-0.006149249890629482</v>
      </c>
      <c r="I545" s="1">
        <v>-0.0223203077760844</v>
      </c>
      <c r="J545" s="1">
        <v>0.009421664844485367</v>
      </c>
      <c r="K545" s="1">
        <v>0.01030605719142641</v>
      </c>
      <c r="L545" s="1">
        <v>-0.0009700047731600048</v>
      </c>
      <c r="M545" s="1">
        <v>-0.003447692293297</v>
      </c>
      <c r="N545" s="1">
        <v>0.001922116781236216</v>
      </c>
      <c r="O545" s="1">
        <v>0.009777170509192024</v>
      </c>
      <c r="P545" s="1">
        <v>0.0021540488081635</v>
      </c>
      <c r="Q545" s="1">
        <v>0</v>
      </c>
      <c r="R545" s="1">
        <v>-0.02679583257588758</v>
      </c>
      <c r="S545" s="1">
        <v>-0.005660123135114659</v>
      </c>
      <c r="T545" s="1">
        <v>-0.01581281403029045</v>
      </c>
      <c r="U545" s="1">
        <v>0.00972240706223082</v>
      </c>
      <c r="V545" s="1">
        <v>0.0137600306244583</v>
      </c>
      <c r="W545" s="1">
        <v>0.005994063966687557</v>
      </c>
      <c r="X545" s="1">
        <v>-0.009958923662581443</v>
      </c>
      <c r="Y545" s="1">
        <v>0.006255451477594987</v>
      </c>
      <c r="Z545" s="1">
        <v>0.007907523973082364</v>
      </c>
    </row>
    <row r="546" spans="1:26">
      <c r="A546" s="11">
        <v>43164</v>
      </c>
      <c r="B546" s="1">
        <v>0.01236300242402111</v>
      </c>
      <c r="C546" s="1">
        <v>0.0234425162667744</v>
      </c>
      <c r="D546" s="1">
        <v>0.008599803696254238</v>
      </c>
      <c r="E546" s="1">
        <v>0.00982333248767886</v>
      </c>
      <c r="F546" s="1">
        <v>0.007947246168075184</v>
      </c>
      <c r="G546" s="1">
        <v>0.01723491659056831</v>
      </c>
      <c r="H546" s="1">
        <v>0.03569696300272929</v>
      </c>
      <c r="I546" s="1">
        <v>0.02759145197443313</v>
      </c>
      <c r="J546" s="1">
        <v>0.005091312184188235</v>
      </c>
      <c r="K546" s="1">
        <v>0.01792100341778258</v>
      </c>
      <c r="L546" s="1">
        <v>0.01535455149817389</v>
      </c>
      <c r="M546" s="1">
        <v>0.009859787615780213</v>
      </c>
      <c r="N546" s="1">
        <v>0.02525980301727682</v>
      </c>
      <c r="O546" s="1">
        <v>0.008593655574756776</v>
      </c>
      <c r="P546" s="1">
        <v>0.006340924029549111</v>
      </c>
      <c r="Q546" s="1">
        <v>0.01553759709171199</v>
      </c>
      <c r="R546" s="1">
        <v>0.02411053159812715</v>
      </c>
      <c r="S546" s="1">
        <v>0.0120514875707618</v>
      </c>
      <c r="T546" s="1">
        <v>0.007328554200070725</v>
      </c>
      <c r="U546" s="1">
        <v>0.009628412554383958</v>
      </c>
      <c r="V546" s="1">
        <v>-0.0001333272984733735</v>
      </c>
      <c r="W546" s="1">
        <v>0.001549770361913616</v>
      </c>
      <c r="X546" s="1">
        <v>0.01248693437458237</v>
      </c>
      <c r="Y546" s="1">
        <v>0.009324499015084475</v>
      </c>
      <c r="Z546" s="1">
        <v>0.01642042669123289</v>
      </c>
    </row>
    <row r="547" spans="1:26">
      <c r="A547" s="11">
        <v>43165</v>
      </c>
      <c r="B547" s="1">
        <v>0.004260747056274994</v>
      </c>
      <c r="C547" s="1">
        <v>-0.01085733467655092</v>
      </c>
      <c r="D547" s="1">
        <v>0.002393661612354547</v>
      </c>
      <c r="E547" s="1">
        <v>-0.02020340047311009</v>
      </c>
      <c r="F547" s="1">
        <v>0.00244703450378192</v>
      </c>
      <c r="G547" s="1">
        <v>-0.0139960044936811</v>
      </c>
      <c r="H547" s="1">
        <v>0.008731385283102577</v>
      </c>
      <c r="I547" s="1">
        <v>0.006157509630904778</v>
      </c>
      <c r="J547" s="1">
        <v>0.01097498907348848</v>
      </c>
      <c r="K547" s="1">
        <v>0.01273021655913875</v>
      </c>
      <c r="L547" s="1">
        <v>0.0008694138122466999</v>
      </c>
      <c r="M547" s="1">
        <v>-8.587482803068536E-05</v>
      </c>
      <c r="N547" s="1">
        <v>0.009979579585016829</v>
      </c>
      <c r="O547" s="1">
        <v>0.002519914935520839</v>
      </c>
      <c r="P547" s="1">
        <v>-0.003417524915145242</v>
      </c>
      <c r="Q547" s="1">
        <v>-0.01359966277228641</v>
      </c>
      <c r="R547" s="1">
        <v>0.01598621037596626</v>
      </c>
      <c r="S547" s="1">
        <v>0.00410450578372723</v>
      </c>
      <c r="T547" s="1">
        <v>0.02017333666547438</v>
      </c>
      <c r="U547" s="1">
        <v>0.004632455490190424</v>
      </c>
      <c r="V547" s="1">
        <v>-0.04458329922105009</v>
      </c>
      <c r="W547" s="1">
        <v>0.01625073477886274</v>
      </c>
      <c r="X547" s="1">
        <v>0.003597100196447656</v>
      </c>
      <c r="Y547" s="1">
        <v>0.003695254858357089</v>
      </c>
      <c r="Z547" s="1">
        <v>0.01489850845840035</v>
      </c>
    </row>
    <row r="548" spans="1:26">
      <c r="A548" s="11">
        <v>43166</v>
      </c>
      <c r="B548" s="1">
        <v>-0.02007937807404625</v>
      </c>
      <c r="C548" s="1">
        <v>-0.005388161515344714</v>
      </c>
      <c r="D548" s="1">
        <v>0.000149026007195241</v>
      </c>
      <c r="E548" s="1">
        <v>0.009623050151239321</v>
      </c>
      <c r="F548" s="1">
        <v>-0.02034189669367759</v>
      </c>
      <c r="G548" s="1">
        <v>-0.00224166403212489</v>
      </c>
      <c r="H548" s="1">
        <v>-0.01867835431399956</v>
      </c>
      <c r="I548" s="1">
        <v>-0.003848900195544069</v>
      </c>
      <c r="J548" s="1">
        <v>0.003758194954383232</v>
      </c>
      <c r="K548" s="1">
        <v>-0.008558132158659748</v>
      </c>
      <c r="L548" s="1">
        <v>-0.003733792624463828</v>
      </c>
      <c r="M548" s="1">
        <v>-0.01167382949622442</v>
      </c>
      <c r="N548" s="1">
        <v>-0.01080758934633896</v>
      </c>
      <c r="O548" s="1">
        <v>0.003112621277135519</v>
      </c>
      <c r="P548" s="1">
        <v>0.005786666360380721</v>
      </c>
      <c r="Q548" s="1">
        <v>-0.01120179342826821</v>
      </c>
      <c r="R548" s="1">
        <v>-0.01201527494155652</v>
      </c>
      <c r="S548" s="1">
        <v>-0.000757304181794316</v>
      </c>
      <c r="T548" s="1">
        <v>0.01688110462794468</v>
      </c>
      <c r="U548" s="1">
        <v>0.001084824103921189</v>
      </c>
      <c r="V548" s="1">
        <v>-0.005014613971446757</v>
      </c>
      <c r="W548" s="1">
        <v>0.009708913334014024</v>
      </c>
      <c r="X548" s="1">
        <v>-0.001194582181664017</v>
      </c>
      <c r="Y548" s="1">
        <v>-0.001022587179201118</v>
      </c>
      <c r="Z548" s="1">
        <v>0.006897586363161956</v>
      </c>
    </row>
    <row r="549" spans="1:26">
      <c r="A549" s="11">
        <v>43167</v>
      </c>
      <c r="B549" s="1">
        <v>0.009235334563746145</v>
      </c>
      <c r="C549" s="1">
        <v>0.004869822060874274</v>
      </c>
      <c r="D549" s="1">
        <v>0.01193651157135434</v>
      </c>
      <c r="E549" s="1">
        <v>0.009833410845191626</v>
      </c>
      <c r="F549" s="1">
        <v>0.02104116623079788</v>
      </c>
      <c r="G549" s="1">
        <v>0.0142269313243204</v>
      </c>
      <c r="H549" s="1">
        <v>0.001392691282911418</v>
      </c>
      <c r="I549" s="1">
        <v>0.02001251234691659</v>
      </c>
      <c r="J549" s="1">
        <v>-0.003744123807182476</v>
      </c>
      <c r="K549" s="1">
        <v>0.01510656937062338</v>
      </c>
      <c r="L549" s="1">
        <v>8.709955395502789E-05</v>
      </c>
      <c r="M549" s="1">
        <v>0.01389619921001861</v>
      </c>
      <c r="N549" s="1">
        <v>0.02122710887214385</v>
      </c>
      <c r="O549" s="1">
        <v>0.007637033305725405</v>
      </c>
      <c r="P549" s="1">
        <v>0.00607303487708255</v>
      </c>
      <c r="Q549" s="1">
        <v>0.005664128957635128</v>
      </c>
      <c r="R549" s="1">
        <v>-0.01317513065289722</v>
      </c>
      <c r="S549" s="1">
        <v>0.009090687065091974</v>
      </c>
      <c r="T549" s="1">
        <v>-0.008459912882845311</v>
      </c>
      <c r="U549" s="1">
        <v>0.005418616394210929</v>
      </c>
      <c r="V549" s="1">
        <v>-0.0235197904018678</v>
      </c>
      <c r="W549" s="1">
        <v>-0.002167989900195955</v>
      </c>
      <c r="X549" s="1">
        <v>0.00905673546701391</v>
      </c>
      <c r="Y549" s="1">
        <v>0.003480829280669617</v>
      </c>
      <c r="Z549" s="1">
        <v>-0.01457932775554194</v>
      </c>
    </row>
    <row r="550" spans="1:26">
      <c r="A550" s="11">
        <v>43168</v>
      </c>
      <c r="B550" s="1">
        <v>0.01000853407534374</v>
      </c>
      <c r="C550" s="1">
        <v>0.01660312526299168</v>
      </c>
      <c r="D550" s="1">
        <v>0.01577717155686575</v>
      </c>
      <c r="E550" s="1">
        <v>0.01752775008843233</v>
      </c>
      <c r="F550" s="1">
        <v>0.006778770182715999</v>
      </c>
      <c r="G550" s="1">
        <v>0.001476669463649438</v>
      </c>
      <c r="H550" s="1">
        <v>0.0108946092993718</v>
      </c>
      <c r="I550" s="1">
        <v>0.04265524399500165</v>
      </c>
      <c r="J550" s="1">
        <v>0.02922775920009935</v>
      </c>
      <c r="K550" s="1">
        <v>0.02418273290426964</v>
      </c>
      <c r="L550" s="1">
        <v>0.02876064037563619</v>
      </c>
      <c r="M550" s="1">
        <v>0.02278578975698542</v>
      </c>
      <c r="N550" s="1">
        <v>0.003362401310221808</v>
      </c>
      <c r="O550" s="1">
        <v>0.01693490911919771</v>
      </c>
      <c r="P550" s="1">
        <v>0.02234434838677424</v>
      </c>
      <c r="Q550" s="1">
        <v>-0.005199321828532666</v>
      </c>
      <c r="R550" s="1">
        <v>0.01335103224710377</v>
      </c>
      <c r="S550" s="1">
        <v>0.0007510505604533257</v>
      </c>
      <c r="T550" s="1">
        <v>0.04157308407781035</v>
      </c>
      <c r="U550" s="1">
        <v>-0.001616836359421447</v>
      </c>
      <c r="V550" s="1">
        <v>0.01060930013939299</v>
      </c>
      <c r="W550" s="1">
        <v>0.02923947295629636</v>
      </c>
      <c r="X550" s="1">
        <v>0.02320843019273355</v>
      </c>
      <c r="Y550" s="1">
        <v>0</v>
      </c>
      <c r="Z550" s="1">
        <v>0.01675615530002794</v>
      </c>
    </row>
    <row r="551" spans="1:26">
      <c r="A551" s="11">
        <v>43171</v>
      </c>
      <c r="B551" s="1">
        <v>0.002547971330233878</v>
      </c>
      <c r="C551" s="1">
        <v>-0.02913814805719916</v>
      </c>
      <c r="D551" s="1">
        <v>-0.005661163453585583</v>
      </c>
      <c r="E551" s="1">
        <v>-0.006919618214272893</v>
      </c>
      <c r="F551" s="1">
        <v>-0.00457872122054459</v>
      </c>
      <c r="G551" s="1">
        <v>0.01105796842151952</v>
      </c>
      <c r="H551" s="1">
        <v>-0.0004581656006655832</v>
      </c>
      <c r="I551" s="1">
        <v>-0.02322409333428532</v>
      </c>
      <c r="J551" s="1">
        <v>-0.03326579067107194</v>
      </c>
      <c r="K551" s="1">
        <v>0.004151500998037294</v>
      </c>
      <c r="L551" s="1">
        <v>-0.003219326445448201</v>
      </c>
      <c r="M551" s="1">
        <v>0.001004912333239627</v>
      </c>
      <c r="N551" s="1">
        <v>0.001827509096920643</v>
      </c>
      <c r="O551" s="1">
        <v>-0.01117955864757048</v>
      </c>
      <c r="P551" s="1">
        <v>0.002382588880815772</v>
      </c>
      <c r="Q551" s="1">
        <v>0.007839470954526861</v>
      </c>
      <c r="R551" s="1">
        <v>-0.01925628281058567</v>
      </c>
      <c r="S551" s="1">
        <v>-0.002750950119256523</v>
      </c>
      <c r="T551" s="1">
        <v>-0.0140328994077844</v>
      </c>
      <c r="U551" s="1">
        <v>0.008367317331845481</v>
      </c>
      <c r="V551" s="1">
        <v>0.002553444872316346</v>
      </c>
      <c r="W551" s="1">
        <v>-0.001835772028027094</v>
      </c>
      <c r="X551" s="1">
        <v>-0.02317868870796957</v>
      </c>
      <c r="Y551" s="1">
        <v>-0.004284834123075454</v>
      </c>
      <c r="Z551" s="1">
        <v>-0.008064728637230845</v>
      </c>
    </row>
    <row r="552" spans="1:26">
      <c r="A552" s="11">
        <v>43172</v>
      </c>
      <c r="B552" s="1">
        <v>0.001412159382988332</v>
      </c>
      <c r="C552" s="1">
        <v>-0.01603759470612265</v>
      </c>
      <c r="D552" s="1">
        <v>-0.005985666957830649</v>
      </c>
      <c r="E552" s="1">
        <v>-0.01141593238845151</v>
      </c>
      <c r="F552" s="1">
        <v>-0.01433969423959336</v>
      </c>
      <c r="G552" s="1">
        <v>-0.004374828713954892</v>
      </c>
      <c r="H552" s="1">
        <v>0.008028980028705668</v>
      </c>
      <c r="I552" s="1">
        <v>-0.0165213293502503</v>
      </c>
      <c r="J552" s="1">
        <v>-0.002996938623892609</v>
      </c>
      <c r="K552" s="1">
        <v>0.004651218674252222</v>
      </c>
      <c r="L552" s="1">
        <v>-0.01198368225176982</v>
      </c>
      <c r="M552" s="1">
        <v>0.009538189403982988</v>
      </c>
      <c r="N552" s="1">
        <v>0.005473739962318147</v>
      </c>
      <c r="O552" s="1">
        <v>-0.003415421575698296</v>
      </c>
      <c r="P552" s="1">
        <v>-0.02438806593227505</v>
      </c>
      <c r="Q552" s="1">
        <v>0</v>
      </c>
      <c r="R552" s="1">
        <v>-0.005314164215972972</v>
      </c>
      <c r="S552" s="1">
        <v>-5.068754818871035E-05</v>
      </c>
      <c r="T552" s="1">
        <v>-0.003563805947780607</v>
      </c>
      <c r="U552" s="1">
        <v>0.000802731440642912</v>
      </c>
      <c r="V552" s="1">
        <v>0.007075219206311711</v>
      </c>
      <c r="W552" s="1">
        <v>-0.01089707035426613</v>
      </c>
      <c r="X552" s="1">
        <v>-0.001694794277505407</v>
      </c>
      <c r="Y552" s="1">
        <v>-0.003073793127119862</v>
      </c>
      <c r="Z552" s="1">
        <v>-0.01466968979305217</v>
      </c>
    </row>
    <row r="553" spans="1:26">
      <c r="A553" s="11">
        <v>43173</v>
      </c>
      <c r="B553" s="1">
        <v>0.005358247738282085</v>
      </c>
      <c r="C553" s="1">
        <v>-0.02483242271111785</v>
      </c>
      <c r="D553" s="1">
        <v>-0.01189553730967507</v>
      </c>
      <c r="E553" s="1">
        <v>-0.0007498976748196995</v>
      </c>
      <c r="F553" s="1">
        <v>-0.01125432433638462</v>
      </c>
      <c r="G553" s="1">
        <v>-0.009520311286392635</v>
      </c>
      <c r="H553" s="1">
        <v>0.005917298538571147</v>
      </c>
      <c r="I553" s="1">
        <v>-0.00688036440925921</v>
      </c>
      <c r="J553" s="1">
        <v>-0.005927167938850841</v>
      </c>
      <c r="K553" s="1">
        <v>-0.04269554969324296</v>
      </c>
      <c r="L553" s="1">
        <v>-0.01118288789939281</v>
      </c>
      <c r="M553" s="1">
        <v>-0.01176873530277733</v>
      </c>
      <c r="N553" s="1">
        <v>-0.02460654418649366</v>
      </c>
      <c r="O553" s="1">
        <v>-0.01004494725755789</v>
      </c>
      <c r="P553" s="1">
        <v>-0.005931166677814459</v>
      </c>
      <c r="Q553" s="1">
        <v>0.007346925412749616</v>
      </c>
      <c r="R553" s="1">
        <v>-0.0152865549290413</v>
      </c>
      <c r="S553" s="1">
        <v>-0.01413369387407748</v>
      </c>
      <c r="T553" s="1">
        <v>-0.01148019264344224</v>
      </c>
      <c r="U553" s="1">
        <v>-0.009628125267080678</v>
      </c>
      <c r="V553" s="1">
        <v>-0.007306259553826022</v>
      </c>
      <c r="W553" s="1">
        <v>-0.006932015683703607</v>
      </c>
      <c r="X553" s="1">
        <v>0.003225503793456763</v>
      </c>
      <c r="Y553" s="1">
        <v>-0.004111027283569491</v>
      </c>
      <c r="Z553" s="1">
        <v>-0.01739885961359289</v>
      </c>
    </row>
    <row r="554" spans="1:26">
      <c r="A554" s="11">
        <v>43174</v>
      </c>
      <c r="B554" s="1">
        <v>-0.00869582753165965</v>
      </c>
      <c r="C554" s="1">
        <v>-0.0008477290971965479</v>
      </c>
      <c r="D554" s="1">
        <v>0.004607841930990508</v>
      </c>
      <c r="E554" s="1">
        <v>-0.005703372922966743</v>
      </c>
      <c r="F554" s="1">
        <v>0.003608849029136163</v>
      </c>
      <c r="G554" s="1">
        <v>-0.004806045270687287</v>
      </c>
      <c r="H554" s="1">
        <v>-0.02013538355563438</v>
      </c>
      <c r="I554" s="1">
        <v>-0.003807627064749464</v>
      </c>
      <c r="J554" s="1">
        <v>0</v>
      </c>
      <c r="K554" s="1">
        <v>-0.004567512465201262</v>
      </c>
      <c r="L554" s="1">
        <v>0.002522970534004632</v>
      </c>
      <c r="M554" s="1">
        <v>0.005367368946258777</v>
      </c>
      <c r="N554" s="1">
        <v>-0.0001566137408980373</v>
      </c>
      <c r="O554" s="1">
        <v>0.001074426766864978</v>
      </c>
      <c r="P554" s="1">
        <v>0.00351611805692853</v>
      </c>
      <c r="Q554" s="1">
        <v>0.003432084871029417</v>
      </c>
      <c r="R554" s="1">
        <v>0.007083655576924475</v>
      </c>
      <c r="S554" s="1">
        <v>0.00287768014367451</v>
      </c>
      <c r="T554" s="1">
        <v>0.003056271587759563</v>
      </c>
      <c r="U554" s="1">
        <v>0.0002700652254081781</v>
      </c>
      <c r="V554" s="1">
        <v>-0.0002832951399580619</v>
      </c>
      <c r="W554" s="1">
        <v>-0.004731487810701873</v>
      </c>
      <c r="X554" s="1">
        <v>-0.001522920127391414</v>
      </c>
      <c r="Y554" s="1">
        <v>-0.003302297502961182</v>
      </c>
      <c r="Z554" s="1">
        <v>-0.0005476656119134393</v>
      </c>
    </row>
    <row r="555" spans="1:26">
      <c r="A555" s="11">
        <v>43175</v>
      </c>
      <c r="B555" s="1">
        <v>0.02263714064711819</v>
      </c>
      <c r="C555" s="1">
        <v>0.001484736331107017</v>
      </c>
      <c r="D555" s="1">
        <v>0.004437858319280119</v>
      </c>
      <c r="E555" s="1">
        <v>0.005283515018244866</v>
      </c>
      <c r="F555" s="1">
        <v>-0.008851958494926149</v>
      </c>
      <c r="G555" s="1">
        <v>0.008543786278916166</v>
      </c>
      <c r="H555" s="1">
        <v>0.006233522467499419</v>
      </c>
      <c r="I555" s="1">
        <v>0.026816930853655</v>
      </c>
      <c r="J555" s="1">
        <v>0.001277711662448944</v>
      </c>
      <c r="K555" s="1">
        <v>-0.002446326813108746</v>
      </c>
      <c r="L555" s="1">
        <v>0.001735695415509442</v>
      </c>
      <c r="M555" s="1">
        <v>0.01601607114244064</v>
      </c>
      <c r="N555" s="1">
        <v>-0.00971641158371539</v>
      </c>
      <c r="O555" s="1">
        <v>0.005604627647545213</v>
      </c>
      <c r="P555" s="1">
        <v>0.004459259335066079</v>
      </c>
      <c r="Q555" s="1">
        <v>0.001709958481169949</v>
      </c>
      <c r="R555" s="1">
        <v>0.01376816926374325</v>
      </c>
      <c r="S555" s="1">
        <v>0.01455130752160261</v>
      </c>
      <c r="T555" s="1">
        <v>-0.003022159331548258</v>
      </c>
      <c r="U555" s="1">
        <v>-0.00107990717229911</v>
      </c>
      <c r="V555" s="1">
        <v>0.005096698507817576</v>
      </c>
      <c r="W555" s="1">
        <v>-0.009460920963132891</v>
      </c>
      <c r="X555" s="1">
        <v>-0.002881261388665846</v>
      </c>
      <c r="Y555" s="1">
        <v>0.005591500409803274</v>
      </c>
      <c r="Z555" s="1">
        <v>0.01406390425937198</v>
      </c>
    </row>
    <row r="556" spans="1:26">
      <c r="A556" s="11">
        <v>43178</v>
      </c>
      <c r="B556" s="1">
        <v>-0.01577195771982831</v>
      </c>
      <c r="C556" s="1">
        <v>0.003903671759869942</v>
      </c>
      <c r="D556" s="1">
        <v>-0.01664437455597501</v>
      </c>
      <c r="E556" s="1">
        <v>-0.007958256373740702</v>
      </c>
      <c r="F556" s="1">
        <v>-0.01479186405414035</v>
      </c>
      <c r="G556" s="1">
        <v>-0.007366579401843709</v>
      </c>
      <c r="H556" s="1">
        <v>0.0004594486519411412</v>
      </c>
      <c r="I556" s="1">
        <v>-0.02654383501129343</v>
      </c>
      <c r="J556" s="1">
        <v>-0.01318599049896274</v>
      </c>
      <c r="K556" s="1">
        <v>-0.007901814783524252</v>
      </c>
      <c r="L556" s="1">
        <v>-0.007883037377077073</v>
      </c>
      <c r="M556" s="1">
        <v>-0.004926116308811346</v>
      </c>
      <c r="N556" s="1">
        <v>-0.01123600484979603</v>
      </c>
      <c r="O556" s="1">
        <v>0.001067187141572834</v>
      </c>
      <c r="P556" s="1">
        <v>-0.01807571407102804</v>
      </c>
      <c r="Q556" s="1">
        <v>-0.008109294211322338</v>
      </c>
      <c r="R556" s="1">
        <v>-0.02347164322769424</v>
      </c>
      <c r="S556" s="1">
        <v>-0.006514523883556222</v>
      </c>
      <c r="T556" s="1">
        <v>-0.009046022493005235</v>
      </c>
      <c r="U556" s="1">
        <v>-0.01135131470890915</v>
      </c>
      <c r="V556" s="1">
        <v>-0.009155641873399345</v>
      </c>
      <c r="W556" s="1">
        <v>0.006082306555611483</v>
      </c>
      <c r="X556" s="1">
        <v>0.001869667241577444</v>
      </c>
      <c r="Y556" s="1">
        <v>-0.005148494683208549</v>
      </c>
      <c r="Z556" s="1">
        <v>-0.009545925565026758</v>
      </c>
    </row>
    <row r="557" spans="1:26">
      <c r="A557" s="11">
        <v>43179</v>
      </c>
      <c r="B557" s="1">
        <v>0.01967942142194823</v>
      </c>
      <c r="C557" s="1">
        <v>0.01769367758842777</v>
      </c>
      <c r="D557" s="1">
        <v>0.002246976498235798</v>
      </c>
      <c r="E557" s="1">
        <v>0.005448778438180923</v>
      </c>
      <c r="F557" s="1">
        <v>-0.02068020474687182</v>
      </c>
      <c r="G557" s="1">
        <v>-0.005194646736291664</v>
      </c>
      <c r="H557" s="1">
        <v>-0.01100967421570676</v>
      </c>
      <c r="I557" s="1">
        <v>0.002883561591759065</v>
      </c>
      <c r="J557" s="1">
        <v>0.003448426875036548</v>
      </c>
      <c r="K557" s="1">
        <v>-0.01538032527707411</v>
      </c>
      <c r="L557" s="1">
        <v>0.0009605211743388686</v>
      </c>
      <c r="M557" s="1">
        <v>0.001485087579841338</v>
      </c>
      <c r="N557" s="1">
        <v>-0.01536461173484216</v>
      </c>
      <c r="O557" s="1">
        <v>0.006041539637733573</v>
      </c>
      <c r="P557" s="1">
        <v>0.002583458352848123</v>
      </c>
      <c r="Q557" s="1">
        <v>-0.002581601300893022</v>
      </c>
      <c r="R557" s="1">
        <v>0.002116252821670495</v>
      </c>
      <c r="S557" s="1">
        <v>0.006659191072610371</v>
      </c>
      <c r="T557" s="1">
        <v>0.001431067545437648</v>
      </c>
      <c r="U557" s="1">
        <v>-0.006561237134368625</v>
      </c>
      <c r="V557" s="1">
        <v>0.0173442441325049</v>
      </c>
      <c r="W557" s="1">
        <v>0.01416965543315296</v>
      </c>
      <c r="X557" s="1">
        <v>0.003054049351977062</v>
      </c>
      <c r="Y557" s="1">
        <v>-0.01283411490267006</v>
      </c>
      <c r="Z557" s="1">
        <v>-0.003455484645707108</v>
      </c>
    </row>
    <row r="558" spans="1:26">
      <c r="A558" s="11">
        <v>43180</v>
      </c>
      <c r="B558" s="1">
        <v>0.05045521124734931</v>
      </c>
      <c r="C558" s="1">
        <v>-0.001569919756091442</v>
      </c>
      <c r="D558" s="1">
        <v>-0.006725489442646837</v>
      </c>
      <c r="E558" s="1">
        <v>-0.004967269447634703</v>
      </c>
      <c r="F558" s="1">
        <v>-0.002314021280261702</v>
      </c>
      <c r="G558" s="1">
        <v>0.001118931557909431</v>
      </c>
      <c r="H558" s="1">
        <v>-0.02203141174623957</v>
      </c>
      <c r="I558" s="1">
        <v>-0.01212578323180502</v>
      </c>
      <c r="J558" s="1">
        <v>0</v>
      </c>
      <c r="K558" s="1">
        <v>0.01338930092830326</v>
      </c>
      <c r="L558" s="1">
        <v>0.0008722643747489656</v>
      </c>
      <c r="M558" s="1">
        <v>-0.04794845388716307</v>
      </c>
      <c r="N558" s="1">
        <v>-0.02470752681495381</v>
      </c>
      <c r="O558" s="1">
        <v>-0.005181284667514108</v>
      </c>
      <c r="P558" s="1">
        <v>-0.006979186276092952</v>
      </c>
      <c r="Q558" s="1">
        <v>0.004745312152345305</v>
      </c>
      <c r="R558" s="1">
        <v>0.007995014867524519</v>
      </c>
      <c r="S558" s="1">
        <v>0.002474170670949905</v>
      </c>
      <c r="T558" s="1">
        <v>-0.001675365849355237</v>
      </c>
      <c r="U558" s="1">
        <v>-0.009356186043698589</v>
      </c>
      <c r="V558" s="1">
        <v>-0.01984384611461909</v>
      </c>
      <c r="W558" s="1">
        <v>-0.008196643221262567</v>
      </c>
      <c r="X558" s="1">
        <v>0.003044554842951852</v>
      </c>
      <c r="Y558" s="1">
        <v>-0.008597025844400252</v>
      </c>
      <c r="Z558" s="1">
        <v>0.005474383984375386</v>
      </c>
    </row>
    <row r="559" spans="1:26">
      <c r="A559" s="11">
        <v>43181</v>
      </c>
      <c r="B559" s="1">
        <v>-0.02152248974863558</v>
      </c>
      <c r="C559" s="1">
        <v>-0.05188370868108816</v>
      </c>
      <c r="D559" s="1">
        <v>-0.01369218335829203</v>
      </c>
      <c r="E559" s="1">
        <v>-0.03252685949195244</v>
      </c>
      <c r="F559" s="1">
        <v>-0.03653221593953382</v>
      </c>
      <c r="G559" s="1">
        <v>-0.004098163481219719</v>
      </c>
      <c r="H559" s="1">
        <v>-0.001659868879233528</v>
      </c>
      <c r="I559" s="1">
        <v>-0.04093634891152076</v>
      </c>
      <c r="J559" s="1">
        <v>-0.03479359713700214</v>
      </c>
      <c r="K559" s="1">
        <v>-0.02284609164685036</v>
      </c>
      <c r="L559" s="1">
        <v>-0.0417469463117679</v>
      </c>
      <c r="M559" s="1">
        <v>-0.01349951627692891</v>
      </c>
      <c r="N559" s="1">
        <v>0.006499918323189968</v>
      </c>
      <c r="O559" s="1">
        <v>-0.02438137161425857</v>
      </c>
      <c r="P559" s="1">
        <v>-0.02908750248422232</v>
      </c>
      <c r="Q559" s="1">
        <v>0.004293898422687681</v>
      </c>
      <c r="R559" s="1">
        <v>-0.0374135212645943</v>
      </c>
      <c r="S559" s="1">
        <v>-0.01425556957480745</v>
      </c>
      <c r="T559" s="1">
        <v>-0.02993374377387159</v>
      </c>
      <c r="U559" s="1">
        <v>-0.01749963024902701</v>
      </c>
      <c r="V559" s="1">
        <v>-0.01782142893018845</v>
      </c>
      <c r="W559" s="1">
        <v>-0.02643690516816721</v>
      </c>
      <c r="X559" s="1">
        <v>-0.02951103447136671</v>
      </c>
      <c r="Y559" s="1">
        <v>-0.008460106752156027</v>
      </c>
      <c r="Z559" s="1">
        <v>-0.03684185544666052</v>
      </c>
    </row>
    <row r="560" spans="1:26">
      <c r="A560" s="11">
        <v>43182</v>
      </c>
      <c r="B560" s="1">
        <v>-0.007242291790918176</v>
      </c>
      <c r="C560" s="1">
        <v>0.004349077123461553</v>
      </c>
      <c r="D560" s="1">
        <v>-0.01922203019443069</v>
      </c>
      <c r="E560" s="1">
        <v>-0.02955417839237506</v>
      </c>
      <c r="F560" s="1">
        <v>-0.00180571342271274</v>
      </c>
      <c r="G560" s="1">
        <v>-0.00860451515440408</v>
      </c>
      <c r="H560" s="1">
        <v>0.004038438411216205</v>
      </c>
      <c r="I560" s="1">
        <v>-0.02361832890234838</v>
      </c>
      <c r="J560" s="1">
        <v>-0.02759291535013564</v>
      </c>
      <c r="K560" s="1">
        <v>-0.03295780304835561</v>
      </c>
      <c r="L560" s="1">
        <v>-0.02673901311889426</v>
      </c>
      <c r="M560" s="1">
        <v>-0.004912253503496333</v>
      </c>
      <c r="N560" s="1">
        <v>-0.01854592500088281</v>
      </c>
      <c r="O560" s="1">
        <v>-0.02292857142092064</v>
      </c>
      <c r="P560" s="1">
        <v>-0.02906789464445125</v>
      </c>
      <c r="Q560" s="1">
        <v>-0.01410887343400824</v>
      </c>
      <c r="R560" s="1">
        <v>-0.02145575069808414</v>
      </c>
      <c r="S560" s="1">
        <v>-0.01349075263015675</v>
      </c>
      <c r="T560" s="1">
        <v>-0.01190524205327737</v>
      </c>
      <c r="U560" s="1">
        <v>-0.01894234690342467</v>
      </c>
      <c r="V560" s="1">
        <v>-0.01466101081023397</v>
      </c>
      <c r="W560" s="1">
        <v>-0.01292627779777877</v>
      </c>
      <c r="X560" s="1">
        <v>-0.01025188761420726</v>
      </c>
      <c r="Y560" s="1">
        <v>-0.01258545543272949</v>
      </c>
      <c r="Z560" s="1">
        <v>-0.03467135230093799</v>
      </c>
    </row>
    <row r="561" spans="1:26">
      <c r="A561" s="11">
        <v>43185</v>
      </c>
      <c r="B561" s="1">
        <v>0.007295125216386644</v>
      </c>
      <c r="C561" s="1">
        <v>0.02482874732033791</v>
      </c>
      <c r="D561" s="1">
        <v>0.01866534117509833</v>
      </c>
      <c r="E561" s="1">
        <v>0.02159178332158329</v>
      </c>
      <c r="F561" s="1">
        <v>0.01115469011306369</v>
      </c>
      <c r="G561" s="1">
        <v>0.01282993808790667</v>
      </c>
      <c r="H561" s="1">
        <v>0.004731135890994942</v>
      </c>
      <c r="I561" s="1">
        <v>0.03608157440994919</v>
      </c>
      <c r="J561" s="1">
        <v>0.0160186298856686</v>
      </c>
      <c r="K561" s="1">
        <v>0.01776864849864368</v>
      </c>
      <c r="L561" s="1">
        <v>0.03083811075207299</v>
      </c>
      <c r="M561" s="1">
        <v>0.01533847598435312</v>
      </c>
      <c r="N561" s="1">
        <v>0.005567125086620051</v>
      </c>
      <c r="O561" s="1">
        <v>0.01924508370845146</v>
      </c>
      <c r="P561" s="1">
        <v>0.07570529101572943</v>
      </c>
      <c r="Q561" s="1">
        <v>0.01431078245237027</v>
      </c>
      <c r="R561" s="1">
        <v>0.03304748994918594</v>
      </c>
      <c r="S561" s="1">
        <v>0.01844091071168452</v>
      </c>
      <c r="T561" s="1">
        <v>0.0167602883739324</v>
      </c>
      <c r="U561" s="1">
        <v>-0.0002885967130583644</v>
      </c>
      <c r="V561" s="1">
        <v>0.03535663010904289</v>
      </c>
      <c r="W561" s="1">
        <v>0.02457858202607199</v>
      </c>
      <c r="X561" s="1">
        <v>0.02352505163771523</v>
      </c>
      <c r="Y561" s="1">
        <v>0.0168501673490169</v>
      </c>
      <c r="Z561" s="1">
        <v>0.0392349276155477</v>
      </c>
    </row>
    <row r="562" spans="1:26">
      <c r="A562" s="11">
        <v>43186</v>
      </c>
      <c r="B562" s="1">
        <v>0.005364848043595938</v>
      </c>
      <c r="C562" s="1">
        <v>-0.02386252032826675</v>
      </c>
      <c r="D562" s="1">
        <v>-0.009467035983217076</v>
      </c>
      <c r="E562" s="1">
        <v>-0.01561490747507444</v>
      </c>
      <c r="F562" s="1">
        <v>-0.01639832332104163</v>
      </c>
      <c r="G562" s="1">
        <v>0.009314464369001518</v>
      </c>
      <c r="H562" s="1">
        <v>0.00518031434625299</v>
      </c>
      <c r="I562" s="1">
        <v>-0.007695516066046681</v>
      </c>
      <c r="J562" s="1">
        <v>-0.01936937764681179</v>
      </c>
      <c r="K562" s="1">
        <v>-0.01774470711868592</v>
      </c>
      <c r="L562" s="1">
        <v>-0.01939997406515792</v>
      </c>
      <c r="M562" s="1">
        <v>-0.01562773771817505</v>
      </c>
      <c r="N562" s="1">
        <v>0.01879242231106271</v>
      </c>
      <c r="O562" s="1">
        <v>-0.00852738758032745</v>
      </c>
      <c r="P562" s="1">
        <v>-0.04595852161911995</v>
      </c>
      <c r="Q562" s="1">
        <v>0.01710130077605565</v>
      </c>
      <c r="R562" s="1">
        <v>-0.01753270324224632</v>
      </c>
      <c r="S562" s="1">
        <v>0.00757856783560773</v>
      </c>
      <c r="T562" s="1">
        <v>-0.01065990136569372</v>
      </c>
      <c r="U562" s="1">
        <v>0.006053797736168098</v>
      </c>
      <c r="V562" s="1">
        <v>-0.02518491425979674</v>
      </c>
      <c r="W562" s="1">
        <v>-0.01459393693496647</v>
      </c>
      <c r="X562" s="1">
        <v>-0.01457961610781333</v>
      </c>
      <c r="Y562" s="1">
        <v>0.005099060623761087</v>
      </c>
      <c r="Z562" s="1">
        <v>-0.02291492452786514</v>
      </c>
    </row>
    <row r="563" spans="1:26">
      <c r="A563" s="11">
        <v>43187</v>
      </c>
      <c r="B563" s="1">
        <v>-0.003468476109841578</v>
      </c>
      <c r="C563" s="1">
        <v>-0.003425510527093945</v>
      </c>
      <c r="D563" s="1">
        <v>-0.01572384923113279</v>
      </c>
      <c r="E563" s="1">
        <v>0.002563668801158991</v>
      </c>
      <c r="F563" s="1">
        <v>0.00879062678831577</v>
      </c>
      <c r="G563" s="1">
        <v>-0.005168071775940586</v>
      </c>
      <c r="H563" s="1">
        <v>0.01686558588985054</v>
      </c>
      <c r="I563" s="1">
        <v>-0.0005278238919854683</v>
      </c>
      <c r="J563" s="1">
        <v>-0.003675060232543603</v>
      </c>
      <c r="K563" s="1">
        <v>-0.0008741291924984074</v>
      </c>
      <c r="L563" s="1">
        <v>-0.001571552725624925</v>
      </c>
      <c r="M563" s="1">
        <v>-0.00776146719557802</v>
      </c>
      <c r="N563" s="1">
        <v>0.02849163081404349</v>
      </c>
      <c r="O563" s="1">
        <v>0.006143331603438718</v>
      </c>
      <c r="P563" s="1">
        <v>-0.0008939467656836619</v>
      </c>
      <c r="Q563" s="1">
        <v>-0.002942956932551088</v>
      </c>
      <c r="R563" s="1">
        <v>0.00970552024674709</v>
      </c>
      <c r="S563" s="1">
        <v>0.0202924629767518</v>
      </c>
      <c r="T563" s="1">
        <v>-0.01399983617051614</v>
      </c>
      <c r="U563" s="1">
        <v>0.01891089611763452</v>
      </c>
      <c r="V563" s="1">
        <v>0.00977942080255767</v>
      </c>
      <c r="W563" s="1">
        <v>-0.003387554510319135</v>
      </c>
      <c r="X563" s="1">
        <v>0.002610947829911447</v>
      </c>
      <c r="Y563" s="1">
        <v>0.01458473531146409</v>
      </c>
      <c r="Z563" s="1">
        <v>0.002883421194946889</v>
      </c>
    </row>
    <row r="564" spans="1:26">
      <c r="A564" s="11">
        <v>43188</v>
      </c>
      <c r="B564" s="1">
        <v>0.03025438544098935</v>
      </c>
      <c r="C564" s="1">
        <v>0.02456105412728116</v>
      </c>
      <c r="D564" s="1">
        <v>0.01863743038419607</v>
      </c>
      <c r="E564" s="1">
        <v>0.01086762594529445</v>
      </c>
      <c r="F564" s="1">
        <v>0.0267427140502825</v>
      </c>
      <c r="G564" s="1">
        <v>0.01669778666317301</v>
      </c>
      <c r="H564" s="1">
        <v>-0.002303324602593526</v>
      </c>
      <c r="I564" s="1">
        <v>0.02535006596440592</v>
      </c>
      <c r="J564" s="1">
        <v>0.0106041651091906</v>
      </c>
      <c r="K564" s="1">
        <v>0.02770477551454098</v>
      </c>
      <c r="L564" s="1">
        <v>0.01824080394841721</v>
      </c>
      <c r="M564" s="1">
        <v>0.01831129373737417</v>
      </c>
      <c r="N564" s="1">
        <v>-0.00208179214870241</v>
      </c>
      <c r="O564" s="1">
        <v>0.008548214814598332</v>
      </c>
      <c r="P564" s="1">
        <v>0.02103100725547868</v>
      </c>
      <c r="Q564" s="1">
        <v>0.008010576422872395</v>
      </c>
      <c r="R564" s="1">
        <v>0.02589172911594728</v>
      </c>
      <c r="S564" s="1">
        <v>-0.008559162633692607</v>
      </c>
      <c r="T564" s="1">
        <v>0.01783243563135817</v>
      </c>
      <c r="U564" s="1">
        <v>0.002531387786239847</v>
      </c>
      <c r="V564" s="1">
        <v>0.003613381141822636</v>
      </c>
      <c r="W564" s="1">
        <v>0.00262231014148484</v>
      </c>
      <c r="X564" s="1">
        <v>0.02378481548948841</v>
      </c>
      <c r="Y564" s="1">
        <v>-0.003750230154291878</v>
      </c>
      <c r="Z564" s="1">
        <v>0.01073405921955439</v>
      </c>
    </row>
    <row r="565" spans="1:26">
      <c r="A565" s="11">
        <v>43192</v>
      </c>
      <c r="B565" s="1">
        <v>-0.015073046613167</v>
      </c>
      <c r="C565" s="1">
        <v>-0.01659161908405016</v>
      </c>
      <c r="D565" s="1">
        <v>-0.02475399611113105</v>
      </c>
      <c r="E565" s="1">
        <v>-0.01976268921694935</v>
      </c>
      <c r="F565" s="1">
        <v>-0.0190222380117393</v>
      </c>
      <c r="G565" s="1">
        <v>-0.01532862257107748</v>
      </c>
      <c r="H565" s="1">
        <v>-0.02447512423929432</v>
      </c>
      <c r="I565" s="1">
        <v>-0.02253435391373426</v>
      </c>
      <c r="J565" s="1">
        <v>-0.03558397770279931</v>
      </c>
      <c r="K565" s="1">
        <v>-0.03717374609533097</v>
      </c>
      <c r="L565" s="1">
        <v>-0.01927786609179205</v>
      </c>
      <c r="M565" s="1">
        <v>-0.05132693088761242</v>
      </c>
      <c r="N565" s="1">
        <v>-0.02904377910979894</v>
      </c>
      <c r="O565" s="1">
        <v>-0.01961492603912918</v>
      </c>
      <c r="P565" s="1">
        <v>-0.03013005830337934</v>
      </c>
      <c r="Q565" s="1">
        <v>-0.002509469920510932</v>
      </c>
      <c r="R565" s="1">
        <v>-0.02659850638683148</v>
      </c>
      <c r="S565" s="1">
        <v>-0.004890388910914312</v>
      </c>
      <c r="T565" s="1">
        <v>-0.0261144733771822</v>
      </c>
      <c r="U565" s="1">
        <v>-0.01542830297759945</v>
      </c>
      <c r="V565" s="1">
        <v>-0.006480864889832905</v>
      </c>
      <c r="W565" s="1">
        <v>-0.0160804893511487</v>
      </c>
      <c r="X565" s="1">
        <v>-0.02238418376001916</v>
      </c>
      <c r="Y565" s="1">
        <v>-0.01380182139182007</v>
      </c>
      <c r="Z565" s="1">
        <v>-0.02579168976353685</v>
      </c>
    </row>
    <row r="566" spans="1:26">
      <c r="A566" s="11">
        <v>43193</v>
      </c>
      <c r="B566" s="1">
        <v>0.002638952757672453</v>
      </c>
      <c r="C566" s="1">
        <v>0.02598946727921914</v>
      </c>
      <c r="D566" s="1">
        <v>0.009301700265212487</v>
      </c>
      <c r="E566" s="1">
        <v>0.01241909067653491</v>
      </c>
      <c r="F566" s="1">
        <v>0.004200115101968604</v>
      </c>
      <c r="G566" s="1">
        <v>0.003706543607445045</v>
      </c>
      <c r="H566" s="1">
        <v>0.0007099629934674834</v>
      </c>
      <c r="I566" s="1">
        <v>0.008035330809119445</v>
      </c>
      <c r="J566" s="1">
        <v>0.008514673099918602</v>
      </c>
      <c r="K566" s="1">
        <v>0.0147359433738814</v>
      </c>
      <c r="L566" s="1">
        <v>0.01372256958537887</v>
      </c>
      <c r="M566" s="1">
        <v>0.02999605303732089</v>
      </c>
      <c r="N566" s="1">
        <v>0.03553154685740623</v>
      </c>
      <c r="O566" s="1">
        <v>0.003581833969215742</v>
      </c>
      <c r="P566" s="1">
        <v>0.01344319244727976</v>
      </c>
      <c r="Q566" s="1">
        <v>0.007127894638970123</v>
      </c>
      <c r="R566" s="1">
        <v>0.02018365664007349</v>
      </c>
      <c r="S566" s="1">
        <v>0.006067894362035142</v>
      </c>
      <c r="T566" s="1">
        <v>0.0291715214194268</v>
      </c>
      <c r="U566" s="1">
        <v>0.007692640722979371</v>
      </c>
      <c r="V566" s="1">
        <v>0.007973486472137026</v>
      </c>
      <c r="W566" s="1">
        <v>0.01742625521963226</v>
      </c>
      <c r="X566" s="1">
        <v>0.009193374118745101</v>
      </c>
      <c r="Y566" s="1">
        <v>0.007209528030412748</v>
      </c>
      <c r="Z566" s="1">
        <v>0.01109570217463673</v>
      </c>
    </row>
    <row r="567" spans="1:26">
      <c r="A567" s="11">
        <v>43194</v>
      </c>
      <c r="B567" s="1">
        <v>0.004999650532322208</v>
      </c>
      <c r="C567" s="1">
        <v>-0.01021707934339289</v>
      </c>
      <c r="D567" s="1">
        <v>0.00609173777662142</v>
      </c>
      <c r="E567" s="1">
        <v>0.00334549220092617</v>
      </c>
      <c r="F567" s="1">
        <v>0.02509735399197299</v>
      </c>
      <c r="G567" s="1">
        <v>0.004431372761919183</v>
      </c>
      <c r="H567" s="1">
        <v>0.02246924502334346</v>
      </c>
      <c r="I567" s="1">
        <v>-0.0292072343061146</v>
      </c>
      <c r="J567" s="1">
        <v>0.01031910050484752</v>
      </c>
      <c r="K567" s="1">
        <v>0.01655566554500454</v>
      </c>
      <c r="L567" s="1">
        <v>0.01518361550976932</v>
      </c>
      <c r="M567" s="1">
        <v>0.006968343224392992</v>
      </c>
      <c r="N567" s="1">
        <v>0.01101167011972648</v>
      </c>
      <c r="O567" s="1">
        <v>0.008860258449738367</v>
      </c>
      <c r="P567" s="1">
        <v>0.02920505435652432</v>
      </c>
      <c r="Q567" s="1">
        <v>0.007077447340017473</v>
      </c>
      <c r="R567" s="1">
        <v>0.02465344883053122</v>
      </c>
      <c r="S567" s="1">
        <v>0.01704702173734973</v>
      </c>
      <c r="T567" s="1">
        <v>0.00875266950639042</v>
      </c>
      <c r="U567" s="1">
        <v>0.01441883144781486</v>
      </c>
      <c r="V567" s="1">
        <v>0.03351039065032269</v>
      </c>
      <c r="W567" s="1">
        <v>0.01277358778812832</v>
      </c>
      <c r="X567" s="1">
        <v>0.001718946169934288</v>
      </c>
      <c r="Y567" s="1">
        <v>0.009053032884628998</v>
      </c>
      <c r="Z567" s="1">
        <v>0.01752029597464366</v>
      </c>
    </row>
    <row r="568" spans="1:26">
      <c r="A568" s="11">
        <v>43195</v>
      </c>
      <c r="B568" s="1">
        <v>0.01466360081293572</v>
      </c>
      <c r="C568" s="1">
        <v>0.02736387909957738</v>
      </c>
      <c r="D568" s="1">
        <v>0.01723301756513318</v>
      </c>
      <c r="E568" s="1">
        <v>-0.004314154094203215</v>
      </c>
      <c r="F568" s="1">
        <v>0.008452149099180239</v>
      </c>
      <c r="G568" s="1">
        <v>0.003308573979211582</v>
      </c>
      <c r="H568" s="1">
        <v>0.005782868328785051</v>
      </c>
      <c r="I568" s="1">
        <v>0.01864418180037619</v>
      </c>
      <c r="J568" s="1">
        <v>0.0004640643724940219</v>
      </c>
      <c r="K568" s="1">
        <v>-0.01142868151646637</v>
      </c>
      <c r="L568" s="1">
        <v>0.01313045208467045</v>
      </c>
      <c r="M568" s="1">
        <v>0.008871300572693919</v>
      </c>
      <c r="N568" s="1">
        <v>0.01878482370497592</v>
      </c>
      <c r="O568" s="1">
        <v>0.001951510562874015</v>
      </c>
      <c r="P568" s="1">
        <v>0.0005416575512993127</v>
      </c>
      <c r="Q568" s="1">
        <v>0.009921483869214764</v>
      </c>
      <c r="R568" s="1">
        <v>0.01500091457646513</v>
      </c>
      <c r="S568" s="1">
        <v>-0.01313451203934402</v>
      </c>
      <c r="T568" s="1">
        <v>0.0009080119770124018</v>
      </c>
      <c r="U568" s="1">
        <v>0.007246622892275179</v>
      </c>
      <c r="V568" s="1">
        <v>0.008071410053326122</v>
      </c>
      <c r="W568" s="1">
        <v>0.01213443555370142</v>
      </c>
      <c r="X568" s="1">
        <v>0.02230583658483543</v>
      </c>
      <c r="Y568" s="1">
        <v>0.00646777331284043</v>
      </c>
      <c r="Z568" s="1">
        <v>0.0007568874482579702</v>
      </c>
    </row>
    <row r="569" spans="1:26">
      <c r="A569" s="11">
        <v>43196</v>
      </c>
      <c r="B569" s="1">
        <v>-0.01058042757733191</v>
      </c>
      <c r="C569" s="1">
        <v>-0.03055903539362381</v>
      </c>
      <c r="D569" s="1">
        <v>-0.02487762003557958</v>
      </c>
      <c r="E569" s="1">
        <v>-0.02294975337143568</v>
      </c>
      <c r="F569" s="1">
        <v>-0.01387289699145022</v>
      </c>
      <c r="G569" s="1">
        <v>-0.01465712982789891</v>
      </c>
      <c r="H569" s="1">
        <v>0.005750043356123502</v>
      </c>
      <c r="I569" s="1">
        <v>-0.03931554803781501</v>
      </c>
      <c r="J569" s="1">
        <v>-0.03573072844432079</v>
      </c>
      <c r="K569" s="1">
        <v>-0.02774564442505767</v>
      </c>
      <c r="L569" s="1">
        <v>-0.02493764353659511</v>
      </c>
      <c r="M569" s="1">
        <v>-0.0276116964180505</v>
      </c>
      <c r="N569" s="1">
        <v>-0.01069146340622218</v>
      </c>
      <c r="O569" s="1">
        <v>-0.01728721245889198</v>
      </c>
      <c r="P569" s="1">
        <v>-0.0232735389144616</v>
      </c>
      <c r="Q569" s="1">
        <v>-0.007368165319955655</v>
      </c>
      <c r="R569" s="1">
        <v>-0.03043599949636888</v>
      </c>
      <c r="S569" s="1">
        <v>-0.01032965778396711</v>
      </c>
      <c r="T569" s="1">
        <v>-0.02799755792916869</v>
      </c>
      <c r="U569" s="1">
        <v>-0.01411194031179974</v>
      </c>
      <c r="V569" s="1">
        <v>-0.002070568500111669</v>
      </c>
      <c r="W569" s="1">
        <v>-0.02973671276890888</v>
      </c>
      <c r="X569" s="1">
        <v>-0.02870100382540675</v>
      </c>
      <c r="Y569" s="1">
        <v>-0.01575488697140537</v>
      </c>
      <c r="Z569" s="1">
        <v>-0.02741566102537518</v>
      </c>
    </row>
    <row r="570" spans="1:26">
      <c r="A570" s="11">
        <v>43199</v>
      </c>
      <c r="B570" s="1">
        <v>0.002869252765170804</v>
      </c>
      <c r="C570" s="1">
        <v>-0.01116135856914802</v>
      </c>
      <c r="D570" s="1">
        <v>0.01408678960718457</v>
      </c>
      <c r="E570" s="1">
        <v>-0.006570584233846488</v>
      </c>
      <c r="F570" s="1">
        <v>-0.004982483900812462</v>
      </c>
      <c r="G570" s="1">
        <v>0.008925276403916049</v>
      </c>
      <c r="H570" s="1">
        <v>-0.01074792164297489</v>
      </c>
      <c r="I570" s="1">
        <v>-0.01671367605073693</v>
      </c>
      <c r="J570" s="1">
        <v>0.005293258118223232</v>
      </c>
      <c r="K570" s="1">
        <v>-0.01129584959776631</v>
      </c>
      <c r="L570" s="1">
        <v>0.01200834822339858</v>
      </c>
      <c r="M570" s="1">
        <v>-0.007957919170132666</v>
      </c>
      <c r="N570" s="1">
        <v>-0.009397132593673585</v>
      </c>
      <c r="O570" s="1">
        <v>0.003422402500522947</v>
      </c>
      <c r="P570" s="1">
        <v>0.005984927776242044</v>
      </c>
      <c r="Q570" s="1">
        <v>-0.004123499759129734</v>
      </c>
      <c r="R570" s="1">
        <v>-0.01101732056221083</v>
      </c>
      <c r="S570" s="1">
        <v>0.002709602743820483</v>
      </c>
      <c r="T570" s="1">
        <v>0.008840630597544363</v>
      </c>
      <c r="U570" s="1">
        <v>0.005776587306528969</v>
      </c>
      <c r="V570" s="1">
        <v>-0.01120492783715121</v>
      </c>
      <c r="W570" s="1">
        <v>0.01941044187043084</v>
      </c>
      <c r="X570" s="1">
        <v>-0.002591798845542281</v>
      </c>
      <c r="Y570" s="1">
        <v>0.000639944396612302</v>
      </c>
      <c r="Z570" s="1">
        <v>0.003693763224361879</v>
      </c>
    </row>
    <row r="571" spans="1:26">
      <c r="A571" s="11">
        <v>43200</v>
      </c>
      <c r="B571" s="1">
        <v>0.02158616417202763</v>
      </c>
      <c r="C571" s="1">
        <v>0.03829680010197611</v>
      </c>
      <c r="D571" s="1">
        <v>0.0217623355212011</v>
      </c>
      <c r="E571" s="1">
        <v>0.0120702899020273</v>
      </c>
      <c r="F571" s="1">
        <v>-0.00265085209894711</v>
      </c>
      <c r="G571" s="1">
        <v>-0.001105462674513391</v>
      </c>
      <c r="H571" s="1">
        <v>-0.007457463839640965</v>
      </c>
      <c r="I571" s="1">
        <v>0.03532482242515189</v>
      </c>
      <c r="J571" s="1">
        <v>0.04116836053955275</v>
      </c>
      <c r="K571" s="1">
        <v>0.0138304792149373</v>
      </c>
      <c r="L571" s="1">
        <v>0.01911280380240754</v>
      </c>
      <c r="M571" s="1">
        <v>-0.01312655873073876</v>
      </c>
      <c r="N571" s="1">
        <v>0.01533604466026572</v>
      </c>
      <c r="O571" s="1">
        <v>0.01352039423146412</v>
      </c>
      <c r="P571" s="1">
        <v>0.02324558725624271</v>
      </c>
      <c r="Q571" s="1">
        <v>-0.001656457884971152</v>
      </c>
      <c r="R571" s="1">
        <v>0.0337244740198821</v>
      </c>
      <c r="S571" s="1">
        <v>0.00315285860151171</v>
      </c>
      <c r="T571" s="1">
        <v>-0.002441273089708207</v>
      </c>
      <c r="U571" s="1">
        <v>0.01819759044554004</v>
      </c>
      <c r="V571" s="1">
        <v>0.01832680757270122</v>
      </c>
      <c r="W571" s="1">
        <v>0.02691495372413444</v>
      </c>
      <c r="X571" s="1">
        <v>0.01143453720103049</v>
      </c>
      <c r="Y571" s="1">
        <v>0.02877228613585014</v>
      </c>
      <c r="Z571" s="1">
        <v>0.01491427429121517</v>
      </c>
    </row>
    <row r="572" spans="1:26">
      <c r="A572" s="11">
        <v>43201</v>
      </c>
      <c r="B572" s="1">
        <v>0.009164880904098283</v>
      </c>
      <c r="C572" s="1">
        <v>-0.02230971678143789</v>
      </c>
      <c r="D572" s="1">
        <v>-0.0190329713982087</v>
      </c>
      <c r="E572" s="1">
        <v>-0.01682736445259436</v>
      </c>
      <c r="F572" s="1">
        <v>-0.008859911491670647</v>
      </c>
      <c r="G572" s="1">
        <v>-0.00996342963099528</v>
      </c>
      <c r="H572" s="1">
        <v>0.005870278952115227</v>
      </c>
      <c r="I572" s="1">
        <v>-0.02432280966559519</v>
      </c>
      <c r="J572" s="1">
        <v>-0.007356407206311144</v>
      </c>
      <c r="K572" s="1">
        <v>0.01719999633958991</v>
      </c>
      <c r="L572" s="1">
        <v>-0.01679877688433395</v>
      </c>
      <c r="M572" s="1">
        <v>-0.01163879811575674</v>
      </c>
      <c r="N572" s="1">
        <v>-0.00591693746830213</v>
      </c>
      <c r="O572" s="1">
        <v>-0.006363919619511438</v>
      </c>
      <c r="P572" s="1">
        <v>-0.01098181991243097</v>
      </c>
      <c r="Q572" s="1">
        <v>-0.005392030274610216</v>
      </c>
      <c r="R572" s="1">
        <v>-0.01048096318388458</v>
      </c>
      <c r="S572" s="1">
        <v>-0.008830037274514035</v>
      </c>
      <c r="T572" s="1">
        <v>0.001185069385440274</v>
      </c>
      <c r="U572" s="1">
        <v>-0.01563828053891525</v>
      </c>
      <c r="V572" s="1">
        <v>0.0004122159306536588</v>
      </c>
      <c r="W572" s="1">
        <v>-0.01115323508909627</v>
      </c>
      <c r="X572" s="1">
        <v>0.004453764065774024</v>
      </c>
      <c r="Y572" s="1">
        <v>-0.01429468399557288</v>
      </c>
      <c r="Z572" s="1">
        <v>-0.00496182538264256</v>
      </c>
    </row>
    <row r="573" spans="1:26">
      <c r="A573" s="11">
        <v>43202</v>
      </c>
      <c r="B573" s="1">
        <v>-0.006558834591245621</v>
      </c>
      <c r="C573" s="1">
        <v>0.03091397548542307</v>
      </c>
      <c r="D573" s="1">
        <v>0.01278083483135961</v>
      </c>
      <c r="E573" s="1">
        <v>-0.02226643208121781</v>
      </c>
      <c r="F573" s="1">
        <v>-0.01281313318863542</v>
      </c>
      <c r="G573" s="1">
        <v>-0.01118152201340461</v>
      </c>
      <c r="H573" s="1">
        <v>-0.003968547225022379</v>
      </c>
      <c r="I573" s="1">
        <v>0.04050987980260712</v>
      </c>
      <c r="J573" s="1">
        <v>0.01621081908059474</v>
      </c>
      <c r="K573" s="1">
        <v>-0.002623517886322535</v>
      </c>
      <c r="L573" s="1">
        <v>0.02485976194323269</v>
      </c>
      <c r="M573" s="1">
        <v>0.02691573872878927</v>
      </c>
      <c r="N573" s="1">
        <v>-0.006892106262405995</v>
      </c>
      <c r="O573" s="1">
        <v>0.009853051758396569</v>
      </c>
      <c r="P573" s="1">
        <v>0.01872413364237668</v>
      </c>
      <c r="Q573" s="1">
        <v>-0.01918237947619716</v>
      </c>
      <c r="R573" s="1">
        <v>0.01715652464096817</v>
      </c>
      <c r="S573" s="1">
        <v>-0.01192877684449667</v>
      </c>
      <c r="T573" s="1">
        <v>-0.005094716844592617</v>
      </c>
      <c r="U573" s="1">
        <v>-0.002552928215383776</v>
      </c>
      <c r="V573" s="1">
        <v>-0.00535553137328848</v>
      </c>
      <c r="W573" s="1">
        <v>0.00253779522086961</v>
      </c>
      <c r="X573" s="1">
        <v>0.006991517871998587</v>
      </c>
      <c r="Y573" s="1">
        <v>0.003362740721552404</v>
      </c>
      <c r="Z573" s="1">
        <v>0.03816626063239492</v>
      </c>
    </row>
    <row r="574" spans="1:26">
      <c r="A574" s="11">
        <v>43203</v>
      </c>
      <c r="B574" s="1">
        <v>0.03148809427056265</v>
      </c>
      <c r="C574" s="1">
        <v>-0.02429774245172933</v>
      </c>
      <c r="D574" s="1">
        <v>-0.0007599777547345754</v>
      </c>
      <c r="E574" s="1">
        <v>-0.003229083430452695</v>
      </c>
      <c r="F574" s="1">
        <v>-0.003320113396807156</v>
      </c>
      <c r="G574" s="1">
        <v>0.00527697515981429</v>
      </c>
      <c r="H574" s="1">
        <v>-0.005155674725265014</v>
      </c>
      <c r="I574" s="1">
        <v>-0.001863882906756764</v>
      </c>
      <c r="J574" s="1">
        <v>-0.007747957441722853</v>
      </c>
      <c r="K574" s="1">
        <v>-0.003800139749143727</v>
      </c>
      <c r="L574" s="1">
        <v>-0.02707944777272608</v>
      </c>
      <c r="M574" s="1">
        <v>0.002366457213661688</v>
      </c>
      <c r="N574" s="1">
        <v>0.008674666483344362</v>
      </c>
      <c r="O574" s="1">
        <v>-0.0002433119493928659</v>
      </c>
      <c r="P574" s="1">
        <v>-0.005343244811692349</v>
      </c>
      <c r="Q574" s="1">
        <v>0.001275380422366634</v>
      </c>
      <c r="R574" s="1">
        <v>-0.004546877973140906</v>
      </c>
      <c r="S574" s="1">
        <v>0.004941275596320516</v>
      </c>
      <c r="T574" s="1">
        <v>-0.003155362749831969</v>
      </c>
      <c r="U574" s="1">
        <v>-0.0005692613867197549</v>
      </c>
      <c r="V574" s="1">
        <v>-0.01256412800570839</v>
      </c>
      <c r="W574" s="1">
        <v>0.004781364915717567</v>
      </c>
      <c r="X574" s="1">
        <v>-0.008975412100417413</v>
      </c>
      <c r="Y574" s="1">
        <v>-0.001675357297836966</v>
      </c>
      <c r="Z574" s="1">
        <v>-0.02364692005067781</v>
      </c>
    </row>
    <row r="575" spans="1:26">
      <c r="A575" s="11">
        <v>43206</v>
      </c>
      <c r="B575" s="1">
        <v>0.004184782397783193</v>
      </c>
      <c r="C575" s="1">
        <v>0.007561785533250154</v>
      </c>
      <c r="D575" s="1">
        <v>0.00867308145111001</v>
      </c>
      <c r="E575" s="1">
        <v>-0.07791972250167789</v>
      </c>
      <c r="F575" s="1">
        <v>0.01544508777427067</v>
      </c>
      <c r="G575" s="1">
        <v>0.01499795444019703</v>
      </c>
      <c r="H575" s="1">
        <v>0.008480526548419354</v>
      </c>
      <c r="I575" s="1">
        <v>-0.006667478347007649</v>
      </c>
      <c r="J575" s="1">
        <v>0.003674470959505127</v>
      </c>
      <c r="K575" s="1">
        <v>0.01819215661603502</v>
      </c>
      <c r="L575" s="1">
        <v>-0.0008159328586040404</v>
      </c>
      <c r="M575" s="1">
        <v>-0.003268819915662302</v>
      </c>
      <c r="N575" s="1">
        <v>0.004691444051472926</v>
      </c>
      <c r="O575" s="1">
        <v>0.0200070395377363</v>
      </c>
      <c r="P575" s="1">
        <v>0.01171029237971366</v>
      </c>
      <c r="Q575" s="1">
        <v>0.01443739145699441</v>
      </c>
      <c r="R575" s="1">
        <v>0.02431113845892607</v>
      </c>
      <c r="S575" s="1">
        <v>-0.0009631512393398767</v>
      </c>
      <c r="T575" s="1">
        <v>0.006433987363970717</v>
      </c>
      <c r="U575" s="1">
        <v>0.01422872545343412</v>
      </c>
      <c r="V575" s="1">
        <v>0.006711417603612935</v>
      </c>
      <c r="W575" s="1">
        <v>0.007277937559751368</v>
      </c>
      <c r="X575" s="1">
        <v>0.01555005943102916</v>
      </c>
      <c r="Y575" s="1">
        <v>0.01531669039334327</v>
      </c>
      <c r="Z575" s="1">
        <v>0.008704110854433456</v>
      </c>
    </row>
    <row r="576" spans="1:26">
      <c r="A576" s="11">
        <v>43207</v>
      </c>
      <c r="B576" s="1">
        <v>0.01372886846186216</v>
      </c>
      <c r="C576" s="1">
        <v>0.01491997585372773</v>
      </c>
      <c r="D576" s="1">
        <v>0.008598505909003462</v>
      </c>
      <c r="E576" s="1">
        <v>-0.03143509572684167</v>
      </c>
      <c r="F576" s="1">
        <v>-0.007753908373360763</v>
      </c>
      <c r="G576" s="1">
        <v>0.003694311182582455</v>
      </c>
      <c r="H576" s="1">
        <v>-0.006540308237215964</v>
      </c>
      <c r="I576" s="1">
        <v>0.001141238155932367</v>
      </c>
      <c r="J576" s="1">
        <v>0.009153368593936673</v>
      </c>
      <c r="K576" s="1">
        <v>-0.01181515067399874</v>
      </c>
      <c r="L576" s="1">
        <v>0</v>
      </c>
      <c r="M576" s="1">
        <v>-0.01129514058690628</v>
      </c>
      <c r="N576" s="1">
        <v>-0.004202505231338916</v>
      </c>
      <c r="O576" s="1">
        <v>0.005023266412856442</v>
      </c>
      <c r="P576" s="1">
        <v>0.02017631233469008</v>
      </c>
      <c r="Q576" s="1">
        <v>0.01046461592675474</v>
      </c>
      <c r="R576" s="1">
        <v>0.003164543775362905</v>
      </c>
      <c r="S576" s="1">
        <v>0.00750912133717252</v>
      </c>
      <c r="T576" s="1">
        <v>0.02709445034465618</v>
      </c>
      <c r="U576" s="1">
        <v>-0.007855997229693323</v>
      </c>
      <c r="V576" s="1">
        <v>0.006249733422093673</v>
      </c>
      <c r="W576" s="1">
        <v>0.01074509099964116</v>
      </c>
      <c r="X576" s="1">
        <v>0.008581764061219577</v>
      </c>
      <c r="Y576" s="1">
        <v>0.009505969052195029</v>
      </c>
      <c r="Z576" s="1">
        <v>-0.02607412831937961</v>
      </c>
    </row>
    <row r="577" spans="1:26">
      <c r="A577" s="11">
        <v>43208</v>
      </c>
      <c r="B577" s="1">
        <v>0.03603410023630338</v>
      </c>
      <c r="C577" s="1">
        <v>0.01271103073422308</v>
      </c>
      <c r="D577" s="1">
        <v>0.005384375974650135</v>
      </c>
      <c r="E577" s="1">
        <v>-0.001527525984273859</v>
      </c>
      <c r="F577" s="1">
        <v>0</v>
      </c>
      <c r="G577" s="1">
        <v>-0.00110419600795808</v>
      </c>
      <c r="H577" s="1">
        <v>-0.01622384672007327</v>
      </c>
      <c r="I577" s="1">
        <v>0.004157166225549958</v>
      </c>
      <c r="J577" s="1">
        <v>-0.0009067784510902177</v>
      </c>
      <c r="K577" s="1">
        <v>0.004374336497083187</v>
      </c>
      <c r="L577" s="1">
        <v>-0.008075517733028725</v>
      </c>
      <c r="M577" s="1">
        <v>0.02856087793591677</v>
      </c>
      <c r="N577" s="1">
        <v>-0.03876226769821123</v>
      </c>
      <c r="O577" s="1">
        <v>-0.001428090343578381</v>
      </c>
      <c r="P577" s="1">
        <v>0.003851393683683257</v>
      </c>
      <c r="Q577" s="1">
        <v>-0.007870681444037908</v>
      </c>
      <c r="R577" s="1">
        <v>0.01634659643308622</v>
      </c>
      <c r="S577" s="1">
        <v>-0.003272837178196597</v>
      </c>
      <c r="T577" s="1">
        <v>0.006174130845482351</v>
      </c>
      <c r="U577" s="1">
        <v>-0.004241962619810136</v>
      </c>
      <c r="V577" s="1">
        <v>0.001104490887581244</v>
      </c>
      <c r="W577" s="1">
        <v>0.005957283783707412</v>
      </c>
      <c r="X577" s="1">
        <v>0.06756747366909455</v>
      </c>
      <c r="Y577" s="1">
        <v>-0.004708690017058759</v>
      </c>
      <c r="Z577" s="1">
        <v>0.003081876276616269</v>
      </c>
    </row>
    <row r="578" spans="1:26">
      <c r="A578" s="11">
        <v>43209</v>
      </c>
      <c r="B578" s="1">
        <v>-0.01890754686159324</v>
      </c>
      <c r="C578" s="1">
        <v>-0.001055675900303199</v>
      </c>
      <c r="D578" s="1">
        <v>-0.003570207787878532</v>
      </c>
      <c r="E578" s="1">
        <v>-0.01319301653406424</v>
      </c>
      <c r="F578" s="1">
        <v>0.00631168889765954</v>
      </c>
      <c r="G578" s="1">
        <v>-0.005895434847906333</v>
      </c>
      <c r="H578" s="1">
        <v>-0.01362349127652307</v>
      </c>
      <c r="I578" s="1">
        <v>-0.01115062651330223</v>
      </c>
      <c r="J578" s="1">
        <v>-0.01679545996630938</v>
      </c>
      <c r="K578" s="1">
        <v>-0.01248559725569853</v>
      </c>
      <c r="L578" s="1">
        <v>0.02195404604115803</v>
      </c>
      <c r="M578" s="1">
        <v>-0.01827295740593604</v>
      </c>
      <c r="N578" s="1">
        <v>-0.0604875887404619</v>
      </c>
      <c r="O578" s="1">
        <v>-0.006673917699554832</v>
      </c>
      <c r="P578" s="1">
        <v>-0.003421861886772071</v>
      </c>
      <c r="Q578" s="1">
        <v>0.002087260869169105</v>
      </c>
      <c r="R578" s="1">
        <v>-0.01749448195553616</v>
      </c>
      <c r="S578" s="1">
        <v>-0.02086747150208601</v>
      </c>
      <c r="T578" s="1">
        <v>-0.01169901869242074</v>
      </c>
      <c r="U578" s="1">
        <v>-0.01107653571869582</v>
      </c>
      <c r="V578" s="1">
        <v>-0.02137044137257849</v>
      </c>
      <c r="W578" s="1">
        <v>-0.01157022324351642</v>
      </c>
      <c r="X578" s="1">
        <v>0.02328503026851436</v>
      </c>
      <c r="Y578" s="1">
        <v>-0.003907490576605221</v>
      </c>
      <c r="Z578" s="1">
        <v>0.02169742890181414</v>
      </c>
    </row>
    <row r="579" spans="1:26">
      <c r="A579" s="11">
        <v>43210</v>
      </c>
      <c r="B579" s="1">
        <v>-0.007898643863642363</v>
      </c>
      <c r="C579" s="1">
        <v>-0.005783307315014197</v>
      </c>
      <c r="D579" s="1">
        <v>0.001044826373306273</v>
      </c>
      <c r="E579" s="1">
        <v>-0.008525522734963875</v>
      </c>
      <c r="F579" s="1">
        <v>-0.008064195883844549</v>
      </c>
      <c r="G579" s="1">
        <v>-0.01111908591601518</v>
      </c>
      <c r="H579" s="1">
        <v>-0.02204987031164862</v>
      </c>
      <c r="I579" s="1">
        <v>-0.007697356491208063</v>
      </c>
      <c r="J579" s="1">
        <v>-0.006001784378303343</v>
      </c>
      <c r="K579" s="1">
        <v>0.0076450427993493</v>
      </c>
      <c r="L579" s="1">
        <v>-0.002237586764722077</v>
      </c>
      <c r="M579" s="1">
        <v>-0.0005475783820786395</v>
      </c>
      <c r="N579" s="1">
        <v>-0.009518849334873569</v>
      </c>
      <c r="O579" s="1">
        <v>-0.005399003958313608</v>
      </c>
      <c r="P579" s="1">
        <v>-0.01154937243680842</v>
      </c>
      <c r="Q579" s="1">
        <v>-0.01041634330190466</v>
      </c>
      <c r="R579" s="1">
        <v>-0.006605320412904514</v>
      </c>
      <c r="S579" s="1">
        <v>-0.005366526230044522</v>
      </c>
      <c r="T579" s="1">
        <v>-0.009591579336852285</v>
      </c>
      <c r="U579" s="1">
        <v>-0.004307683654712458</v>
      </c>
      <c r="V579" s="1">
        <v>-0.009298293570591976</v>
      </c>
      <c r="W579" s="1">
        <v>-0.005069605424850576</v>
      </c>
      <c r="X579" s="1">
        <v>0.001680023736828407</v>
      </c>
      <c r="Y579" s="1">
        <v>-0.01094373769558432</v>
      </c>
      <c r="Z579" s="1">
        <v>0.01108817813399221</v>
      </c>
    </row>
    <row r="580" spans="1:26">
      <c r="A580" s="11">
        <v>43213</v>
      </c>
      <c r="B580" s="1">
        <v>0.001929751765989307</v>
      </c>
      <c r="C580" s="1">
        <v>0.0005019720869647859</v>
      </c>
      <c r="D580" s="1">
        <v>0.001938665200463152</v>
      </c>
      <c r="E580" s="1">
        <v>-0.005276337719970936</v>
      </c>
      <c r="F580" s="1">
        <v>0.01987322499058375</v>
      </c>
      <c r="G580" s="1">
        <v>-0.02773589414429767</v>
      </c>
      <c r="H580" s="1">
        <v>0.0118930809380875</v>
      </c>
      <c r="I580" s="1">
        <v>-0.006260497875585802</v>
      </c>
      <c r="J580" s="1">
        <v>-0.006967000369898613</v>
      </c>
      <c r="K580" s="1">
        <v>-0.003501818306966942</v>
      </c>
      <c r="L580" s="1">
        <v>-0.004844553127387852</v>
      </c>
      <c r="M580" s="1">
        <v>0.003834370040302959</v>
      </c>
      <c r="N580" s="1">
        <v>-0.01153239432590691</v>
      </c>
      <c r="O580" s="1">
        <v>0.006996612791334789</v>
      </c>
      <c r="P580" s="1">
        <v>0.003684514203794897</v>
      </c>
      <c r="Q580" s="1">
        <v>0.005052540677198403</v>
      </c>
      <c r="R580" s="1">
        <v>0.003324733564089133</v>
      </c>
      <c r="S580" s="1">
        <v>0.0007261103810849434</v>
      </c>
      <c r="T580" s="1">
        <v>-0.01192671936829537</v>
      </c>
      <c r="U580" s="1">
        <v>0.006345364888091565</v>
      </c>
      <c r="V580" s="1">
        <v>0.008958799156477459</v>
      </c>
      <c r="W580" s="1">
        <v>0.002130585136969732</v>
      </c>
      <c r="X580" s="1">
        <v>-0.013417059970668</v>
      </c>
      <c r="Y580" s="1">
        <v>0.01586640403912298</v>
      </c>
      <c r="Z580" s="1">
        <v>0.008549759361077491</v>
      </c>
    </row>
    <row r="581" spans="1:26">
      <c r="A581" s="11">
        <v>43214</v>
      </c>
      <c r="B581" s="1">
        <v>-0.02143004068055754</v>
      </c>
      <c r="C581" s="1">
        <v>-0.0288632552323731</v>
      </c>
      <c r="D581" s="1">
        <v>-0.01533151099262364</v>
      </c>
      <c r="E581" s="1">
        <v>0.01335934184057952</v>
      </c>
      <c r="F581" s="1">
        <v>-0.01535274743326742</v>
      </c>
      <c r="G581" s="1">
        <v>-0.02235971642717582</v>
      </c>
      <c r="H581" s="1">
        <v>0.005876328941785802</v>
      </c>
      <c r="I581" s="1">
        <v>-0.05430046713878878</v>
      </c>
      <c r="J581" s="1">
        <v>-0.008418972007102621</v>
      </c>
      <c r="K581" s="1">
        <v>-0.02576863726371792</v>
      </c>
      <c r="L581" s="1">
        <v>-0.004687934367372026</v>
      </c>
      <c r="M581" s="1">
        <v>-0.02000743435135754</v>
      </c>
      <c r="N581" s="1">
        <v>-0.02245020381005614</v>
      </c>
      <c r="O581" s="1">
        <v>-0.0109007808710182</v>
      </c>
      <c r="P581" s="1">
        <v>-0.02338742116354831</v>
      </c>
      <c r="Q581" s="1">
        <v>0.002513570421798006</v>
      </c>
      <c r="R581" s="1">
        <v>-0.06468819403531056</v>
      </c>
      <c r="S581" s="1">
        <v>0.004510804095242626</v>
      </c>
      <c r="T581" s="1">
        <v>-0.04805144997819344</v>
      </c>
      <c r="U581" s="1">
        <v>0.003152677554587369</v>
      </c>
      <c r="V581" s="1">
        <v>-0.005919660951735795</v>
      </c>
      <c r="W581" s="1">
        <v>-0.01469833557636413</v>
      </c>
      <c r="X581" s="1">
        <v>-0.006799524429598636</v>
      </c>
      <c r="Y581" s="1">
        <v>0.02075626546688336</v>
      </c>
      <c r="Z581" s="1">
        <v>0.01529692643174152</v>
      </c>
    </row>
    <row r="582" spans="1:26">
      <c r="A582" s="11">
        <v>43215</v>
      </c>
      <c r="B582" s="1">
        <v>0.008858189399780558</v>
      </c>
      <c r="C582" s="1">
        <v>0.0419377289558196</v>
      </c>
      <c r="D582" s="1">
        <v>0.005593328792069752</v>
      </c>
      <c r="E582" s="1">
        <v>0.00348973327409241</v>
      </c>
      <c r="F582" s="1">
        <v>0.02728622655289126</v>
      </c>
      <c r="G582" s="1">
        <v>-0.01735019247502922</v>
      </c>
      <c r="H582" s="1">
        <v>0.01046741150213126</v>
      </c>
      <c r="I582" s="1">
        <v>-0.0007961087956619428</v>
      </c>
      <c r="J582" s="1">
        <v>0.00518863363318478</v>
      </c>
      <c r="K582" s="1">
        <v>0.01562982740555552</v>
      </c>
      <c r="L582" s="1">
        <v>-0.003803807554637939</v>
      </c>
      <c r="M582" s="1">
        <v>-0.0009280028419493824</v>
      </c>
      <c r="N582" s="1">
        <v>0.009765122361210299</v>
      </c>
      <c r="O582" s="1">
        <v>0.0004842698509130994</v>
      </c>
      <c r="P582" s="1">
        <v>-0.00869899627652404</v>
      </c>
      <c r="Q582" s="1">
        <v>-0.0008355813627303199</v>
      </c>
      <c r="R582" s="1">
        <v>-0.0003076535483362841</v>
      </c>
      <c r="S582" s="1">
        <v>-0.0002583231013196796</v>
      </c>
      <c r="T582" s="1">
        <v>0.009862321079698422</v>
      </c>
      <c r="U582" s="1">
        <v>0.005714319604152251</v>
      </c>
      <c r="V582" s="1">
        <v>0.008648900840432461</v>
      </c>
      <c r="W582" s="1">
        <v>0.006098618692497393</v>
      </c>
      <c r="X582" s="1">
        <v>-0.01260296938242522</v>
      </c>
      <c r="Y582" s="1">
        <v>0.00865717744443506</v>
      </c>
      <c r="Z582" s="1">
        <v>0.003085884182985943</v>
      </c>
    </row>
    <row r="583" spans="1:26">
      <c r="A583" s="11">
        <v>43216</v>
      </c>
      <c r="B583" s="1">
        <v>-0.002926687802440764</v>
      </c>
      <c r="C583" s="1">
        <v>-0.0002041902971782195</v>
      </c>
      <c r="D583" s="1">
        <v>0.0521649823393866</v>
      </c>
      <c r="E583" s="1">
        <v>0.005409674558264577</v>
      </c>
      <c r="F583" s="1">
        <v>-0.02714520410775678</v>
      </c>
      <c r="G583" s="1">
        <v>0.007624818086237273</v>
      </c>
      <c r="H583" s="1">
        <v>0.005299623859467362</v>
      </c>
      <c r="I583" s="1">
        <v>-0.01210160265988747</v>
      </c>
      <c r="J583" s="1">
        <v>0.007977493160755467</v>
      </c>
      <c r="K583" s="1">
        <v>0.01627706779134064</v>
      </c>
      <c r="L583" s="1">
        <v>0.00100023530360005</v>
      </c>
      <c r="M583" s="1">
        <v>-0.009845618608607332</v>
      </c>
      <c r="N583" s="1">
        <v>-0.01916167148776893</v>
      </c>
      <c r="O583" s="1">
        <v>0.000605310262466352</v>
      </c>
      <c r="P583" s="1">
        <v>0.02112508458764872</v>
      </c>
      <c r="Q583" s="1">
        <v>0.01547469730614148</v>
      </c>
      <c r="R583" s="1">
        <v>-0.009861877021708931</v>
      </c>
      <c r="S583" s="1">
        <v>0.0315418192448893</v>
      </c>
      <c r="T583" s="1">
        <v>-0.003890221968526619</v>
      </c>
      <c r="U583" s="1">
        <v>-0.05965928247513186</v>
      </c>
      <c r="V583" s="1">
        <v>0.01040180060088325</v>
      </c>
      <c r="W583" s="1">
        <v>-0.002937810721228895</v>
      </c>
      <c r="X583" s="1">
        <v>0.00252137296721866</v>
      </c>
      <c r="Y583" s="1">
        <v>-0.006786288172795918</v>
      </c>
      <c r="Z583" s="1">
        <v>-0.003438420459055069</v>
      </c>
    </row>
    <row r="584" spans="1:26">
      <c r="A584" s="11">
        <v>43217</v>
      </c>
      <c r="B584" s="1">
        <v>-0.01712311582304415</v>
      </c>
      <c r="C584" s="1">
        <v>-0.00557189886676801</v>
      </c>
      <c r="D584" s="1">
        <v>0.003142983338508598</v>
      </c>
      <c r="E584" s="1">
        <v>0.004419877504241221</v>
      </c>
      <c r="F584" s="1">
        <v>-0.04560440037632574</v>
      </c>
      <c r="G584" s="1">
        <v>0.01433661257812346</v>
      </c>
      <c r="H584" s="1">
        <v>0.008387786789035401</v>
      </c>
      <c r="I584" s="1">
        <v>0.009022630447013347</v>
      </c>
      <c r="J584" s="1">
        <v>0.00605195818777382</v>
      </c>
      <c r="K584" s="1">
        <v>0.003785886732376564</v>
      </c>
      <c r="L584" s="1">
        <v>-0.006358104442439227</v>
      </c>
      <c r="M584" s="1">
        <v>0.00431507263641584</v>
      </c>
      <c r="N584" s="1">
        <v>0.02483090323166781</v>
      </c>
      <c r="O584" s="1">
        <v>-0.002782317516331401</v>
      </c>
      <c r="P584" s="1">
        <v>0.01654964492400834</v>
      </c>
      <c r="Q584" s="1">
        <v>0.0176457424492138</v>
      </c>
      <c r="R584" s="1">
        <v>0.002334451335705756</v>
      </c>
      <c r="S584" s="1">
        <v>0.0131621647902298</v>
      </c>
      <c r="T584" s="1">
        <v>0.01042355256595462</v>
      </c>
      <c r="U584" s="1">
        <v>-0.001812570367381694</v>
      </c>
      <c r="V584" s="1">
        <v>0.01349500460800579</v>
      </c>
      <c r="W584" s="1">
        <v>-0.004675979923511209</v>
      </c>
      <c r="X584" s="1">
        <v>-0.01100295274206398</v>
      </c>
      <c r="Y584" s="1">
        <v>0.03637481162354295</v>
      </c>
      <c r="Z584" s="1">
        <v>0.009624203445571355</v>
      </c>
    </row>
    <row r="585" spans="1:26">
      <c r="A585" s="11">
        <v>43220</v>
      </c>
      <c r="B585" s="1">
        <v>0.01916375647775559</v>
      </c>
      <c r="C585" s="1">
        <v>-0.02147383928951196</v>
      </c>
      <c r="D585" s="1">
        <v>-0.01011269782193902</v>
      </c>
      <c r="E585" s="1">
        <v>-0.002678695571353473</v>
      </c>
      <c r="F585" s="1">
        <v>-0.01320348434698937</v>
      </c>
      <c r="G585" s="1">
        <v>-0.00549678262455644</v>
      </c>
      <c r="H585" s="1">
        <v>-0.03089385880245599</v>
      </c>
      <c r="I585" s="1">
        <v>-0.01621141792819114</v>
      </c>
      <c r="J585" s="1">
        <v>-0.00555275359304197</v>
      </c>
      <c r="K585" s="1">
        <v>-0.0174067016427959</v>
      </c>
      <c r="L585" s="1">
        <v>-0.005667112596634216</v>
      </c>
      <c r="M585" s="1">
        <v>-0.01307682673551147</v>
      </c>
      <c r="N585" s="1">
        <v>-0.0003564604507033664</v>
      </c>
      <c r="O585" s="1">
        <v>-0.01128239430478173</v>
      </c>
      <c r="P585" s="1">
        <v>-0.02400327083597087</v>
      </c>
      <c r="Q585" s="1">
        <v>-0.004896249004419873</v>
      </c>
      <c r="R585" s="1">
        <v>-0.01148899382689639</v>
      </c>
      <c r="S585" s="1">
        <v>-0.003309601914647797</v>
      </c>
      <c r="T585" s="1">
        <v>-0.01993917624675556</v>
      </c>
      <c r="U585" s="1">
        <v>-0.0102904750536339</v>
      </c>
      <c r="V585" s="1">
        <v>-0.003432081177874524</v>
      </c>
      <c r="W585" s="1">
        <v>-0.01169897714562629</v>
      </c>
      <c r="X585" s="1">
        <v>-0.01239671751547133</v>
      </c>
      <c r="Y585" s="1">
        <v>-0.04304868080150837</v>
      </c>
      <c r="Z585" s="1">
        <v>-0.01528771208678403</v>
      </c>
    </row>
    <row r="586" spans="1:26">
      <c r="A586" s="11">
        <v>43221</v>
      </c>
      <c r="B586" s="1">
        <v>-0.01221026862034369</v>
      </c>
      <c r="C586" s="1">
        <v>-0.01205190815191848</v>
      </c>
      <c r="D586" s="1">
        <v>0.009352627704841909</v>
      </c>
      <c r="E586" s="1">
        <v>0.01074235657963318</v>
      </c>
      <c r="F586" s="1">
        <v>0.02134432316637769</v>
      </c>
      <c r="G586" s="1">
        <v>0.004342758087654275</v>
      </c>
      <c r="H586" s="1">
        <v>0.004168827079291448</v>
      </c>
      <c r="I586" s="1">
        <v>0.0002956264251252616</v>
      </c>
      <c r="J586" s="1">
        <v>0.01535572480040659</v>
      </c>
      <c r="K586" s="1">
        <v>0.06111592955302947</v>
      </c>
      <c r="L586" s="1">
        <v>0</v>
      </c>
      <c r="M586" s="1">
        <v>0.00208219945102206</v>
      </c>
      <c r="N586" s="1">
        <v>-0.001425582422082461</v>
      </c>
      <c r="O586" s="1">
        <v>-0.0001230343483649143</v>
      </c>
      <c r="P586" s="1">
        <v>0.01582528009421957</v>
      </c>
      <c r="Q586" s="1">
        <v>0.005330479093221818</v>
      </c>
      <c r="R586" s="1">
        <v>-0.001413158160090688</v>
      </c>
      <c r="S586" s="1">
        <v>0.01348019176711279</v>
      </c>
      <c r="T586" s="1">
        <v>0.01675452300383373</v>
      </c>
      <c r="U586" s="1">
        <v>-0.004892967626885847</v>
      </c>
      <c r="V586" s="1">
        <v>-0.02107415708257587</v>
      </c>
      <c r="W586" s="1">
        <v>0.001758949791017983</v>
      </c>
      <c r="X586" s="1">
        <v>-0.0006438728839156527</v>
      </c>
      <c r="Y586" s="1">
        <v>-0.01073935637239087</v>
      </c>
      <c r="Z586" s="1">
        <v>0.005479474117633831</v>
      </c>
    </row>
    <row r="587" spans="1:26">
      <c r="A587" s="11">
        <v>43222</v>
      </c>
      <c r="B587" s="1">
        <v>0.01508045775152178</v>
      </c>
      <c r="C587" s="1">
        <v>-0.01623477841456089</v>
      </c>
      <c r="D587" s="1">
        <v>0.003991696930728983</v>
      </c>
      <c r="E587" s="1">
        <v>-0.02258494241179798</v>
      </c>
      <c r="F587" s="1">
        <v>-0.02370554820188864</v>
      </c>
      <c r="G587" s="1">
        <v>0.0007860293468935353</v>
      </c>
      <c r="H587" s="1">
        <v>-0.02442048120707607</v>
      </c>
      <c r="I587" s="1">
        <v>-0.004580154131650027</v>
      </c>
      <c r="J587" s="1">
        <v>-0.01237389495488106</v>
      </c>
      <c r="K587" s="1">
        <v>-0.01752922087998698</v>
      </c>
      <c r="L587" s="1">
        <v>-0.007905898625693242</v>
      </c>
      <c r="M587" s="1">
        <v>-0.01378905880244174</v>
      </c>
      <c r="N587" s="1">
        <v>-0.00606840005587439</v>
      </c>
      <c r="O587" s="1">
        <v>-0.02049307795406119</v>
      </c>
      <c r="P587" s="1">
        <v>-0.01568404645669763</v>
      </c>
      <c r="Q587" s="1">
        <v>0.03507315194485794</v>
      </c>
      <c r="R587" s="1">
        <v>-0.02217680165425218</v>
      </c>
      <c r="S587" s="1">
        <v>0.0009291464412193307</v>
      </c>
      <c r="T587" s="1">
        <v>-0.007195945615629418</v>
      </c>
      <c r="U587" s="1">
        <v>-0.01475094075903205</v>
      </c>
      <c r="V587" s="1">
        <v>0.005346902192726377</v>
      </c>
      <c r="W587" s="1">
        <v>-0.008922034243964427</v>
      </c>
      <c r="X587" s="1">
        <v>0.005475110497673352</v>
      </c>
      <c r="Y587" s="1">
        <v>-0.02191740279953502</v>
      </c>
      <c r="Z587" s="1">
        <v>0.002543237726197578</v>
      </c>
    </row>
    <row r="588" spans="1:26">
      <c r="A588" s="11">
        <v>43223</v>
      </c>
      <c r="B588" s="1">
        <v>-0.06137357231798279</v>
      </c>
      <c r="C588" s="1">
        <v>0.02005018640763989</v>
      </c>
      <c r="D588" s="1">
        <v>-0.009512767831301394</v>
      </c>
      <c r="E588" s="1">
        <v>-0.0009707633115474401</v>
      </c>
      <c r="F588" s="1">
        <v>-0.009265206468555887</v>
      </c>
      <c r="G588" s="1">
        <v>-0.003142032918780902</v>
      </c>
      <c r="H588" s="1">
        <v>0.01126462326932365</v>
      </c>
      <c r="I588" s="1">
        <v>0.01573263165458449</v>
      </c>
      <c r="J588" s="1">
        <v>-0.01067281576296453</v>
      </c>
      <c r="K588" s="1">
        <v>0.00226578553791601</v>
      </c>
      <c r="L588" s="1">
        <v>-0.006300957783741845</v>
      </c>
      <c r="M588" s="1">
        <v>0.0005744972087506905</v>
      </c>
      <c r="N588" s="1">
        <v>0.01203090773850013</v>
      </c>
      <c r="O588" s="1">
        <v>0.01014790150821354</v>
      </c>
      <c r="P588" s="1">
        <v>0.005988694892264723</v>
      </c>
      <c r="Q588" s="1">
        <v>0.00748651220869756</v>
      </c>
      <c r="R588" s="1">
        <v>0.007559796175533151</v>
      </c>
      <c r="S588" s="1">
        <v>0.005960044282862453</v>
      </c>
      <c r="T588" s="1">
        <v>-0.002370962979879487</v>
      </c>
      <c r="U588" s="1">
        <v>-0.003743439813852723</v>
      </c>
      <c r="V588" s="1">
        <v>-0.004198788064098236</v>
      </c>
      <c r="W588" s="1">
        <v>-0.002489712001851996</v>
      </c>
      <c r="X588" s="1">
        <v>0.0020819308242368</v>
      </c>
      <c r="Y588" s="1">
        <v>0.001884815144632013</v>
      </c>
      <c r="Z588" s="1">
        <v>-0.01340827249715926</v>
      </c>
    </row>
    <row r="589" spans="1:26">
      <c r="A589" s="11">
        <v>43224</v>
      </c>
      <c r="B589" s="1">
        <v>0.02464973003935111</v>
      </c>
      <c r="C589" s="1">
        <v>0.01130958776332425</v>
      </c>
      <c r="D589" s="1">
        <v>0.008887180561618635</v>
      </c>
      <c r="E589" s="1">
        <v>-0.002332400949231817</v>
      </c>
      <c r="F589" s="1">
        <v>0.03063539865818643</v>
      </c>
      <c r="G589" s="1">
        <v>0.03979503145226659</v>
      </c>
      <c r="H589" s="1">
        <v>0.01534621238397471</v>
      </c>
      <c r="I589" s="1">
        <v>0.003141849350117409</v>
      </c>
      <c r="J589" s="1">
        <v>0.01688545073979753</v>
      </c>
      <c r="K589" s="1">
        <v>0.02430054874144427</v>
      </c>
      <c r="L589" s="1">
        <v>0.01109655085485062</v>
      </c>
      <c r="M589" s="1">
        <v>0.01033689001964389</v>
      </c>
      <c r="N589" s="1">
        <v>-0.001774392110653222</v>
      </c>
      <c r="O589" s="1">
        <v>0.006448943610545266</v>
      </c>
      <c r="P589" s="1">
        <v>0.01158705176289976</v>
      </c>
      <c r="Q589" s="1">
        <v>-0.006257440442158702</v>
      </c>
      <c r="R589" s="1">
        <v>0.01851814123138706</v>
      </c>
      <c r="S589" s="1">
        <v>0.007187682722718858</v>
      </c>
      <c r="T589" s="1">
        <v>0.01966224310385778</v>
      </c>
      <c r="U589" s="1">
        <v>0.006262062295111948</v>
      </c>
      <c r="V589" s="1">
        <v>-0.001405224229764523</v>
      </c>
      <c r="W589" s="1">
        <v>0.008400560127293177</v>
      </c>
      <c r="X589" s="1">
        <v>0.00687226427924581</v>
      </c>
      <c r="Y589" s="1">
        <v>0.007316166027988125</v>
      </c>
      <c r="Z589" s="1">
        <v>0.01854890045044932</v>
      </c>
    </row>
    <row r="590" spans="1:26">
      <c r="A590" s="11">
        <v>43227</v>
      </c>
      <c r="B590" s="1">
        <v>-0.0005063525845716565</v>
      </c>
      <c r="C590" s="1">
        <v>0.01794098192457327</v>
      </c>
      <c r="D590" s="1">
        <v>-0.0007105713639740108</v>
      </c>
      <c r="E590" s="1">
        <v>-0.0001948975972143607</v>
      </c>
      <c r="F590" s="1">
        <v>0.0134541900450631</v>
      </c>
      <c r="G590" s="1">
        <v>0.009094287918500088</v>
      </c>
      <c r="H590" s="1">
        <v>0.0002440303229822582</v>
      </c>
      <c r="I590" s="1">
        <v>0.02126744199567132</v>
      </c>
      <c r="J590" s="1">
        <v>0.005073993920201358</v>
      </c>
      <c r="K590" s="1">
        <v>0.01103458895098419</v>
      </c>
      <c r="L590" s="1">
        <v>0.008669288406240039</v>
      </c>
      <c r="M590" s="1">
        <v>-0.01477820292236554</v>
      </c>
      <c r="N590" s="1">
        <v>-0.009775961538891043</v>
      </c>
      <c r="O590" s="1">
        <v>0.001355533309277401</v>
      </c>
      <c r="P590" s="1">
        <v>0.01113903541557182</v>
      </c>
      <c r="Q590" s="1">
        <v>0.002754746208355696</v>
      </c>
      <c r="R590" s="1">
        <v>0.01097212171251449</v>
      </c>
      <c r="S590" s="1">
        <v>0.0124882121687957</v>
      </c>
      <c r="T590" s="1">
        <v>0.002966529242553806</v>
      </c>
      <c r="U590" s="1">
        <v>-0.003111511349438212</v>
      </c>
      <c r="V590" s="1">
        <v>-0.02420871065763086</v>
      </c>
      <c r="W590" s="1">
        <v>-0.005188957054941046</v>
      </c>
      <c r="X590" s="1">
        <v>0.01396847328526052</v>
      </c>
      <c r="Y590" s="1">
        <v>-0.009545921072381613</v>
      </c>
      <c r="Z590" s="1">
        <v>0.0009017652266609666</v>
      </c>
    </row>
    <row r="591" spans="1:26">
      <c r="A591" s="11">
        <v>43228</v>
      </c>
      <c r="B591" s="1">
        <v>0.01646804425605297</v>
      </c>
      <c r="C591" s="1">
        <v>-0.006051212765178726</v>
      </c>
      <c r="D591" s="1">
        <v>-0.01251253242987116</v>
      </c>
      <c r="E591" s="1">
        <v>-0.01539369240632082</v>
      </c>
      <c r="F591" s="1">
        <v>-0.05557278798366361</v>
      </c>
      <c r="G591" s="1">
        <v>-0.003003986391522107</v>
      </c>
      <c r="H591" s="1">
        <v>0.006580393567123144</v>
      </c>
      <c r="I591" s="1">
        <v>0.01319374801713757</v>
      </c>
      <c r="J591" s="1">
        <v>0.007801643410567882</v>
      </c>
      <c r="K591" s="1">
        <v>-0.009822808758765733</v>
      </c>
      <c r="L591" s="1">
        <v>0.01481237306338601</v>
      </c>
      <c r="M591" s="1">
        <v>0.00634605642081798</v>
      </c>
      <c r="N591" s="1">
        <v>-0.007897580021247297</v>
      </c>
      <c r="O591" s="1">
        <v>-0.001230300563855313</v>
      </c>
      <c r="P591" s="1">
        <v>-0.004261093782922165</v>
      </c>
      <c r="Q591" s="1">
        <v>-0.01491367287208667</v>
      </c>
      <c r="R591" s="1">
        <v>-0.003876112021239719</v>
      </c>
      <c r="S591" s="1">
        <v>0.0002383689361629138</v>
      </c>
      <c r="T591" s="1">
        <v>-0.001874962294330818</v>
      </c>
      <c r="U591" s="1">
        <v>-0.01061165141593734</v>
      </c>
      <c r="V591" s="1">
        <v>0.001298294520116317</v>
      </c>
      <c r="W591" s="1">
        <v>-0.004354394543085949</v>
      </c>
      <c r="X591" s="1">
        <v>0.01596752018427705</v>
      </c>
      <c r="Y591" s="1">
        <v>-0.01487475758842127</v>
      </c>
      <c r="Z591" s="1">
        <v>0.007926344628247373</v>
      </c>
    </row>
    <row r="592" spans="1:26">
      <c r="A592" s="11">
        <v>43229</v>
      </c>
      <c r="B592" s="1">
        <v>0.02816542003190192</v>
      </c>
      <c r="C592" s="1">
        <v>0.0181163999319689</v>
      </c>
      <c r="D592" s="1">
        <v>-0.001871607486757854</v>
      </c>
      <c r="E592" s="1">
        <v>0.01108250777307007</v>
      </c>
      <c r="F592" s="1">
        <v>0.004576579512824752</v>
      </c>
      <c r="G592" s="1">
        <v>-0.01054618503472404</v>
      </c>
      <c r="H592" s="1">
        <v>0.001452989148220674</v>
      </c>
      <c r="I592" s="1">
        <v>0.02174957943532108</v>
      </c>
      <c r="J592" s="1">
        <v>0.02823304456411457</v>
      </c>
      <c r="K592" s="1">
        <v>-0.0005512441666500889</v>
      </c>
      <c r="L592" s="1">
        <v>0.02180355696272973</v>
      </c>
      <c r="M592" s="1">
        <v>-0.01471441454033351</v>
      </c>
      <c r="N592" s="1">
        <v>0.01175992884840626</v>
      </c>
      <c r="O592" s="1">
        <v>0.001108699430274251</v>
      </c>
      <c r="P592" s="1">
        <v>0.01179445174600846</v>
      </c>
      <c r="Q592" s="1">
        <v>-0.01792842529117256</v>
      </c>
      <c r="R592" s="1">
        <v>-0.003112760808264947</v>
      </c>
      <c r="S592" s="1">
        <v>0.00718920237618037</v>
      </c>
      <c r="T592" s="1">
        <v>0.007593982864547488</v>
      </c>
      <c r="U592" s="1">
        <v>-0.009463885404466077</v>
      </c>
      <c r="V592" s="1">
        <v>0.007346599822083411</v>
      </c>
      <c r="W592" s="1">
        <v>0.002979917937806054</v>
      </c>
      <c r="X592" s="1">
        <v>0.00415981297182344</v>
      </c>
      <c r="Y592" s="1">
        <v>-0.01361141220672391</v>
      </c>
      <c r="Z592" s="1">
        <v>0.02377122073830318</v>
      </c>
    </row>
    <row r="593" spans="1:26">
      <c r="A593" s="11">
        <v>43230</v>
      </c>
      <c r="B593" s="1">
        <v>0.00945472093130606</v>
      </c>
      <c r="C593" s="1">
        <v>0.003733961530798524</v>
      </c>
      <c r="D593" s="1">
        <v>0.01846538764190697</v>
      </c>
      <c r="E593" s="1">
        <v>0.001174879094064885</v>
      </c>
      <c r="F593" s="1">
        <v>0.02700935687275741</v>
      </c>
      <c r="G593" s="1">
        <v>0.01408457535432017</v>
      </c>
      <c r="H593" s="1">
        <v>-0.004110429277229377</v>
      </c>
      <c r="I593" s="1">
        <v>0.009989151686625064</v>
      </c>
      <c r="J593" s="1">
        <v>0.007529145583669017</v>
      </c>
      <c r="K593" s="1">
        <v>0.01240725079184224</v>
      </c>
      <c r="L593" s="1">
        <v>0.007759315225490671</v>
      </c>
      <c r="M593" s="1">
        <v>0.007369889997160373</v>
      </c>
      <c r="N593" s="1">
        <v>0.002146024561086035</v>
      </c>
      <c r="O593" s="1">
        <v>0.006400058667114239</v>
      </c>
      <c r="P593" s="1">
        <v>0.01000615667226668</v>
      </c>
      <c r="Q593" s="1">
        <v>0.01054770092403179</v>
      </c>
      <c r="R593" s="1">
        <v>-0.004527682064416227</v>
      </c>
      <c r="S593" s="1">
        <v>0.001465643071413725</v>
      </c>
      <c r="T593" s="1">
        <v>-0.0009455874444975754</v>
      </c>
      <c r="U593" s="1">
        <v>0.01528677505409615</v>
      </c>
      <c r="V593" s="1">
        <v>0.004433263407458421</v>
      </c>
      <c r="W593" s="1">
        <v>0.02458173061022428</v>
      </c>
      <c r="X593" s="1">
        <v>0.007212324801611159</v>
      </c>
      <c r="Y593" s="1">
        <v>0.01768021866498937</v>
      </c>
      <c r="Z593" s="1">
        <v>0.008729027954039292</v>
      </c>
    </row>
    <row r="594" spans="1:26">
      <c r="A594" s="11">
        <v>43231</v>
      </c>
      <c r="B594" s="1">
        <v>-0.005523589835052967</v>
      </c>
      <c r="C594" s="1">
        <v>-0.004679301465635</v>
      </c>
      <c r="D594" s="1">
        <v>-0.001133321417783328</v>
      </c>
      <c r="E594" s="1">
        <v>0.01388048811150622</v>
      </c>
      <c r="F594" s="1">
        <v>0.01077344364404564</v>
      </c>
      <c r="G594" s="1">
        <v>0.001501613088959575</v>
      </c>
      <c r="H594" s="1">
        <v>-0.0123817396394017</v>
      </c>
      <c r="I594" s="1">
        <v>0.004842876681462771</v>
      </c>
      <c r="J594" s="1">
        <v>-0.001758656681322135</v>
      </c>
      <c r="K594" s="1">
        <v>-0.01143788968012893</v>
      </c>
      <c r="L594" s="1">
        <v>-0.00376233342741672</v>
      </c>
      <c r="M594" s="1">
        <v>0.01001158087860965</v>
      </c>
      <c r="N594" s="1">
        <v>-0.01516759055539219</v>
      </c>
      <c r="O594" s="1">
        <v>-0.002445898809776526</v>
      </c>
      <c r="P594" s="1">
        <v>-0.002144901300170865</v>
      </c>
      <c r="Q594" s="1">
        <v>0.0008033539879153118</v>
      </c>
      <c r="R594" s="1">
        <v>0.0004703672616035437</v>
      </c>
      <c r="S594" s="1">
        <v>-0.001180204287111963</v>
      </c>
      <c r="T594" s="1">
        <v>0.001682195465335878</v>
      </c>
      <c r="U594" s="1">
        <v>0.01286072297819962</v>
      </c>
      <c r="V594" s="1">
        <v>0.0001423706061840502</v>
      </c>
      <c r="W594" s="1">
        <v>0.01276770553760209</v>
      </c>
      <c r="X594" s="1">
        <v>0.002285528297087058</v>
      </c>
      <c r="Y594" s="1">
        <v>0.03008405903745848</v>
      </c>
      <c r="Z594" s="1">
        <v>0.0005193170057893326</v>
      </c>
    </row>
    <row r="595" spans="1:26">
      <c r="A595" s="11">
        <v>43234</v>
      </c>
      <c r="B595" s="1">
        <v>0.02173385810898432</v>
      </c>
      <c r="C595" s="1">
        <v>0.006219730350889741</v>
      </c>
      <c r="D595" s="1">
        <v>0.009642360825366625</v>
      </c>
      <c r="E595" s="1">
        <v>0.003085382494709465</v>
      </c>
      <c r="F595" s="1">
        <v>0.007523505282610587</v>
      </c>
      <c r="G595" s="1">
        <v>-0.007121462618727037</v>
      </c>
      <c r="H595" s="1">
        <v>-0.01573253608998459</v>
      </c>
      <c r="I595" s="1">
        <v>-0.003869289321665859</v>
      </c>
      <c r="J595" s="1">
        <v>-0.006164560841837363</v>
      </c>
      <c r="K595" s="1">
        <v>0.004958570484957292</v>
      </c>
      <c r="L595" s="1">
        <v>0.0003512984479574488</v>
      </c>
      <c r="M595" s="1">
        <v>-0.004955927439128316</v>
      </c>
      <c r="N595" s="1">
        <v>-0.003080185857178619</v>
      </c>
      <c r="O595" s="1">
        <v>-0.005516819641713799</v>
      </c>
      <c r="P595" s="1">
        <v>0.003377731347000257</v>
      </c>
      <c r="Q595" s="1">
        <v>-0.003209638737971976</v>
      </c>
      <c r="R595" s="1">
        <v>-0.005038252993230907</v>
      </c>
      <c r="S595" s="1">
        <v>-0.01020787639461329</v>
      </c>
      <c r="T595" s="1">
        <v>0.009157963728190666</v>
      </c>
      <c r="U595" s="1">
        <v>-0.003096777818017871</v>
      </c>
      <c r="V595" s="1">
        <v>0.03772207915329084</v>
      </c>
      <c r="W595" s="1">
        <v>0.003971422545037573</v>
      </c>
      <c r="X595" s="1">
        <v>-0.003952423670180671</v>
      </c>
      <c r="Y595" s="1">
        <v>-0.002673389906899915</v>
      </c>
      <c r="Z595" s="1">
        <v>-0.003459738592135997</v>
      </c>
    </row>
    <row r="596" spans="1:26">
      <c r="A596" s="11">
        <v>43235</v>
      </c>
      <c r="B596" s="1">
        <v>0.004963405476389848</v>
      </c>
      <c r="C596" s="1">
        <v>-0.007168052134901903</v>
      </c>
      <c r="D596" s="1">
        <v>-0.01053335838258596</v>
      </c>
      <c r="E596" s="1">
        <v>0.005382232988498714</v>
      </c>
      <c r="F596" s="1">
        <v>-0.004044784341931118</v>
      </c>
      <c r="G596" s="1">
        <v>-0.01623249679426431</v>
      </c>
      <c r="H596" s="1">
        <v>-0.01498490677379083</v>
      </c>
      <c r="I596" s="1">
        <v>-0.008313644371301221</v>
      </c>
      <c r="J596" s="1">
        <v>-0.02348264762466867</v>
      </c>
      <c r="K596" s="1">
        <v>-0.005756789280760399</v>
      </c>
      <c r="L596" s="1">
        <v>-0.007638225390795284</v>
      </c>
      <c r="M596" s="1">
        <v>-0.009578940204481134</v>
      </c>
      <c r="N596" s="1">
        <v>-0.009088097897442582</v>
      </c>
      <c r="O596" s="1">
        <v>-0.004807276153823703</v>
      </c>
      <c r="P596" s="1">
        <v>-0.00724262961785449</v>
      </c>
      <c r="Q596" s="1">
        <v>-0.006438245068276283</v>
      </c>
      <c r="R596" s="1">
        <v>0.005222281900587822</v>
      </c>
      <c r="S596" s="1">
        <v>-0.01685435948718117</v>
      </c>
      <c r="T596" s="1">
        <v>-0.01281903752323454</v>
      </c>
      <c r="U596" s="1">
        <v>-0.00310674810023237</v>
      </c>
      <c r="V596" s="1">
        <v>0.01106817943072458</v>
      </c>
      <c r="W596" s="1">
        <v>-0.03831461958137417</v>
      </c>
      <c r="X596" s="1">
        <v>-0.002136238586424422</v>
      </c>
      <c r="Y596" s="1">
        <v>-0.01443575308665257</v>
      </c>
      <c r="Z596" s="1">
        <v>0.00381892493332181</v>
      </c>
    </row>
    <row r="597" spans="1:26">
      <c r="A597" s="11">
        <v>43236</v>
      </c>
      <c r="B597" s="1">
        <v>0.003292780630118841</v>
      </c>
      <c r="C597" s="1">
        <v>-0.003361382699847648</v>
      </c>
      <c r="D597" s="1">
        <v>0.004116260725069765</v>
      </c>
      <c r="E597" s="1">
        <v>-0.001720545512370553</v>
      </c>
      <c r="F597" s="1">
        <v>0.01686945512805127</v>
      </c>
      <c r="G597" s="1">
        <v>-0.01093807589604723</v>
      </c>
      <c r="H597" s="1">
        <v>0.001013833407186082</v>
      </c>
      <c r="I597" s="1">
        <v>0.01250598763443045</v>
      </c>
      <c r="J597" s="1">
        <v>0.00862103989132823</v>
      </c>
      <c r="K597" s="1">
        <v>0.004135729257388698</v>
      </c>
      <c r="L597" s="1">
        <v>0.002742639466632557</v>
      </c>
      <c r="M597" s="1">
        <v>0.02533883498509382</v>
      </c>
      <c r="N597" s="1">
        <v>0.006419540119755096</v>
      </c>
      <c r="O597" s="1">
        <v>-0.00136291141391498</v>
      </c>
      <c r="P597" s="1">
        <v>0.002579923367277193</v>
      </c>
      <c r="Q597" s="1">
        <v>-0.01174597530649191</v>
      </c>
      <c r="R597" s="1">
        <v>0.006139713173256567</v>
      </c>
      <c r="S597" s="1">
        <v>-0.001505716370457932</v>
      </c>
      <c r="T597" s="1">
        <v>0.003872030513617064</v>
      </c>
      <c r="U597" s="1">
        <v>0.006544123457991491</v>
      </c>
      <c r="V597" s="1">
        <v>0.02941992392228743</v>
      </c>
      <c r="W597" s="1">
        <v>0.007604632029019287</v>
      </c>
      <c r="X597" s="1">
        <v>0.003976012527346917</v>
      </c>
      <c r="Y597" s="1">
        <v>0.001464662999124844</v>
      </c>
      <c r="Z597" s="1">
        <v>0.002951976515182864</v>
      </c>
    </row>
    <row r="598" spans="1:26">
      <c r="A598" s="11">
        <v>43237</v>
      </c>
      <c r="B598" s="1">
        <v>0.03164541815418498</v>
      </c>
      <c r="C598" s="1">
        <v>0.009297134476190294</v>
      </c>
      <c r="D598" s="1">
        <v>-0.001272308822891088</v>
      </c>
      <c r="E598" s="1">
        <v>0.0101512566707378</v>
      </c>
      <c r="F598" s="1">
        <v>-0.004300922270411567</v>
      </c>
      <c r="G598" s="1">
        <v>-0.008234984433801329</v>
      </c>
      <c r="H598" s="1">
        <v>-0.006585461143190141</v>
      </c>
      <c r="I598" s="1">
        <v>-0.003664459869625603</v>
      </c>
      <c r="J598" s="1">
        <v>0.003148544836755862</v>
      </c>
      <c r="K598" s="1">
        <v>0.002470740291982576</v>
      </c>
      <c r="L598" s="1">
        <v>-0.00335273077705589</v>
      </c>
      <c r="M598" s="1">
        <v>-0.01018690241382092</v>
      </c>
      <c r="N598" s="1">
        <v>0.007654821347916174</v>
      </c>
      <c r="O598" s="1">
        <v>0.004713693944764064</v>
      </c>
      <c r="P598" s="1">
        <v>-0.009984527762953332</v>
      </c>
      <c r="Q598" s="1">
        <v>-0.001639169219720626</v>
      </c>
      <c r="R598" s="1">
        <v>0.00594569950198709</v>
      </c>
      <c r="S598" s="1">
        <v>-0.008560083793603068</v>
      </c>
      <c r="T598" s="1">
        <v>-7.905345283454324E-05</v>
      </c>
      <c r="U598" s="1">
        <v>-0.01145520820796164</v>
      </c>
      <c r="V598" s="1">
        <v>0.007975299587664741</v>
      </c>
      <c r="W598" s="1">
        <v>0.001613887392421187</v>
      </c>
      <c r="X598" s="1">
        <v>0.00898693472744494</v>
      </c>
      <c r="Y598" s="1">
        <v>-0.0002091380377032825</v>
      </c>
      <c r="Z598" s="1">
        <v>0.009348932394040332</v>
      </c>
    </row>
    <row r="599" spans="1:26">
      <c r="A599" s="11">
        <v>43238</v>
      </c>
      <c r="B599" s="1">
        <v>-0.002272064450758227</v>
      </c>
      <c r="C599" s="1">
        <v>0.02060207779639112</v>
      </c>
      <c r="D599" s="1">
        <v>-0.0007074218351877937</v>
      </c>
      <c r="E599" s="1">
        <v>-0.0005689617900738186</v>
      </c>
      <c r="F599" s="1">
        <v>0.009565183232562058</v>
      </c>
      <c r="G599" s="1">
        <v>0.001581382892404726</v>
      </c>
      <c r="H599" s="1">
        <v>-0.1236611501458891</v>
      </c>
      <c r="I599" s="1">
        <v>0.05748915546278055</v>
      </c>
      <c r="J599" s="1">
        <v>-0.007174743430438557</v>
      </c>
      <c r="K599" s="1">
        <v>-0.01533789342977243</v>
      </c>
      <c r="L599" s="1">
        <v>-0.01620054535720628</v>
      </c>
      <c r="M599" s="1">
        <v>-0.005336354175971669</v>
      </c>
      <c r="N599" s="1">
        <v>0.004521795029966968</v>
      </c>
      <c r="O599" s="1">
        <v>0.002098310512850254</v>
      </c>
      <c r="P599" s="1">
        <v>0.001871453822089864</v>
      </c>
      <c r="Q599" s="1">
        <v>0.002873690025562148</v>
      </c>
      <c r="R599" s="1">
        <v>0.01119935233946689</v>
      </c>
      <c r="S599" s="1">
        <v>-0.001226369353207635</v>
      </c>
      <c r="T599" s="1">
        <v>0.01930417611494928</v>
      </c>
      <c r="U599" s="1">
        <v>0.00375847005416774</v>
      </c>
      <c r="V599" s="1">
        <v>0.001450935913068552</v>
      </c>
      <c r="W599" s="1">
        <v>0.01862500602206763</v>
      </c>
      <c r="X599" s="1">
        <v>0.001207806531120958</v>
      </c>
      <c r="Y599" s="1">
        <v>-0.002298925422859255</v>
      </c>
      <c r="Z599" s="1">
        <v>-0.009091004786842882</v>
      </c>
    </row>
    <row r="600" spans="1:26">
      <c r="A600" s="11">
        <v>43241</v>
      </c>
      <c r="B600" s="1">
        <v>0.008426041927444894</v>
      </c>
      <c r="C600" s="1">
        <v>0.03613018102645049</v>
      </c>
      <c r="D600" s="1">
        <v>0.02124599222792645</v>
      </c>
      <c r="E600" s="1">
        <v>-0.008916492985725277</v>
      </c>
      <c r="F600" s="1">
        <v>-0.01161384473197058</v>
      </c>
      <c r="G600" s="1">
        <v>-0.00434265445219939</v>
      </c>
      <c r="H600" s="1">
        <v>-0.02298530322509396</v>
      </c>
      <c r="I600" s="1">
        <v>0.01983861055574931</v>
      </c>
      <c r="J600" s="1">
        <v>-0.002258136290102075</v>
      </c>
      <c r="K600" s="1">
        <v>-0.006119317568770821</v>
      </c>
      <c r="L600" s="1">
        <v>0.009178603234174521</v>
      </c>
      <c r="M600" s="1">
        <v>0.0005747992451938799</v>
      </c>
      <c r="N600" s="1">
        <v>0.001800330537868433</v>
      </c>
      <c r="O600" s="1">
        <v>0.003080244760904183</v>
      </c>
      <c r="P600" s="1">
        <v>0.01286819344067447</v>
      </c>
      <c r="Q600" s="1">
        <v>-0.001228299765849927</v>
      </c>
      <c r="R600" s="1">
        <v>0.01538274301332843</v>
      </c>
      <c r="S600" s="1">
        <v>0.006434481175599416</v>
      </c>
      <c r="T600" s="1">
        <v>0.008308143558637848</v>
      </c>
      <c r="U600" s="1">
        <v>0.01684848346612489</v>
      </c>
      <c r="V600" s="1">
        <v>0.01224634703504868</v>
      </c>
      <c r="W600" s="1">
        <v>0.008327668388708132</v>
      </c>
      <c r="X600" s="1">
        <v>0.01025333106786652</v>
      </c>
      <c r="Y600" s="1">
        <v>0.01445338231536364</v>
      </c>
      <c r="Z600" s="1">
        <v>0.00328893758446136</v>
      </c>
    </row>
    <row r="601" spans="1:26">
      <c r="A601" s="11">
        <v>43242</v>
      </c>
      <c r="B601" s="1">
        <v>-0.02597092443798354</v>
      </c>
      <c r="C601" s="1">
        <v>-0.0244560569806358</v>
      </c>
      <c r="D601" s="1">
        <v>-0.005270068135524109</v>
      </c>
      <c r="E601" s="1">
        <v>0.001913923424834207</v>
      </c>
      <c r="F601" s="1">
        <v>0.005256482540994201</v>
      </c>
      <c r="G601" s="1">
        <v>0.0075336210113226</v>
      </c>
      <c r="H601" s="1">
        <v>0.02352605677372877</v>
      </c>
      <c r="I601" s="1">
        <v>-0.02046320594114381</v>
      </c>
      <c r="J601" s="1">
        <v>-0.0009057169345372262</v>
      </c>
      <c r="K601" s="1">
        <v>-0.01511359908535259</v>
      </c>
      <c r="L601" s="1">
        <v>0.007668418462853488</v>
      </c>
      <c r="M601" s="1">
        <v>-0.02623512068831746</v>
      </c>
      <c r="N601" s="1">
        <v>-0.007728199663074475</v>
      </c>
      <c r="O601" s="1">
        <v>0.002947414867720433</v>
      </c>
      <c r="P601" s="1">
        <v>-0.001024212196627072</v>
      </c>
      <c r="Q601" s="1">
        <v>0</v>
      </c>
      <c r="R601" s="1">
        <v>-0.004090721651432427</v>
      </c>
      <c r="S601" s="1">
        <v>-0.003855834559901128</v>
      </c>
      <c r="T601" s="1">
        <v>-0.0379234558602245</v>
      </c>
      <c r="U601" s="1">
        <v>-0.004909414031426973</v>
      </c>
      <c r="V601" s="1">
        <v>-0.01821262115988076</v>
      </c>
      <c r="W601" s="1">
        <v>0.005213665465268136</v>
      </c>
      <c r="X601" s="1">
        <v>-0.007760940291940632</v>
      </c>
      <c r="Y601" s="1">
        <v>0.007846445239920286</v>
      </c>
      <c r="Z601" s="1">
        <v>0.01000697967183495</v>
      </c>
    </row>
    <row r="602" spans="1:26">
      <c r="A602" s="11">
        <v>43243</v>
      </c>
      <c r="B602" s="1">
        <v>-0.01298439782620109</v>
      </c>
      <c r="C602" s="1">
        <v>0.01180217473820533</v>
      </c>
      <c r="D602" s="1">
        <v>0.008784036645792304</v>
      </c>
      <c r="E602" s="1">
        <v>0.003057087492622346</v>
      </c>
      <c r="F602" s="1">
        <v>-0.01937843487527302</v>
      </c>
      <c r="G602" s="1">
        <v>0.01770955167551658</v>
      </c>
      <c r="H602" s="1">
        <v>-0.003200586355817769</v>
      </c>
      <c r="I602" s="1">
        <v>0.009607532540547581</v>
      </c>
      <c r="J602" s="1">
        <v>-0.0077023179379202</v>
      </c>
      <c r="K602" s="1">
        <v>-0.02756424042433525</v>
      </c>
      <c r="L602" s="1">
        <v>-0.004601565824651765</v>
      </c>
      <c r="M602" s="1">
        <v>-0.01042260925372041</v>
      </c>
      <c r="N602" s="1">
        <v>0.01213563412398133</v>
      </c>
      <c r="O602" s="1">
        <v>-0.0002447256984368096</v>
      </c>
      <c r="P602" s="1">
        <v>0.01189713232875222</v>
      </c>
      <c r="Q602" s="1">
        <v>0.01106594747050571</v>
      </c>
      <c r="R602" s="1">
        <v>-0.009887595337999544</v>
      </c>
      <c r="S602" s="1">
        <v>0.01254256689173538</v>
      </c>
      <c r="T602" s="1">
        <v>0.02268829738841016</v>
      </c>
      <c r="U602" s="1">
        <v>-0.003083617719064957</v>
      </c>
      <c r="V602" s="1">
        <v>-0.05697630511769236</v>
      </c>
      <c r="W602" s="1">
        <v>-0.00615032228875767</v>
      </c>
      <c r="X602" s="1">
        <v>0.00285796624736534</v>
      </c>
      <c r="Y602" s="1">
        <v>-0.004507296227360791</v>
      </c>
      <c r="Z602" s="1">
        <v>-0.009053392789247328</v>
      </c>
    </row>
    <row r="603" spans="1:26">
      <c r="A603" s="11">
        <v>43244</v>
      </c>
      <c r="B603" s="1">
        <v>-0.03077245700345732</v>
      </c>
      <c r="C603" s="1">
        <v>-0.0005846112454381824</v>
      </c>
      <c r="D603" s="1">
        <v>0.0008295527328685548</v>
      </c>
      <c r="E603" s="1">
        <v>0.003618934345821723</v>
      </c>
      <c r="F603" s="1">
        <v>-0.007842085098696439</v>
      </c>
      <c r="G603" s="1">
        <v>0.01198769302761749</v>
      </c>
      <c r="H603" s="1">
        <v>0.002335006602116607</v>
      </c>
      <c r="I603" s="1">
        <v>0.01021825140941579</v>
      </c>
      <c r="J603" s="1">
        <v>0.0009129888687524623</v>
      </c>
      <c r="K603" s="1">
        <v>0.005844356055454858</v>
      </c>
      <c r="L603" s="1">
        <v>-0.01120084050369552</v>
      </c>
      <c r="M603" s="1">
        <v>0.01768655719609247</v>
      </c>
      <c r="N603" s="1">
        <v>0.000178995466647569</v>
      </c>
      <c r="O603" s="1">
        <v>-0.002449363073026012</v>
      </c>
      <c r="P603" s="1">
        <v>-0.003547527782510884</v>
      </c>
      <c r="Q603" s="1">
        <v>0.007295882575144352</v>
      </c>
      <c r="R603" s="1">
        <v>0.002150857118357941</v>
      </c>
      <c r="S603" s="1">
        <v>0.002273903059856197</v>
      </c>
      <c r="T603" s="1">
        <v>0.005149483436755364</v>
      </c>
      <c r="U603" s="1">
        <v>0.01391927101961721</v>
      </c>
      <c r="V603" s="1">
        <v>-0.003231598915101275</v>
      </c>
      <c r="W603" s="1">
        <v>-0.002540521336960699</v>
      </c>
      <c r="X603" s="1">
        <v>0.003449309062302897</v>
      </c>
      <c r="Y603" s="1">
        <v>0.001029361245137084</v>
      </c>
      <c r="Z603" s="1">
        <v>-0.00258604889109193</v>
      </c>
    </row>
    <row r="604" spans="1:26">
      <c r="A604" s="11">
        <v>43245</v>
      </c>
      <c r="B604" s="1">
        <v>-0.04798856405117635</v>
      </c>
      <c r="C604" s="1">
        <v>0.003036227796309188</v>
      </c>
      <c r="D604" s="1">
        <v>0.001656943948864065</v>
      </c>
      <c r="E604" s="1">
        <v>0.001518340490585857</v>
      </c>
      <c r="F604" s="1">
        <v>0.003793823770876559</v>
      </c>
      <c r="G604" s="1">
        <v>-0.007260142412837123</v>
      </c>
      <c r="H604" s="1">
        <v>0.007571473553171337</v>
      </c>
      <c r="I604" s="1">
        <v>0.005183580835579127</v>
      </c>
      <c r="J604" s="1">
        <v>-0.0004562536123978722</v>
      </c>
      <c r="K604" s="1">
        <v>0.006391723372008551</v>
      </c>
      <c r="L604" s="1">
        <v>-0.005124538849352267</v>
      </c>
      <c r="M604" s="1">
        <v>0.03222028445652714</v>
      </c>
      <c r="N604" s="1">
        <v>-0.004652214181072756</v>
      </c>
      <c r="O604" s="1">
        <v>-0.001719540978058931</v>
      </c>
      <c r="P604" s="1">
        <v>0.0005087021304563955</v>
      </c>
      <c r="Q604" s="1">
        <v>0.01006066540181538</v>
      </c>
      <c r="R604" s="1">
        <v>-0.009044863663813629</v>
      </c>
      <c r="S604" s="1">
        <v>0.006517329886352563</v>
      </c>
      <c r="T604" s="1">
        <v>0.01492965138474722</v>
      </c>
      <c r="U604" s="1">
        <v>-0.008236979647940346</v>
      </c>
      <c r="V604" s="1">
        <v>0.00380596550677792</v>
      </c>
      <c r="W604" s="1">
        <v>-0.01074210841714851</v>
      </c>
      <c r="X604" s="1">
        <v>-0.005081932324064065</v>
      </c>
      <c r="Y604" s="1">
        <v>-0.002467370092528731</v>
      </c>
      <c r="Z604" s="1">
        <v>-0.01399916354432995</v>
      </c>
    </row>
    <row r="605" spans="1:26">
      <c r="A605" s="11">
        <v>43249</v>
      </c>
      <c r="B605" s="1">
        <v>-0.007128347119007339</v>
      </c>
      <c r="C605" s="1">
        <v>-0.02113343283450664</v>
      </c>
      <c r="D605" s="1">
        <v>-0.01102977142734296</v>
      </c>
      <c r="E605" s="1">
        <v>-0.009474795238111788</v>
      </c>
      <c r="F605" s="1">
        <v>-0.007558889458775364</v>
      </c>
      <c r="G605" s="1">
        <v>-0.00538896163746061</v>
      </c>
      <c r="H605" s="1">
        <v>-0.01011557057707013</v>
      </c>
      <c r="I605" s="1">
        <v>-0.02509420176507615</v>
      </c>
      <c r="J605" s="1">
        <v>-0.02784142247478683</v>
      </c>
      <c r="K605" s="1">
        <v>-0.01674417272673523</v>
      </c>
      <c r="L605" s="1">
        <v>-0.04274367252061662</v>
      </c>
      <c r="M605" s="1">
        <v>-0.02591731840510425</v>
      </c>
      <c r="N605" s="1">
        <v>0.001797740858778818</v>
      </c>
      <c r="O605" s="1">
        <v>-0.02718333321983302</v>
      </c>
      <c r="P605" s="1">
        <v>-0.003558263291633668</v>
      </c>
      <c r="Q605" s="1">
        <v>-0.001195115995648588</v>
      </c>
      <c r="R605" s="1">
        <v>-0.01748148401837768</v>
      </c>
      <c r="S605" s="1">
        <v>0.006523226569534302</v>
      </c>
      <c r="T605" s="1">
        <v>-0.01091172923262473</v>
      </c>
      <c r="U605" s="1">
        <v>-0.005536811653184426</v>
      </c>
      <c r="V605" s="1">
        <v>0.006880931483163932</v>
      </c>
      <c r="W605" s="1">
        <v>-0.02190469076435786</v>
      </c>
      <c r="X605" s="1">
        <v>-0.01096771113443606</v>
      </c>
      <c r="Y605" s="1">
        <v>-0.006595370291681113</v>
      </c>
      <c r="Z605" s="1">
        <v>-0.03733577349651152</v>
      </c>
    </row>
    <row r="606" spans="1:26">
      <c r="A606" s="11">
        <v>43250</v>
      </c>
      <c r="B606" s="1">
        <v>0.043846345143564</v>
      </c>
      <c r="C606" s="1">
        <v>0.01619940188788971</v>
      </c>
      <c r="D606" s="1">
        <v>0.001951641043618002</v>
      </c>
      <c r="E606" s="1">
        <v>0.01434833873326724</v>
      </c>
      <c r="F606" s="1">
        <v>-0.0009520678432277663</v>
      </c>
      <c r="G606" s="1">
        <v>0.01083613216088564</v>
      </c>
      <c r="H606" s="1">
        <v>0.008175137530814336</v>
      </c>
      <c r="I606" s="1">
        <v>0.0004517199149469686</v>
      </c>
      <c r="J606" s="1">
        <v>0.04037604186974653</v>
      </c>
      <c r="K606" s="1">
        <v>0.01027636254749376</v>
      </c>
      <c r="L606" s="1">
        <v>0.02284515313957525</v>
      </c>
      <c r="M606" s="1">
        <v>-0.003107216529855239</v>
      </c>
      <c r="N606" s="1">
        <v>0.01543150008642091</v>
      </c>
      <c r="O606" s="1">
        <v>0.02124172657489809</v>
      </c>
      <c r="P606" s="1">
        <v>0.009590845622179378</v>
      </c>
      <c r="Q606" s="1">
        <v>0.009572864341559351</v>
      </c>
      <c r="R606" s="1">
        <v>0.01196678673261276</v>
      </c>
      <c r="S606" s="1">
        <v>0.0113414053526566</v>
      </c>
      <c r="T606" s="1">
        <v>-0.007010386590601714</v>
      </c>
      <c r="U606" s="1">
        <v>0.007423378582886331</v>
      </c>
      <c r="V606" s="1">
        <v>0.02468643709447105</v>
      </c>
      <c r="W606" s="1">
        <v>0.009474773405532932</v>
      </c>
      <c r="X606" s="1">
        <v>0.0164059463837547</v>
      </c>
      <c r="Y606" s="1">
        <v>0.008299025494731049</v>
      </c>
      <c r="Z606" s="1">
        <v>0.01110717130254346</v>
      </c>
    </row>
    <row r="607" spans="1:26">
      <c r="A607" s="11">
        <v>43251</v>
      </c>
      <c r="B607" s="1">
        <v>-0.0174404987412029</v>
      </c>
      <c r="C607" s="1">
        <v>-0.01683452057976431</v>
      </c>
      <c r="D607" s="1">
        <v>-0.01171884926938338</v>
      </c>
      <c r="E607" s="1">
        <v>-0.007544450580444062</v>
      </c>
      <c r="F607" s="1">
        <v>-0.009529914150863017</v>
      </c>
      <c r="G607" s="1">
        <v>0.0003826439107228463</v>
      </c>
      <c r="H607" s="1">
        <v>-0.02577458325595061</v>
      </c>
      <c r="I607" s="1">
        <v>-0.03591705372539056</v>
      </c>
      <c r="J607" s="1">
        <v>-0.005866479441966055</v>
      </c>
      <c r="K607" s="1">
        <v>-0.02470215022043176</v>
      </c>
      <c r="L607" s="1">
        <v>-0.01236705919449377</v>
      </c>
      <c r="M607" s="1">
        <v>-0.004870688140279023</v>
      </c>
      <c r="N607" s="1">
        <v>-0.01502030147693245</v>
      </c>
      <c r="O607" s="1">
        <v>-0.004952036092751855</v>
      </c>
      <c r="P607" s="1">
        <v>-0.0011118223385157</v>
      </c>
      <c r="Q607" s="1">
        <v>-0.0003950339765597111</v>
      </c>
      <c r="R607" s="1">
        <v>-0.03174106479032179</v>
      </c>
      <c r="S607" s="1">
        <v>-0.001837757119352856</v>
      </c>
      <c r="T607" s="1">
        <v>-0.01557449668412991</v>
      </c>
      <c r="U607" s="1">
        <v>-0.007675562028828353</v>
      </c>
      <c r="V607" s="1">
        <v>-0.007894475748985941</v>
      </c>
      <c r="W607" s="1">
        <v>-0.01270438286885145</v>
      </c>
      <c r="X607" s="1">
        <v>-0.004931895235640527</v>
      </c>
      <c r="Y607" s="1">
        <v>-0.01913592555172738</v>
      </c>
      <c r="Z607" s="1">
        <v>-0.01296582803835156</v>
      </c>
    </row>
    <row r="608" spans="1:26">
      <c r="A608" s="11">
        <v>43252</v>
      </c>
      <c r="B608" s="1">
        <v>-0.02574983896705285</v>
      </c>
      <c r="C608" s="1">
        <v>0.01294857189264742</v>
      </c>
      <c r="D608" s="1">
        <v>0.02625670953720105</v>
      </c>
      <c r="E608" s="1">
        <v>0.009692322408680454</v>
      </c>
      <c r="F608" s="1">
        <v>0.002565772885473994</v>
      </c>
      <c r="G608" s="1">
        <v>-0.01798675480469059</v>
      </c>
      <c r="H608" s="1">
        <v>-0.01070173049920531</v>
      </c>
      <c r="I608" s="1">
        <v>0.02595144784550429</v>
      </c>
      <c r="J608" s="1">
        <v>0.02950537409996867</v>
      </c>
      <c r="K608" s="1">
        <v>0.005065505788103497</v>
      </c>
      <c r="L608" s="1">
        <v>0.01298915094289188</v>
      </c>
      <c r="M608" s="1">
        <v>-0.002349159630222752</v>
      </c>
      <c r="N608" s="1">
        <v>-0.0003588256950887159</v>
      </c>
      <c r="O608" s="1">
        <v>0.0007462888939528955</v>
      </c>
      <c r="P608" s="1">
        <v>0.01972914929515968</v>
      </c>
      <c r="Q608" s="1">
        <v>-0.02213389075659433</v>
      </c>
      <c r="R608" s="1">
        <v>0.01189119184614018</v>
      </c>
      <c r="S608" s="1">
        <v>-0.001038352041654589</v>
      </c>
      <c r="T608" s="1">
        <v>0.01779834108247202</v>
      </c>
      <c r="U608" s="1">
        <v>0.004641168616979607</v>
      </c>
      <c r="V608" s="1">
        <v>-0.001234957710762208</v>
      </c>
      <c r="W608" s="1">
        <v>0.01709314235667891</v>
      </c>
      <c r="X608" s="1">
        <v>0.009312264904031586</v>
      </c>
      <c r="Y608" s="1">
        <v>0.002936700433527006</v>
      </c>
      <c r="Z608" s="1">
        <v>0.01550769080637981</v>
      </c>
    </row>
    <row r="609" spans="1:26">
      <c r="A609" s="11">
        <v>43255</v>
      </c>
      <c r="B609" s="1">
        <v>0.005388620115533094</v>
      </c>
      <c r="C609" s="1">
        <v>0.01124114440000046</v>
      </c>
      <c r="D609" s="1">
        <v>0.02063259792683181</v>
      </c>
      <c r="E609" s="1">
        <v>-0.03162059423101549</v>
      </c>
      <c r="F609" s="1">
        <v>0.0009596819667556655</v>
      </c>
      <c r="G609" s="1">
        <v>-0.001169266127502455</v>
      </c>
      <c r="H609" s="1">
        <v>0.002404158672115742</v>
      </c>
      <c r="I609" s="1">
        <v>-0.01206071494515759</v>
      </c>
      <c r="J609" s="1">
        <v>0.002644882548209715</v>
      </c>
      <c r="K609" s="1">
        <v>0.01037656020265065</v>
      </c>
      <c r="L609" s="1">
        <v>0.0004615051258023417</v>
      </c>
      <c r="M609" s="1">
        <v>0.01353989270823219</v>
      </c>
      <c r="N609" s="1">
        <v>0.005384124159725223</v>
      </c>
      <c r="O609" s="1">
        <v>0.006714104350302064</v>
      </c>
      <c r="P609" s="1">
        <v>0.008730886718369968</v>
      </c>
      <c r="Q609" s="1">
        <v>-0.01010559213245976</v>
      </c>
      <c r="R609" s="1">
        <v>0.001746987336585404</v>
      </c>
      <c r="S609" s="1">
        <v>0.01148296484133682</v>
      </c>
      <c r="T609" s="1">
        <v>0.002202029574707609</v>
      </c>
      <c r="U609" s="1">
        <v>-0.001848085637325525</v>
      </c>
      <c r="V609" s="1">
        <v>0.04876398184344888</v>
      </c>
      <c r="W609" s="1">
        <v>0.01104655594407911</v>
      </c>
      <c r="X609" s="1">
        <v>0.00163679364279945</v>
      </c>
      <c r="Y609" s="1">
        <v>0.0002093568021805936</v>
      </c>
      <c r="Z609" s="1">
        <v>0.007725616203140717</v>
      </c>
    </row>
    <row r="610" spans="1:26">
      <c r="A610" s="11">
        <v>43256</v>
      </c>
      <c r="B610" s="1">
        <v>0.001786316914242025</v>
      </c>
      <c r="C610" s="1">
        <v>-0.001746267898432907</v>
      </c>
      <c r="D610" s="1">
        <v>0.0008085564036088844</v>
      </c>
      <c r="E610" s="1">
        <v>0.009135160779053519</v>
      </c>
      <c r="F610" s="1">
        <v>-0.006711414890502532</v>
      </c>
      <c r="G610" s="1">
        <v>0.001170634911251911</v>
      </c>
      <c r="H610" s="1">
        <v>-0.0008995637362732012</v>
      </c>
      <c r="I610" s="1">
        <v>0.01920313925262795</v>
      </c>
      <c r="J610" s="1">
        <v>0.02990344678809609</v>
      </c>
      <c r="K610" s="1">
        <v>0.01261728583518296</v>
      </c>
      <c r="L610" s="1">
        <v>-0.005624636099492819</v>
      </c>
      <c r="M610" s="1">
        <v>-0.01145837977986408</v>
      </c>
      <c r="N610" s="1">
        <v>0.005533774662122015</v>
      </c>
      <c r="O610" s="1">
        <v>0.001728871414578004</v>
      </c>
      <c r="P610" s="1">
        <v>0.005114439583042918</v>
      </c>
      <c r="Q610" s="1">
        <v>-0.009799683917873891</v>
      </c>
      <c r="R610" s="1">
        <v>0.02108391861156989</v>
      </c>
      <c r="S610" s="1">
        <v>-0.00546629213879346</v>
      </c>
      <c r="T610" s="1">
        <v>0.009254177886380388</v>
      </c>
      <c r="U610" s="1">
        <v>0.008330947824750412</v>
      </c>
      <c r="V610" s="1">
        <v>0.02816002164641063</v>
      </c>
      <c r="W610" s="1">
        <v>0.002801424758755999</v>
      </c>
      <c r="X610" s="1">
        <v>0.01515372875550858</v>
      </c>
      <c r="Y610" s="1">
        <v>0.003136864462611966</v>
      </c>
      <c r="Z610" s="1">
        <v>-0.005526873412342592</v>
      </c>
    </row>
    <row r="611" spans="1:26">
      <c r="A611" s="11">
        <v>43257</v>
      </c>
      <c r="B611" s="1">
        <v>0.008408145157734026</v>
      </c>
      <c r="C611" s="1">
        <v>0.03182442988519729</v>
      </c>
      <c r="D611" s="1">
        <v>0.01373529506230797</v>
      </c>
      <c r="E611" s="1">
        <v>0.01926052320845528</v>
      </c>
      <c r="F611" s="1">
        <v>0.03828848468943602</v>
      </c>
      <c r="G611" s="1">
        <v>-0.01753729143663008</v>
      </c>
      <c r="H611" s="1">
        <v>-0.004200122816021223</v>
      </c>
      <c r="I611" s="1">
        <v>0.02654550013823109</v>
      </c>
      <c r="J611" s="1">
        <v>0.003843175310077163</v>
      </c>
      <c r="K611" s="1">
        <v>0.001738898329024297</v>
      </c>
      <c r="L611" s="1">
        <v>0.02336788963528402</v>
      </c>
      <c r="M611" s="1">
        <v>-0.00294697655708176</v>
      </c>
      <c r="N611" s="1">
        <v>-0.0003552585337573966</v>
      </c>
      <c r="O611" s="1">
        <v>0.005671299732356916</v>
      </c>
      <c r="P611" s="1">
        <v>0.002935758039717129</v>
      </c>
      <c r="Q611" s="1">
        <v>-0.02927842139287662</v>
      </c>
      <c r="R611" s="1">
        <v>0.01676797767375882</v>
      </c>
      <c r="S611" s="1">
        <v>0.003382470153423744</v>
      </c>
      <c r="T611" s="1">
        <v>0.01316532594609066</v>
      </c>
      <c r="U611" s="1">
        <v>0.02141957343535172</v>
      </c>
      <c r="V611" s="1">
        <v>-0.007643631478311042</v>
      </c>
      <c r="W611" s="1">
        <v>0.01629669527641742</v>
      </c>
      <c r="X611" s="1">
        <v>0.007756730404771206</v>
      </c>
      <c r="Y611" s="1">
        <v>0.009172256702556947</v>
      </c>
      <c r="Z611" s="1">
        <v>0.024560749439138</v>
      </c>
    </row>
    <row r="612" spans="1:26">
      <c r="A612" s="11">
        <v>43258</v>
      </c>
      <c r="B612" s="1">
        <v>0.05482547737215526</v>
      </c>
      <c r="C612" s="1">
        <v>-0.008154870342323317</v>
      </c>
      <c r="D612" s="1">
        <v>-0.01235393188532552</v>
      </c>
      <c r="E612" s="1">
        <v>-0.005669276141997304</v>
      </c>
      <c r="F612" s="1">
        <v>-0.008367204407174311</v>
      </c>
      <c r="G612" s="1">
        <v>0.007933451510557799</v>
      </c>
      <c r="H612" s="1">
        <v>0.009038798708497664</v>
      </c>
      <c r="I612" s="1">
        <v>0.0006308282213931538</v>
      </c>
      <c r="J612" s="1">
        <v>0.001701587107574731</v>
      </c>
      <c r="K612" s="1">
        <v>0.01070282900010233</v>
      </c>
      <c r="L612" s="1">
        <v>0.003987094869432273</v>
      </c>
      <c r="M612" s="1">
        <v>-0.002167693615880539</v>
      </c>
      <c r="N612" s="1">
        <v>0.006748549259876446</v>
      </c>
      <c r="O612" s="1">
        <v>0.007600898834568381</v>
      </c>
      <c r="P612" s="1">
        <v>-0.01570883950754409</v>
      </c>
      <c r="Q612" s="1">
        <v>0.0008496853003703286</v>
      </c>
      <c r="R612" s="1">
        <v>-0.007787620626140024</v>
      </c>
      <c r="S612" s="1">
        <v>0.007209379947690442</v>
      </c>
      <c r="T612" s="1">
        <v>-0.001238947887198361</v>
      </c>
      <c r="U612" s="1">
        <v>0.01288228330843766</v>
      </c>
      <c r="V612" s="1">
        <v>0.005776678950139225</v>
      </c>
      <c r="W612" s="1">
        <v>-0.008292408692573972</v>
      </c>
      <c r="X612" s="1">
        <v>-0.003050069595708638</v>
      </c>
      <c r="Y612" s="1">
        <v>0.01239416262736315</v>
      </c>
      <c r="Z612" s="1">
        <v>-0.003324443472849548</v>
      </c>
    </row>
    <row r="613" spans="1:26">
      <c r="A613" s="11">
        <v>43259</v>
      </c>
      <c r="B613" s="1">
        <v>0.01173643108085387</v>
      </c>
      <c r="C613" s="1">
        <v>0.002632232379813804</v>
      </c>
      <c r="D613" s="1">
        <v>0.005783494397232358</v>
      </c>
      <c r="E613" s="1">
        <v>0.0102624824174149</v>
      </c>
      <c r="F613" s="1">
        <v>0.002500105268432806</v>
      </c>
      <c r="G613" s="1">
        <v>-0.00236106367592881</v>
      </c>
      <c r="H613" s="1">
        <v>0.01672139322279564</v>
      </c>
      <c r="I613" s="1">
        <v>-0.009644118431297422</v>
      </c>
      <c r="J613" s="1">
        <v>0.006793588095701297</v>
      </c>
      <c r="K613" s="1">
        <v>0.005723989336258395</v>
      </c>
      <c r="L613" s="1">
        <v>0.002797493990498445</v>
      </c>
      <c r="M613" s="1">
        <v>-0.003159408182926815</v>
      </c>
      <c r="N613" s="1">
        <v>0.01799229968103755</v>
      </c>
      <c r="O613" s="1">
        <v>0.008638366390810726</v>
      </c>
      <c r="P613" s="1">
        <v>0.007434414992302241</v>
      </c>
      <c r="Q613" s="1">
        <v>-0.00169771665875762</v>
      </c>
      <c r="R613" s="1">
        <v>0.004309476403535406</v>
      </c>
      <c r="S613" s="1">
        <v>0.006553744170423315</v>
      </c>
      <c r="T613" s="1">
        <v>0.007517499941062988</v>
      </c>
      <c r="U613" s="1">
        <v>0.0005914576116816672</v>
      </c>
      <c r="V613" s="1">
        <v>-0.004211822544992305</v>
      </c>
      <c r="W613" s="1">
        <v>0.002587034958986267</v>
      </c>
      <c r="X613" s="1">
        <v>0.009759726189735307</v>
      </c>
      <c r="Y613" s="1">
        <v>0.003468608151173891</v>
      </c>
      <c r="Z613" s="1">
        <v>0.004037869446396503</v>
      </c>
    </row>
    <row r="614" spans="1:26">
      <c r="A614" s="11">
        <v>43262</v>
      </c>
      <c r="B614" s="1">
        <v>0.05587101571125341</v>
      </c>
      <c r="C614" s="1">
        <v>0.003896964910239387</v>
      </c>
      <c r="D614" s="1">
        <v>0.005482809454700588</v>
      </c>
      <c r="E614" s="1">
        <v>-0.0007524581118527607</v>
      </c>
      <c r="F614" s="1">
        <v>-0.00249387033008186</v>
      </c>
      <c r="G614" s="1">
        <v>-0.005128334591295247</v>
      </c>
      <c r="H614" s="1">
        <v>0.02290733286022717</v>
      </c>
      <c r="I614" s="1">
        <v>-0.002800027813536388</v>
      </c>
      <c r="J614" s="1">
        <v>0.01265306656881449</v>
      </c>
      <c r="K614" s="1">
        <v>-0.001422625277340717</v>
      </c>
      <c r="L614" s="1">
        <v>-0.002519952339509635</v>
      </c>
      <c r="M614" s="1">
        <v>0.009904790171836542</v>
      </c>
      <c r="N614" s="1">
        <v>0.009357325499407265</v>
      </c>
      <c r="O614" s="1">
        <v>-0.005910547669407129</v>
      </c>
      <c r="P614" s="1">
        <v>-0.005706873344710872</v>
      </c>
      <c r="Q614" s="1">
        <v>-0.01062946145324495</v>
      </c>
      <c r="R614" s="1">
        <v>0.005209227002265893</v>
      </c>
      <c r="S614" s="1">
        <v>0.0004157677452660824</v>
      </c>
      <c r="T614" s="1">
        <v>0.001180593255539097</v>
      </c>
      <c r="U614" s="1">
        <v>0.01034589054891466</v>
      </c>
      <c r="V614" s="1">
        <v>0.01332976330026181</v>
      </c>
      <c r="W614" s="1">
        <v>0.001474275267318026</v>
      </c>
      <c r="X614" s="1">
        <v>-0.006058659951660217</v>
      </c>
      <c r="Y614" s="1">
        <v>0.002439912036697578</v>
      </c>
      <c r="Z614" s="1">
        <v>-0.01084096286022329</v>
      </c>
    </row>
    <row r="615" spans="1:26">
      <c r="A615" s="11">
        <v>43263</v>
      </c>
      <c r="B615" s="1">
        <v>-0.04125538862514333</v>
      </c>
      <c r="C615" s="1">
        <v>-0.0008627350350346452</v>
      </c>
      <c r="D615" s="1">
        <v>0.002127994067551375</v>
      </c>
      <c r="E615" s="1">
        <v>0.0001882315581092087</v>
      </c>
      <c r="F615" s="1">
        <v>0.01187507975184499</v>
      </c>
      <c r="G615" s="1">
        <v>0.02735923793720008</v>
      </c>
      <c r="H615" s="1">
        <v>0.008613351381427492</v>
      </c>
      <c r="I615" s="1">
        <v>0.005807452331688889</v>
      </c>
      <c r="J615" s="1">
        <v>-0.0105147547234008</v>
      </c>
      <c r="K615" s="1">
        <v>0.002849434324362576</v>
      </c>
      <c r="L615" s="1">
        <v>-0.005774614403559308</v>
      </c>
      <c r="M615" s="1">
        <v>-0.0001960678840222663</v>
      </c>
      <c r="N615" s="1">
        <v>-0.006351954058396281</v>
      </c>
      <c r="O615" s="1">
        <v>-0.008615411915117832</v>
      </c>
      <c r="P615" s="1">
        <v>0.002573114850947356</v>
      </c>
      <c r="Q615" s="1">
        <v>0.0197681262449918</v>
      </c>
      <c r="R615" s="1">
        <v>-0.006097319698468939</v>
      </c>
      <c r="S615" s="1">
        <v>0.005963464077017422</v>
      </c>
      <c r="T615" s="1">
        <v>0.009836238694737265</v>
      </c>
      <c r="U615" s="1">
        <v>0.004973595288560562</v>
      </c>
      <c r="V615" s="1">
        <v>0.0001263869351253444</v>
      </c>
      <c r="W615" s="1">
        <v>0.002806619981872593</v>
      </c>
      <c r="X615" s="1">
        <v>-0.01161109741684319</v>
      </c>
      <c r="Y615" s="1">
        <v>-0.009939044819956666</v>
      </c>
      <c r="Z615" s="1">
        <v>-0.003888956116085307</v>
      </c>
    </row>
    <row r="616" spans="1:26">
      <c r="A616" s="11">
        <v>43264</v>
      </c>
      <c r="B616" s="1">
        <v>0.01309619788161664</v>
      </c>
      <c r="C616" s="1">
        <v>-0.0182665414636366</v>
      </c>
      <c r="D616" s="1">
        <v>-0.01021874671359324</v>
      </c>
      <c r="E616" s="1">
        <v>0.006211161773829854</v>
      </c>
      <c r="F616" s="1">
        <v>-0.001853132889501286</v>
      </c>
      <c r="G616" s="1">
        <v>-0.01042073552442502</v>
      </c>
      <c r="H616" s="1">
        <v>0.01053195507913718</v>
      </c>
      <c r="I616" s="1">
        <v>-0.02696810796004823</v>
      </c>
      <c r="J616" s="1">
        <v>-0.003386938439623788</v>
      </c>
      <c r="K616" s="1">
        <v>-0.007672600216049208</v>
      </c>
      <c r="L616" s="1">
        <v>-0.001996493548984901</v>
      </c>
      <c r="M616" s="1">
        <v>0.007455127017013341</v>
      </c>
      <c r="N616" s="1">
        <v>-0.007774732609043045</v>
      </c>
      <c r="O616" s="1">
        <v>0.005875056781566412</v>
      </c>
      <c r="P616" s="1">
        <v>-0.004540574211191251</v>
      </c>
      <c r="Q616" s="1">
        <v>0.002950191840067617</v>
      </c>
      <c r="R616" s="1">
        <v>-0.01825144225070197</v>
      </c>
      <c r="S616" s="1">
        <v>-0.01667279024499624</v>
      </c>
      <c r="T616" s="1">
        <v>-0.01562921124734051</v>
      </c>
      <c r="U616" s="1">
        <v>-0.06200864063389</v>
      </c>
      <c r="V616" s="1">
        <v>-0.01327912664868713</v>
      </c>
      <c r="W616" s="1">
        <v>-0.007341142524862398</v>
      </c>
      <c r="X616" s="1">
        <v>-0.004258360709507025</v>
      </c>
      <c r="Y616" s="1">
        <v>-0.02888759845307087</v>
      </c>
      <c r="Z616" s="1">
        <v>-0.006211311564257915</v>
      </c>
    </row>
    <row r="617" spans="1:26">
      <c r="A617" s="11">
        <v>43265</v>
      </c>
      <c r="B617" s="1">
        <v>-0.00992577917289772</v>
      </c>
      <c r="C617" s="1">
        <v>-0.003930202736588839</v>
      </c>
      <c r="D617" s="1">
        <v>0.01112891849488462</v>
      </c>
      <c r="E617" s="1">
        <v>0.003180074715900538</v>
      </c>
      <c r="F617" s="1">
        <v>0.04641100526980235</v>
      </c>
      <c r="G617" s="1">
        <v>0.02106075246146832</v>
      </c>
      <c r="H617" s="1">
        <v>0.02845101121929039</v>
      </c>
      <c r="I617" s="1">
        <v>-0.02060820039635436</v>
      </c>
      <c r="J617" s="1">
        <v>0.01104490434236838</v>
      </c>
      <c r="K617" s="1">
        <v>-0.000858848135476098</v>
      </c>
      <c r="L617" s="1">
        <v>-0.01764126936904986</v>
      </c>
      <c r="M617" s="1">
        <v>0.01148987035602356</v>
      </c>
      <c r="N617" s="1">
        <v>-0.0005288074731955028</v>
      </c>
      <c r="O617" s="1">
        <v>-0.002920477983114234</v>
      </c>
      <c r="P617" s="1">
        <v>0.005651914795526514</v>
      </c>
      <c r="Q617" s="1">
        <v>0.007982675033611386</v>
      </c>
      <c r="R617" s="1">
        <v>-0.003905506721245455</v>
      </c>
      <c r="S617" s="1">
        <v>0.01007954308513326</v>
      </c>
      <c r="T617" s="1">
        <v>0.01274726975281326</v>
      </c>
      <c r="U617" s="1">
        <v>0.009310865559243986</v>
      </c>
      <c r="V617" s="1">
        <v>-0.01025388258078075</v>
      </c>
      <c r="W617" s="1">
        <v>0.001711757528059188</v>
      </c>
      <c r="X617" s="1">
        <v>-0.004425459701052903</v>
      </c>
      <c r="Y617" s="1">
        <v>0.008860921014719025</v>
      </c>
      <c r="Z617" s="1">
        <v>-0.009821484972817984</v>
      </c>
    </row>
    <row r="618" spans="1:26">
      <c r="A618" s="11">
        <v>43266</v>
      </c>
      <c r="B618" s="1">
        <v>-0.02984380935257336</v>
      </c>
      <c r="C618" s="1">
        <v>-0.01252697365341704</v>
      </c>
      <c r="D618" s="1">
        <v>-0.002519518827167277</v>
      </c>
      <c r="E618" s="1">
        <v>0.02181600103494086</v>
      </c>
      <c r="F618" s="1">
        <v>0.00177400235564118</v>
      </c>
      <c r="G618" s="1">
        <v>-0.01107707749602305</v>
      </c>
      <c r="H618" s="1">
        <v>0.01615984426813899</v>
      </c>
      <c r="I618" s="1">
        <v>-0.009522052823804916</v>
      </c>
      <c r="J618" s="1">
        <v>-0.008823232465054009</v>
      </c>
      <c r="K618" s="1">
        <v>0.004299242193460673</v>
      </c>
      <c r="L618" s="1">
        <v>-0.001203246365046207</v>
      </c>
      <c r="M618" s="1">
        <v>0.004620947942629572</v>
      </c>
      <c r="N618" s="1">
        <v>0.01922364966880297</v>
      </c>
      <c r="O618" s="1">
        <v>0.004881756012157679</v>
      </c>
      <c r="P618" s="1">
        <v>-0.01271960925689264</v>
      </c>
      <c r="Q618" s="1">
        <v>0.01125496366333412</v>
      </c>
      <c r="R618" s="1">
        <v>0.003763720209204902</v>
      </c>
      <c r="S618" s="1">
        <v>-0.002051921913392318</v>
      </c>
      <c r="T618" s="1">
        <v>0.002268580861353175</v>
      </c>
      <c r="U618" s="1">
        <v>0.01937277648433211</v>
      </c>
      <c r="V618" s="1">
        <v>0.0003886945658690966</v>
      </c>
      <c r="W618" s="1">
        <v>-0.003463491180087264</v>
      </c>
      <c r="X618" s="1">
        <v>-0.001185315071598136</v>
      </c>
      <c r="Y618" s="1">
        <v>0.005018983140179012</v>
      </c>
      <c r="Z618" s="1">
        <v>-0.003065813400192408</v>
      </c>
    </row>
    <row r="619" spans="1:26">
      <c r="A619" s="11">
        <v>43269</v>
      </c>
      <c r="B619" s="1">
        <v>0.02956018961521312</v>
      </c>
      <c r="C619" s="1">
        <v>-0.008773938043492691</v>
      </c>
      <c r="D619" s="1">
        <v>-0.01223090845716024</v>
      </c>
      <c r="E619" s="1">
        <v>-0.02098530258301134</v>
      </c>
      <c r="F619" s="1">
        <v>-0.03837039065624226</v>
      </c>
      <c r="G619" s="1">
        <v>0.007338848237150142</v>
      </c>
      <c r="H619" s="1">
        <v>-0.01159026169976596</v>
      </c>
      <c r="I619" s="1">
        <v>-0.006453540484015585</v>
      </c>
      <c r="J619" s="1">
        <v>0.002543271570689676</v>
      </c>
      <c r="K619" s="1">
        <v>-0.01426952468120724</v>
      </c>
      <c r="L619" s="1">
        <v>0.002594919939758134</v>
      </c>
      <c r="M619" s="1">
        <v>0.003641247086183519</v>
      </c>
      <c r="N619" s="1">
        <v>-0.02059120638600542</v>
      </c>
      <c r="O619" s="1">
        <v>0.003400532114274712</v>
      </c>
      <c r="P619" s="1">
        <v>0.007291063863258396</v>
      </c>
      <c r="Q619" s="1">
        <v>0.005358117284077313</v>
      </c>
      <c r="R619" s="1">
        <v>-0.006561920109013908</v>
      </c>
      <c r="S619" s="1">
        <v>0.003083612438794292</v>
      </c>
      <c r="T619" s="1">
        <v>-0.009375733024889921</v>
      </c>
      <c r="U619" s="1">
        <v>-0.02895928069928499</v>
      </c>
      <c r="V619" s="1">
        <v>-0.001682773968879947</v>
      </c>
      <c r="W619" s="1">
        <v>-0.01380905878884031</v>
      </c>
      <c r="X619" s="1">
        <v>0.0005931892811406048</v>
      </c>
      <c r="Y619" s="1">
        <v>-0.01248473428503571</v>
      </c>
      <c r="Z619" s="1">
        <v>0.005788822645157232</v>
      </c>
    </row>
    <row r="620" spans="1:26">
      <c r="A620" s="11">
        <v>43270</v>
      </c>
      <c r="B620" s="1">
        <v>0.009803666196732452</v>
      </c>
      <c r="C620" s="1">
        <v>-0.03839418215308854</v>
      </c>
      <c r="D620" s="1">
        <v>-0.001749808539362019</v>
      </c>
      <c r="E620" s="1">
        <v>-0.0001864695654751891</v>
      </c>
      <c r="F620" s="1">
        <v>0.007059280675480561</v>
      </c>
      <c r="G620" s="1">
        <v>0.01150287260434268</v>
      </c>
      <c r="H620" s="1">
        <v>0.009817317547108573</v>
      </c>
      <c r="I620" s="1">
        <v>-0.03728284968710971</v>
      </c>
      <c r="J620" s="1">
        <v>-0.005496982079719825</v>
      </c>
      <c r="K620" s="1">
        <v>-0.001158082036149088</v>
      </c>
      <c r="L620" s="1">
        <v>-0.00582337033792657</v>
      </c>
      <c r="M620" s="1">
        <v>-0.0126027770484739</v>
      </c>
      <c r="N620" s="1">
        <v>0.003356450283144019</v>
      </c>
      <c r="O620" s="1">
        <v>-0.003873303594820188</v>
      </c>
      <c r="P620" s="1">
        <v>0</v>
      </c>
      <c r="Q620" s="1">
        <v>0.01148052177011039</v>
      </c>
      <c r="R620" s="1">
        <v>-0.01305457643950492</v>
      </c>
      <c r="S620" s="1">
        <v>0.01113278437248044</v>
      </c>
      <c r="T620" s="1">
        <v>-0.001832694785059208</v>
      </c>
      <c r="U620" s="1">
        <v>0.00621307564977891</v>
      </c>
      <c r="V620" s="1">
        <v>-0.007131827770366916</v>
      </c>
      <c r="W620" s="1">
        <v>-0.0135798206801766</v>
      </c>
      <c r="X620" s="1">
        <v>-0.01704962574410496</v>
      </c>
      <c r="Y620" s="1">
        <v>0.02191295325912601</v>
      </c>
      <c r="Z620" s="1">
        <v>0.005395656983852248</v>
      </c>
    </row>
    <row r="621" spans="1:26">
      <c r="A621" s="11">
        <v>43271</v>
      </c>
      <c r="B621" s="1">
        <v>0.05594100551948156</v>
      </c>
      <c r="C621" s="1">
        <v>0.004602463868125684</v>
      </c>
      <c r="D621" s="1">
        <v>-0.01132543131627173</v>
      </c>
      <c r="E621" s="1">
        <v>0.0113722778852281</v>
      </c>
      <c r="F621" s="1">
        <v>0.01767767599736891</v>
      </c>
      <c r="G621" s="1">
        <v>-0.002653578972943493</v>
      </c>
      <c r="H621" s="1">
        <v>0.004591071632931154</v>
      </c>
      <c r="I621" s="1">
        <v>0.01454931007245519</v>
      </c>
      <c r="J621" s="1">
        <v>-0.009353845339605704</v>
      </c>
      <c r="K621" s="1">
        <v>0.02173888270676261</v>
      </c>
      <c r="L621" s="1">
        <v>-9.333182655169026E-05</v>
      </c>
      <c r="M621" s="1">
        <v>0.005608165134559639</v>
      </c>
      <c r="N621" s="1">
        <v>-0.0007041652787566077</v>
      </c>
      <c r="O621" s="1">
        <v>-0.01530999439073477</v>
      </c>
      <c r="P621" s="1">
        <v>0.01001368421734727</v>
      </c>
      <c r="Q621" s="1">
        <v>0.005269472674482856</v>
      </c>
      <c r="R621" s="1">
        <v>-0.003824672163415199</v>
      </c>
      <c r="S621" s="1">
        <v>0.00672607206801068</v>
      </c>
      <c r="T621" s="1">
        <v>0.0007297017425462737</v>
      </c>
      <c r="U621" s="1">
        <v>-0.01204104307363307</v>
      </c>
      <c r="V621" s="1">
        <v>-0.01541077962405812</v>
      </c>
      <c r="W621" s="1">
        <v>-0.005382479593001643</v>
      </c>
      <c r="X621" s="1">
        <v>0.006787258222606063</v>
      </c>
      <c r="Y621" s="1">
        <v>-0.008453327451219073</v>
      </c>
      <c r="Z621" s="1">
        <v>0.004830003323003762</v>
      </c>
    </row>
    <row r="622" spans="1:26">
      <c r="A622" s="11">
        <v>43272</v>
      </c>
      <c r="B622" s="1">
        <v>-0.02889651612270128</v>
      </c>
      <c r="C622" s="1">
        <v>-0.01467799012998194</v>
      </c>
      <c r="D622" s="1">
        <v>0.005590986462943093</v>
      </c>
      <c r="E622" s="1">
        <v>-0.005714405308921644</v>
      </c>
      <c r="F622" s="1">
        <v>-0.01796963011677022</v>
      </c>
      <c r="G622" s="1">
        <v>0.007982009704418092</v>
      </c>
      <c r="H622" s="1">
        <v>0.006989152589494063</v>
      </c>
      <c r="I622" s="1">
        <v>-0.01621091169526978</v>
      </c>
      <c r="J622" s="1">
        <v>0.008583637892549012</v>
      </c>
      <c r="K622" s="1">
        <v>-0.0260989434963933</v>
      </c>
      <c r="L622" s="1">
        <v>-0.0002786033348012307</v>
      </c>
      <c r="M622" s="1">
        <v>0.02211541590498767</v>
      </c>
      <c r="N622" s="1">
        <v>-0.001057179691801191</v>
      </c>
      <c r="O622" s="1">
        <v>-0.003454432023815679</v>
      </c>
      <c r="P622" s="1">
        <v>-0.007166038440092337</v>
      </c>
      <c r="Q622" s="1">
        <v>-0.0008066161184556719</v>
      </c>
      <c r="R622" s="1">
        <v>-0.01599745360577587</v>
      </c>
      <c r="S622" s="1">
        <v>0.01514670063387369</v>
      </c>
      <c r="T622" s="1">
        <v>-0.006333527468951439</v>
      </c>
      <c r="U622" s="1">
        <v>-0.0124995126136298</v>
      </c>
      <c r="V622" s="1">
        <v>0.00994870263112535</v>
      </c>
      <c r="W622" s="1">
        <v>-0.01082388747515184</v>
      </c>
      <c r="X622" s="1">
        <v>-0.001048287894625521</v>
      </c>
      <c r="Y622" s="1">
        <v>0.01122912328507542</v>
      </c>
      <c r="Z622" s="1">
        <v>0.006053029921477826</v>
      </c>
    </row>
    <row r="623" spans="1:26">
      <c r="A623" s="11">
        <v>43273</v>
      </c>
      <c r="B623" s="1">
        <v>0.00901697850080696</v>
      </c>
      <c r="C623" s="1">
        <v>0.003702046483107457</v>
      </c>
      <c r="D623" s="1">
        <v>0.007865636334813519</v>
      </c>
      <c r="E623" s="1">
        <v>0.02224692745027723</v>
      </c>
      <c r="F623" s="1">
        <v>0.03110724174737922</v>
      </c>
      <c r="G623" s="1">
        <v>0.003770644693314118</v>
      </c>
      <c r="H623" s="1">
        <v>0.03043248655464947</v>
      </c>
      <c r="I623" s="1">
        <v>0.008168375027581165</v>
      </c>
      <c r="J623" s="1">
        <v>0.01276615052095798</v>
      </c>
      <c r="K623" s="1">
        <v>-0.002348308868065141</v>
      </c>
      <c r="L623" s="1">
        <v>-0.01637097784570474</v>
      </c>
      <c r="M623" s="1">
        <v>-0.02333027227916817</v>
      </c>
      <c r="N623" s="1">
        <v>0.005820923281459889</v>
      </c>
      <c r="O623" s="1">
        <v>0.0104007429241999</v>
      </c>
      <c r="P623" s="1">
        <v>-0.007217761194261763</v>
      </c>
      <c r="Q623" s="1">
        <v>0.01129973344815904</v>
      </c>
      <c r="R623" s="1">
        <v>0.009754468947505979</v>
      </c>
      <c r="S623" s="1">
        <v>0.01857192403260655</v>
      </c>
      <c r="T623" s="1">
        <v>0.001897330637455674</v>
      </c>
      <c r="U623" s="1">
        <v>0.002848020940322327</v>
      </c>
      <c r="V623" s="1">
        <v>-0.001313983617915904</v>
      </c>
      <c r="W623" s="1">
        <v>0.01070020068070066</v>
      </c>
      <c r="X623" s="1">
        <v>0.005698610228751511</v>
      </c>
      <c r="Y623" s="1">
        <v>0.02323657092927234</v>
      </c>
      <c r="Z623" s="1">
        <v>-0.0176958685330193</v>
      </c>
    </row>
    <row r="624" spans="1:26">
      <c r="A624" s="11">
        <v>43276</v>
      </c>
      <c r="B624" s="1">
        <v>-0.03619339269149457</v>
      </c>
      <c r="C624" s="1">
        <v>-0.0227494180987361</v>
      </c>
      <c r="D624" s="1">
        <v>-0.009822202546103331</v>
      </c>
      <c r="E624" s="1">
        <v>-0.008523830106025976</v>
      </c>
      <c r="F624" s="1">
        <v>-0.02040823284677107</v>
      </c>
      <c r="G624" s="1">
        <v>0.02141251164480673</v>
      </c>
      <c r="H624" s="1">
        <v>0.09404113621161825</v>
      </c>
      <c r="I624" s="1">
        <v>-0.0245861985868252</v>
      </c>
      <c r="J624" s="1">
        <v>-0.02983198528142961</v>
      </c>
      <c r="K624" s="1">
        <v>0.01088557572122184</v>
      </c>
      <c r="L624" s="1">
        <v>-0.009077932608253736</v>
      </c>
      <c r="M624" s="1">
        <v>-0.01213646603439866</v>
      </c>
      <c r="N624" s="1">
        <v>0.0008769670573234301</v>
      </c>
      <c r="O624" s="1">
        <v>0.003676276177245752</v>
      </c>
      <c r="P624" s="1">
        <v>-0.02011737642353728</v>
      </c>
      <c r="Q624" s="1">
        <v>0.02434132931061983</v>
      </c>
      <c r="R624" s="1">
        <v>0.0004830025097681823</v>
      </c>
      <c r="S624" s="1">
        <v>-0.00137154664317618</v>
      </c>
      <c r="T624" s="1">
        <v>-0.002979223375383699</v>
      </c>
      <c r="U624" s="1">
        <v>0.0006309537718498515</v>
      </c>
      <c r="V624" s="1">
        <v>0.01052101097605518</v>
      </c>
      <c r="W624" s="1">
        <v>-0.01829939277588832</v>
      </c>
      <c r="X624" s="1">
        <v>-0.01983286764593439</v>
      </c>
      <c r="Y624" s="1">
        <v>-0.003215598891316174</v>
      </c>
      <c r="Z624" s="1">
        <v>-0.01585287348387321</v>
      </c>
    </row>
    <row r="625" spans="1:26">
      <c r="A625" s="11">
        <v>43277</v>
      </c>
      <c r="B625" s="1">
        <v>0.02387561126837268</v>
      </c>
      <c r="C625" s="1">
        <v>0.000301852241173961</v>
      </c>
      <c r="D625" s="1">
        <v>-0.00611491599521885</v>
      </c>
      <c r="E625" s="1">
        <v>0.004390146188585353</v>
      </c>
      <c r="F625" s="1">
        <v>-0.01026576423663506</v>
      </c>
      <c r="G625" s="1">
        <v>0.005148965887265211</v>
      </c>
      <c r="H625" s="1">
        <v>-0.02178498262266537</v>
      </c>
      <c r="I625" s="1">
        <v>0</v>
      </c>
      <c r="J625" s="1">
        <v>-0.001732561754342776</v>
      </c>
      <c r="K625" s="1">
        <v>-0.005820695484876071</v>
      </c>
      <c r="L625" s="1">
        <v>0.0006679833479930064</v>
      </c>
      <c r="M625" s="1">
        <v>-0.00214512442890713</v>
      </c>
      <c r="N625" s="1">
        <v>-0.01699694902655258</v>
      </c>
      <c r="O625" s="1">
        <v>-0.007325943258250089</v>
      </c>
      <c r="P625" s="1">
        <v>0.007012613876146601</v>
      </c>
      <c r="Q625" s="1">
        <v>-0.003895326761439666</v>
      </c>
      <c r="R625" s="1">
        <v>0.0003216998698900575</v>
      </c>
      <c r="S625" s="1">
        <v>0.01484583066593048</v>
      </c>
      <c r="T625" s="1">
        <v>0.01478671766411122</v>
      </c>
      <c r="U625" s="1">
        <v>-0.002838355474299115</v>
      </c>
      <c r="V625" s="1">
        <v>-0.006636910408575059</v>
      </c>
      <c r="W625" s="1">
        <v>0.001122678750329564</v>
      </c>
      <c r="X625" s="1">
        <v>0.003955452216497291</v>
      </c>
      <c r="Y625" s="1">
        <v>-0.006048341863201689</v>
      </c>
      <c r="Z625" s="1">
        <v>-0.01098319490898958</v>
      </c>
    </row>
    <row r="626" spans="1:26">
      <c r="A626" s="11">
        <v>43278</v>
      </c>
      <c r="B626" s="1">
        <v>0.03894112963645213</v>
      </c>
      <c r="C626" s="1">
        <v>-0.004467270973763982</v>
      </c>
      <c r="D626" s="1">
        <v>-0.008066990416570441</v>
      </c>
      <c r="E626" s="1">
        <v>-0.008013341848271405</v>
      </c>
      <c r="F626" s="1">
        <v>-0.01494807431235934</v>
      </c>
      <c r="G626" s="1">
        <v>0.008415423560737878</v>
      </c>
      <c r="H626" s="1">
        <v>-0.03437466399782452</v>
      </c>
      <c r="I626" s="1">
        <v>-0.001933317060661022</v>
      </c>
      <c r="J626" s="1">
        <v>-0.01041197375321634</v>
      </c>
      <c r="K626" s="1">
        <v>-0.01844273507815131</v>
      </c>
      <c r="L626" s="1">
        <v>-0.01544917824622472</v>
      </c>
      <c r="M626" s="1">
        <v>-0.01563417083823826</v>
      </c>
      <c r="N626" s="1">
        <v>-0.001960588219452886</v>
      </c>
      <c r="O626" s="1">
        <v>-0.01291493430005364</v>
      </c>
      <c r="P626" s="1">
        <v>-0.01554283872546136</v>
      </c>
      <c r="Q626" s="1">
        <v>0.01016829206033965</v>
      </c>
      <c r="R626" s="1">
        <v>-0.006434812520076272</v>
      </c>
      <c r="S626" s="1">
        <v>-0.007860375355852045</v>
      </c>
      <c r="T626" s="1">
        <v>-0.005663911805082966</v>
      </c>
      <c r="U626" s="1">
        <v>0.0009488829112167529</v>
      </c>
      <c r="V626" s="1">
        <v>0.007074227346159478</v>
      </c>
      <c r="W626" s="1">
        <v>-0.00867634365594705</v>
      </c>
      <c r="X626" s="1">
        <v>-0.008334377141169247</v>
      </c>
      <c r="Y626" s="1">
        <v>0.0002029683774413815</v>
      </c>
      <c r="Z626" s="1">
        <v>-0.01813808849908927</v>
      </c>
    </row>
    <row r="627" spans="1:26">
      <c r="A627" s="11">
        <v>43279</v>
      </c>
      <c r="B627" s="1">
        <v>0.001089284716488059</v>
      </c>
      <c r="C627" s="1">
        <v>0.01464441783413628</v>
      </c>
      <c r="D627" s="1">
        <v>0.01723014258581235</v>
      </c>
      <c r="E627" s="1">
        <v>0.01523783615656726</v>
      </c>
      <c r="F627" s="1">
        <v>0.0105294824318094</v>
      </c>
      <c r="G627" s="1">
        <v>0</v>
      </c>
      <c r="H627" s="1">
        <v>0.0215596829923701</v>
      </c>
      <c r="I627" s="1">
        <v>0.005263612804545792</v>
      </c>
      <c r="J627" s="1">
        <v>-0.006137564741170665</v>
      </c>
      <c r="K627" s="1">
        <v>-0.007157710406749396</v>
      </c>
      <c r="L627" s="1">
        <v>0.01636979742458777</v>
      </c>
      <c r="M627" s="1">
        <v>0.006551805867816896</v>
      </c>
      <c r="N627" s="1">
        <v>0.0232185697885976</v>
      </c>
      <c r="O627" s="1">
        <v>0.00971944006283243</v>
      </c>
      <c r="P627" s="1">
        <v>0.01117478971782271</v>
      </c>
      <c r="Q627" s="1">
        <v>0.01122689290647405</v>
      </c>
      <c r="R627" s="1">
        <v>0.004533781061199615</v>
      </c>
      <c r="S627" s="1">
        <v>0.007614572891872173</v>
      </c>
      <c r="T627" s="1">
        <v>0.01593405377211421</v>
      </c>
      <c r="U627" s="1">
        <v>0.0170617048930144</v>
      </c>
      <c r="V627" s="1">
        <v>-0.01652115238486573</v>
      </c>
      <c r="W627" s="1">
        <v>0.01096442268668452</v>
      </c>
      <c r="X627" s="1">
        <v>0.00412556546251075</v>
      </c>
      <c r="Y627" s="1">
        <v>0.03143370834709014</v>
      </c>
      <c r="Z627" s="1">
        <v>0.002262024889891912</v>
      </c>
    </row>
    <row r="628" spans="1:26">
      <c r="A628" s="11">
        <v>43280</v>
      </c>
      <c r="B628" s="1">
        <v>0.01763171797024121</v>
      </c>
      <c r="C628" s="1">
        <v>0.002569849393352364</v>
      </c>
      <c r="D628" s="1">
        <v>0.0005418407099593292</v>
      </c>
      <c r="E628" s="1">
        <v>0.0007234341378785647</v>
      </c>
      <c r="F628" s="1">
        <v>0.005516412242985602</v>
      </c>
      <c r="G628" s="1">
        <v>0.005442843676480846</v>
      </c>
      <c r="H628" s="1">
        <v>-0.005153456948980728</v>
      </c>
      <c r="I628" s="1">
        <v>0.002725932630618821</v>
      </c>
      <c r="J628" s="1">
        <v>0.0008817112760137746</v>
      </c>
      <c r="K628" s="1">
        <v>0.004806390094813429</v>
      </c>
      <c r="L628" s="1">
        <v>-0.006956907563831383</v>
      </c>
      <c r="M628" s="1">
        <v>0.003550137867111447</v>
      </c>
      <c r="N628" s="1">
        <v>-0.008727720140475514</v>
      </c>
      <c r="O628" s="1">
        <v>0.01160118650593533</v>
      </c>
      <c r="P628" s="1">
        <v>-0.0002024851487124613</v>
      </c>
      <c r="Q628" s="1">
        <v>0.006125585798022914</v>
      </c>
      <c r="R628" s="1">
        <v>-0.001289941428379127</v>
      </c>
      <c r="S628" s="1">
        <v>-0.00904237745294767</v>
      </c>
      <c r="T628" s="1">
        <v>0.006668644995847517</v>
      </c>
      <c r="U628" s="1">
        <v>-0.002485384461829665</v>
      </c>
      <c r="V628" s="1">
        <v>0.006878194629883261</v>
      </c>
      <c r="W628" s="1">
        <v>0.007441559737564774</v>
      </c>
      <c r="X628" s="1">
        <v>0.003043618510147672</v>
      </c>
      <c r="Y628" s="1">
        <v>-0.01081411439114388</v>
      </c>
      <c r="Z628" s="1">
        <v>-0.009027678725592514</v>
      </c>
    </row>
    <row r="629" spans="1:26">
      <c r="A629" s="11">
        <v>43283</v>
      </c>
      <c r="B629" s="1">
        <v>-0.04427801107701912</v>
      </c>
      <c r="C629" s="1">
        <v>0.001698918426777052</v>
      </c>
      <c r="D629" s="1">
        <v>-0.001219043391105901</v>
      </c>
      <c r="E629" s="1">
        <v>-0.002710585930556619</v>
      </c>
      <c r="F629" s="1">
        <v>0.01686069139976154</v>
      </c>
      <c r="G629" s="1">
        <v>-0.005052254246524113</v>
      </c>
      <c r="H629" s="1">
        <v>-0.006166928224748069</v>
      </c>
      <c r="I629" s="1">
        <v>0.009728303188033749</v>
      </c>
      <c r="J629" s="1">
        <v>0.007492777764474656</v>
      </c>
      <c r="K629" s="1">
        <v>-0.003886681397442082</v>
      </c>
      <c r="L629" s="1">
        <v>0.008445142526703364</v>
      </c>
      <c r="M629" s="1">
        <v>0.01297176354349183</v>
      </c>
      <c r="N629" s="1">
        <v>-0.01619992298894801</v>
      </c>
      <c r="O629" s="1">
        <v>0.003293229982426871</v>
      </c>
      <c r="P629" s="1">
        <v>0.01419721785773964</v>
      </c>
      <c r="Q629" s="1">
        <v>0.009132579200387569</v>
      </c>
      <c r="R629" s="1">
        <v>-0.01775307720004804</v>
      </c>
      <c r="S629" s="1">
        <v>-0.002291911656812418</v>
      </c>
      <c r="T629" s="1">
        <v>-0.001987249945574421</v>
      </c>
      <c r="U629" s="1">
        <v>0.003114278003047977</v>
      </c>
      <c r="V629" s="1">
        <v>-0.004598000442287087</v>
      </c>
      <c r="W629" s="1">
        <v>-0.007579354452839637</v>
      </c>
      <c r="X629" s="1">
        <v>0.003489575552545476</v>
      </c>
      <c r="Y629" s="1">
        <v>0.00218651541420134</v>
      </c>
      <c r="Z629" s="1">
        <v>0.005124353762316236</v>
      </c>
    </row>
    <row r="630" spans="1:26">
      <c r="A630" s="11">
        <v>43284</v>
      </c>
      <c r="B630" s="1">
        <v>0.02461941989431748</v>
      </c>
      <c r="C630" s="1">
        <v>-0.009372781422370968</v>
      </c>
      <c r="D630" s="1">
        <v>-0.009220028037983274</v>
      </c>
      <c r="E630" s="1">
        <v>0.008335031125773273</v>
      </c>
      <c r="F630" s="1">
        <v>-0.00241146594586561</v>
      </c>
      <c r="G630" s="1">
        <v>0.001451132642263264</v>
      </c>
      <c r="H630" s="1">
        <v>0.01836693921094068</v>
      </c>
      <c r="I630" s="1">
        <v>-0.006517581843428988</v>
      </c>
      <c r="J630" s="1">
        <v>-0.0118107538841753</v>
      </c>
      <c r="K630" s="1">
        <v>0.009303895528844475</v>
      </c>
      <c r="L630" s="1">
        <v>-0.0139893889367273</v>
      </c>
      <c r="M630" s="1">
        <v>-0.0003880400512766835</v>
      </c>
      <c r="N630" s="1">
        <v>0.01056032447134259</v>
      </c>
      <c r="O630" s="1">
        <v>0.003769702054940094</v>
      </c>
      <c r="P630" s="1">
        <v>-0.009599318237711985</v>
      </c>
      <c r="Q630" s="1">
        <v>0.007918336884652932</v>
      </c>
      <c r="R630" s="1">
        <v>-0.01478819846456803</v>
      </c>
      <c r="S630" s="1">
        <v>0.01369611889019229</v>
      </c>
      <c r="T630" s="1">
        <v>0.0004180983394916904</v>
      </c>
      <c r="U630" s="1">
        <v>0.015523397172992</v>
      </c>
      <c r="V630" s="1">
        <v>0.0113498738828719</v>
      </c>
      <c r="W630" s="1">
        <v>0.00150803208492345</v>
      </c>
      <c r="X630" s="1">
        <v>-0.003023947697910701</v>
      </c>
      <c r="Y630" s="1">
        <v>0.005553532714900777</v>
      </c>
      <c r="Z630" s="1">
        <v>-0.01189545856783636</v>
      </c>
    </row>
    <row r="631" spans="1:26">
      <c r="A631" s="11">
        <v>43286</v>
      </c>
      <c r="B631" s="1">
        <v>0.01201445248466659</v>
      </c>
      <c r="C631" s="1">
        <v>0.0007508522086854263</v>
      </c>
      <c r="D631" s="1">
        <v>0.00999046340943166</v>
      </c>
      <c r="E631" s="1">
        <v>0.01266941514934894</v>
      </c>
      <c r="F631" s="1">
        <v>0.0009063606180770289</v>
      </c>
      <c r="G631" s="1">
        <v>0.005070287696178566</v>
      </c>
      <c r="H631" s="1">
        <v>0.01121137835402486</v>
      </c>
      <c r="I631" s="1">
        <v>-0.003850652626471662</v>
      </c>
      <c r="J631" s="1">
        <v>0.007082620484890167</v>
      </c>
      <c r="K631" s="1">
        <v>0.01754407383894119</v>
      </c>
      <c r="L631" s="1">
        <v>0.006501699695758756</v>
      </c>
      <c r="M631" s="1">
        <v>0.006599076594709485</v>
      </c>
      <c r="N631" s="1">
        <v>0.02072249171149321</v>
      </c>
      <c r="O631" s="1">
        <v>0.01005460162023808</v>
      </c>
      <c r="P631" s="1">
        <v>0.007168351008650653</v>
      </c>
      <c r="Q631" s="1">
        <v>0.002618989081199619</v>
      </c>
      <c r="R631" s="1">
        <v>0.01034022072527985</v>
      </c>
      <c r="S631" s="1">
        <v>0.01425223270824461</v>
      </c>
      <c r="T631" s="1">
        <v>0.007200069270444143</v>
      </c>
      <c r="U631" s="1">
        <v>-0.003363067236512807</v>
      </c>
      <c r="V631" s="1">
        <v>-0.001043723928513707</v>
      </c>
      <c r="W631" s="1">
        <v>0.007140164493892653</v>
      </c>
      <c r="X631" s="1">
        <v>0.001668397077101202</v>
      </c>
      <c r="Y631" s="1">
        <v>0.011439619524092</v>
      </c>
      <c r="Z631" s="1">
        <v>0.0009552633734251081</v>
      </c>
    </row>
    <row r="632" spans="1:26">
      <c r="A632" s="11">
        <v>43287</v>
      </c>
      <c r="B632" s="1">
        <v>0.01251834232996196</v>
      </c>
      <c r="C632" s="1">
        <v>0.004382204602551898</v>
      </c>
      <c r="D632" s="1">
        <v>0.00772309465508525</v>
      </c>
      <c r="E632" s="1">
        <v>0.01090293277676069</v>
      </c>
      <c r="F632" s="1">
        <v>0.01388884082822139</v>
      </c>
      <c r="G632" s="1">
        <v>0.006846684821529392</v>
      </c>
      <c r="H632" s="1">
        <v>0.01012308465684586</v>
      </c>
      <c r="I632" s="1">
        <v>0.0020041934025119</v>
      </c>
      <c r="J632" s="1">
        <v>0.01142844200440751</v>
      </c>
      <c r="K632" s="1">
        <v>0.01227341984276897</v>
      </c>
      <c r="L632" s="1">
        <v>0.003277886510480998</v>
      </c>
      <c r="M632" s="1">
        <v>0.0169693160739357</v>
      </c>
      <c r="N632" s="1">
        <v>0.01145257473087158</v>
      </c>
      <c r="O632" s="1">
        <v>0.0101942956591321</v>
      </c>
      <c r="P632" s="1">
        <v>0.01403364212918867</v>
      </c>
      <c r="Q632" s="1">
        <v>0.002984940479462406</v>
      </c>
      <c r="R632" s="1">
        <v>0.005447406630407992</v>
      </c>
      <c r="S632" s="1">
        <v>-0.002148724849369787</v>
      </c>
      <c r="T632" s="1">
        <v>0.00907635009467711</v>
      </c>
      <c r="U632" s="1">
        <v>0.002454057534769127</v>
      </c>
      <c r="V632" s="1">
        <v>0.003135009710524495</v>
      </c>
      <c r="W632" s="1">
        <v>-0.0007236132864910649</v>
      </c>
      <c r="X632" s="1">
        <v>-0.005450615203563713</v>
      </c>
      <c r="Y632" s="1">
        <v>0.003900517793385072</v>
      </c>
      <c r="Z632" s="1">
        <v>0.003818359406627447</v>
      </c>
    </row>
    <row r="633" spans="1:26">
      <c r="A633" s="11">
        <v>43290</v>
      </c>
      <c r="B633" s="1">
        <v>0.03176332040414853</v>
      </c>
      <c r="C633" s="1">
        <v>0.02175459335279584</v>
      </c>
      <c r="D633" s="1">
        <v>0.004033776727280447</v>
      </c>
      <c r="E633" s="1">
        <v>-0.00194505714121973</v>
      </c>
      <c r="F633" s="1">
        <v>-0.0005955246308820827</v>
      </c>
      <c r="G633" s="1">
        <v>-0.03650665918201879</v>
      </c>
      <c r="H633" s="1">
        <v>-0.008590355868527411</v>
      </c>
      <c r="I633" s="1">
        <v>0.03171850189200431</v>
      </c>
      <c r="J633" s="1">
        <v>0.01564527314958108</v>
      </c>
      <c r="K633" s="1">
        <v>0.009237492055810481</v>
      </c>
      <c r="L633" s="1">
        <v>0.03094420041674528</v>
      </c>
      <c r="M633" s="1">
        <v>0.009859481588806229</v>
      </c>
      <c r="N633" s="1">
        <v>-0.004632260726609716</v>
      </c>
      <c r="O633" s="1">
        <v>0.01970790688861723</v>
      </c>
      <c r="P633" s="1">
        <v>0.006820838236145654</v>
      </c>
      <c r="Q633" s="1">
        <v>-0.03050588157314449</v>
      </c>
      <c r="R633" s="1">
        <v>0.01526857891996114</v>
      </c>
      <c r="S633" s="1">
        <v>-0.01106754557550749</v>
      </c>
      <c r="T633" s="1">
        <v>0.003844654326659924</v>
      </c>
      <c r="U633" s="1">
        <v>0.004122566258833338</v>
      </c>
      <c r="V633" s="1">
        <v>0.01263191272494391</v>
      </c>
      <c r="W633" s="1">
        <v>0.02234553909294568</v>
      </c>
      <c r="X633" s="1">
        <v>0.01765890431572381</v>
      </c>
      <c r="Y633" s="1">
        <v>-0.002947790640963399</v>
      </c>
      <c r="Z633" s="1">
        <v>0.02567507965222515</v>
      </c>
    </row>
    <row r="634" spans="1:26">
      <c r="A634" s="11">
        <v>43291</v>
      </c>
      <c r="B634" s="1">
        <v>0.004338484390344899</v>
      </c>
      <c r="C634" s="1">
        <v>0.01532512475658643</v>
      </c>
      <c r="D634" s="1">
        <v>-0.0005354108898315557</v>
      </c>
      <c r="E634" s="1">
        <v>-0.004782765773676312</v>
      </c>
      <c r="F634" s="1">
        <v>-0.006555357409687823</v>
      </c>
      <c r="G634" s="1">
        <v>0.007058142757805808</v>
      </c>
      <c r="H634" s="1">
        <v>-0.001443680661487035</v>
      </c>
      <c r="I634" s="1">
        <v>0.0009001962951153963</v>
      </c>
      <c r="J634" s="1">
        <v>0.02139487284047537</v>
      </c>
      <c r="K634" s="1">
        <v>-0.002574025622293585</v>
      </c>
      <c r="L634" s="1">
        <v>-0.006152366042757373</v>
      </c>
      <c r="M634" s="1">
        <v>-0.004881770299112853</v>
      </c>
      <c r="N634" s="1">
        <v>0.01275425097893579</v>
      </c>
      <c r="O634" s="1">
        <v>-0.003451420226885937</v>
      </c>
      <c r="P634" s="1">
        <v>0.002651026770277509</v>
      </c>
      <c r="Q634" s="1">
        <v>0.006907209338277376</v>
      </c>
      <c r="R634" s="1">
        <v>0.01196612149363374</v>
      </c>
      <c r="S634" s="1">
        <v>0.004659240526209363</v>
      </c>
      <c r="T634" s="1">
        <v>0.008935750575272738</v>
      </c>
      <c r="U634" s="1">
        <v>0.0108862867124857</v>
      </c>
      <c r="V634" s="1">
        <v>0.00694450683220893</v>
      </c>
      <c r="W634" s="1">
        <v>0.01099957262760065</v>
      </c>
      <c r="X634" s="1">
        <v>0.0002993099262589283</v>
      </c>
      <c r="Y634" s="1">
        <v>0.0118249684813605</v>
      </c>
      <c r="Z634" s="1">
        <v>-0.009456757977974406</v>
      </c>
    </row>
    <row r="635" spans="1:26">
      <c r="A635" s="11">
        <v>43292</v>
      </c>
      <c r="B635" s="1">
        <v>-0.01913186846356885</v>
      </c>
      <c r="C635" s="1">
        <v>-0.01889612424454457</v>
      </c>
      <c r="D635" s="1">
        <v>-0.004154115641635592</v>
      </c>
      <c r="E635" s="1">
        <v>-0.007654212313314201</v>
      </c>
      <c r="F635" s="1">
        <v>0.01289739801600831</v>
      </c>
      <c r="G635" s="1">
        <v>0.01475460071407442</v>
      </c>
      <c r="H635" s="1">
        <v>0.02193295102555015</v>
      </c>
      <c r="I635" s="1">
        <v>-0.02165306081956819</v>
      </c>
      <c r="J635" s="1">
        <v>-0.0339334669417487</v>
      </c>
      <c r="K635" s="1">
        <v>-0.0203613885439794</v>
      </c>
      <c r="L635" s="1">
        <v>-0.002157387850689974</v>
      </c>
      <c r="M635" s="1">
        <v>-0.00886757984347486</v>
      </c>
      <c r="N635" s="1">
        <v>-0.001191095901779127</v>
      </c>
      <c r="O635" s="1">
        <v>-0.003639150374818989</v>
      </c>
      <c r="P635" s="1">
        <v>-0.001370737952817502</v>
      </c>
      <c r="Q635" s="1">
        <v>0.005335126028234383</v>
      </c>
      <c r="R635" s="1">
        <v>-0.02173187743319283</v>
      </c>
      <c r="S635" s="1">
        <v>-0.004940930541918687</v>
      </c>
      <c r="T635" s="1">
        <v>-0.008594138879637225</v>
      </c>
      <c r="U635" s="1">
        <v>-0.01938468760812562</v>
      </c>
      <c r="V635" s="1">
        <v>-0.009195504849195624</v>
      </c>
      <c r="W635" s="1">
        <v>-0.02096586219679375</v>
      </c>
      <c r="X635" s="1">
        <v>-0.01345915117350882</v>
      </c>
      <c r="Y635" s="1">
        <v>0</v>
      </c>
      <c r="Z635" s="1">
        <v>-0.005428766954272524</v>
      </c>
    </row>
    <row r="636" spans="1:26">
      <c r="A636" s="11">
        <v>43293</v>
      </c>
      <c r="B636" s="1">
        <v>-0.01279351991251154</v>
      </c>
      <c r="C636" s="1">
        <v>0.01594242321332562</v>
      </c>
      <c r="D636" s="1">
        <v>0.006189513469821106</v>
      </c>
      <c r="E636" s="1">
        <v>0.01901337845619433</v>
      </c>
      <c r="F636" s="1">
        <v>0.02309742430720285</v>
      </c>
      <c r="G636" s="1">
        <v>0.01163217762027791</v>
      </c>
      <c r="H636" s="1">
        <v>-0.01617117935055212</v>
      </c>
      <c r="I636" s="1">
        <v>-0.004384307112072827</v>
      </c>
      <c r="J636" s="1">
        <v>0.0203815089453665</v>
      </c>
      <c r="K636" s="1">
        <v>0.01697909129641606</v>
      </c>
      <c r="L636" s="1">
        <v>0.00432401535546334</v>
      </c>
      <c r="M636" s="1">
        <v>0.00456847849391484</v>
      </c>
      <c r="N636" s="1">
        <v>-0.01158653311612035</v>
      </c>
      <c r="O636" s="1">
        <v>0.01201841431002193</v>
      </c>
      <c r="P636" s="1">
        <v>0.0216705946946798</v>
      </c>
      <c r="Q636" s="1">
        <v>-0.003032653519005279</v>
      </c>
      <c r="R636" s="1">
        <v>0.008330284343283756</v>
      </c>
      <c r="S636" s="1">
        <v>-0.0002179696729914804</v>
      </c>
      <c r="T636" s="1">
        <v>-0.002890139456497187</v>
      </c>
      <c r="U636" s="1">
        <v>0.01129655672294771</v>
      </c>
      <c r="V636" s="1">
        <v>-0.01392105302870017</v>
      </c>
      <c r="W636" s="1">
        <v>0.01144658151572142</v>
      </c>
      <c r="X636" s="1">
        <v>0.01121716895869507</v>
      </c>
      <c r="Y636" s="1">
        <v>-0.001947891978514082</v>
      </c>
      <c r="Z636" s="1">
        <v>-0.01091661084525841</v>
      </c>
    </row>
    <row r="637" spans="1:26">
      <c r="A637" s="11">
        <v>43294</v>
      </c>
      <c r="B637" s="1">
        <v>0.008073229346214461</v>
      </c>
      <c r="C637" s="1">
        <v>0.01375606706764199</v>
      </c>
      <c r="D637" s="1">
        <v>0</v>
      </c>
      <c r="E637" s="1">
        <v>0.0008802846683524379</v>
      </c>
      <c r="F637" s="1">
        <v>0.004341627671776482</v>
      </c>
      <c r="G637" s="1">
        <v>-0.002515408597979829</v>
      </c>
      <c r="H637" s="1">
        <v>-0.007735140137997143</v>
      </c>
      <c r="I637" s="1">
        <v>-0.0228693844789899</v>
      </c>
      <c r="J637" s="1">
        <v>0.007649597421276022</v>
      </c>
      <c r="K637" s="1">
        <v>0.0109381978598313</v>
      </c>
      <c r="L637" s="1">
        <v>-0.004586060236717482</v>
      </c>
      <c r="M637" s="1">
        <v>0.006064247767561204</v>
      </c>
      <c r="N637" s="1">
        <v>0.008446812779668855</v>
      </c>
      <c r="O637" s="1">
        <v>0.00780036618119806</v>
      </c>
      <c r="P637" s="1">
        <v>0.01190137308265693</v>
      </c>
      <c r="Q637" s="1">
        <v>0</v>
      </c>
      <c r="R637" s="1">
        <v>0.02786352316805019</v>
      </c>
      <c r="S637" s="1">
        <v>-0.006273812467232243</v>
      </c>
      <c r="T637" s="1">
        <v>0.0104091912787676</v>
      </c>
      <c r="U637" s="1">
        <v>-0.01737533856101026</v>
      </c>
      <c r="V637" s="1">
        <v>0.01594822857429312</v>
      </c>
      <c r="W637" s="1">
        <v>-0.004102237575436707</v>
      </c>
      <c r="X637" s="1">
        <v>0.008844302071769006</v>
      </c>
      <c r="Y637" s="1">
        <v>0.003318157748791295</v>
      </c>
      <c r="Z637" s="1">
        <v>-0.01503337780922809</v>
      </c>
    </row>
    <row r="638" spans="1:26">
      <c r="A638" s="11">
        <v>43297</v>
      </c>
      <c r="B638" s="1">
        <v>-0.03055851467051085</v>
      </c>
      <c r="C638" s="1">
        <v>0.01513737618571742</v>
      </c>
      <c r="D638" s="1">
        <v>-0.01029663881313636</v>
      </c>
      <c r="E638" s="1">
        <v>-0.007562675283134368</v>
      </c>
      <c r="F638" s="1">
        <v>0.007780970816551935</v>
      </c>
      <c r="G638" s="1">
        <v>-0.00108072583628982</v>
      </c>
      <c r="H638" s="1">
        <v>-0.01144948779903654</v>
      </c>
      <c r="I638" s="1">
        <v>-0.00952172132339546</v>
      </c>
      <c r="J638" s="1">
        <v>-0.00590448382297093</v>
      </c>
      <c r="K638" s="1">
        <v>-0.01025054909849665</v>
      </c>
      <c r="L638" s="1">
        <v>0.0396765233390266</v>
      </c>
      <c r="M638" s="1">
        <v>-0.0001885156037905178</v>
      </c>
      <c r="N638" s="1">
        <v>-0.02324748608117111</v>
      </c>
      <c r="O638" s="1">
        <v>0.00231070155910218</v>
      </c>
      <c r="P638" s="1">
        <v>-0.004932119986095218</v>
      </c>
      <c r="Q638" s="1">
        <v>-0.001520750010857053</v>
      </c>
      <c r="R638" s="1">
        <v>-0.01386961538170939</v>
      </c>
      <c r="S638" s="1">
        <v>-0.01113670911618003</v>
      </c>
      <c r="T638" s="1">
        <v>-0.003680666682528422</v>
      </c>
      <c r="U638" s="1">
        <v>0.007262006835322632</v>
      </c>
      <c r="V638" s="1">
        <v>-0.006562565456888492</v>
      </c>
      <c r="W638" s="1">
        <v>-0.01136387815013551</v>
      </c>
      <c r="X638" s="1">
        <v>-0.00921209893697561</v>
      </c>
      <c r="Y638" s="1">
        <v>0.003501037044439492</v>
      </c>
      <c r="Z638" s="1">
        <v>0.01217172495635954</v>
      </c>
    </row>
    <row r="639" spans="1:26">
      <c r="A639" s="11">
        <v>43298</v>
      </c>
      <c r="B639" s="1">
        <v>-0.01608713838236109</v>
      </c>
      <c r="C639" s="1">
        <v>0.002190313186559711</v>
      </c>
      <c r="D639" s="1">
        <v>0.009998387471098935</v>
      </c>
      <c r="E639" s="1">
        <v>0.003544298017818415</v>
      </c>
      <c r="F639" s="1">
        <v>-0.02001712647019926</v>
      </c>
      <c r="G639" s="1">
        <v>-0.0007212050996281416</v>
      </c>
      <c r="H639" s="1">
        <v>0.01429275146199394</v>
      </c>
      <c r="I639" s="1">
        <v>0.0126956582780704</v>
      </c>
      <c r="J639" s="1">
        <v>0.0008488014399863353</v>
      </c>
      <c r="K639" s="1">
        <v>0.01582269683402493</v>
      </c>
      <c r="L639" s="1">
        <v>-0.000723385385300257</v>
      </c>
      <c r="M639" s="1">
        <v>0.002637633527694305</v>
      </c>
      <c r="N639" s="1">
        <v>0.00367490457257813</v>
      </c>
      <c r="O639" s="1">
        <v>0.001959618749317604</v>
      </c>
      <c r="P639" s="1">
        <v>0.009913211590671933</v>
      </c>
      <c r="Q639" s="1">
        <v>-0.005331347683807941</v>
      </c>
      <c r="R639" s="1">
        <v>0.01022888605729055</v>
      </c>
      <c r="S639" s="1">
        <v>-0.02580467552368826</v>
      </c>
      <c r="T639" s="1">
        <v>0.01801617229132924</v>
      </c>
      <c r="U639" s="1">
        <v>-0.004388600296989842</v>
      </c>
      <c r="V639" s="1">
        <v>0.0007767409514640722</v>
      </c>
      <c r="W639" s="1">
        <v>0.01072793619329437</v>
      </c>
      <c r="X639" s="1">
        <v>0.001649302524150853</v>
      </c>
      <c r="Y639" s="1">
        <v>-0.003101431732367654</v>
      </c>
      <c r="Z639" s="1">
        <v>0.01278876748414093</v>
      </c>
    </row>
    <row r="640" spans="1:26">
      <c r="A640" s="11">
        <v>43299</v>
      </c>
      <c r="B640" s="1">
        <v>-0.01767556565030992</v>
      </c>
      <c r="C640" s="1">
        <v>0.009386772391204223</v>
      </c>
      <c r="D640" s="1">
        <v>-0.000669014841750637</v>
      </c>
      <c r="E640" s="1">
        <v>0.00441467955482433</v>
      </c>
      <c r="F640" s="1">
        <v>-0.006711607906128569</v>
      </c>
      <c r="G640" s="1">
        <v>-0.003608453095314879</v>
      </c>
      <c r="H640" s="1">
        <v>-0.02405243525245615</v>
      </c>
      <c r="I640" s="1">
        <v>0.008767765168801178</v>
      </c>
      <c r="J640" s="1">
        <v>-0.002543704099868371</v>
      </c>
      <c r="K640" s="1">
        <v>0.003115196351935579</v>
      </c>
      <c r="L640" s="1">
        <v>0.009321498073880274</v>
      </c>
      <c r="M640" s="1">
        <v>0.01277704378936351</v>
      </c>
      <c r="N640" s="1">
        <v>0.00139494964904574</v>
      </c>
      <c r="O640" s="1">
        <v>0.009202456765204259</v>
      </c>
      <c r="P640" s="1">
        <v>-0.007833889619194401</v>
      </c>
      <c r="Q640" s="1">
        <v>-0.008422668563881186</v>
      </c>
      <c r="R640" s="1">
        <v>0.003164145635050186</v>
      </c>
      <c r="S640" s="1">
        <v>-0.002639737057061775</v>
      </c>
      <c r="T640" s="1">
        <v>0.005113001882203427</v>
      </c>
      <c r="U640" s="1">
        <v>-0.001574251158833473</v>
      </c>
      <c r="V640" s="1">
        <v>-0.005435211267869056</v>
      </c>
      <c r="W640" s="1">
        <v>0.00184801132687884</v>
      </c>
      <c r="X640" s="1">
        <v>-0.005240493682811986</v>
      </c>
      <c r="Y640" s="1">
        <v>-0.005638746757605007</v>
      </c>
      <c r="Z640" s="1">
        <v>0.02035438381534083</v>
      </c>
    </row>
    <row r="641" spans="1:26">
      <c r="A641" s="11">
        <v>43300</v>
      </c>
      <c r="B641" s="1">
        <v>0.002024139940781655</v>
      </c>
      <c r="C641" s="1">
        <v>-0.01360233393612309</v>
      </c>
      <c r="D641" s="1">
        <v>0.0005355467863683572</v>
      </c>
      <c r="E641" s="1">
        <v>-0.005977509360749367</v>
      </c>
      <c r="F641" s="1">
        <v>0.02555824154940689</v>
      </c>
      <c r="G641" s="1">
        <v>0.01484939580000821</v>
      </c>
      <c r="H641" s="1">
        <v>0.01941745003609596</v>
      </c>
      <c r="I641" s="1">
        <v>0.007829966037125935</v>
      </c>
      <c r="J641" s="1">
        <v>-0.01444970934174961</v>
      </c>
      <c r="K641" s="1">
        <v>0.01214016970440968</v>
      </c>
      <c r="L641" s="1">
        <v>-0.01470473847781839</v>
      </c>
      <c r="M641" s="1">
        <v>-0.002226219841950483</v>
      </c>
      <c r="N641" s="1">
        <v>-0.008532118346144757</v>
      </c>
      <c r="O641" s="1">
        <v>-0.006838857975914547</v>
      </c>
      <c r="P641" s="1">
        <v>-0.006849179767673408</v>
      </c>
      <c r="Q641" s="1">
        <v>0.009652413761563894</v>
      </c>
      <c r="R641" s="1">
        <v>0.0006308207861687176</v>
      </c>
      <c r="S641" s="1">
        <v>0.01515026538411823</v>
      </c>
      <c r="T641" s="1">
        <v>0.005978709016173367</v>
      </c>
      <c r="U641" s="1">
        <v>-0.01387564371543015</v>
      </c>
      <c r="V641" s="1">
        <v>0.0209500081216405</v>
      </c>
      <c r="W641" s="1">
        <v>0.02199309316478648</v>
      </c>
      <c r="X641" s="1">
        <v>0.008278627007089812</v>
      </c>
      <c r="Y641" s="1">
        <v>-0.007625999745358158</v>
      </c>
      <c r="Z641" s="1">
        <v>-0.01736268099066496</v>
      </c>
    </row>
    <row r="642" spans="1:26">
      <c r="A642" s="11">
        <v>43301</v>
      </c>
      <c r="B642" s="1">
        <v>0.001805916281076625</v>
      </c>
      <c r="C642" s="1">
        <v>-0.001210187490719661</v>
      </c>
      <c r="D642" s="1">
        <v>0.003478898605553171</v>
      </c>
      <c r="E642" s="1">
        <v>0.003006727421682953</v>
      </c>
      <c r="F642" s="1">
        <v>-0.01747347677488786</v>
      </c>
      <c r="G642" s="1">
        <v>-0.009279148674272042</v>
      </c>
      <c r="H642" s="1">
        <v>-0.01098923293613041</v>
      </c>
      <c r="I642" s="1">
        <v>-0.0223092232591976</v>
      </c>
      <c r="J642" s="1">
        <v>-0.01078030345446002</v>
      </c>
      <c r="K642" s="1">
        <v>0.008089404673726319</v>
      </c>
      <c r="L642" s="1">
        <v>0.01264913043429505</v>
      </c>
      <c r="M642" s="1">
        <v>-0.006507938252179657</v>
      </c>
      <c r="N642" s="1">
        <v>0.01229385365241153</v>
      </c>
      <c r="O642" s="1">
        <v>0.004016921277115726</v>
      </c>
      <c r="P642" s="1">
        <v>0.01791191294041328</v>
      </c>
      <c r="Q642" s="1">
        <v>-0.007648032177078989</v>
      </c>
      <c r="R642" s="1">
        <v>-0.01103231214782874</v>
      </c>
      <c r="S642" s="1">
        <v>-0.001528547974508299</v>
      </c>
      <c r="T642" s="1">
        <v>-0.006898504185157583</v>
      </c>
      <c r="U642" s="1">
        <v>-0.00543652379179016</v>
      </c>
      <c r="V642" s="1">
        <v>-0.008921739603518275</v>
      </c>
      <c r="W642" s="1">
        <v>0.003563743545354381</v>
      </c>
      <c r="X642" s="1">
        <v>-0.001941045351447346</v>
      </c>
      <c r="Y642" s="1">
        <v>-0.002561768510751739</v>
      </c>
      <c r="Z642" s="1">
        <v>-0.003571464746029429</v>
      </c>
    </row>
    <row r="643" spans="1:26">
      <c r="A643" s="11">
        <v>43304</v>
      </c>
      <c r="B643" s="1">
        <v>-0.0006758249170859543</v>
      </c>
      <c r="C643" s="1">
        <v>-0.004592795153670615</v>
      </c>
      <c r="D643" s="1">
        <v>-0.0008000484595456214</v>
      </c>
      <c r="E643" s="1">
        <v>-0.01463590909028456</v>
      </c>
      <c r="F643" s="1">
        <v>-0.003790099867691077</v>
      </c>
      <c r="G643" s="1">
        <v>-0.00432264137218652</v>
      </c>
      <c r="H643" s="1">
        <v>-0.006666533936899532</v>
      </c>
      <c r="I643" s="1">
        <v>-0.01195605202947514</v>
      </c>
      <c r="J643" s="1">
        <v>0.004359002756776587</v>
      </c>
      <c r="K643" s="1">
        <v>-0.01604866879560951</v>
      </c>
      <c r="L643" s="1">
        <v>0.0186015225290852</v>
      </c>
      <c r="M643" s="1">
        <v>0.002432959337948626</v>
      </c>
      <c r="N643" s="1">
        <v>-0.00086753380259319</v>
      </c>
      <c r="O643" s="1">
        <v>-0.0004573799834923786</v>
      </c>
      <c r="P643" s="1">
        <v>0.01599699875760452</v>
      </c>
      <c r="Q643" s="1">
        <v>-0.008092650171765303</v>
      </c>
      <c r="R643" s="1">
        <v>0.002709450754543097</v>
      </c>
      <c r="S643" s="1">
        <v>-0.006753029335431093</v>
      </c>
      <c r="T643" s="1">
        <v>-0.01067782134511863</v>
      </c>
      <c r="U643" s="1">
        <v>-0.003215674288679304</v>
      </c>
      <c r="V643" s="1">
        <v>0.01195965699086643</v>
      </c>
      <c r="W643" s="1">
        <v>0.007516561540242161</v>
      </c>
      <c r="X643" s="1">
        <v>-0.005085202366720831</v>
      </c>
      <c r="Y643" s="1">
        <v>0.002568348023843869</v>
      </c>
      <c r="Z643" s="1">
        <v>0.01490311394682342</v>
      </c>
    </row>
    <row r="644" spans="1:26">
      <c r="A644" s="11">
        <v>43305</v>
      </c>
      <c r="B644" s="1">
        <v>0.01578339046382804</v>
      </c>
      <c r="C644" s="1">
        <v>0.01415340528197184</v>
      </c>
      <c r="D644" s="1">
        <v>0.008006657330734912</v>
      </c>
      <c r="E644" s="1">
        <v>0.04259136086000037</v>
      </c>
      <c r="F644" s="1">
        <v>-0.02282711625644951</v>
      </c>
      <c r="G644" s="1">
        <v>0.01049187418907205</v>
      </c>
      <c r="H644" s="1">
        <v>-0.003977488588815525</v>
      </c>
      <c r="I644" s="1">
        <v>0.03180134349903807</v>
      </c>
      <c r="J644" s="1">
        <v>-0.002170097515442615</v>
      </c>
      <c r="K644" s="1">
        <v>-0.00112489240034841</v>
      </c>
      <c r="L644" s="1">
        <v>0.007057828456601634</v>
      </c>
      <c r="M644" s="1">
        <v>-0.03080672272242868</v>
      </c>
      <c r="N644" s="1">
        <v>0.006945496019457931</v>
      </c>
      <c r="O644" s="1">
        <v>-0.004002780942561901</v>
      </c>
      <c r="P644" s="1">
        <v>-0.002871157506102673</v>
      </c>
      <c r="Q644" s="1">
        <v>0.001942753541856357</v>
      </c>
      <c r="R644" s="1">
        <v>0.005244257092176241</v>
      </c>
      <c r="S644" s="1">
        <v>-0.005801724489413518</v>
      </c>
      <c r="T644" s="1">
        <v>0.01947463138102279</v>
      </c>
      <c r="U644" s="1">
        <v>0.02193578722928158</v>
      </c>
      <c r="V644" s="1">
        <v>0.008514598400489737</v>
      </c>
      <c r="W644" s="1">
        <v>0.01336506745309696</v>
      </c>
      <c r="X644" s="1">
        <v>0.007216062142472834</v>
      </c>
      <c r="Y644" s="1">
        <v>0.01497540226526239</v>
      </c>
      <c r="Z644" s="1">
        <v>-0.02881043555452845</v>
      </c>
    </row>
    <row r="645" spans="1:26">
      <c r="A645" s="11">
        <v>43306</v>
      </c>
      <c r="B645" s="1">
        <v>0.01442848790738038</v>
      </c>
      <c r="C645" s="1">
        <v>-0.006559107905391937</v>
      </c>
      <c r="D645" s="1">
        <v>0.01284076754307328</v>
      </c>
      <c r="E645" s="1">
        <v>0.01338814621257667</v>
      </c>
      <c r="F645" s="1">
        <v>0.0008985988311120963</v>
      </c>
      <c r="G645" s="1">
        <v>0.006086866936459323</v>
      </c>
      <c r="H645" s="1">
        <v>0.003744130162826487</v>
      </c>
      <c r="I645" s="1">
        <v>0.01058341770957205</v>
      </c>
      <c r="J645" s="1">
        <v>0.01304912439230277</v>
      </c>
      <c r="K645" s="1">
        <v>-0.001689302675372151</v>
      </c>
      <c r="L645" s="1">
        <v>0.009023106448336593</v>
      </c>
      <c r="M645" s="1">
        <v>0.007320538089854001</v>
      </c>
      <c r="N645" s="1">
        <v>-0.002414373198653341</v>
      </c>
      <c r="O645" s="1">
        <v>0.005741497639743853</v>
      </c>
      <c r="P645" s="1">
        <v>0.02944434885893821</v>
      </c>
      <c r="Q645" s="1">
        <v>0</v>
      </c>
      <c r="R645" s="1">
        <v>0.01454546014736668</v>
      </c>
      <c r="S645" s="1">
        <v>0.001504410365430253</v>
      </c>
      <c r="T645" s="1">
        <v>0.01747439160056885</v>
      </c>
      <c r="U645" s="1">
        <v>-0.04513881838459777</v>
      </c>
      <c r="V645" s="1">
        <v>0.007938347014468938</v>
      </c>
      <c r="W645" s="1">
        <v>0.03559178407074515</v>
      </c>
      <c r="X645" s="1">
        <v>-0.0002984096594964569</v>
      </c>
      <c r="Y645" s="1">
        <v>-0.01164843106063584</v>
      </c>
      <c r="Z645" s="1">
        <v>-0.01397141051268169</v>
      </c>
    </row>
    <row r="646" spans="1:26">
      <c r="A646" s="11">
        <v>43307</v>
      </c>
      <c r="B646" s="1">
        <v>0.0004376739756635217</v>
      </c>
      <c r="C646" s="1">
        <v>0.009552667375017254</v>
      </c>
      <c r="D646" s="1">
        <v>-0.03659649104776974</v>
      </c>
      <c r="E646" s="1">
        <v>-0.0189700921787842</v>
      </c>
      <c r="F646" s="1">
        <v>0.03979655228333812</v>
      </c>
      <c r="G646" s="1">
        <v>0.002491152814458442</v>
      </c>
      <c r="H646" s="1">
        <v>0.01193407501700383</v>
      </c>
      <c r="I646" s="1">
        <v>0.009977307673938673</v>
      </c>
      <c r="J646" s="1">
        <v>0.006870186368057141</v>
      </c>
      <c r="K646" s="1">
        <v>0.00733229359112797</v>
      </c>
      <c r="L646" s="1">
        <v>-0.002864905906888704</v>
      </c>
      <c r="M646" s="1">
        <v>0.08433713192233583</v>
      </c>
      <c r="N646" s="1">
        <v>-0.03025071392984513</v>
      </c>
      <c r="O646" s="1">
        <v>-0.02386142347788656</v>
      </c>
      <c r="P646" s="1">
        <v>-0.01091760084493498</v>
      </c>
      <c r="Q646" s="1">
        <v>0.01279551671107115</v>
      </c>
      <c r="R646" s="1">
        <v>0.01947939149693356</v>
      </c>
      <c r="S646" s="1">
        <v>-0.002685760305643492</v>
      </c>
      <c r="T646" s="1">
        <v>0.0268469505865685</v>
      </c>
      <c r="U646" s="1">
        <v>0.003305447041744403</v>
      </c>
      <c r="V646" s="1">
        <v>-0.001624951507132155</v>
      </c>
      <c r="W646" s="1">
        <v>0.02058616186630258</v>
      </c>
      <c r="X646" s="1">
        <v>0.01418323701098823</v>
      </c>
      <c r="Y646" s="1">
        <v>0.005303659873376887</v>
      </c>
      <c r="Z646" s="1">
        <v>0.003299773578181453</v>
      </c>
    </row>
    <row r="647" spans="1:26">
      <c r="A647" s="11">
        <v>43308</v>
      </c>
      <c r="B647" s="1">
        <v>-0.01552928617954985</v>
      </c>
      <c r="C647" s="1">
        <v>0.003701345005858059</v>
      </c>
      <c r="D647" s="1">
        <v>-0.02713365734136097</v>
      </c>
      <c r="E647" s="1">
        <v>-0.01726497156884665</v>
      </c>
      <c r="F647" s="1">
        <v>0.009496343191094381</v>
      </c>
      <c r="G647" s="1">
        <v>-0.0003552282009885444</v>
      </c>
      <c r="H647" s="1">
        <v>0.005896857360047969</v>
      </c>
      <c r="I647" s="1">
        <v>-0.0135221036921026</v>
      </c>
      <c r="J647" s="1">
        <v>-0.009381764283376337</v>
      </c>
      <c r="K647" s="1">
        <v>0.009518566399218109</v>
      </c>
      <c r="L647" s="1">
        <v>0.0102741648469471</v>
      </c>
      <c r="M647" s="1">
        <v>0.02962984125213075</v>
      </c>
      <c r="N647" s="1">
        <v>0.03208590428480895</v>
      </c>
      <c r="O647" s="1">
        <v>-0.0145029380458267</v>
      </c>
      <c r="P647" s="1">
        <v>-0.01769729307504941</v>
      </c>
      <c r="Q647" s="1">
        <v>0.001914394416884679</v>
      </c>
      <c r="R647" s="1">
        <v>0.00993590343179318</v>
      </c>
      <c r="S647" s="1">
        <v>-0.01698010473736811</v>
      </c>
      <c r="T647" s="1">
        <v>-0.01171394809821613</v>
      </c>
      <c r="U647" s="1">
        <v>0.02405311438084756</v>
      </c>
      <c r="V647" s="1">
        <v>0.003381037305913326</v>
      </c>
      <c r="W647" s="1">
        <v>-0.01239307995412631</v>
      </c>
      <c r="X647" s="1">
        <v>-0.01324913215204837</v>
      </c>
      <c r="Y647" s="1">
        <v>0.01621753254863489</v>
      </c>
      <c r="Z647" s="1">
        <v>-0.0001933410187112683</v>
      </c>
    </row>
    <row r="648" spans="1:26">
      <c r="A648" s="11">
        <v>43311</v>
      </c>
      <c r="B648" s="1">
        <v>0.02332834818178342</v>
      </c>
      <c r="C648" s="1">
        <v>-0.02659088303538715</v>
      </c>
      <c r="D648" s="1">
        <v>-0.004880599266122165</v>
      </c>
      <c r="E648" s="1">
        <v>0.03531252903285398</v>
      </c>
      <c r="F648" s="1">
        <v>0.0108325972837775</v>
      </c>
      <c r="G648" s="1">
        <v>-0.004616336438696078</v>
      </c>
      <c r="H648" s="1">
        <v>0</v>
      </c>
      <c r="I648" s="1">
        <v>-0.0184658925447706</v>
      </c>
      <c r="J648" s="1">
        <v>-0.005596477357578955</v>
      </c>
      <c r="K648" s="1">
        <v>0.01109257114027939</v>
      </c>
      <c r="L648" s="1">
        <v>0.006032908033922091</v>
      </c>
      <c r="M648" s="1">
        <v>-0.008221967636917293</v>
      </c>
      <c r="N648" s="1">
        <v>0.009498979559336318</v>
      </c>
      <c r="O648" s="1">
        <v>-0.002254930799313493</v>
      </c>
      <c r="P648" s="1">
        <v>-0.02145265044026168</v>
      </c>
      <c r="Q648" s="1">
        <v>-0.009817163577016674</v>
      </c>
      <c r="R648" s="1">
        <v>-0.01604346687305624</v>
      </c>
      <c r="S648" s="1">
        <v>-0.003993238182817715</v>
      </c>
      <c r="T648" s="1">
        <v>-0.007864141150989434</v>
      </c>
      <c r="U648" s="1">
        <v>0.0296010165111944</v>
      </c>
      <c r="V648" s="1">
        <v>0.01347785615002195</v>
      </c>
      <c r="W648" s="1">
        <v>-0.001644388149872555</v>
      </c>
      <c r="X648" s="1">
        <v>-0.005818168181743966</v>
      </c>
      <c r="Y648" s="1">
        <v>0.009228585004415368</v>
      </c>
      <c r="Z648" s="1">
        <v>0.01354479128551755</v>
      </c>
    </row>
    <row r="649" spans="1:26">
      <c r="A649" s="11">
        <v>43312</v>
      </c>
      <c r="B649" s="1">
        <v>-0.001302759157372768</v>
      </c>
      <c r="C649" s="1">
        <v>0.01492631002616629</v>
      </c>
      <c r="D649" s="1">
        <v>0.0152747728547542</v>
      </c>
      <c r="E649" s="1">
        <v>-0.003054648887710454</v>
      </c>
      <c r="F649" s="1">
        <v>0.009023937761389433</v>
      </c>
      <c r="G649" s="1">
        <v>0.01605421456212053</v>
      </c>
      <c r="H649" s="1">
        <v>-0.0009771747061082525</v>
      </c>
      <c r="I649" s="1">
        <v>0.04768437726828578</v>
      </c>
      <c r="J649" s="1">
        <v>-0.0008656298249283267</v>
      </c>
      <c r="K649" s="1">
        <v>0.02879850262419659</v>
      </c>
      <c r="L649" s="1">
        <v>-0.01524885403329268</v>
      </c>
      <c r="M649" s="1">
        <v>0.004490480318305456</v>
      </c>
      <c r="N649" s="1">
        <v>0.003935354133028923</v>
      </c>
      <c r="O649" s="1">
        <v>-0.00844537501728182</v>
      </c>
      <c r="P649" s="1">
        <v>0.006738241210851426</v>
      </c>
      <c r="Q649" s="1">
        <v>0.01788481089371152</v>
      </c>
      <c r="R649" s="1">
        <v>0.01092165701077263</v>
      </c>
      <c r="S649" s="1">
        <v>0.01552440616063544</v>
      </c>
      <c r="T649" s="1">
        <v>0.001021575993915613</v>
      </c>
      <c r="U649" s="1">
        <v>-0.000937618234156723</v>
      </c>
      <c r="V649" s="1">
        <v>-0.006526209428396212</v>
      </c>
      <c r="W649" s="1">
        <v>0.0165135046029774</v>
      </c>
      <c r="X649" s="1">
        <v>0.02445969763871436</v>
      </c>
      <c r="Y649" s="1">
        <v>-0.01619354036949039</v>
      </c>
      <c r="Z649" s="1">
        <v>-0.01298190760991424</v>
      </c>
    </row>
    <row r="650" spans="1:26">
      <c r="A650" s="11">
        <v>43313</v>
      </c>
      <c r="B650" s="1">
        <v>-0.02304379205321139</v>
      </c>
      <c r="C650" s="1">
        <v>-0.009935374016173726</v>
      </c>
      <c r="D650" s="1">
        <v>0.004140735692514497</v>
      </c>
      <c r="E650" s="1">
        <v>0.01480862216001411</v>
      </c>
      <c r="F650" s="1">
        <v>-0.01062059821058436</v>
      </c>
      <c r="G650" s="1">
        <v>-0.01931195253485551</v>
      </c>
      <c r="H650" s="1">
        <v>0.01295886634737231</v>
      </c>
      <c r="I650" s="1">
        <v>-0.01989064648737693</v>
      </c>
      <c r="J650" s="1">
        <v>-0.003033047653098864</v>
      </c>
      <c r="K650" s="1">
        <v>0.004531986517733122</v>
      </c>
      <c r="L650" s="1">
        <v>0.006176771058452601</v>
      </c>
      <c r="M650" s="1">
        <v>-0.02819814265385667</v>
      </c>
      <c r="N650" s="1">
        <v>-0.0102250525693991</v>
      </c>
      <c r="O650" s="1">
        <v>-0.003718603951892718</v>
      </c>
      <c r="P650" s="1">
        <v>0.001885609379849829</v>
      </c>
      <c r="Q650" s="1">
        <v>-0.01069511401395129</v>
      </c>
      <c r="R650" s="1">
        <v>-0.02662827098572018</v>
      </c>
      <c r="S650" s="1">
        <v>-0.001606843572473649</v>
      </c>
      <c r="T650" s="1">
        <v>-0.005626743052556726</v>
      </c>
      <c r="U650" s="1">
        <v>-0.002189875199723912</v>
      </c>
      <c r="V650" s="1">
        <v>-0.02144280196694426</v>
      </c>
      <c r="W650" s="1">
        <v>-0.002643504632220628</v>
      </c>
      <c r="X650" s="1">
        <v>-0.01127861031690947</v>
      </c>
      <c r="Y650" s="1">
        <v>0.00174289510583403</v>
      </c>
      <c r="Z650" s="1">
        <v>0.0214696303462123</v>
      </c>
    </row>
    <row r="651" spans="1:26">
      <c r="A651" s="11">
        <v>43314</v>
      </c>
      <c r="B651" s="1">
        <v>-0.01179345669300524</v>
      </c>
      <c r="C651" s="1">
        <v>-0.008589475182904538</v>
      </c>
      <c r="D651" s="1">
        <v>-0.007010193172863111</v>
      </c>
      <c r="E651" s="1">
        <v>-0.005870346503355828</v>
      </c>
      <c r="F651" s="1">
        <v>-0.02146863674379706</v>
      </c>
      <c r="G651" s="1">
        <v>0.006444800507147797</v>
      </c>
      <c r="H651" s="1">
        <v>0.006758131413680424</v>
      </c>
      <c r="I651" s="1">
        <v>0.001268103390634989</v>
      </c>
      <c r="J651" s="1">
        <v>0.00869170755847315</v>
      </c>
      <c r="K651" s="1">
        <v>0.003450419262001292</v>
      </c>
      <c r="L651" s="1">
        <v>0.004236241233108728</v>
      </c>
      <c r="M651" s="1">
        <v>0.00300787262856228</v>
      </c>
      <c r="N651" s="1">
        <v>0.0129132027973069</v>
      </c>
      <c r="O651" s="1">
        <v>-0.002769876865109766</v>
      </c>
      <c r="P651" s="1">
        <v>0.01213741455104156</v>
      </c>
      <c r="Q651" s="1">
        <v>0.01505780754721298</v>
      </c>
      <c r="R651" s="1">
        <v>-0.01063007460993781</v>
      </c>
      <c r="S651" s="1">
        <v>-0.03342823355416247</v>
      </c>
      <c r="T651" s="1">
        <v>0.0002739220783893881</v>
      </c>
      <c r="U651" s="1">
        <v>-0.001566857326036786</v>
      </c>
      <c r="V651" s="1">
        <v>0.02292609049536187</v>
      </c>
      <c r="W651" s="1">
        <v>-0.003163683446211651</v>
      </c>
      <c r="X651" s="1">
        <v>0.0008887119080427386</v>
      </c>
      <c r="Y651" s="1">
        <v>0.004832785928722494</v>
      </c>
      <c r="Z651" s="1">
        <v>0.01363430314370029</v>
      </c>
    </row>
    <row r="652" spans="1:26">
      <c r="A652" s="11">
        <v>43315</v>
      </c>
      <c r="B652" s="1">
        <v>0.01666337594682621</v>
      </c>
      <c r="C652" s="1">
        <v>-0.003688605368999287</v>
      </c>
      <c r="D652" s="1">
        <v>0.001522693306492684</v>
      </c>
      <c r="E652" s="1">
        <v>-0.001856035876524054</v>
      </c>
      <c r="F652" s="1">
        <v>0.02222844878830355</v>
      </c>
      <c r="G652" s="1">
        <v>-0.004980447477075156</v>
      </c>
      <c r="H652" s="1">
        <v>0.02517360161438065</v>
      </c>
      <c r="I652" s="1">
        <v>0.00893836375577961</v>
      </c>
      <c r="J652" s="1">
        <v>0.005601301951564608</v>
      </c>
      <c r="K652" s="1">
        <v>0.003437954856024161</v>
      </c>
      <c r="L652" s="1">
        <v>0.008093251814182079</v>
      </c>
      <c r="M652" s="1">
        <v>0.01270061191259764</v>
      </c>
      <c r="N652" s="1">
        <v>0.01529799197842707</v>
      </c>
      <c r="O652" s="1">
        <v>0.003984778115917464</v>
      </c>
      <c r="P652" s="1">
        <v>0.004369319642203662</v>
      </c>
      <c r="Q652" s="1">
        <v>0.01141123277314016</v>
      </c>
      <c r="R652" s="1">
        <v>0.01801232750089454</v>
      </c>
      <c r="S652" s="1">
        <v>0.01793433411566769</v>
      </c>
      <c r="T652" s="1">
        <v>0.01028803854903315</v>
      </c>
      <c r="U652" s="1">
        <v>0.01318653160085526</v>
      </c>
      <c r="V652" s="1">
        <v>0.008543329253263732</v>
      </c>
      <c r="W652" s="1">
        <v>0.0006434843230662679</v>
      </c>
      <c r="X652" s="1">
        <v>-0.008288725103780203</v>
      </c>
      <c r="Y652" s="1">
        <v>0.005579197353338783</v>
      </c>
      <c r="Z652" s="1">
        <v>-0.003549818678225902</v>
      </c>
    </row>
    <row r="653" spans="1:26">
      <c r="A653" s="11">
        <v>43318</v>
      </c>
      <c r="B653" s="1">
        <v>0.01085248212709522</v>
      </c>
      <c r="C653" s="1">
        <v>-0.00536680052804428</v>
      </c>
      <c r="D653" s="1">
        <v>0.002349549211867918</v>
      </c>
      <c r="E653" s="1">
        <v>0.003887563589771714</v>
      </c>
      <c r="F653" s="1">
        <v>-0.002541580558581003</v>
      </c>
      <c r="G653" s="1">
        <v>0.0107255096183605</v>
      </c>
      <c r="H653" s="1">
        <v>-0.001870681416260789</v>
      </c>
      <c r="I653" s="1">
        <v>0.003975833173256671</v>
      </c>
      <c r="J653" s="1">
        <v>0.0171376324300907</v>
      </c>
      <c r="K653" s="1">
        <v>-0.006589218176740408</v>
      </c>
      <c r="L653" s="1">
        <v>0.0002563594304967332</v>
      </c>
      <c r="M653" s="1">
        <v>0.006618917680766057</v>
      </c>
      <c r="N653" s="1">
        <v>0.008036200307226737</v>
      </c>
      <c r="O653" s="1">
        <v>0.004089078100476762</v>
      </c>
      <c r="P653" s="1">
        <v>0.0008328934167498581</v>
      </c>
      <c r="Q653" s="1">
        <v>0.007521811944948276</v>
      </c>
      <c r="R653" s="1">
        <v>0.00791519778345906</v>
      </c>
      <c r="S653" s="1">
        <v>0.008598944577856038</v>
      </c>
      <c r="T653" s="1">
        <v>0.003499724546352612</v>
      </c>
      <c r="U653" s="1">
        <v>-0.004958220819307635</v>
      </c>
      <c r="V653" s="1">
        <v>0.001965101612469322</v>
      </c>
      <c r="W653" s="1">
        <v>0.007585837976858523</v>
      </c>
      <c r="X653" s="1">
        <v>-0.0007464269384860334</v>
      </c>
      <c r="Y653" s="1">
        <v>0.00401758701103061</v>
      </c>
      <c r="Z653" s="1">
        <v>-0.002061992218981956</v>
      </c>
    </row>
    <row r="654" spans="1:26">
      <c r="A654" s="11">
        <v>43319</v>
      </c>
      <c r="B654" s="1">
        <v>0.01621367281998642</v>
      </c>
      <c r="C654" s="1">
        <v>0.01209002317604391</v>
      </c>
      <c r="D654" s="1">
        <v>0.0002759432427938968</v>
      </c>
      <c r="E654" s="1">
        <v>-0.006903324074088668</v>
      </c>
      <c r="F654" s="1">
        <v>0.002264819065408208</v>
      </c>
      <c r="G654" s="1">
        <v>0.0003538003005674195</v>
      </c>
      <c r="H654" s="1">
        <v>-0.02132176746103975</v>
      </c>
      <c r="I654" s="1">
        <v>0.01521570809857398</v>
      </c>
      <c r="J654" s="1">
        <v>0.0105309813436083</v>
      </c>
      <c r="K654" s="1">
        <v>0.004510583295506354</v>
      </c>
      <c r="L654" s="1">
        <v>0.003671249785679898</v>
      </c>
      <c r="M654" s="1">
        <v>0.005191322561208356</v>
      </c>
      <c r="N654" s="1">
        <v>-0.01079549591003126</v>
      </c>
      <c r="O654" s="1">
        <v>0.002994427532308164</v>
      </c>
      <c r="P654" s="1">
        <v>0.006936022489682836</v>
      </c>
      <c r="Q654" s="1">
        <v>-0.009331725127315504</v>
      </c>
      <c r="R654" s="1">
        <v>0.003696172851131774</v>
      </c>
      <c r="S654" s="1">
        <v>0.004772762642524464</v>
      </c>
      <c r="T654" s="1">
        <v>-0.0007649877556497042</v>
      </c>
      <c r="U654" s="1">
        <v>0.00903137927214881</v>
      </c>
      <c r="V654" s="1">
        <v>0.007719128474525716</v>
      </c>
      <c r="W654" s="1">
        <v>0.001744178483239711</v>
      </c>
      <c r="X654" s="1">
        <v>0.003286109923273495</v>
      </c>
      <c r="Y654" s="1">
        <v>-0.0003813876050388076</v>
      </c>
      <c r="Z654" s="1">
        <v>0.002817898676001018</v>
      </c>
    </row>
    <row r="655" spans="1:26">
      <c r="A655" s="11">
        <v>43320</v>
      </c>
      <c r="B655" s="1">
        <v>-0.005389796922315115</v>
      </c>
      <c r="C655" s="1">
        <v>-0.008495896776097078</v>
      </c>
      <c r="D655" s="1">
        <v>0.001791841547611472</v>
      </c>
      <c r="E655" s="1">
        <v>0.02017619735400111</v>
      </c>
      <c r="F655" s="1">
        <v>-0.00988666960439577</v>
      </c>
      <c r="G655" s="1">
        <v>-0.001414443524778486</v>
      </c>
      <c r="H655" s="1">
        <v>0.005027700800934953</v>
      </c>
      <c r="I655" s="1">
        <v>-0.008965399060161028</v>
      </c>
      <c r="J655" s="1">
        <v>0.006252592443022564</v>
      </c>
      <c r="K655" s="1">
        <v>-0.01426337425382362</v>
      </c>
      <c r="L655" s="1">
        <v>0.00204164016787689</v>
      </c>
      <c r="M655" s="1">
        <v>0.01256666427335085</v>
      </c>
      <c r="N655" s="1">
        <v>-0.01595030091660565</v>
      </c>
      <c r="O655" s="1">
        <v>0.003104965699685103</v>
      </c>
      <c r="P655" s="1">
        <v>0.005602535889464688</v>
      </c>
      <c r="Q655" s="1">
        <v>-0.002637997946889903</v>
      </c>
      <c r="R655" s="1">
        <v>-0.01135312442782321</v>
      </c>
      <c r="S655" s="1">
        <v>0.001705934156104538</v>
      </c>
      <c r="T655" s="1">
        <v>-0.00096864622341164</v>
      </c>
      <c r="U655" s="1">
        <v>-0.001234291877314164</v>
      </c>
      <c r="V655" s="1">
        <v>0.001824021524578834</v>
      </c>
      <c r="W655" s="1">
        <v>-0.003906851739130746</v>
      </c>
      <c r="X655" s="1">
        <v>-0.002530808899190551</v>
      </c>
      <c r="Y655" s="1">
        <v>0.004574996931072661</v>
      </c>
      <c r="Z655" s="1">
        <v>0.005619867401974288</v>
      </c>
    </row>
    <row r="656" spans="1:26">
      <c r="A656" s="11">
        <v>43321</v>
      </c>
      <c r="B656" s="1">
        <v>-0.06156544030318012</v>
      </c>
      <c r="C656" s="1">
        <v>-0.006790589778978062</v>
      </c>
      <c r="D656" s="1">
        <v>-0.008256461934350812</v>
      </c>
      <c r="E656" s="1">
        <v>-0.01063640130110777</v>
      </c>
      <c r="F656" s="1">
        <v>0.01255336717868727</v>
      </c>
      <c r="G656" s="1">
        <v>-0.001416189488866126</v>
      </c>
      <c r="H656" s="1">
        <v>0.007146013993477141</v>
      </c>
      <c r="I656" s="1">
        <v>-0.03438988157712786</v>
      </c>
      <c r="J656" s="1">
        <v>-0.002485644118698449</v>
      </c>
      <c r="K656" s="1">
        <v>0.0002684166753130768</v>
      </c>
      <c r="L656" s="1">
        <v>-0.007725731462132179</v>
      </c>
      <c r="M656" s="1">
        <v>0.002890113245253678</v>
      </c>
      <c r="N656" s="1">
        <v>0.0104079035830924</v>
      </c>
      <c r="O656" s="1">
        <v>0.0002380081033117598</v>
      </c>
      <c r="P656" s="1">
        <v>0.001644180086077585</v>
      </c>
      <c r="Q656" s="1">
        <v>0.00151129454036103</v>
      </c>
      <c r="R656" s="1">
        <v>-0.002017291990087267</v>
      </c>
      <c r="S656" s="1">
        <v>-0.006583031954070728</v>
      </c>
      <c r="T656" s="1">
        <v>0.0008796135698414531</v>
      </c>
      <c r="U656" s="1">
        <v>0.004017106208009213</v>
      </c>
      <c r="V656" s="1">
        <v>0.002791748605792232</v>
      </c>
      <c r="W656" s="1">
        <v>-0.005712250328505308</v>
      </c>
      <c r="X656" s="1">
        <v>-0.01179080665781529</v>
      </c>
      <c r="Y656" s="1">
        <v>0.005882204930955925</v>
      </c>
      <c r="Z656" s="1">
        <v>-0.009873056191522123</v>
      </c>
    </row>
    <row r="657" spans="1:26">
      <c r="A657" s="11">
        <v>43322</v>
      </c>
      <c r="B657" s="1">
        <v>0.02032756609016784</v>
      </c>
      <c r="C657" s="1">
        <v>-0.01253918236317242</v>
      </c>
      <c r="D657" s="1">
        <v>-0.007908608350292279</v>
      </c>
      <c r="E657" s="1">
        <v>-0.003695685048610176</v>
      </c>
      <c r="F657" s="1">
        <v>-0.01155252190783962</v>
      </c>
      <c r="G657" s="1">
        <v>-0.002482233198399131</v>
      </c>
      <c r="H657" s="1">
        <v>-0.02199592340805001</v>
      </c>
      <c r="I657" s="1">
        <v>-0.0198807763831319</v>
      </c>
      <c r="J657" s="1">
        <v>-0.003737386149605615</v>
      </c>
      <c r="K657" s="1">
        <v>-0.01151931379606863</v>
      </c>
      <c r="L657" s="1">
        <v>-0.009838821463475367</v>
      </c>
      <c r="M657" s="1">
        <v>0</v>
      </c>
      <c r="N657" s="1">
        <v>-0.002870739471275363</v>
      </c>
      <c r="O657" s="1">
        <v>-0.01202081690217371</v>
      </c>
      <c r="P657" s="1">
        <v>-0.006109387824071888</v>
      </c>
      <c r="Q657" s="1">
        <v>0.003772208857521608</v>
      </c>
      <c r="R657" s="1">
        <v>-0.0116622236896794</v>
      </c>
      <c r="S657" s="1">
        <v>-0.004912143125539337</v>
      </c>
      <c r="T657" s="1">
        <v>-0.002387374349886673</v>
      </c>
      <c r="U657" s="1">
        <v>-0.007079201905168531</v>
      </c>
      <c r="V657" s="1">
        <v>0.001089285743442137</v>
      </c>
      <c r="W657" s="1">
        <v>-0.007803051178251308</v>
      </c>
      <c r="X657" s="1">
        <v>-0.006947875040963392</v>
      </c>
      <c r="Y657" s="1">
        <v>-0.01018654943832131</v>
      </c>
      <c r="Z657" s="1">
        <v>-0.001693396719697482</v>
      </c>
    </row>
    <row r="658" spans="1:26">
      <c r="A658" s="11">
        <v>43325</v>
      </c>
      <c r="B658" s="1">
        <v>-0.01086674975762758</v>
      </c>
      <c r="C658" s="1">
        <v>-0.003093704191123203</v>
      </c>
      <c r="D658" s="1">
        <v>-0.01104922992761315</v>
      </c>
      <c r="E658" s="1">
        <v>0.001854609315052214</v>
      </c>
      <c r="F658" s="1">
        <v>-0.001140338356765636</v>
      </c>
      <c r="G658" s="1">
        <v>0.003199273504232991</v>
      </c>
      <c r="H658" s="1">
        <v>0.00386925311608155</v>
      </c>
      <c r="I658" s="1">
        <v>-0.001021786393135993</v>
      </c>
      <c r="J658" s="1">
        <v>-0.007919943339203761</v>
      </c>
      <c r="K658" s="1">
        <v>-0.006774746383480301</v>
      </c>
      <c r="L658" s="1">
        <v>-0.01589943837686536</v>
      </c>
      <c r="M658" s="1">
        <v>-0.002542679010252846</v>
      </c>
      <c r="N658" s="1">
        <v>-0.00118536639154454</v>
      </c>
      <c r="O658" s="1">
        <v>-0.007589724593023428</v>
      </c>
      <c r="P658" s="1">
        <v>-0.007247711101321719</v>
      </c>
      <c r="Q658" s="1">
        <v>0.008267597847705144</v>
      </c>
      <c r="R658" s="1">
        <v>0.01042981415790223</v>
      </c>
      <c r="S658" s="1">
        <v>0.002188445952628681</v>
      </c>
      <c r="T658" s="1">
        <v>-0.01769785690066239</v>
      </c>
      <c r="U658" s="1">
        <v>-0.001549783213991462</v>
      </c>
      <c r="V658" s="1">
        <v>-0.007858788322048893</v>
      </c>
      <c r="W658" s="1">
        <v>-0.003111218929782167</v>
      </c>
      <c r="X658" s="1">
        <v>-0.00547525055172926</v>
      </c>
      <c r="Y658" s="1">
        <v>-0.004764627859705994</v>
      </c>
      <c r="Z658" s="1">
        <v>-0.009235023882142257</v>
      </c>
    </row>
    <row r="659" spans="1:26">
      <c r="A659" s="11">
        <v>43326</v>
      </c>
      <c r="B659" s="1">
        <v>0.004806568422053736</v>
      </c>
      <c r="C659" s="1">
        <v>0.002305192319581373</v>
      </c>
      <c r="D659" s="1">
        <v>0</v>
      </c>
      <c r="E659" s="1">
        <v>0.009087854064203649</v>
      </c>
      <c r="F659" s="1">
        <v>0.009988461489540024</v>
      </c>
      <c r="G659" s="1">
        <v>-0.003189070794536897</v>
      </c>
      <c r="H659" s="1">
        <v>0.005781853079883437</v>
      </c>
      <c r="I659" s="1">
        <v>0.01270906408220029</v>
      </c>
      <c r="J659" s="1">
        <v>0.01470592333284815</v>
      </c>
      <c r="K659" s="1">
        <v>0.009276721365617302</v>
      </c>
      <c r="L659" s="1">
        <v>0.00667339253305621</v>
      </c>
      <c r="M659" s="1">
        <v>0.004248649350910183</v>
      </c>
      <c r="N659" s="1">
        <v>0.003899388911340562</v>
      </c>
      <c r="O659" s="1">
        <v>0.004613206314276974</v>
      </c>
      <c r="P659" s="1">
        <v>0.01247576327571576</v>
      </c>
      <c r="Q659" s="1">
        <v>0.00484531848890124</v>
      </c>
      <c r="R659" s="1">
        <v>0.01360626042611379</v>
      </c>
      <c r="S659" s="1">
        <v>0.003392358733794731</v>
      </c>
      <c r="T659" s="1">
        <v>0.002734726335976267</v>
      </c>
      <c r="U659" s="1">
        <v>0.0009312309069011704</v>
      </c>
      <c r="V659" s="1">
        <v>0.01547501569929133</v>
      </c>
      <c r="W659" s="1">
        <v>0.00394458241141793</v>
      </c>
      <c r="X659" s="1">
        <v>0.009787052601988089</v>
      </c>
      <c r="Y659" s="1">
        <v>0.01244736214921049</v>
      </c>
      <c r="Z659" s="1">
        <v>0.01902241820068795</v>
      </c>
    </row>
    <row r="660" spans="1:26">
      <c r="A660" s="11">
        <v>43327</v>
      </c>
      <c r="B660" s="1">
        <v>-0.04373561197642872</v>
      </c>
      <c r="C660" s="1">
        <v>-0.02176071834066251</v>
      </c>
      <c r="D660" s="1">
        <v>0.007636794602251085</v>
      </c>
      <c r="E660" s="1">
        <v>0.005003280449069392</v>
      </c>
      <c r="F660" s="1">
        <v>-0.0118674850397954</v>
      </c>
      <c r="G660" s="1">
        <v>0.003518468361059401</v>
      </c>
      <c r="H660" s="1">
        <v>0.01437107281861061</v>
      </c>
      <c r="I660" s="1">
        <v>-0.02127641917113487</v>
      </c>
      <c r="J660" s="1">
        <v>-0.00496891247751241</v>
      </c>
      <c r="K660" s="1">
        <v>0.01513936815241035</v>
      </c>
      <c r="L660" s="1">
        <v>-0.008286297268371601</v>
      </c>
      <c r="M660" s="1">
        <v>0.02098522289415294</v>
      </c>
      <c r="N660" s="1">
        <v>0.01638251998528251</v>
      </c>
      <c r="O660" s="1">
        <v>0.0004833596518118988</v>
      </c>
      <c r="P660" s="1">
        <v>-0.01356034898983027</v>
      </c>
      <c r="Q660" s="1">
        <v>0.008531199745540841</v>
      </c>
      <c r="R660" s="1">
        <v>-0.00432048553537534</v>
      </c>
      <c r="S660" s="1">
        <v>0.01519025518552142</v>
      </c>
      <c r="T660" s="1">
        <v>0.005225042527446044</v>
      </c>
      <c r="U660" s="1">
        <v>0.007134234548399787</v>
      </c>
      <c r="V660" s="1">
        <v>-0.02406829802344979</v>
      </c>
      <c r="W660" s="1">
        <v>-0.01126891581485545</v>
      </c>
      <c r="X660" s="1">
        <v>-0.008783580534897029</v>
      </c>
      <c r="Y660" s="1">
        <v>0.006998338704342411</v>
      </c>
      <c r="Z660" s="1">
        <v>-0.01032493037219617</v>
      </c>
    </row>
    <row r="661" spans="1:26">
      <c r="A661" s="11">
        <v>43328</v>
      </c>
      <c r="B661" s="1">
        <v>0.004526236616636758</v>
      </c>
      <c r="C661" s="1">
        <v>0.04286224719257126</v>
      </c>
      <c r="D661" s="1">
        <v>0.004631736882324766</v>
      </c>
      <c r="E661" s="1">
        <v>0.01410591965192864</v>
      </c>
      <c r="F661" s="1">
        <v>0.0197311997734726</v>
      </c>
      <c r="G661" s="1">
        <v>0.01216476459563087</v>
      </c>
      <c r="H661" s="1">
        <v>-0.007555841716383793</v>
      </c>
      <c r="I661" s="1">
        <v>0.01215884310044646</v>
      </c>
      <c r="J661" s="1">
        <v>0.004577502427969948</v>
      </c>
      <c r="K661" s="1">
        <v>0.001864387018279512</v>
      </c>
      <c r="L661" s="1">
        <v>0.009410794867236394</v>
      </c>
      <c r="M661" s="1">
        <v>-0.01342636748890802</v>
      </c>
      <c r="N661" s="1">
        <v>0.01080099460327433</v>
      </c>
      <c r="O661" s="1">
        <v>0.01002396935117122</v>
      </c>
      <c r="P661" s="1">
        <v>-0.0001860918431757508</v>
      </c>
      <c r="Q661" s="1">
        <v>0.01213690256777711</v>
      </c>
      <c r="R661" s="1">
        <v>0.01782169787341448</v>
      </c>
      <c r="S661" s="1">
        <v>0.007572614957193746</v>
      </c>
      <c r="T661" s="1">
        <v>0.0104855365052885</v>
      </c>
      <c r="U661" s="1">
        <v>0.01909459926081736</v>
      </c>
      <c r="V661" s="1">
        <v>0.01710234642301911</v>
      </c>
      <c r="W661" s="1">
        <v>0.007816430632269888</v>
      </c>
      <c r="X661" s="1">
        <v>0.01145908644683735</v>
      </c>
      <c r="Y661" s="1">
        <v>0.01934645054653061</v>
      </c>
      <c r="Z661" s="1">
        <v>0.0193475831402119</v>
      </c>
    </row>
    <row r="662" spans="1:26">
      <c r="A662" s="11">
        <v>43329</v>
      </c>
      <c r="B662" s="1">
        <v>-0.004031755096099432</v>
      </c>
      <c r="C662" s="1">
        <v>0.001213800077004779</v>
      </c>
      <c r="D662" s="1">
        <v>0.006426255784032886</v>
      </c>
      <c r="E662" s="1">
        <v>-0.003600472355859585</v>
      </c>
      <c r="F662" s="1">
        <v>-0.001682579357945913</v>
      </c>
      <c r="G662" s="1">
        <v>0</v>
      </c>
      <c r="H662" s="1">
        <v>0.0002379890480623814</v>
      </c>
      <c r="I662" s="1">
        <v>0.02358980777561381</v>
      </c>
      <c r="J662" s="1">
        <v>0.01657011544196507</v>
      </c>
      <c r="K662" s="1">
        <v>0.0167463283931566</v>
      </c>
      <c r="L662" s="1">
        <v>0</v>
      </c>
      <c r="M662" s="1">
        <v>0.002688116165020071</v>
      </c>
      <c r="N662" s="1">
        <v>0.002794817443700026</v>
      </c>
      <c r="O662" s="1">
        <v>0.004424198964926074</v>
      </c>
      <c r="P662" s="1">
        <v>-0.0005573075468660038</v>
      </c>
      <c r="Q662" s="1">
        <v>0.002906635757803366</v>
      </c>
      <c r="R662" s="1">
        <v>0.02253313931539558</v>
      </c>
      <c r="S662" s="1">
        <v>0.01222441758948678</v>
      </c>
      <c r="T662" s="1">
        <v>0.002351044983623929</v>
      </c>
      <c r="U662" s="1">
        <v>-0.001813265032770794</v>
      </c>
      <c r="V662" s="1">
        <v>0.01181948991507276</v>
      </c>
      <c r="W662" s="1">
        <v>-0.003423069899626818</v>
      </c>
      <c r="X662" s="1">
        <v>0.006797860893803964</v>
      </c>
      <c r="Y662" s="1">
        <v>0.009581453088987946</v>
      </c>
      <c r="Z662" s="1">
        <v>-0.0001861244929123318</v>
      </c>
    </row>
    <row r="663" spans="1:26">
      <c r="A663" s="11">
        <v>43332</v>
      </c>
      <c r="B663" s="1">
        <v>0.0007145713533112108</v>
      </c>
      <c r="C663" s="1">
        <v>0.01252897383264884</v>
      </c>
      <c r="D663" s="1">
        <v>0.002220738751730567</v>
      </c>
      <c r="E663" s="1">
        <v>-0.009360878701780706</v>
      </c>
      <c r="F663" s="1">
        <v>-0.004775235764254537</v>
      </c>
      <c r="G663" s="1">
        <v>0.002120528375874953</v>
      </c>
      <c r="H663" s="1">
        <v>0.003329882141426266</v>
      </c>
      <c r="I663" s="1">
        <v>-0.0004267512114951577</v>
      </c>
      <c r="J663" s="1">
        <v>0</v>
      </c>
      <c r="K663" s="1">
        <v>0.01281021049793685</v>
      </c>
      <c r="L663" s="1">
        <v>-0.001306964499156571</v>
      </c>
      <c r="M663" s="1">
        <v>0.03267436900990495</v>
      </c>
      <c r="N663" s="1">
        <v>-0.0001640659519546173</v>
      </c>
      <c r="O663" s="1">
        <v>-0.007857182644149252</v>
      </c>
      <c r="P663" s="1">
        <v>-0.006599645220232819</v>
      </c>
      <c r="Q663" s="1">
        <v>-0.00615929273862259</v>
      </c>
      <c r="R663" s="1">
        <v>0.01608096109054991</v>
      </c>
      <c r="S663" s="1">
        <v>-0.004875669379576841</v>
      </c>
      <c r="T663" s="1">
        <v>0.001510812291223296</v>
      </c>
      <c r="U663" s="1">
        <v>0.002421967038252593</v>
      </c>
      <c r="V663" s="1">
        <v>0.003371611320508894</v>
      </c>
      <c r="W663" s="1">
        <v>0.0006085962748290097</v>
      </c>
      <c r="X663" s="1">
        <v>0.01500346020120769</v>
      </c>
      <c r="Y663" s="1">
        <v>-0.002555202643935828</v>
      </c>
      <c r="Z663" s="1">
        <v>0.004652962792919046</v>
      </c>
    </row>
    <row r="664" spans="1:26">
      <c r="A664" s="11">
        <v>43333</v>
      </c>
      <c r="B664" s="1">
        <v>0.01522682506030937</v>
      </c>
      <c r="C664" s="1">
        <v>0.008638927655345352</v>
      </c>
      <c r="D664" s="1">
        <v>-0.007755877275277823</v>
      </c>
      <c r="E664" s="1">
        <v>-0.003978752543396968</v>
      </c>
      <c r="F664" s="1">
        <v>0.008749509125926869</v>
      </c>
      <c r="G664" s="1">
        <v>-0.01022911306682139</v>
      </c>
      <c r="H664" s="1">
        <v>-0.007349212883330902</v>
      </c>
      <c r="I664" s="1">
        <v>0.02348200946500434</v>
      </c>
      <c r="J664" s="1">
        <v>-0.002037762639736318</v>
      </c>
      <c r="K664" s="1">
        <v>0.03278294959651062</v>
      </c>
      <c r="L664" s="1">
        <v>0.006107121917777292</v>
      </c>
      <c r="M664" s="1">
        <v>-0.007646141146347207</v>
      </c>
      <c r="N664" s="1">
        <v>-0.01738012178226489</v>
      </c>
      <c r="O664" s="1">
        <v>0.009839285341373794</v>
      </c>
      <c r="P664" s="1">
        <v>-0.00832784400360842</v>
      </c>
      <c r="Q664" s="1">
        <v>-0.009478936282419803</v>
      </c>
      <c r="R664" s="1">
        <v>-0.004103037439562751</v>
      </c>
      <c r="S664" s="1">
        <v>-0.007281343610964108</v>
      </c>
      <c r="T664" s="1">
        <v>0.001666696571509529</v>
      </c>
      <c r="U664" s="1">
        <v>0.008758943679123554</v>
      </c>
      <c r="V664" s="1">
        <v>-0.0006002265278552965</v>
      </c>
      <c r="W664" s="1">
        <v>0.005605497534179049</v>
      </c>
      <c r="X664" s="1">
        <v>0.01862510394707084</v>
      </c>
      <c r="Y664" s="1">
        <v>0.00475768823747913</v>
      </c>
      <c r="Z664" s="1">
        <v>0.004446116038729686</v>
      </c>
    </row>
    <row r="665" spans="1:26">
      <c r="A665" s="11">
        <v>43334</v>
      </c>
      <c r="B665" s="1">
        <v>0.0142957589997097</v>
      </c>
      <c r="C665" s="1">
        <v>-0.01057189947611858</v>
      </c>
      <c r="D665" s="1">
        <v>0.006979173456640675</v>
      </c>
      <c r="E665" s="1">
        <v>0.008155559571250581</v>
      </c>
      <c r="F665" s="1">
        <v>-0.007274572516873801</v>
      </c>
      <c r="G665" s="1">
        <v>-0.0081964913433199</v>
      </c>
      <c r="H665" s="1">
        <v>-0.01576308899575263</v>
      </c>
      <c r="I665" s="1">
        <v>-0.008482167537540386</v>
      </c>
      <c r="J665" s="1">
        <v>0</v>
      </c>
      <c r="K665" s="1">
        <v>-0.009997566602630292</v>
      </c>
      <c r="L665" s="1">
        <v>-0.003034902363769132</v>
      </c>
      <c r="M665" s="1">
        <v>-0.006393257569321964</v>
      </c>
      <c r="N665" s="1">
        <v>-0.0101784861091534</v>
      </c>
      <c r="O665" s="1">
        <v>-0.008317875591940527</v>
      </c>
      <c r="P665" s="1">
        <v>0.01019052706968115</v>
      </c>
      <c r="Q665" s="1">
        <v>-0.006256408671432401</v>
      </c>
      <c r="R665" s="1">
        <v>-0.00279573183265347</v>
      </c>
      <c r="S665" s="1">
        <v>-0.04446250477776004</v>
      </c>
      <c r="T665" s="1">
        <v>-0.01286002189815083</v>
      </c>
      <c r="U665" s="1">
        <v>-0.02155735292453309</v>
      </c>
      <c r="V665" s="1">
        <v>0.03206475639198647</v>
      </c>
      <c r="W665" s="1">
        <v>0.01149376620089626</v>
      </c>
      <c r="X665" s="1">
        <v>-0.006964781780054774</v>
      </c>
      <c r="Y665" s="1">
        <v>-0.01402300807292445</v>
      </c>
      <c r="Z665" s="1">
        <v>-0.002766236288005541</v>
      </c>
    </row>
    <row r="666" spans="1:26">
      <c r="A666" s="11">
        <v>43335</v>
      </c>
      <c r="B666" s="1">
        <v>-0.009704205457540915</v>
      </c>
      <c r="C666" s="1">
        <v>-0.007285159631989502</v>
      </c>
      <c r="D666" s="1">
        <v>-0.002217660505321128</v>
      </c>
      <c r="E666" s="1">
        <v>-0.007924833973767753</v>
      </c>
      <c r="F666" s="1">
        <v>-0.004791601374828924</v>
      </c>
      <c r="G666" s="1">
        <v>-0.004312019147510782</v>
      </c>
      <c r="H666" s="1">
        <v>-0.0145595734993339</v>
      </c>
      <c r="I666" s="1">
        <v>-0.01002735406214361</v>
      </c>
      <c r="J666" s="1">
        <v>0.005716531967134619</v>
      </c>
      <c r="K666" s="1">
        <v>-0.0118658383021536</v>
      </c>
      <c r="L666" s="1">
        <v>-0.002087538228033536</v>
      </c>
      <c r="M666" s="1">
        <v>0.006599301638102739</v>
      </c>
      <c r="N666" s="1">
        <v>0.008429228539628131</v>
      </c>
      <c r="O666" s="1">
        <v>-0.0001194597026270561</v>
      </c>
      <c r="P666" s="1">
        <v>0.00467028712066142</v>
      </c>
      <c r="Q666" s="1">
        <v>0.001481261940404766</v>
      </c>
      <c r="R666" s="1">
        <v>-0.01696914424127605</v>
      </c>
      <c r="S666" s="1">
        <v>0.002985112403630419</v>
      </c>
      <c r="T666" s="1">
        <v>0.001685376141543848</v>
      </c>
      <c r="U666" s="1">
        <v>-0.005813787135532378</v>
      </c>
      <c r="V666" s="1">
        <v>0.008959638851096186</v>
      </c>
      <c r="W666" s="1">
        <v>0.0004270591958568382</v>
      </c>
      <c r="X666" s="1">
        <v>-0.00190019856083401</v>
      </c>
      <c r="Y666" s="1">
        <v>0.002585989789376741</v>
      </c>
      <c r="Z666" s="1">
        <v>-0.009062692008130702</v>
      </c>
    </row>
    <row r="667" spans="1:26">
      <c r="A667" s="11">
        <v>43336</v>
      </c>
      <c r="B667" s="1">
        <v>0.01469905998419074</v>
      </c>
      <c r="C667" s="1">
        <v>0.005467941729768722</v>
      </c>
      <c r="D667" s="1">
        <v>0.005140242584687815</v>
      </c>
      <c r="E667" s="1">
        <v>-0.0019966888696763</v>
      </c>
      <c r="F667" s="1">
        <v>0.03370183399222038</v>
      </c>
      <c r="G667" s="1">
        <v>0.006135018744856113</v>
      </c>
      <c r="H667" s="1">
        <v>0.001723536805293469</v>
      </c>
      <c r="I667" s="1">
        <v>0.02535776044615612</v>
      </c>
      <c r="J667" s="1">
        <v>-0.01948810404371171</v>
      </c>
      <c r="K667" s="1">
        <v>0.001788301623473654</v>
      </c>
      <c r="L667" s="1">
        <v>-0.0004358342345724964</v>
      </c>
      <c r="M667" s="1">
        <v>-0.0003275133679599973</v>
      </c>
      <c r="N667" s="1">
        <v>-0.01738574238341839</v>
      </c>
      <c r="O667" s="1">
        <v>0.008987482166675109</v>
      </c>
      <c r="P667" s="1">
        <v>0.007809563272825004</v>
      </c>
      <c r="Q667" s="1">
        <v>0.0007399465550514961</v>
      </c>
      <c r="R667" s="1">
        <v>0.01215853767641595</v>
      </c>
      <c r="S667" s="1">
        <v>0.007700743981301716</v>
      </c>
      <c r="T667" s="1">
        <v>0.01721176458747786</v>
      </c>
      <c r="U667" s="1">
        <v>0.00461670810851933</v>
      </c>
      <c r="V667" s="1">
        <v>0.00691924664173138</v>
      </c>
      <c r="W667" s="1">
        <v>0.002220599345286622</v>
      </c>
      <c r="X667" s="1">
        <v>0.004831227101202762</v>
      </c>
      <c r="Y667" s="1">
        <v>0.009211167462865211</v>
      </c>
      <c r="Z667" s="1">
        <v>-0.002986144080340702</v>
      </c>
    </row>
    <row r="668" spans="1:26">
      <c r="A668" s="11">
        <v>43339</v>
      </c>
      <c r="B668" s="1">
        <v>0.00643848398299407</v>
      </c>
      <c r="C668" s="1">
        <v>0.01247918307434603</v>
      </c>
      <c r="D668" s="1">
        <v>0.008707472609825517</v>
      </c>
      <c r="E668" s="1">
        <v>0.000666981158388591</v>
      </c>
      <c r="F668" s="1">
        <v>-0.001918076924311451</v>
      </c>
      <c r="G668" s="1">
        <v>-0.007173724414621607</v>
      </c>
      <c r="H668" s="1">
        <v>0.000491773908666282</v>
      </c>
      <c r="I668" s="1">
        <v>0.009947590934047845</v>
      </c>
      <c r="J668" s="1">
        <v>0.007453632778535058</v>
      </c>
      <c r="K668" s="1">
        <v>0.01300706916245642</v>
      </c>
      <c r="L668" s="1">
        <v>0.01770131213211479</v>
      </c>
      <c r="M668" s="1">
        <v>-0.001311873252518803</v>
      </c>
      <c r="N668" s="1">
        <v>0.003912777615378893</v>
      </c>
      <c r="O668" s="1">
        <v>0.006175381071720665</v>
      </c>
      <c r="P668" s="1">
        <v>0.01107020776872236</v>
      </c>
      <c r="Q668" s="1">
        <v>-0.004065099643680847</v>
      </c>
      <c r="R668" s="1">
        <v>0.01764778052415172</v>
      </c>
      <c r="S668" s="1">
        <v>-0.001453352532398422</v>
      </c>
      <c r="T668" s="1">
        <v>0.01709884574518661</v>
      </c>
      <c r="U668" s="1">
        <v>0.005821114638614677</v>
      </c>
      <c r="V668" s="1">
        <v>-0.00813183063699463</v>
      </c>
      <c r="W668" s="1">
        <v>0.01367619665557362</v>
      </c>
      <c r="X668" s="1">
        <v>0.008888421514802181</v>
      </c>
      <c r="Y668" s="1">
        <v>0.001277943272257609</v>
      </c>
      <c r="Z668" s="1">
        <v>0.004679871194876339</v>
      </c>
    </row>
    <row r="669" spans="1:26">
      <c r="A669" s="11">
        <v>43340</v>
      </c>
      <c r="B669" s="1">
        <v>-0.02307529079423187</v>
      </c>
      <c r="C669" s="1">
        <v>-0.007152026930902333</v>
      </c>
      <c r="D669" s="1">
        <v>0.001096217278237388</v>
      </c>
      <c r="E669" s="1">
        <v>0.002666059800970455</v>
      </c>
      <c r="F669" s="1">
        <v>-0.002196020945951505</v>
      </c>
      <c r="G669" s="1">
        <v>-0.004696365950449422</v>
      </c>
      <c r="H669" s="1">
        <v>-0.02137598052421563</v>
      </c>
      <c r="I669" s="1">
        <v>0.002052056138166281</v>
      </c>
      <c r="J669" s="1">
        <v>0.006575780682616772</v>
      </c>
      <c r="K669" s="1">
        <v>-0.01988915391769963</v>
      </c>
      <c r="L669" s="1">
        <v>-0.00488368341039136</v>
      </c>
      <c r="M669" s="1">
        <v>0.006895546310438982</v>
      </c>
      <c r="N669" s="1">
        <v>-0.009489841108986319</v>
      </c>
      <c r="O669" s="1">
        <v>-0.005783501623509713</v>
      </c>
      <c r="P669" s="1">
        <v>0.006021803405409809</v>
      </c>
      <c r="Q669" s="1">
        <v>0</v>
      </c>
      <c r="R669" s="1">
        <v>-0.001894149523131938</v>
      </c>
      <c r="S669" s="1">
        <v>0.007840606960886065</v>
      </c>
      <c r="T669" s="1">
        <v>-0.005317945040803629</v>
      </c>
      <c r="U669" s="1">
        <v>-0.00487351150647386</v>
      </c>
      <c r="V669" s="1">
        <v>0.001154985675285269</v>
      </c>
      <c r="W669" s="1">
        <v>0.0001682836809031585</v>
      </c>
      <c r="X669" s="1">
        <v>0.002599915567054412</v>
      </c>
      <c r="Y669" s="1">
        <v>-0.003646265618644451</v>
      </c>
      <c r="Z669" s="1">
        <v>-0.002794954143579109</v>
      </c>
    </row>
    <row r="670" spans="1:26">
      <c r="A670" s="11">
        <v>43341</v>
      </c>
      <c r="B670" s="1">
        <v>0.0226845828495732</v>
      </c>
      <c r="C670" s="1">
        <v>-0.002904237250526021</v>
      </c>
      <c r="D670" s="1">
        <v>0.01231867108452245</v>
      </c>
      <c r="E670" s="1">
        <v>0.0157884972122635</v>
      </c>
      <c r="F670" s="1">
        <v>0.01100413020967883</v>
      </c>
      <c r="G670" s="1">
        <v>0.008711426262241195</v>
      </c>
      <c r="H670" s="1">
        <v>0.004017303142707318</v>
      </c>
      <c r="I670" s="1">
        <v>-0.00348143356567121</v>
      </c>
      <c r="J670" s="1">
        <v>0.02409196947197145</v>
      </c>
      <c r="K670" s="1">
        <v>-0.01310073438743498</v>
      </c>
      <c r="L670" s="1">
        <v>-0.003272012120510537</v>
      </c>
      <c r="M670" s="1">
        <v>-0.001793583810009047</v>
      </c>
      <c r="N670" s="1">
        <v>-0.0005133677354233201</v>
      </c>
      <c r="O670" s="1">
        <v>0.004629938719841853</v>
      </c>
      <c r="P670" s="1">
        <v>0.01596219665813159</v>
      </c>
      <c r="Q670" s="1">
        <v>0.01113177098497742</v>
      </c>
      <c r="R670" s="1">
        <v>-0.0008765792108180737</v>
      </c>
      <c r="S670" s="1">
        <v>-0.009224153101452637</v>
      </c>
      <c r="T670" s="1">
        <v>0.008417981672949493</v>
      </c>
      <c r="U670" s="1">
        <v>-0.01346763984077548</v>
      </c>
      <c r="V670" s="1">
        <v>0.0107264828474305</v>
      </c>
      <c r="W670" s="1">
        <v>0.007438119925290865</v>
      </c>
      <c r="X670" s="1">
        <v>0.002737010418677466</v>
      </c>
      <c r="Y670" s="1">
        <v>-0.001463887333555403</v>
      </c>
      <c r="Z670" s="1">
        <v>0.002989677408709035</v>
      </c>
    </row>
    <row r="671" spans="1:26">
      <c r="A671" s="11">
        <v>43342</v>
      </c>
      <c r="B671" s="1">
        <v>0.01486401636932477</v>
      </c>
      <c r="C671" s="1">
        <v>-0.009394905520266117</v>
      </c>
      <c r="D671" s="1">
        <v>0.001762105274597525</v>
      </c>
      <c r="E671" s="1">
        <v>-0.007035226788664084</v>
      </c>
      <c r="F671" s="1">
        <v>-0.001904613533518562</v>
      </c>
      <c r="G671" s="1">
        <v>-0.0007198770534633248</v>
      </c>
      <c r="H671" s="1">
        <v>-0.02100530140960088</v>
      </c>
      <c r="I671" s="1">
        <v>-0.01828885540666314</v>
      </c>
      <c r="J671" s="1">
        <v>-0.01395578461139135</v>
      </c>
      <c r="K671" s="1">
        <v>-0.02004150214967815</v>
      </c>
      <c r="L671" s="1">
        <v>-0.004924089042298685</v>
      </c>
      <c r="M671" s="1">
        <v>-0.006533753779597085</v>
      </c>
      <c r="N671" s="1">
        <v>0.004451006871770469</v>
      </c>
      <c r="O671" s="1">
        <v>-0.006617674720875266</v>
      </c>
      <c r="P671" s="1">
        <v>-0.0006248307887890547</v>
      </c>
      <c r="Q671" s="1">
        <v>-0.003669860475511988</v>
      </c>
      <c r="R671" s="1">
        <v>-0.008329251478795707</v>
      </c>
      <c r="S671" s="1">
        <v>-0.004843028045821929</v>
      </c>
      <c r="T671" s="1">
        <v>-0.0004605529501735539</v>
      </c>
      <c r="U671" s="1">
        <v>-0.008377657476737133</v>
      </c>
      <c r="V671" s="1">
        <v>-0.00365192256436031</v>
      </c>
      <c r="W671" s="1">
        <v>-0.00225239884447237</v>
      </c>
      <c r="X671" s="1">
        <v>-0.003447757927206974</v>
      </c>
      <c r="Y671" s="1">
        <v>0.003298520759835499</v>
      </c>
      <c r="Z671" s="1">
        <v>-0.009500833089403526</v>
      </c>
    </row>
    <row r="672" spans="1:26">
      <c r="A672" s="11">
        <v>43343</v>
      </c>
      <c r="B672" s="1">
        <v>-0.01239285430057446</v>
      </c>
      <c r="C672" s="1">
        <v>-0.01184777784245528</v>
      </c>
      <c r="D672" s="1">
        <v>0.006359990184377828</v>
      </c>
      <c r="E672" s="1">
        <v>-0.002306825313297178</v>
      </c>
      <c r="F672" s="1">
        <v>0.008451199454306169</v>
      </c>
      <c r="G672" s="1">
        <v>0.0007203956497610076</v>
      </c>
      <c r="H672" s="1">
        <v>0.007662768770250405</v>
      </c>
      <c r="I672" s="1">
        <v>0.003349099629153418</v>
      </c>
      <c r="J672" s="1">
        <v>-0.003235020533607691</v>
      </c>
      <c r="K672" s="1">
        <v>0.00318722468765209</v>
      </c>
      <c r="L672" s="1">
        <v>-0.005295467357485539</v>
      </c>
      <c r="M672" s="1">
        <v>0.007891915982250586</v>
      </c>
      <c r="N672" s="1">
        <v>-0.002726604131952026</v>
      </c>
      <c r="O672" s="1">
        <v>0.006780679210293794</v>
      </c>
      <c r="P672" s="1">
        <v>0.003394437877480394</v>
      </c>
      <c r="Q672" s="1">
        <v>-0.002946611396893561</v>
      </c>
      <c r="R672" s="1">
        <v>0.008252024579953776</v>
      </c>
      <c r="S672" s="1">
        <v>0.004394353059466116</v>
      </c>
      <c r="T672" s="1">
        <v>-0.001402886520139646</v>
      </c>
      <c r="U672" s="1">
        <v>-0.0006260226644966282</v>
      </c>
      <c r="V672" s="1">
        <v>0.002176321100820999</v>
      </c>
      <c r="W672" s="1">
        <v>-0.0003761385431891862</v>
      </c>
      <c r="X672" s="1">
        <v>-0.004900981129894344</v>
      </c>
      <c r="Y672" s="1">
        <v>-0.006940493069987563</v>
      </c>
      <c r="Z672" s="1">
        <v>0.00225687799104457</v>
      </c>
    </row>
    <row r="673" spans="1:26">
      <c r="A673" s="11">
        <v>43347</v>
      </c>
      <c r="B673" s="1">
        <v>-0.01482988514291284</v>
      </c>
      <c r="C673" s="1">
        <v>0.01009364757023756</v>
      </c>
      <c r="D673" s="1">
        <v>0.005647215809532646</v>
      </c>
      <c r="E673" s="1">
        <v>-0.001156122425780892</v>
      </c>
      <c r="F673" s="1">
        <v>-0.01649085110010151</v>
      </c>
      <c r="G673" s="1">
        <v>0.004677862143932954</v>
      </c>
      <c r="H673" s="1">
        <v>0.006083571524289955</v>
      </c>
      <c r="I673" s="1">
        <v>-0.01460359669931732</v>
      </c>
      <c r="J673" s="1">
        <v>0.006491143196417415</v>
      </c>
      <c r="K673" s="1">
        <v>0</v>
      </c>
      <c r="L673" s="1">
        <v>0.004974551328039256</v>
      </c>
      <c r="M673" s="1">
        <v>0.01125633984977581</v>
      </c>
      <c r="N673" s="1">
        <v>0.01008180783981283</v>
      </c>
      <c r="O673" s="1">
        <v>0.001772703161506684</v>
      </c>
      <c r="P673" s="1">
        <v>-0.005519549860870443</v>
      </c>
      <c r="Q673" s="1">
        <v>0.001846949281019139</v>
      </c>
      <c r="R673" s="1">
        <v>-0.001169212285757837</v>
      </c>
      <c r="S673" s="1">
        <v>0.002446171512423989</v>
      </c>
      <c r="T673" s="1">
        <v>0.008275412070265054</v>
      </c>
      <c r="U673" s="1">
        <v>-0.002504482696666255</v>
      </c>
      <c r="V673" s="1">
        <v>0.01657131862199268</v>
      </c>
      <c r="W673" s="1">
        <v>-0.01275639056175237</v>
      </c>
      <c r="X673" s="1">
        <v>0.006373736034484434</v>
      </c>
      <c r="Y673" s="1">
        <v>-0.02170336974494813</v>
      </c>
      <c r="Z673" s="1">
        <v>0.01182206845698075</v>
      </c>
    </row>
    <row r="674" spans="1:26">
      <c r="A674" s="11">
        <v>43348</v>
      </c>
      <c r="B674" s="1">
        <v>0.0171371589463154</v>
      </c>
      <c r="C674" s="1">
        <v>0.001241739769725525</v>
      </c>
      <c r="D674" s="1">
        <v>-0.00962646150784463</v>
      </c>
      <c r="E674" s="1">
        <v>0.01190502673385252</v>
      </c>
      <c r="F674" s="1">
        <v>-0.002748869047535685</v>
      </c>
      <c r="G674" s="1">
        <v>0.03581654821720615</v>
      </c>
      <c r="H674" s="1">
        <v>0.004283036279863595</v>
      </c>
      <c r="I674" s="1">
        <v>0.02244173770892943</v>
      </c>
      <c r="J674" s="1">
        <v>-0.005239763681650911</v>
      </c>
      <c r="K674" s="1">
        <v>0.01323811086476412</v>
      </c>
      <c r="L674" s="1">
        <v>-0.004863144602966663</v>
      </c>
      <c r="M674" s="1">
        <v>-0.009517725175232417</v>
      </c>
      <c r="N674" s="1">
        <v>0.02605320579867287</v>
      </c>
      <c r="O674" s="1">
        <v>0.001297516861374914</v>
      </c>
      <c r="P674" s="1">
        <v>-0.02882477988530319</v>
      </c>
      <c r="Q674" s="1">
        <v>0.01548693822919756</v>
      </c>
      <c r="R674" s="1">
        <v>0.02297350271704701</v>
      </c>
      <c r="S674" s="1">
        <v>0.01220071100546494</v>
      </c>
      <c r="T674" s="1">
        <v>0.005028954391212537</v>
      </c>
      <c r="U674" s="1">
        <v>0.005022166206829271</v>
      </c>
      <c r="V674" s="1">
        <v>-0.003934683903264902</v>
      </c>
      <c r="W674" s="1">
        <v>0.001355744698796846</v>
      </c>
      <c r="X674" s="1">
        <v>0.005182059102933012</v>
      </c>
      <c r="Y674" s="1">
        <v>0.01184463032469529</v>
      </c>
      <c r="Z674" s="1">
        <v>-0.001668884546167759</v>
      </c>
    </row>
    <row r="675" spans="1:26">
      <c r="A675" s="11">
        <v>43349</v>
      </c>
      <c r="B675" s="1">
        <v>-0.02868817518276423</v>
      </c>
      <c r="C675" s="1">
        <v>0.01324002211190534</v>
      </c>
      <c r="D675" s="1">
        <v>0.006075034088756759</v>
      </c>
      <c r="E675" s="1">
        <v>-0.004248584371076447</v>
      </c>
      <c r="F675" s="1">
        <v>-0.009922742849954425</v>
      </c>
      <c r="G675" s="1">
        <v>-0.0006915831926942451</v>
      </c>
      <c r="H675" s="1">
        <v>0.004766725868869059</v>
      </c>
      <c r="I675" s="1">
        <v>0.001518836452501615</v>
      </c>
      <c r="J675" s="1">
        <v>0</v>
      </c>
      <c r="K675" s="1">
        <v>0.01463318465858698</v>
      </c>
      <c r="L675" s="1">
        <v>-0.004276129299585874</v>
      </c>
      <c r="M675" s="1">
        <v>-0.006026242800779125</v>
      </c>
      <c r="N675" s="1">
        <v>0.002307839391499478</v>
      </c>
      <c r="O675" s="1">
        <v>0.005301098369449919</v>
      </c>
      <c r="P675" s="1">
        <v>0.002304516607947837</v>
      </c>
      <c r="Q675" s="1">
        <v>0.005083344446404459</v>
      </c>
      <c r="R675" s="1">
        <v>-0.01044205792375952</v>
      </c>
      <c r="S675" s="1">
        <v>-0.004403964162073004</v>
      </c>
      <c r="T675" s="1">
        <v>0.001581103211809598</v>
      </c>
      <c r="U675" s="1">
        <v>0.004996586834681294</v>
      </c>
      <c r="V675" s="1">
        <v>0.003160246181310722</v>
      </c>
      <c r="W675" s="1">
        <v>-0.002707488226568522</v>
      </c>
      <c r="X675" s="1">
        <v>-0.003150469478695128</v>
      </c>
      <c r="Y675" s="1">
        <v>0.008732720311982689</v>
      </c>
      <c r="Z675" s="1">
        <v>-0.009474357628451058</v>
      </c>
    </row>
    <row r="676" spans="1:26">
      <c r="A676" s="11">
        <v>43350</v>
      </c>
      <c r="B676" s="1">
        <v>0.004922287276909465</v>
      </c>
      <c r="C676" s="1">
        <v>-0.005665295156191963</v>
      </c>
      <c r="D676" s="1">
        <v>0.0009393665935137907</v>
      </c>
      <c r="E676" s="1">
        <v>0.006071714924251292</v>
      </c>
      <c r="F676" s="1">
        <v>0.006959966755065938</v>
      </c>
      <c r="G676" s="1">
        <v>-0.01349474853564936</v>
      </c>
      <c r="H676" s="1">
        <v>0.004245120199534602</v>
      </c>
      <c r="I676" s="1">
        <v>0.0174361654733719</v>
      </c>
      <c r="J676" s="1">
        <v>0.001215370493690138</v>
      </c>
      <c r="K676" s="1">
        <v>-0.01364972619578819</v>
      </c>
      <c r="L676" s="1">
        <v>0.001928209290603444</v>
      </c>
      <c r="M676" s="1">
        <v>0.01425564184782613</v>
      </c>
      <c r="N676" s="1">
        <v>0.002303225600947645</v>
      </c>
      <c r="O676" s="1">
        <v>0.004569819799969954</v>
      </c>
      <c r="P676" s="1">
        <v>-0.004874081491313853</v>
      </c>
      <c r="Q676" s="1">
        <v>-0.01192178431483648</v>
      </c>
      <c r="R676" s="1">
        <v>-0.002457336796602094</v>
      </c>
      <c r="S676" s="1">
        <v>-0.02626308453197146</v>
      </c>
      <c r="T676" s="1">
        <v>0.000281343321287153</v>
      </c>
      <c r="U676" s="1">
        <v>-0.001864404404503417</v>
      </c>
      <c r="V676" s="1">
        <v>-0.00157519902699943</v>
      </c>
      <c r="W676" s="1">
        <v>0.0009756606427233638</v>
      </c>
      <c r="X676" s="1">
        <v>-0.006608184232516634</v>
      </c>
      <c r="Y676" s="1">
        <v>-0.005341806737898747</v>
      </c>
      <c r="Z676" s="1">
        <v>-0.01050283954081999</v>
      </c>
    </row>
    <row r="677" spans="1:26">
      <c r="A677" s="11">
        <v>43353</v>
      </c>
      <c r="B677" s="1">
        <v>0.01026380171056762</v>
      </c>
      <c r="C677" s="1">
        <v>-0.02124370299917322</v>
      </c>
      <c r="D677" s="1">
        <v>0.004022295590650815</v>
      </c>
      <c r="E677" s="1">
        <v>-0.007339878776643327</v>
      </c>
      <c r="F677" s="1">
        <v>0.005253005481987927</v>
      </c>
      <c r="G677" s="1">
        <v>0.00771647967090372</v>
      </c>
      <c r="H677" s="1">
        <v>0.00770747985379483</v>
      </c>
      <c r="I677" s="1">
        <v>0.006638055548317201</v>
      </c>
      <c r="J677" s="1">
        <v>-0.002428306478436393</v>
      </c>
      <c r="K677" s="1">
        <v>0.002611221214999571</v>
      </c>
      <c r="L677" s="1">
        <v>-0.005335849238747081</v>
      </c>
      <c r="M677" s="1">
        <v>0.009854435290560071</v>
      </c>
      <c r="N677" s="1">
        <v>-0.005744017487572362</v>
      </c>
      <c r="O677" s="1">
        <v>0.004899043369025469</v>
      </c>
      <c r="P677" s="1">
        <v>0.01081234637009798</v>
      </c>
      <c r="Q677" s="1">
        <v>0.009871582018683212</v>
      </c>
      <c r="R677" s="1">
        <v>0.01420073306803027</v>
      </c>
      <c r="S677" s="1">
        <v>0.01243361104810248</v>
      </c>
      <c r="T677" s="1">
        <v>0.009707176862537858</v>
      </c>
      <c r="U677" s="1">
        <v>0.008405869573580693</v>
      </c>
      <c r="V677" s="1">
        <v>0.005860077597843238</v>
      </c>
      <c r="W677" s="1">
        <v>0.00521271285899938</v>
      </c>
      <c r="X677" s="1">
        <v>0.01026734571495536</v>
      </c>
      <c r="Y677" s="1">
        <v>0.002222152237028929</v>
      </c>
      <c r="Z677" s="1">
        <v>0.003222325204891296</v>
      </c>
    </row>
    <row r="678" spans="1:26">
      <c r="A678" s="11">
        <v>43354</v>
      </c>
      <c r="B678" s="1">
        <v>0.01801002978758381</v>
      </c>
      <c r="C678" s="1">
        <v>0.009916400399446967</v>
      </c>
      <c r="D678" s="1">
        <v>0.01308580470792942</v>
      </c>
      <c r="E678" s="1">
        <v>-0.006079525212015602</v>
      </c>
      <c r="F678" s="1">
        <v>-0.001650116470569118</v>
      </c>
      <c r="G678" s="1">
        <v>0.001044110014007504</v>
      </c>
      <c r="H678" s="1">
        <v>-0.01258344348462892</v>
      </c>
      <c r="I678" s="1">
        <v>-6.748906249598452E-05</v>
      </c>
      <c r="J678" s="1">
        <v>0.006895242135981139</v>
      </c>
      <c r="K678" s="1">
        <v>-0.02083311919288011</v>
      </c>
      <c r="L678" s="1">
        <v>0.006331842757181461</v>
      </c>
      <c r="M678" s="1">
        <v>0.007518861770439367</v>
      </c>
      <c r="N678" s="1">
        <v>-0.01832300158318956</v>
      </c>
      <c r="O678" s="1">
        <v>0.002553563258250957</v>
      </c>
      <c r="P678" s="1">
        <v>0.0170050156933963</v>
      </c>
      <c r="Q678" s="1">
        <v>0.003983038775475345</v>
      </c>
      <c r="R678" s="1">
        <v>-0.01328769673602892</v>
      </c>
      <c r="S678" s="1">
        <v>-0.006532940520600716</v>
      </c>
      <c r="T678" s="1">
        <v>0.005182061442050578</v>
      </c>
      <c r="U678" s="1">
        <v>0.008644758222559501</v>
      </c>
      <c r="V678" s="1">
        <v>-0.005153618886691524</v>
      </c>
      <c r="W678" s="1">
        <v>-0.003204269429661899</v>
      </c>
      <c r="X678" s="1">
        <v>0.001860641094495907</v>
      </c>
      <c r="Y678" s="1">
        <v>0.01108656561481425</v>
      </c>
      <c r="Z678" s="1">
        <v>0.00453422235536971</v>
      </c>
    </row>
    <row r="679" spans="1:26">
      <c r="A679" s="11">
        <v>43355</v>
      </c>
      <c r="B679" s="1">
        <v>0.02358797151819791</v>
      </c>
      <c r="C679" s="1">
        <v>0.02363507391049735</v>
      </c>
      <c r="D679" s="1">
        <v>0.002767610321936953</v>
      </c>
      <c r="E679" s="1">
        <v>-0.002645247969991438</v>
      </c>
      <c r="F679" s="1">
        <v>-0.00578502365465261</v>
      </c>
      <c r="G679" s="1">
        <v>-0.006258710097332809</v>
      </c>
      <c r="H679" s="1">
        <v>0.006246736840904932</v>
      </c>
      <c r="I679" s="1">
        <v>-0.005517834379445863</v>
      </c>
      <c r="J679" s="1">
        <v>-0.0032415881963066</v>
      </c>
      <c r="K679" s="1">
        <v>-0.0007981067934338393</v>
      </c>
      <c r="L679" s="1">
        <v>-0.0117977123590296</v>
      </c>
      <c r="M679" s="1">
        <v>-0.02556376640268232</v>
      </c>
      <c r="N679" s="1">
        <v>0.06658813276586484</v>
      </c>
      <c r="O679" s="1">
        <v>-0.007294164273672465</v>
      </c>
      <c r="P679" s="1">
        <v>0.004225047629857093</v>
      </c>
      <c r="Q679" s="1">
        <v>0.005769603653043243</v>
      </c>
      <c r="R679" s="1">
        <v>0.008398457385372149</v>
      </c>
      <c r="S679" s="1">
        <v>0.006863792319667716</v>
      </c>
      <c r="T679" s="1">
        <v>-0.002726293291994142</v>
      </c>
      <c r="U679" s="1">
        <v>0.02295669636846021</v>
      </c>
      <c r="V679" s="1">
        <v>-0.00168923356383277</v>
      </c>
      <c r="W679" s="1">
        <v>0.0110814190488584</v>
      </c>
      <c r="X679" s="1">
        <v>-0.003571815727710925</v>
      </c>
      <c r="Y679" s="1">
        <v>0.004568714363799797</v>
      </c>
      <c r="Z679" s="1">
        <v>-0.01730291789148286</v>
      </c>
    </row>
    <row r="680" spans="1:26">
      <c r="A680" s="11">
        <v>43356</v>
      </c>
      <c r="B680" s="1">
        <v>-0.01307351133737611</v>
      </c>
      <c r="C680" s="1">
        <v>0.005800617424314369</v>
      </c>
      <c r="D680" s="1">
        <v>0.01380123346548268</v>
      </c>
      <c r="E680" s="1">
        <v>0.007624946486316508</v>
      </c>
      <c r="F680" s="1">
        <v>0.02632289092961493</v>
      </c>
      <c r="G680" s="1">
        <v>0.006998106908365109</v>
      </c>
      <c r="H680" s="1">
        <v>0.02135578023720197</v>
      </c>
      <c r="I680" s="1">
        <v>0.007376007649571914</v>
      </c>
      <c r="J680" s="1">
        <v>0.01666679383323277</v>
      </c>
      <c r="K680" s="1">
        <v>0.00984805986772197</v>
      </c>
      <c r="L680" s="1">
        <v>0.00389112039935946</v>
      </c>
      <c r="M680" s="1">
        <v>0.0161318719831598</v>
      </c>
      <c r="N680" s="1">
        <v>-0.01868129177034883</v>
      </c>
      <c r="O680" s="1">
        <v>0.001866342271076515</v>
      </c>
      <c r="P680" s="1">
        <v>0.0107421947765618</v>
      </c>
      <c r="Q680" s="1">
        <v>0.006812555065474513</v>
      </c>
      <c r="R680" s="1">
        <v>0.003590392173840939</v>
      </c>
      <c r="S680" s="1">
        <v>0.000715024967860689</v>
      </c>
      <c r="T680" s="1">
        <v>0.00367381629762864</v>
      </c>
      <c r="U680" s="1">
        <v>0.00778005094451073</v>
      </c>
      <c r="V680" s="1">
        <v>-0.006429841383369772</v>
      </c>
      <c r="W680" s="1">
        <v>0.02070711343062004</v>
      </c>
      <c r="X680" s="1">
        <v>0.002008014811679892</v>
      </c>
      <c r="Y680" s="1">
        <v>-0.0005454105090285655</v>
      </c>
      <c r="Z680" s="1">
        <v>-0.01224880938883577</v>
      </c>
    </row>
    <row r="681" spans="1:26">
      <c r="A681" s="11">
        <v>43357</v>
      </c>
      <c r="B681" s="1">
        <v>0.02065543843430939</v>
      </c>
      <c r="C681" s="1">
        <v>0.01220945600851842</v>
      </c>
      <c r="D681" s="1">
        <v>0.007260748370582437</v>
      </c>
      <c r="E681" s="1">
        <v>-0.001645046185797527</v>
      </c>
      <c r="F681" s="1">
        <v>-0.002159855430229451</v>
      </c>
      <c r="G681" s="1">
        <v>0.004864464829641646</v>
      </c>
      <c r="H681" s="1">
        <v>0.003890643663876814</v>
      </c>
      <c r="I681" s="1">
        <v>-0.007456512139039306</v>
      </c>
      <c r="J681" s="1">
        <v>0.001199467354143557</v>
      </c>
      <c r="K681" s="1">
        <v>0.001581670652930356</v>
      </c>
      <c r="L681" s="1">
        <v>-0.0001761417980727931</v>
      </c>
      <c r="M681" s="1">
        <v>0.001122432756376801</v>
      </c>
      <c r="N681" s="1">
        <v>0.009925095724186761</v>
      </c>
      <c r="O681" s="1">
        <v>0.01012791228639065</v>
      </c>
      <c r="P681" s="1">
        <v>0.004074019628809822</v>
      </c>
      <c r="Q681" s="1">
        <v>-0.1171653018057258</v>
      </c>
      <c r="R681" s="1">
        <v>0.006438652524520583</v>
      </c>
      <c r="S681" s="1">
        <v>-0.01591076750627529</v>
      </c>
      <c r="T681" s="1">
        <v>-0.004022438482430668</v>
      </c>
      <c r="U681" s="1">
        <v>-0.002375355998202155</v>
      </c>
      <c r="V681" s="1">
        <v>-0.001589397504050072</v>
      </c>
      <c r="W681" s="1">
        <v>-0.007587227990359491</v>
      </c>
      <c r="X681" s="1">
        <v>0.01016317485453899</v>
      </c>
      <c r="Y681" s="1">
        <v>-0.007098968100750613</v>
      </c>
      <c r="Z681" s="1">
        <v>0.01162567130339953</v>
      </c>
    </row>
    <row r="682" spans="1:26">
      <c r="A682" s="11">
        <v>43360</v>
      </c>
      <c r="B682" s="1">
        <v>0.007039339366538444</v>
      </c>
      <c r="C682" s="1">
        <v>-0.01067253126081347</v>
      </c>
      <c r="D682" s="1">
        <v>-0.008366645986817467</v>
      </c>
      <c r="E682" s="1">
        <v>0.01005113686746961</v>
      </c>
      <c r="F682" s="1">
        <v>0</v>
      </c>
      <c r="G682" s="1">
        <v>-0.004840916362254144</v>
      </c>
      <c r="H682" s="1">
        <v>-0.007992756736887152</v>
      </c>
      <c r="I682" s="1">
        <v>0.008662840432555052</v>
      </c>
      <c r="J682" s="1">
        <v>-0.001198030355842428</v>
      </c>
      <c r="K682" s="1">
        <v>-0.01973727371620271</v>
      </c>
      <c r="L682" s="1">
        <v>0.002995606371592352</v>
      </c>
      <c r="M682" s="1">
        <v>0.01073185118608366</v>
      </c>
      <c r="N682" s="1">
        <v>0.005961072947998414</v>
      </c>
      <c r="O682" s="1">
        <v>-0.001613576092424518</v>
      </c>
      <c r="P682" s="1">
        <v>-0.0108495822638226</v>
      </c>
      <c r="Q682" s="1">
        <v>0.03791853739368434</v>
      </c>
      <c r="R682" s="1">
        <v>0.004122315703647406</v>
      </c>
      <c r="S682" s="1">
        <v>0.00793909033834872</v>
      </c>
      <c r="T682" s="1">
        <v>0.003184136678780591</v>
      </c>
      <c r="U682" s="1">
        <v>0.0005952035945639977</v>
      </c>
      <c r="V682" s="1">
        <v>-0.007504988431535353</v>
      </c>
      <c r="W682" s="1">
        <v>-0.01454680303213851</v>
      </c>
      <c r="X682" s="1">
        <v>0.00481779184849751</v>
      </c>
      <c r="Y682" s="1">
        <v>0.002749902139586702</v>
      </c>
      <c r="Z682" s="1">
        <v>-0.009576945313750196</v>
      </c>
    </row>
    <row r="683" spans="1:26">
      <c r="A683" s="11">
        <v>43361</v>
      </c>
      <c r="B683" s="1">
        <v>0.01048489074177605</v>
      </c>
      <c r="C683" s="1">
        <v>0.02140682541164063</v>
      </c>
      <c r="D683" s="1">
        <v>0.002595951221002091</v>
      </c>
      <c r="E683" s="1">
        <v>0.002936210365842129</v>
      </c>
      <c r="F683" s="1">
        <v>0.02110410349835035</v>
      </c>
      <c r="G683" s="1">
        <v>-0.006254192785223656</v>
      </c>
      <c r="H683" s="1">
        <v>-0.02197253586516024</v>
      </c>
      <c r="I683" s="1">
        <v>0</v>
      </c>
      <c r="J683" s="1">
        <v>0.005997438188436233</v>
      </c>
      <c r="K683" s="1">
        <v>-0.003757831657813515</v>
      </c>
      <c r="L683" s="1">
        <v>0.004040789335607586</v>
      </c>
      <c r="M683" s="1">
        <v>-0.0007921339559204821</v>
      </c>
      <c r="N683" s="1">
        <v>-0.004804464411295783</v>
      </c>
      <c r="O683" s="1">
        <v>-0.04005549682234955</v>
      </c>
      <c r="P683" s="1">
        <v>0.009541972390762377</v>
      </c>
      <c r="Q683" s="1">
        <v>0.007384747940234027</v>
      </c>
      <c r="R683" s="1">
        <v>0.006937401535091148</v>
      </c>
      <c r="S683" s="1">
        <v>-0.01335158443911288</v>
      </c>
      <c r="T683" s="1">
        <v>0.007476052557086277</v>
      </c>
      <c r="U683" s="1">
        <v>0.002974576445036625</v>
      </c>
      <c r="V683" s="1">
        <v>0.004583071400506178</v>
      </c>
      <c r="W683" s="1">
        <v>0.002684046447185784</v>
      </c>
      <c r="X683" s="1">
        <v>0.009166844129081309</v>
      </c>
      <c r="Y683" s="1">
        <v>-0.005667132803884978</v>
      </c>
      <c r="Z683" s="1">
        <v>-0.00386776245753695</v>
      </c>
    </row>
    <row r="684" spans="1:26">
      <c r="A684" s="11">
        <v>43362</v>
      </c>
      <c r="B684" s="1">
        <v>0.01167322562387496</v>
      </c>
      <c r="C684" s="1">
        <v>0.004510830070835192</v>
      </c>
      <c r="D684" s="1">
        <v>0.005178459413965442</v>
      </c>
      <c r="E684" s="1">
        <v>-0.01106019534552505</v>
      </c>
      <c r="F684" s="1">
        <v>-0.01112898676107166</v>
      </c>
      <c r="G684" s="1">
        <v>-0.02412603120064605</v>
      </c>
      <c r="H684" s="1">
        <v>0.001997475115859793</v>
      </c>
      <c r="I684" s="1">
        <v>0.02247700094938021</v>
      </c>
      <c r="J684" s="1">
        <v>0.003974556387084327</v>
      </c>
      <c r="K684" s="1">
        <v>-0.002964339173948449</v>
      </c>
      <c r="L684" s="1">
        <v>0.02904630537001207</v>
      </c>
      <c r="M684" s="1">
        <v>0.0009514891844861761</v>
      </c>
      <c r="N684" s="1">
        <v>-0.004827884133034921</v>
      </c>
      <c r="O684" s="1">
        <v>0.0257334757297687</v>
      </c>
      <c r="P684" s="1">
        <v>-0.01333818353777327</v>
      </c>
      <c r="Q684" s="1">
        <v>-0.01466074998427769</v>
      </c>
      <c r="R684" s="1">
        <v>0.002812389002951221</v>
      </c>
      <c r="S684" s="1">
        <v>-0.00652274849229173</v>
      </c>
      <c r="T684" s="1">
        <v>0.004355471802570454</v>
      </c>
      <c r="U684" s="1">
        <v>-0.0103798788105095</v>
      </c>
      <c r="V684" s="1">
        <v>-0.005931029564755108</v>
      </c>
      <c r="W684" s="1">
        <v>0.008197399633177005</v>
      </c>
      <c r="X684" s="1">
        <v>0.002235804804632036</v>
      </c>
      <c r="Y684" s="1">
        <v>-0.01636340101254241</v>
      </c>
      <c r="Z684" s="1">
        <v>0.01106637125777565</v>
      </c>
    </row>
    <row r="685" spans="1:26">
      <c r="A685" s="11">
        <v>43363</v>
      </c>
      <c r="B685" s="1">
        <v>-0.02414553426267418</v>
      </c>
      <c r="C685" s="1">
        <v>0.006133287627043682</v>
      </c>
      <c r="D685" s="1">
        <v>0.0006443654779033636</v>
      </c>
      <c r="E685" s="1">
        <v>0.01562489587190519</v>
      </c>
      <c r="F685" s="1">
        <v>0.01312962235795312</v>
      </c>
      <c r="G685" s="1">
        <v>0.003224788084924546</v>
      </c>
      <c r="H685" s="1">
        <v>0.004483954747324104</v>
      </c>
      <c r="I685" s="1">
        <v>0.01102457864020989</v>
      </c>
      <c r="J685" s="1">
        <v>0.01702308447498191</v>
      </c>
      <c r="K685" s="1">
        <v>0.01000044816466761</v>
      </c>
      <c r="L685" s="1">
        <v>0.008586906650046355</v>
      </c>
      <c r="M685" s="1">
        <v>-0.009665700179520509</v>
      </c>
      <c r="N685" s="1">
        <v>0.006791737344328919</v>
      </c>
      <c r="O685" s="1">
        <v>-0.002696405216830011</v>
      </c>
      <c r="P685" s="1">
        <v>0.01674131689810854</v>
      </c>
      <c r="Q685" s="1">
        <v>-0.01213788811094274</v>
      </c>
      <c r="R685" s="1">
        <v>0.01528346217812926</v>
      </c>
      <c r="S685" s="1">
        <v>0.004507636383998426</v>
      </c>
      <c r="T685" s="1">
        <v>0.006189247963767519</v>
      </c>
      <c r="U685" s="1">
        <v>0.002097869393006935</v>
      </c>
      <c r="V685" s="1">
        <v>0.002524160345388271</v>
      </c>
      <c r="W685" s="1">
        <v>0.005973450196916863</v>
      </c>
      <c r="X685" s="1">
        <v>-0.01296713510673764</v>
      </c>
      <c r="Y685" s="1">
        <v>0.008411281640670065</v>
      </c>
      <c r="Z685" s="1">
        <v>0.008064297170065293</v>
      </c>
    </row>
    <row r="686" spans="1:26">
      <c r="A686" s="11">
        <v>43364</v>
      </c>
      <c r="B686" s="1">
        <v>0.006349925486570429</v>
      </c>
      <c r="C686" s="1">
        <v>0.01298088766500549</v>
      </c>
      <c r="D686" s="1">
        <v>-0.004118995239746237</v>
      </c>
      <c r="E686" s="1">
        <v>0.008097188129799537</v>
      </c>
      <c r="F686" s="1">
        <v>0.002380252973531283</v>
      </c>
      <c r="G686" s="1">
        <v>0.001071331217758376</v>
      </c>
      <c r="H686" s="1">
        <v>-0.006696615309509046</v>
      </c>
      <c r="I686" s="1">
        <v>-0.008178076908500365</v>
      </c>
      <c r="J686" s="1">
        <v>0.005449384398171553</v>
      </c>
      <c r="K686" s="1">
        <v>-0.004042470095154238</v>
      </c>
      <c r="L686" s="1">
        <v>-0.006575223130885433</v>
      </c>
      <c r="M686" s="1">
        <v>0.02032001747795076</v>
      </c>
      <c r="N686" s="1">
        <v>0.004657948597097894</v>
      </c>
      <c r="O686" s="1">
        <v>0.01022734831306127</v>
      </c>
      <c r="P686" s="1">
        <v>0.006075588080280303</v>
      </c>
      <c r="Q686" s="1">
        <v>0.01268339499606763</v>
      </c>
      <c r="R686" s="1">
        <v>-0.002900007405961746</v>
      </c>
      <c r="S686" s="1">
        <v>-0.003852957101218579</v>
      </c>
      <c r="T686" s="1">
        <v>-0.016779061117975</v>
      </c>
      <c r="U686" s="1">
        <v>0.01016733740050624</v>
      </c>
      <c r="V686" s="1">
        <v>-0.00080122918601222</v>
      </c>
      <c r="W686" s="1">
        <v>0.004082642535470526</v>
      </c>
      <c r="X686" s="1">
        <v>0.01455012296423019</v>
      </c>
      <c r="Y686" s="1">
        <v>0.008711346342065607</v>
      </c>
      <c r="Z686" s="1">
        <v>0.001333171416056267</v>
      </c>
    </row>
    <row r="687" spans="1:26">
      <c r="A687" s="11">
        <v>43367</v>
      </c>
      <c r="B687" s="1">
        <v>0.03307248503338833</v>
      </c>
      <c r="C687" s="1">
        <v>-0.01139068651047637</v>
      </c>
      <c r="D687" s="1">
        <v>0.004911044686418231</v>
      </c>
      <c r="E687" s="1">
        <v>-0.01060244173096503</v>
      </c>
      <c r="F687" s="1">
        <v>-0.05989434481190337</v>
      </c>
      <c r="G687" s="1">
        <v>-0.007492063524683901</v>
      </c>
      <c r="H687" s="1">
        <v>-0.005493052827615807</v>
      </c>
      <c r="I687" s="1">
        <v>-0.008245396930683935</v>
      </c>
      <c r="J687" s="1">
        <v>0.001548879151780147</v>
      </c>
      <c r="K687" s="1">
        <v>-0.01948043241227027</v>
      </c>
      <c r="L687" s="1">
        <v>-0.009588090237139135</v>
      </c>
      <c r="M687" s="1">
        <v>-0.02681496507062286</v>
      </c>
      <c r="N687" s="1">
        <v>-0.02382085891823582</v>
      </c>
      <c r="O687" s="1">
        <v>-0.00674907004388825</v>
      </c>
      <c r="P687" s="1">
        <v>0.003588140577616583</v>
      </c>
      <c r="Q687" s="1">
        <v>-0.01017602063256839</v>
      </c>
      <c r="R687" s="1">
        <v>-0.02548503680912817</v>
      </c>
      <c r="S687" s="1">
        <v>-0.01126191361233997</v>
      </c>
      <c r="T687" s="1">
        <v>-0.007149481033389082</v>
      </c>
      <c r="U687" s="1">
        <v>0.003848502876103055</v>
      </c>
      <c r="V687" s="1">
        <v>-0.0008016526681313696</v>
      </c>
      <c r="W687" s="1">
        <v>-0.005503613555446818</v>
      </c>
      <c r="X687" s="1">
        <v>-0.006404830127376471</v>
      </c>
      <c r="Y687" s="1">
        <v>-0.01617027339736576</v>
      </c>
      <c r="Z687" s="1">
        <v>-0.01274505122011482</v>
      </c>
    </row>
    <row r="688" spans="1:26">
      <c r="A688" s="11">
        <v>43368</v>
      </c>
      <c r="B688" s="1">
        <v>0.006318290353153122</v>
      </c>
      <c r="C688" s="1">
        <v>-0.002065222340000616</v>
      </c>
      <c r="D688" s="1">
        <v>-0.003729477227604749</v>
      </c>
      <c r="E688" s="1">
        <v>0.003734181976807083</v>
      </c>
      <c r="F688" s="1">
        <v>-0.00645542624355111</v>
      </c>
      <c r="G688" s="1">
        <v>-0.006110847829018384</v>
      </c>
      <c r="H688" s="1">
        <v>-0.01933207119560776</v>
      </c>
      <c r="I688" s="1">
        <v>-0.001715801568075603</v>
      </c>
      <c r="J688" s="1">
        <v>-0.01198341135528769</v>
      </c>
      <c r="K688" s="1">
        <v>-0.01269329398276275</v>
      </c>
      <c r="L688" s="1">
        <v>-0.002827430560293887</v>
      </c>
      <c r="M688" s="1">
        <v>-0.006606644034330977</v>
      </c>
      <c r="N688" s="1">
        <v>-0.005732099147330749</v>
      </c>
      <c r="O688" s="1">
        <v>-0.01241806152095559</v>
      </c>
      <c r="P688" s="1">
        <v>-0.001918638818614093</v>
      </c>
      <c r="Q688" s="1">
        <v>-0.01581662693669572</v>
      </c>
      <c r="R688" s="1">
        <v>-0.01577612329970901</v>
      </c>
      <c r="S688" s="1">
        <v>0.002129208081327327</v>
      </c>
      <c r="T688" s="1">
        <v>-0.01071601290365565</v>
      </c>
      <c r="U688" s="1">
        <v>-0.004423576231071036</v>
      </c>
      <c r="V688" s="1">
        <v>0.0008022958307247752</v>
      </c>
      <c r="W688" s="1">
        <v>0.003882104662350505</v>
      </c>
      <c r="X688" s="1">
        <v>0.01317265373244991</v>
      </c>
      <c r="Y688" s="1">
        <v>-0.009151894595336607</v>
      </c>
      <c r="Z688" s="1">
        <v>-0.00173374376230806</v>
      </c>
    </row>
    <row r="689" spans="1:26">
      <c r="A689" s="11">
        <v>43369</v>
      </c>
      <c r="B689" s="1">
        <v>-0.01151088606784323</v>
      </c>
      <c r="C689" s="1">
        <v>-0.005990945663671976</v>
      </c>
      <c r="D689" s="1">
        <v>-0.007229814036335491</v>
      </c>
      <c r="E689" s="1">
        <v>-0.003235023594438169</v>
      </c>
      <c r="F689" s="1">
        <v>-0.0008472890455677451</v>
      </c>
      <c r="G689" s="1">
        <v>-0.01446653842050627</v>
      </c>
      <c r="H689" s="1">
        <v>-0.002048082512203009</v>
      </c>
      <c r="I689" s="1">
        <v>0.006808027783346438</v>
      </c>
      <c r="J689" s="1">
        <v>0.01604101361470689</v>
      </c>
      <c r="K689" s="1">
        <v>-0.002795074207406989</v>
      </c>
      <c r="L689" s="1">
        <v>-0.01177083835667858</v>
      </c>
      <c r="M689" s="1">
        <v>0.00713716472123016</v>
      </c>
      <c r="N689" s="1">
        <v>0.001647200917790581</v>
      </c>
      <c r="O689" s="1">
        <v>-0.007473065715421612</v>
      </c>
      <c r="P689" s="1">
        <v>-0.00410640342441515</v>
      </c>
      <c r="Q689" s="1">
        <v>-0.01325833389067577</v>
      </c>
      <c r="R689" s="1">
        <v>-0.006786736507552238</v>
      </c>
      <c r="S689" s="1">
        <v>-0.005979236768258622</v>
      </c>
      <c r="T689" s="1">
        <v>-0.0075605774244768</v>
      </c>
      <c r="U689" s="1">
        <v>-0.0121444696412486</v>
      </c>
      <c r="V689" s="1">
        <v>0.006643062753383999</v>
      </c>
      <c r="W689" s="1">
        <v>-0.0009872184998499511</v>
      </c>
      <c r="X689" s="1">
        <v>-0.01078836325084032</v>
      </c>
      <c r="Y689" s="1">
        <v>0.001696122579940118</v>
      </c>
      <c r="Z689" s="1">
        <v>-0.01640628112292275</v>
      </c>
    </row>
    <row r="690" spans="1:26">
      <c r="A690" s="11">
        <v>43370</v>
      </c>
      <c r="B690" s="1">
        <v>0.004234656157257266</v>
      </c>
      <c r="C690" s="1">
        <v>0.006465280848034993</v>
      </c>
      <c r="D690" s="1">
        <v>-0.003900903630773112</v>
      </c>
      <c r="E690" s="1">
        <v>0.005355589150634721</v>
      </c>
      <c r="F690" s="1">
        <v>-0.004240685813957645</v>
      </c>
      <c r="G690" s="1">
        <v>0.00623875995320522</v>
      </c>
      <c r="H690" s="1">
        <v>-0.05438673670666905</v>
      </c>
      <c r="I690" s="1">
        <v>-0.002704390886295149</v>
      </c>
      <c r="J690" s="1">
        <v>-0.01309229989383409</v>
      </c>
      <c r="K690" s="1">
        <v>-0.003643414929522248</v>
      </c>
      <c r="L690" s="1">
        <v>-0.004347106796289357</v>
      </c>
      <c r="M690" s="1">
        <v>0.009985393276153554</v>
      </c>
      <c r="N690" s="1">
        <v>-0.0006579580795593731</v>
      </c>
      <c r="O690" s="1">
        <v>-0.004063768065648232</v>
      </c>
      <c r="P690" s="1">
        <v>0.003772656400710561</v>
      </c>
      <c r="Q690" s="1">
        <v>0.008957585770035248</v>
      </c>
      <c r="R690" s="1">
        <v>0.00407071032693529</v>
      </c>
      <c r="S690" s="1">
        <v>-0.008252412525721398</v>
      </c>
      <c r="T690" s="1">
        <v>-0.005653562520613442</v>
      </c>
      <c r="U690" s="1">
        <v>0.002098795856972702</v>
      </c>
      <c r="V690" s="1">
        <v>-0.004323700586453816</v>
      </c>
      <c r="W690" s="1">
        <v>0.006053081899335844</v>
      </c>
      <c r="X690" s="1">
        <v>-0.0002801169054270636</v>
      </c>
      <c r="Y690" s="1">
        <v>0.008468379171316487</v>
      </c>
      <c r="Z690" s="1">
        <v>-0.01295123755469452</v>
      </c>
    </row>
    <row r="691" spans="1:26">
      <c r="A691" s="11">
        <v>43371</v>
      </c>
      <c r="B691" s="1">
        <v>0.005059820870892517</v>
      </c>
      <c r="C691" s="1">
        <v>0.01227579483369046</v>
      </c>
      <c r="D691" s="1">
        <v>0.006396897999339624</v>
      </c>
      <c r="E691" s="1">
        <v>0.002098238797569874</v>
      </c>
      <c r="F691" s="1">
        <v>0.005394406547306385</v>
      </c>
      <c r="G691" s="1">
        <v>0.008387801728767297</v>
      </c>
      <c r="H691" s="1">
        <v>-0.006239949817050672</v>
      </c>
      <c r="I691" s="1">
        <v>-0.005885050287757543</v>
      </c>
      <c r="J691" s="1">
        <v>0.005462439936021468</v>
      </c>
      <c r="K691" s="1">
        <v>-0.01547097522474339</v>
      </c>
      <c r="L691" s="1">
        <v>-0.01466985904205553</v>
      </c>
      <c r="M691" s="1">
        <v>-0.0041459709609597</v>
      </c>
      <c r="N691" s="1">
        <v>-0.007569482867248456</v>
      </c>
      <c r="O691" s="1">
        <v>-0.007320343342144153</v>
      </c>
      <c r="P691" s="1">
        <v>-0.0003497932826868055</v>
      </c>
      <c r="Q691" s="1">
        <v>0.005649629105731302</v>
      </c>
      <c r="R691" s="1">
        <v>-0.01259774226630572</v>
      </c>
      <c r="S691" s="1">
        <v>0.01072734483097393</v>
      </c>
      <c r="T691" s="1">
        <v>-0.0006805486498349111</v>
      </c>
      <c r="U691" s="1">
        <v>0.004787606633237296</v>
      </c>
      <c r="V691" s="1">
        <v>0.007999079676483944</v>
      </c>
      <c r="W691" s="1">
        <v>-0.0009823760724255726</v>
      </c>
      <c r="X691" s="1">
        <v>-0.0004191610956405523</v>
      </c>
      <c r="Y691" s="1">
        <v>-0.003731773870836563</v>
      </c>
      <c r="Z691" s="1">
        <v>-0.002982013032399089</v>
      </c>
    </row>
    <row r="692" spans="1:26">
      <c r="A692" s="11">
        <v>43374</v>
      </c>
      <c r="B692" s="1">
        <v>0.01447465427426287</v>
      </c>
      <c r="C692" s="1">
        <v>0.02793763507910141</v>
      </c>
      <c r="D692" s="1">
        <v>0.009209818923524793</v>
      </c>
      <c r="E692" s="1">
        <v>0.0003220721329451059</v>
      </c>
      <c r="F692" s="1">
        <v>0.003106472137014205</v>
      </c>
      <c r="G692" s="1">
        <v>-0.003978200409669008</v>
      </c>
      <c r="H692" s="1">
        <v>-0.007917076282682345</v>
      </c>
      <c r="I692" s="1">
        <v>0.00352589074401366</v>
      </c>
      <c r="J692" s="1">
        <v>-0.006596857154612112</v>
      </c>
      <c r="K692" s="1">
        <v>0.005142689289762581</v>
      </c>
      <c r="L692" s="1">
        <v>0.005849052386799558</v>
      </c>
      <c r="M692" s="1">
        <v>-0.01200968494065335</v>
      </c>
      <c r="N692" s="1">
        <v>0.0003319967917427835</v>
      </c>
      <c r="O692" s="1">
        <v>0.008462358574788276</v>
      </c>
      <c r="P692" s="1">
        <v>0.01084212584152522</v>
      </c>
      <c r="Q692" s="1">
        <v>-0.005216690117903044</v>
      </c>
      <c r="R692" s="1">
        <v>0.01187894459204997</v>
      </c>
      <c r="S692" s="1">
        <v>-0.0121015873735637</v>
      </c>
      <c r="T692" s="1">
        <v>0.003931891441720792</v>
      </c>
      <c r="U692" s="1">
        <v>-0.002680044771862122</v>
      </c>
      <c r="V692" s="1">
        <v>0.002947589887889457</v>
      </c>
      <c r="W692" s="1">
        <v>0.01814976198368701</v>
      </c>
      <c r="X692" s="1">
        <v>0.004197467110421682</v>
      </c>
      <c r="Y692" s="1">
        <v>0.008428276508502863</v>
      </c>
      <c r="Z692" s="1">
        <v>-0.01156542525311421</v>
      </c>
    </row>
    <row r="693" spans="1:26">
      <c r="A693" s="11">
        <v>43375</v>
      </c>
      <c r="B693" s="1">
        <v>0.003928712377870403</v>
      </c>
      <c r="C693" s="1">
        <v>0.01067249635163248</v>
      </c>
      <c r="D693" s="1">
        <v>-0.006427041873891537</v>
      </c>
      <c r="E693" s="1">
        <v>0.01127232490153562</v>
      </c>
      <c r="F693" s="1">
        <v>0.01047276697700905</v>
      </c>
      <c r="G693" s="1">
        <v>0.01343509318816372</v>
      </c>
      <c r="H693" s="1">
        <v>0.009906596759068131</v>
      </c>
      <c r="I693" s="1">
        <v>0.02624939045762908</v>
      </c>
      <c r="J693" s="1">
        <v>0.0187503684551833</v>
      </c>
      <c r="K693" s="1">
        <v>0.01108610323167247</v>
      </c>
      <c r="L693" s="1">
        <v>0.00414085506389128</v>
      </c>
      <c r="M693" s="1">
        <v>-0.008427814399216138</v>
      </c>
      <c r="N693" s="1">
        <v>0.01591221570238077</v>
      </c>
      <c r="O693" s="1">
        <v>0.001078902574395135</v>
      </c>
      <c r="P693" s="1">
        <v>-0.003978944535008799</v>
      </c>
      <c r="Q693" s="1">
        <v>0.01089169616391028</v>
      </c>
      <c r="R693" s="1">
        <v>0.009854762100252712</v>
      </c>
      <c r="S693" s="1">
        <v>0.005271556788024601</v>
      </c>
      <c r="T693" s="1">
        <v>-0.00656443744132551</v>
      </c>
      <c r="U693" s="1">
        <v>0.01283966902086786</v>
      </c>
      <c r="V693" s="1">
        <v>-0.02091105660568615</v>
      </c>
      <c r="W693" s="1">
        <v>-0.003058187633718457</v>
      </c>
      <c r="X693" s="1">
        <v>0.0006967252730729623</v>
      </c>
      <c r="Y693" s="1">
        <v>0.01077246711232216</v>
      </c>
      <c r="Z693" s="1">
        <v>-0.002824546611224665</v>
      </c>
    </row>
    <row r="694" spans="1:26">
      <c r="A694" s="11">
        <v>43376</v>
      </c>
      <c r="B694" s="1">
        <v>0.006797305781016671</v>
      </c>
      <c r="C694" s="1">
        <v>0.01534793057802375</v>
      </c>
      <c r="D694" s="1">
        <v>-0.01798124169017334</v>
      </c>
      <c r="E694" s="1">
        <v>-0.002388549784008154</v>
      </c>
      <c r="F694" s="1">
        <v>-0.01428572949104168</v>
      </c>
      <c r="G694" s="1">
        <v>-0.02113935059291672</v>
      </c>
      <c r="H694" s="1">
        <v>-0.005177155971475611</v>
      </c>
      <c r="I694" s="1">
        <v>0.02189639564331403</v>
      </c>
      <c r="J694" s="1">
        <v>-0.0007670642621288026</v>
      </c>
      <c r="K694" s="1">
        <v>0.00618475678472441</v>
      </c>
      <c r="L694" s="1">
        <v>0.009388500071126904</v>
      </c>
      <c r="M694" s="1">
        <v>0.008172496392774509</v>
      </c>
      <c r="N694" s="1">
        <v>-0.007015970588685638</v>
      </c>
      <c r="O694" s="1">
        <v>-0.0008383351553988838</v>
      </c>
      <c r="P694" s="1">
        <v>0.000173772703442987</v>
      </c>
      <c r="Q694" s="1">
        <v>-0.009976033904382176</v>
      </c>
      <c r="R694" s="1">
        <v>0.007893035711342256</v>
      </c>
      <c r="S694" s="1">
        <v>-0.01273477989970673</v>
      </c>
      <c r="T694" s="1">
        <v>-0.02596921286250353</v>
      </c>
      <c r="U694" s="1">
        <v>0</v>
      </c>
      <c r="V694" s="1">
        <v>-0.007503908297068596</v>
      </c>
      <c r="W694" s="1">
        <v>-0.001614437039661687</v>
      </c>
      <c r="X694" s="1">
        <v>-0.001531578146923507</v>
      </c>
      <c r="Y694" s="1">
        <v>-0.00238857061312947</v>
      </c>
      <c r="Z694" s="1">
        <v>0.02731169783806986</v>
      </c>
    </row>
    <row r="695" spans="1:26">
      <c r="A695" s="11">
        <v>43377</v>
      </c>
      <c r="B695" s="1">
        <v>-0.008183517912886518</v>
      </c>
      <c r="C695" s="1">
        <v>-0.005888382127319791</v>
      </c>
      <c r="D695" s="1">
        <v>-0.02186816490699883</v>
      </c>
      <c r="E695" s="1">
        <v>0.001767012689723124</v>
      </c>
      <c r="F695" s="1">
        <v>0.0005682620259512827</v>
      </c>
      <c r="G695" s="1">
        <v>-0.001464083823081719</v>
      </c>
      <c r="H695" s="1">
        <v>0.01862483920718572</v>
      </c>
      <c r="I695" s="1">
        <v>0.0006319316761695948</v>
      </c>
      <c r="J695" s="1">
        <v>0.01381425189299934</v>
      </c>
      <c r="K695" s="1">
        <v>0.01620578175042375</v>
      </c>
      <c r="L695" s="1">
        <v>0.009016100461963994</v>
      </c>
      <c r="M695" s="1">
        <v>-0.00162142837499657</v>
      </c>
      <c r="N695" s="1">
        <v>0.01511634784654015</v>
      </c>
      <c r="O695" s="1">
        <v>0.001917472985683899</v>
      </c>
      <c r="P695" s="1">
        <v>-0.02066541235259167</v>
      </c>
      <c r="Q695" s="1">
        <v>0.009673380190889258</v>
      </c>
      <c r="R695" s="1">
        <v>-0.004983305000013205</v>
      </c>
      <c r="S695" s="1">
        <v>0.0003541464684702067</v>
      </c>
      <c r="T695" s="1">
        <v>-0.006625719898614379</v>
      </c>
      <c r="U695" s="1">
        <v>0.00589614549117301</v>
      </c>
      <c r="V695" s="1">
        <v>-0.01314413284809934</v>
      </c>
      <c r="W695" s="1">
        <v>-0.01605013730280336</v>
      </c>
      <c r="X695" s="1">
        <v>-0.001534142463057608</v>
      </c>
      <c r="Y695" s="1">
        <v>0.01344613730231914</v>
      </c>
      <c r="Z695" s="1">
        <v>0.01476951721097608</v>
      </c>
    </row>
    <row r="696" spans="1:26">
      <c r="A696" s="11">
        <v>43378</v>
      </c>
      <c r="B696" s="1">
        <v>-0.01031343532164108</v>
      </c>
      <c r="C696" s="1">
        <v>-0.009025743619433091</v>
      </c>
      <c r="D696" s="1">
        <v>-0.0009428996452683913</v>
      </c>
      <c r="E696" s="1">
        <v>0.0008018686652022655</v>
      </c>
      <c r="F696" s="1">
        <v>-0.01846054494688354</v>
      </c>
      <c r="G696" s="1">
        <v>0.01649551112628322</v>
      </c>
      <c r="H696" s="1">
        <v>0.001075288532386587</v>
      </c>
      <c r="I696" s="1">
        <v>-0.01206499386123971</v>
      </c>
      <c r="J696" s="1">
        <v>-0.04087805591765514</v>
      </c>
      <c r="K696" s="1">
        <v>-0.001649430364011883</v>
      </c>
      <c r="L696" s="1">
        <v>-0.005638965860153</v>
      </c>
      <c r="M696" s="1">
        <v>-0.008606755611772154</v>
      </c>
      <c r="N696" s="1">
        <v>0.004694253444795349</v>
      </c>
      <c r="O696" s="1">
        <v>-0.005023864480881657</v>
      </c>
      <c r="P696" s="1">
        <v>-0.005851419452561069</v>
      </c>
      <c r="Q696" s="1">
        <v>-0.003193633202190349</v>
      </c>
      <c r="R696" s="1">
        <v>-0.02718939353554739</v>
      </c>
      <c r="S696" s="1">
        <v>0.006320689172476746</v>
      </c>
      <c r="T696" s="1">
        <v>0.006077959785033782</v>
      </c>
      <c r="U696" s="1">
        <v>-0.00381015317385891</v>
      </c>
      <c r="V696" s="1">
        <v>-0.003771792522675677</v>
      </c>
      <c r="W696" s="1">
        <v>-0.01105288423560791</v>
      </c>
      <c r="X696" s="1">
        <v>-0.007681421778957032</v>
      </c>
      <c r="Y696" s="1">
        <v>-0.001453610742064515</v>
      </c>
      <c r="Z696" s="1">
        <v>-0.006986308914245232</v>
      </c>
    </row>
    <row r="697" spans="1:26">
      <c r="A697" s="11">
        <v>43381</v>
      </c>
      <c r="B697" s="1">
        <v>0.000416875793451732</v>
      </c>
      <c r="C697" s="1">
        <v>-0.001811352240126851</v>
      </c>
      <c r="D697" s="1">
        <v>-0.01145869052901205</v>
      </c>
      <c r="E697" s="1">
        <v>0.00785132192810023</v>
      </c>
      <c r="F697" s="1">
        <v>0.01793988807122426</v>
      </c>
      <c r="G697" s="1">
        <v>0.007933618652780527</v>
      </c>
      <c r="H697" s="1">
        <v>0.02739716010627413</v>
      </c>
      <c r="I697" s="1">
        <v>-0.01649608653681878</v>
      </c>
      <c r="J697" s="1">
        <v>-0.01302281650462966</v>
      </c>
      <c r="K697" s="1">
        <v>0.005507309009033623</v>
      </c>
      <c r="L697" s="1">
        <v>0.006107037899744761</v>
      </c>
      <c r="M697" s="1">
        <v>-0.007043244558866291</v>
      </c>
      <c r="N697" s="1">
        <v>0.01772220939712965</v>
      </c>
      <c r="O697" s="1">
        <v>0.004207464804000249</v>
      </c>
      <c r="P697" s="1">
        <v>-0.01141510829035908</v>
      </c>
      <c r="Q697" s="1">
        <v>0.003203865172380249</v>
      </c>
      <c r="R697" s="1">
        <v>0.002206519140708796</v>
      </c>
      <c r="S697" s="1">
        <v>0.01095400396697399</v>
      </c>
      <c r="T697" s="1">
        <v>0.001380855168680695</v>
      </c>
      <c r="U697" s="1">
        <v>0.003530441235241488</v>
      </c>
      <c r="V697" s="1">
        <v>0.01041167193160519</v>
      </c>
      <c r="W697" s="1">
        <v>-0.004279186833359039</v>
      </c>
      <c r="X697" s="1">
        <v>0.009148237091250788</v>
      </c>
      <c r="Y697" s="1">
        <v>0.001455726802181756</v>
      </c>
      <c r="Z697" s="1">
        <v>0.01797920932124875</v>
      </c>
    </row>
    <row r="698" spans="1:26">
      <c r="A698" s="11">
        <v>43382</v>
      </c>
      <c r="B698" s="1">
        <v>0.02708327431037572</v>
      </c>
      <c r="C698" s="1">
        <v>-0.0008554248567864686</v>
      </c>
      <c r="D698" s="1">
        <v>-0.004772875034655621</v>
      </c>
      <c r="E698" s="1">
        <v>0.00524625769330922</v>
      </c>
      <c r="F698" s="1">
        <v>0.007390657505548237</v>
      </c>
      <c r="G698" s="1">
        <v>0.006440088669617428</v>
      </c>
      <c r="H698" s="1">
        <v>-0.01908459969538168</v>
      </c>
      <c r="I698" s="1">
        <v>-0.02190882234606073</v>
      </c>
      <c r="J698" s="1">
        <v>-0.001599357417336966</v>
      </c>
      <c r="K698" s="1">
        <v>-0.04108401461896383</v>
      </c>
      <c r="L698" s="1">
        <v>-0.006937188355575552</v>
      </c>
      <c r="M698" s="1">
        <v>-0.01864068952216447</v>
      </c>
      <c r="N698" s="1">
        <v>-0.001108105042814778</v>
      </c>
      <c r="O698" s="1">
        <v>-0.00299247092180166</v>
      </c>
      <c r="P698" s="1">
        <v>0.01271973506443924</v>
      </c>
      <c r="Q698" s="1">
        <v>-0.002395200252564345</v>
      </c>
      <c r="R698" s="1">
        <v>-0.02597966971893506</v>
      </c>
      <c r="S698" s="1">
        <v>-0.001242039486272994</v>
      </c>
      <c r="T698" s="1">
        <v>-0.04028864174656466</v>
      </c>
      <c r="U698" s="1">
        <v>0.00155457841748996</v>
      </c>
      <c r="V698" s="1">
        <v>0.003044688872360091</v>
      </c>
      <c r="W698" s="1">
        <v>0.001293469498198752</v>
      </c>
      <c r="X698" s="1">
        <v>-0.01910710793617931</v>
      </c>
      <c r="Y698" s="1">
        <v>0.01052997783054477</v>
      </c>
      <c r="Z698" s="1">
        <v>-0.008062942998959155</v>
      </c>
    </row>
    <row r="699" spans="1:26">
      <c r="A699" s="11">
        <v>43383</v>
      </c>
      <c r="B699" s="1">
        <v>-0.05882345617005202</v>
      </c>
      <c r="C699" s="1">
        <v>-0.04662197305973848</v>
      </c>
      <c r="D699" s="1">
        <v>-0.02452695654115555</v>
      </c>
      <c r="E699" s="1">
        <v>-0.03890546984269982</v>
      </c>
      <c r="F699" s="1">
        <v>-0.03273140835805366</v>
      </c>
      <c r="G699" s="1">
        <v>-0.008887185441049938</v>
      </c>
      <c r="H699" s="1">
        <v>0.005330329878987738</v>
      </c>
      <c r="I699" s="1">
        <v>-0.0198738491530589</v>
      </c>
      <c r="J699" s="1">
        <v>-0.02843412118921951</v>
      </c>
      <c r="K699" s="1">
        <v>-0.02285064500419098</v>
      </c>
      <c r="L699" s="1">
        <v>-0.02663284378952702</v>
      </c>
      <c r="M699" s="1">
        <v>-0.03630855471189187</v>
      </c>
      <c r="N699" s="1">
        <v>-0.003011129525406941</v>
      </c>
      <c r="O699" s="1">
        <v>-0.0217825589775843</v>
      </c>
      <c r="P699" s="1">
        <v>-0.05433809809315393</v>
      </c>
      <c r="Q699" s="1">
        <v>0.003601574766106674</v>
      </c>
      <c r="R699" s="1">
        <v>-0.03782414535324663</v>
      </c>
      <c r="S699" s="1">
        <v>-0.01124755275041989</v>
      </c>
      <c r="T699" s="1">
        <v>-0.02340306504882506</v>
      </c>
      <c r="U699" s="1">
        <v>-0.01940277994722328</v>
      </c>
      <c r="V699" s="1">
        <v>-0.005370096947465708</v>
      </c>
      <c r="W699" s="1">
        <v>-0.0387964525408101</v>
      </c>
      <c r="X699" s="1">
        <v>-0.04194504756195006</v>
      </c>
      <c r="Y699" s="1">
        <v>-0.01200213512939163</v>
      </c>
      <c r="Z699" s="1">
        <v>-0.01645044997985456</v>
      </c>
    </row>
    <row r="700" spans="1:26">
      <c r="A700" s="11">
        <v>43384</v>
      </c>
      <c r="B700" s="1">
        <v>-0.03814663846454835</v>
      </c>
      <c r="C700" s="1">
        <v>-0.02547157256108401</v>
      </c>
      <c r="D700" s="1">
        <v>-0.01432801948496076</v>
      </c>
      <c r="E700" s="1">
        <v>-0.05380946002748999</v>
      </c>
      <c r="F700" s="1">
        <v>-0.01779467173721927</v>
      </c>
      <c r="G700" s="1">
        <v>-0.02618367658089626</v>
      </c>
      <c r="H700" s="1">
        <v>-0.006154253703859247</v>
      </c>
      <c r="I700" s="1">
        <v>-0.006713340644329935</v>
      </c>
      <c r="J700" s="1">
        <v>-0.05152531407215122</v>
      </c>
      <c r="K700" s="1">
        <v>-0.01403109669147262</v>
      </c>
      <c r="L700" s="1">
        <v>-0.02996303872993777</v>
      </c>
      <c r="M700" s="1">
        <v>-0.005232926086342959</v>
      </c>
      <c r="N700" s="1">
        <v>-0.02845300195551981</v>
      </c>
      <c r="O700" s="1">
        <v>-0.01751804381056854</v>
      </c>
      <c r="P700" s="1">
        <v>-0.002355017854770991</v>
      </c>
      <c r="Q700" s="1">
        <v>-0.01714537818891404</v>
      </c>
      <c r="R700" s="1">
        <v>-0.01566164235541789</v>
      </c>
      <c r="S700" s="1">
        <v>-0.01509958302192782</v>
      </c>
      <c r="T700" s="1">
        <v>-0.01825002866537007</v>
      </c>
      <c r="U700" s="1">
        <v>-0.03348570213670676</v>
      </c>
      <c r="V700" s="1">
        <v>-0.02816908046356215</v>
      </c>
      <c r="W700" s="1">
        <v>-0.01981276928965325</v>
      </c>
      <c r="X700" s="1">
        <v>-0.03428332624810271</v>
      </c>
      <c r="Y700" s="1">
        <v>-0.01840608874402871</v>
      </c>
      <c r="Z700" s="1">
        <v>-0.03227076250192207</v>
      </c>
    </row>
    <row r="701" spans="1:26">
      <c r="A701" s="11">
        <v>43385</v>
      </c>
      <c r="B701" s="1">
        <v>0.0112034389107718</v>
      </c>
      <c r="C701" s="1">
        <v>0.005584840402357294</v>
      </c>
      <c r="D701" s="1">
        <v>0.01539107983264221</v>
      </c>
      <c r="E701" s="1">
        <v>0.0001737851711878236</v>
      </c>
      <c r="F701" s="1">
        <v>0.02821482771143646</v>
      </c>
      <c r="G701" s="1">
        <v>0.006998053434328355</v>
      </c>
      <c r="H701" s="1">
        <v>-0.001077395789552793</v>
      </c>
      <c r="I701" s="1">
        <v>0.01331316710277419</v>
      </c>
      <c r="J701" s="1">
        <v>0.02868313537904177</v>
      </c>
      <c r="K701" s="1">
        <v>-0.02282829591528024</v>
      </c>
      <c r="L701" s="1">
        <v>-0.0109129775113358</v>
      </c>
      <c r="M701" s="1">
        <v>0.006137195926728678</v>
      </c>
      <c r="N701" s="1">
        <v>-0.01734338116353817</v>
      </c>
      <c r="O701" s="1">
        <v>-0.0007532955039272204</v>
      </c>
      <c r="P701" s="1">
        <v>0.0345578333986325</v>
      </c>
      <c r="Q701" s="1">
        <v>-0.01379301776319453</v>
      </c>
      <c r="R701" s="1">
        <v>-0.01145598187510943</v>
      </c>
      <c r="S701" s="1">
        <v>0.00597893356072321</v>
      </c>
      <c r="T701" s="1">
        <v>-0.0006141594367560232</v>
      </c>
      <c r="U701" s="1">
        <v>0.01574804816097419</v>
      </c>
      <c r="V701" s="1">
        <v>0.02185967061140426</v>
      </c>
      <c r="W701" s="1">
        <v>0.02353049249537631</v>
      </c>
      <c r="X701" s="1">
        <v>0</v>
      </c>
      <c r="Y701" s="1">
        <v>0.007500446074401923</v>
      </c>
      <c r="Z701" s="1">
        <v>-0.01952013936514529</v>
      </c>
    </row>
    <row r="702" spans="1:26">
      <c r="A702" s="11">
        <v>43388</v>
      </c>
      <c r="B702" s="1">
        <v>-0.01240891789812282</v>
      </c>
      <c r="C702" s="1">
        <v>-0.003415546937419744</v>
      </c>
      <c r="D702" s="1">
        <v>-0.005333244947369309</v>
      </c>
      <c r="E702" s="1">
        <v>0.001739075492497966</v>
      </c>
      <c r="F702" s="1">
        <v>0.01357607639194525</v>
      </c>
      <c r="G702" s="1">
        <v>0.007681234728458497</v>
      </c>
      <c r="H702" s="1">
        <v>0.01886811525378329</v>
      </c>
      <c r="I702" s="1">
        <v>0.0002019232120464842</v>
      </c>
      <c r="J702" s="1">
        <v>-0.004646957665267348</v>
      </c>
      <c r="K702" s="1">
        <v>0.005764640657724085</v>
      </c>
      <c r="L702" s="1">
        <v>-0.005703498873130264</v>
      </c>
      <c r="M702" s="1">
        <v>0.005228218337385959</v>
      </c>
      <c r="N702" s="1">
        <v>0.02297712921615069</v>
      </c>
      <c r="O702" s="1">
        <v>-0.007288439569495209</v>
      </c>
      <c r="P702" s="1">
        <v>-0.01797957022236818</v>
      </c>
      <c r="Q702" s="1">
        <v>0.0180997143888213</v>
      </c>
      <c r="R702" s="1">
        <v>-0.0006437912584913441</v>
      </c>
      <c r="S702" s="1">
        <v>0.007213789028280182</v>
      </c>
      <c r="T702" s="1">
        <v>-0.01147498031306693</v>
      </c>
      <c r="U702" s="1">
        <v>0.003410903316380498</v>
      </c>
      <c r="V702" s="1">
        <v>-0.0001179664882517972</v>
      </c>
      <c r="W702" s="1">
        <v>-0.01430364123190697</v>
      </c>
      <c r="X702" s="1">
        <v>0.0113721346806277</v>
      </c>
      <c r="Y702" s="1">
        <v>-0.002419765832078924</v>
      </c>
      <c r="Z702" s="1">
        <v>-0.00456214790850018</v>
      </c>
    </row>
    <row r="703" spans="1:26">
      <c r="A703" s="11">
        <v>43389</v>
      </c>
      <c r="B703" s="1">
        <v>-0.001345993832901016</v>
      </c>
      <c r="C703" s="1">
        <v>0.0261090327626492</v>
      </c>
      <c r="D703" s="1">
        <v>0.01255795386364933</v>
      </c>
      <c r="E703" s="1">
        <v>0.003818571403997106</v>
      </c>
      <c r="F703" s="1">
        <v>0.02593335953411513</v>
      </c>
      <c r="G703" s="1">
        <v>0.007259304084298313</v>
      </c>
      <c r="H703" s="1">
        <v>0.01587298890722133</v>
      </c>
      <c r="I703" s="1">
        <v>0.02364477626000627</v>
      </c>
      <c r="J703" s="1">
        <v>0.01697757464111449</v>
      </c>
      <c r="K703" s="1">
        <v>0.02533926197333747</v>
      </c>
      <c r="L703" s="1">
        <v>0.02144068535679367</v>
      </c>
      <c r="M703" s="1">
        <v>0.02184447193563921</v>
      </c>
      <c r="N703" s="1">
        <v>-0.01090508476121865</v>
      </c>
      <c r="O703" s="1">
        <v>0.01683575044989438</v>
      </c>
      <c r="P703" s="1">
        <v>0.03159857351614659</v>
      </c>
      <c r="Q703" s="1">
        <v>0.01656547319138801</v>
      </c>
      <c r="R703" s="1">
        <v>0.01368931484867941</v>
      </c>
      <c r="S703" s="1">
        <v>0.004236578918491274</v>
      </c>
      <c r="T703" s="1">
        <v>0.03139429999655241</v>
      </c>
      <c r="U703" s="1">
        <v>0.0009274130020289206</v>
      </c>
      <c r="V703" s="1">
        <v>0.01430252504060658</v>
      </c>
      <c r="W703" s="1">
        <v>0.03090758069829302</v>
      </c>
      <c r="X703" s="1">
        <v>0.01443582665622967</v>
      </c>
      <c r="Y703" s="1">
        <v>0.00186583110788674</v>
      </c>
      <c r="Z703" s="1">
        <v>0.003541664168703385</v>
      </c>
    </row>
    <row r="704" spans="1:26">
      <c r="A704" s="11">
        <v>43390</v>
      </c>
      <c r="B704" s="1">
        <v>-0.02763446599063035</v>
      </c>
      <c r="C704" s="1">
        <v>-0.007467833097186127</v>
      </c>
      <c r="D704" s="1">
        <v>0.009475719095971336</v>
      </c>
      <c r="E704" s="1">
        <v>0.01850256044090903</v>
      </c>
      <c r="F704" s="1">
        <v>0.01111099930597148</v>
      </c>
      <c r="G704" s="1">
        <v>-0.006846918160291038</v>
      </c>
      <c r="H704" s="1">
        <v>-0.05416668757042475</v>
      </c>
      <c r="I704" s="1">
        <v>-0.002105846993644134</v>
      </c>
      <c r="J704" s="1">
        <v>-0.003756307798104763</v>
      </c>
      <c r="K704" s="1">
        <v>-0.003824897702178531</v>
      </c>
      <c r="L704" s="1">
        <v>0.01113973662180179</v>
      </c>
      <c r="M704" s="1">
        <v>0.004411521989475808</v>
      </c>
      <c r="N704" s="1">
        <v>-0.002468074131192655</v>
      </c>
      <c r="O704" s="1">
        <v>0.007220065257802943</v>
      </c>
      <c r="P704" s="1">
        <v>-0.002612721406607843</v>
      </c>
      <c r="Q704" s="1">
        <v>-0.005166928048011443</v>
      </c>
      <c r="R704" s="1">
        <v>-0.01906537534177422</v>
      </c>
      <c r="S704" s="1">
        <v>-0.004921947720103459</v>
      </c>
      <c r="T704" s="1">
        <v>-0.01026656501152279</v>
      </c>
      <c r="U704" s="1">
        <v>0.005556912984059137</v>
      </c>
      <c r="V704" s="1">
        <v>-0.01619889456719292</v>
      </c>
      <c r="W704" s="1">
        <v>-0.00212631125677154</v>
      </c>
      <c r="X704" s="1">
        <v>-0.029658961603232</v>
      </c>
      <c r="Y704" s="1">
        <v>0.004841907254329314</v>
      </c>
      <c r="Z704" s="1">
        <v>0.005605011200134458</v>
      </c>
    </row>
    <row r="705" spans="1:26">
      <c r="A705" s="11">
        <v>43391</v>
      </c>
      <c r="B705" s="1">
        <v>-0.0219498898256073</v>
      </c>
      <c r="C705" s="1">
        <v>-0.01682614927136727</v>
      </c>
      <c r="D705" s="1">
        <v>-0.02719427938636187</v>
      </c>
      <c r="E705" s="1">
        <v>-0.04957546950732727</v>
      </c>
      <c r="F705" s="1">
        <v>-0.01263729602632979</v>
      </c>
      <c r="G705" s="1">
        <v>0.007257107663324547</v>
      </c>
      <c r="H705" s="1">
        <v>0.009636412422270313</v>
      </c>
      <c r="I705" s="1">
        <v>-0.029280033172989</v>
      </c>
      <c r="J705" s="1">
        <v>-0.004189246756983844</v>
      </c>
      <c r="K705" s="1">
        <v>-0.01978708851659505</v>
      </c>
      <c r="L705" s="1">
        <v>-0.01584280263902127</v>
      </c>
      <c r="M705" s="1">
        <v>-0.02094585718119013</v>
      </c>
      <c r="N705" s="1">
        <v>0.005113568424390813</v>
      </c>
      <c r="O705" s="1">
        <v>-0.01062926226393568</v>
      </c>
      <c r="P705" s="1">
        <v>-0.01996199806082166</v>
      </c>
      <c r="Q705" s="1">
        <v>0.008390047668953793</v>
      </c>
      <c r="R705" s="1">
        <v>-0.02267559572705347</v>
      </c>
      <c r="S705" s="1">
        <v>5.031214896322744E-05</v>
      </c>
      <c r="T705" s="1">
        <v>-0.009375067180126928</v>
      </c>
      <c r="U705" s="1">
        <v>-0.002148946361396398</v>
      </c>
      <c r="V705" s="1">
        <v>-0.01255603563086971</v>
      </c>
      <c r="W705" s="1">
        <v>-0.02105272251009704</v>
      </c>
      <c r="X705" s="1">
        <v>-0.1125343085329811</v>
      </c>
      <c r="Y705" s="1">
        <v>0.01278708489493918</v>
      </c>
      <c r="Z705" s="1">
        <v>-0.02250238906591362</v>
      </c>
    </row>
    <row r="706" spans="1:26">
      <c r="A706" s="11">
        <v>43392</v>
      </c>
      <c r="B706" s="1">
        <v>0.0004749723695030017</v>
      </c>
      <c r="C706" s="1">
        <v>-0.008598850518903078</v>
      </c>
      <c r="D706" s="1">
        <v>-0.01433269852976227</v>
      </c>
      <c r="E706" s="1">
        <v>-0.03001059497941261</v>
      </c>
      <c r="F706" s="1">
        <v>0.00111308882359995</v>
      </c>
      <c r="G706" s="1">
        <v>0.01296815992853451</v>
      </c>
      <c r="H706" s="1">
        <v>0.0343605662050841</v>
      </c>
      <c r="I706" s="1">
        <v>-0.008763835549107868</v>
      </c>
      <c r="J706" s="1">
        <v>0.002944937312573392</v>
      </c>
      <c r="K706" s="1">
        <v>-0.007833640142987375</v>
      </c>
      <c r="L706" s="1">
        <v>-0.001665182400928722</v>
      </c>
      <c r="M706" s="1">
        <v>0.002932990302431326</v>
      </c>
      <c r="N706" s="1">
        <v>0.01674069491728614</v>
      </c>
      <c r="O706" s="1">
        <v>0.005121698776842987</v>
      </c>
      <c r="P706" s="1">
        <v>0.001474702752259471</v>
      </c>
      <c r="Q706" s="1">
        <v>0.00633898851740855</v>
      </c>
      <c r="R706" s="1">
        <v>-0.001823138814818326</v>
      </c>
      <c r="S706" s="1">
        <v>0.009185938045254582</v>
      </c>
      <c r="T706" s="1">
        <v>-0.008455445788743354</v>
      </c>
      <c r="U706" s="1">
        <v>0.0113842835832263</v>
      </c>
      <c r="V706" s="1">
        <v>-0.01607470847466375</v>
      </c>
      <c r="W706" s="1">
        <v>-0.01114446369635735</v>
      </c>
      <c r="X706" s="1">
        <v>-0.01287173961997734</v>
      </c>
      <c r="Y706" s="1">
        <v>0.004574686519364102</v>
      </c>
      <c r="Z706" s="1">
        <v>-0.008025224198918379</v>
      </c>
    </row>
    <row r="707" spans="1:26">
      <c r="A707" s="11">
        <v>43395</v>
      </c>
      <c r="B707" s="1">
        <v>-0.01923940153796577</v>
      </c>
      <c r="C707" s="1">
        <v>-0.0007859979534827755</v>
      </c>
      <c r="D707" s="1">
        <v>-0.006334331909582769</v>
      </c>
      <c r="E707" s="1">
        <v>-0.06298368180047997</v>
      </c>
      <c r="F707" s="1">
        <v>-0.006392792568001071</v>
      </c>
      <c r="G707" s="1">
        <v>-0.01102412167307654</v>
      </c>
      <c r="H707" s="1">
        <v>0.0005275458863340798</v>
      </c>
      <c r="I707" s="1">
        <v>-0.003220851725409424</v>
      </c>
      <c r="J707" s="1">
        <v>0.01132575126862778</v>
      </c>
      <c r="K707" s="1">
        <v>-0.008199489536217519</v>
      </c>
      <c r="L707" s="1">
        <v>-0.01436389410038486</v>
      </c>
      <c r="M707" s="1">
        <v>-0.004472846247278062</v>
      </c>
      <c r="N707" s="1">
        <v>-0.01033089290143396</v>
      </c>
      <c r="O707" s="1">
        <v>-0.001491128880928727</v>
      </c>
      <c r="P707" s="1">
        <v>0.008926883876712477</v>
      </c>
      <c r="Q707" s="1">
        <v>-0.0086611573076667</v>
      </c>
      <c r="R707" s="1">
        <v>0.004482482812027344</v>
      </c>
      <c r="S707" s="1">
        <v>-0.01695370016974973</v>
      </c>
      <c r="T707" s="1">
        <v>0.0009417749238405104</v>
      </c>
      <c r="U707" s="1">
        <v>-0.00608431827667566</v>
      </c>
      <c r="V707" s="1">
        <v>0.01475265489273547</v>
      </c>
      <c r="W707" s="1">
        <v>-0.006075517971748434</v>
      </c>
      <c r="X707" s="1">
        <v>-0.008634489248469324</v>
      </c>
      <c r="Y707" s="1">
        <v>0.001456997627196754</v>
      </c>
      <c r="Z707" s="1">
        <v>-0.03449011270267233</v>
      </c>
    </row>
    <row r="708" spans="1:26">
      <c r="A708" s="11">
        <v>43396</v>
      </c>
      <c r="B708" s="1">
        <v>-0.03657085054485731</v>
      </c>
      <c r="C708" s="1">
        <v>-0.01665818302906719</v>
      </c>
      <c r="D708" s="1">
        <v>-0.004201830005548413</v>
      </c>
      <c r="E708" s="1">
        <v>-0.00452056608013196</v>
      </c>
      <c r="F708" s="1">
        <v>-0.002796803410300308</v>
      </c>
      <c r="G708" s="1">
        <v>-0.005034566796732531</v>
      </c>
      <c r="H708" s="1">
        <v>0.001844692512216195</v>
      </c>
      <c r="I708" s="1">
        <v>-0.03994799705191243</v>
      </c>
      <c r="J708" s="1">
        <v>-0.007050950592742966</v>
      </c>
      <c r="K708" s="1">
        <v>-0.002449269781572783</v>
      </c>
      <c r="L708" s="1">
        <v>-0.01043572278505234</v>
      </c>
      <c r="M708" s="1">
        <v>-0.006739267177147679</v>
      </c>
      <c r="N708" s="1">
        <v>0.008807425090109788</v>
      </c>
      <c r="O708" s="1">
        <v>-0.003112033195020736</v>
      </c>
      <c r="P708" s="1">
        <v>-0.01395597016165184</v>
      </c>
      <c r="Q708" s="1">
        <v>0.00476537331422322</v>
      </c>
      <c r="R708" s="1">
        <v>-0.051239179002742</v>
      </c>
      <c r="S708" s="1">
        <v>0.005341603926076743</v>
      </c>
      <c r="T708" s="1">
        <v>-0.004482682298122209</v>
      </c>
      <c r="U708" s="1">
        <v>0.01071303525781109</v>
      </c>
      <c r="V708" s="1">
        <v>-0.006728634228654329</v>
      </c>
      <c r="W708" s="1">
        <v>-0.0108071650146262</v>
      </c>
      <c r="X708" s="1">
        <v>-0.01830784497147908</v>
      </c>
      <c r="Y708" s="1">
        <v>0.04056029645663806</v>
      </c>
      <c r="Z708" s="1">
        <v>0.04035281057377071</v>
      </c>
    </row>
    <row r="709" spans="1:26">
      <c r="A709" s="11">
        <v>43397</v>
      </c>
      <c r="B709" s="1">
        <v>-0.04550028030361764</v>
      </c>
      <c r="C709" s="1">
        <v>0.01314094830465073</v>
      </c>
      <c r="D709" s="1">
        <v>-0.01804153464429192</v>
      </c>
      <c r="E709" s="1">
        <v>-0.03593224249374782</v>
      </c>
      <c r="F709" s="1">
        <v>-0.04291764341398141</v>
      </c>
      <c r="G709" s="1">
        <v>0.00867408495030908</v>
      </c>
      <c r="H709" s="1">
        <v>0.009994438413537088</v>
      </c>
      <c r="I709" s="1">
        <v>-0.04110848983833704</v>
      </c>
      <c r="J709" s="1">
        <v>-0.03675870487286836</v>
      </c>
      <c r="K709" s="1">
        <v>-0.03713942021818839</v>
      </c>
      <c r="L709" s="1">
        <v>-0.01862276853065215</v>
      </c>
      <c r="M709" s="1">
        <v>-0.05027825266196018</v>
      </c>
      <c r="N709" s="1">
        <v>0.007437308220273886</v>
      </c>
      <c r="O709" s="1">
        <v>-0.03633390655747482</v>
      </c>
      <c r="P709" s="1">
        <v>-0.05346916899891208</v>
      </c>
      <c r="Q709" s="1">
        <v>0.03517800942189497</v>
      </c>
      <c r="R709" s="1">
        <v>-0.04268314282616181</v>
      </c>
      <c r="S709" s="1">
        <v>0.01563594549652114</v>
      </c>
      <c r="T709" s="1">
        <v>-0.03495477707781847</v>
      </c>
      <c r="U709" s="1">
        <v>-0.08055739402257001</v>
      </c>
      <c r="V709" s="1">
        <v>-0.004838411421787314</v>
      </c>
      <c r="W709" s="1">
        <v>-0.01240334941331367</v>
      </c>
      <c r="X709" s="1">
        <v>-0.04218733055583901</v>
      </c>
      <c r="Y709" s="1">
        <v>0.003670434554573943</v>
      </c>
      <c r="Z709" s="1">
        <v>-0.03306467972150551</v>
      </c>
    </row>
    <row r="710" spans="1:26">
      <c r="A710" s="11">
        <v>43398</v>
      </c>
      <c r="B710" s="1">
        <v>0.004740741161973316</v>
      </c>
      <c r="C710" s="1">
        <v>0.02571548038984561</v>
      </c>
      <c r="D710" s="1">
        <v>0.005185619455986057</v>
      </c>
      <c r="E710" s="1">
        <v>0.007781449673419205</v>
      </c>
      <c r="F710" s="1">
        <v>0.05041069227632122</v>
      </c>
      <c r="G710" s="1">
        <v>-0.00573279415731931</v>
      </c>
      <c r="H710" s="1">
        <v>-0.01171861334168145</v>
      </c>
      <c r="I710" s="1">
        <v>0.02158475338933874</v>
      </c>
      <c r="J710" s="1">
        <v>0.03165643742600843</v>
      </c>
      <c r="K710" s="1">
        <v>0.02327052131830198</v>
      </c>
      <c r="L710" s="1">
        <v>0.01519988543935891</v>
      </c>
      <c r="M710" s="1">
        <v>-0.08573005261993916</v>
      </c>
      <c r="N710" s="1">
        <v>0.01364151904277167</v>
      </c>
      <c r="O710" s="1">
        <v>0.05882356920624843</v>
      </c>
      <c r="P710" s="1">
        <v>0.05844419758424246</v>
      </c>
      <c r="Q710" s="1">
        <v>-0.01030900224218634</v>
      </c>
      <c r="R710" s="1">
        <v>0.00491340476303459</v>
      </c>
      <c r="S710" s="1">
        <v>0.005082006470424005</v>
      </c>
      <c r="T710" s="1">
        <v>-0.05130203112976339</v>
      </c>
      <c r="U710" s="1">
        <v>-0.01251616900601549</v>
      </c>
      <c r="V710" s="1">
        <v>0.01896198990960718</v>
      </c>
      <c r="W710" s="1">
        <v>0.04366175048689214</v>
      </c>
      <c r="X710" s="1">
        <v>0.01379981639879357</v>
      </c>
      <c r="Y710" s="1">
        <v>-0.01724126629190792</v>
      </c>
      <c r="Z710" s="1">
        <v>0.03353768685731695</v>
      </c>
    </row>
    <row r="711" spans="1:26">
      <c r="A711" s="11">
        <v>43399</v>
      </c>
      <c r="B711" s="1">
        <v>-0.01992166210836821</v>
      </c>
      <c r="C711" s="1">
        <v>-0.01237046052956259</v>
      </c>
      <c r="D711" s="1">
        <v>-0.01090759151156495</v>
      </c>
      <c r="E711" s="1">
        <v>0.02479184112881971</v>
      </c>
      <c r="F711" s="1">
        <v>-0.01674114913034441</v>
      </c>
      <c r="G711" s="1">
        <v>-0.02090090919171217</v>
      </c>
      <c r="H711" s="1">
        <v>-0.0321476961513788</v>
      </c>
      <c r="I711" s="1">
        <v>-0.02763534681109725</v>
      </c>
      <c r="J711" s="1">
        <v>-0.0277428098255047</v>
      </c>
      <c r="K711" s="1">
        <v>-0.02429900219712144</v>
      </c>
      <c r="L711" s="1">
        <v>-0.01373269664151144</v>
      </c>
      <c r="M711" s="1">
        <v>-0.006611846487638684</v>
      </c>
      <c r="N711" s="1">
        <v>-0.001108280747749602</v>
      </c>
      <c r="O711" s="1">
        <v>0.002814666679445077</v>
      </c>
      <c r="P711" s="1">
        <v>-0.01237301573833605</v>
      </c>
      <c r="Q711" s="1">
        <v>-0.0185189173119179</v>
      </c>
      <c r="R711" s="1">
        <v>0.001449056911374758</v>
      </c>
      <c r="S711" s="1">
        <v>-0.004510864536207415</v>
      </c>
      <c r="T711" s="1">
        <v>0.006630550208966302</v>
      </c>
      <c r="U711" s="1">
        <v>-0.02968657610170788</v>
      </c>
      <c r="V711" s="1">
        <v>-0.02254610796717804</v>
      </c>
      <c r="W711" s="1">
        <v>-0.0008255806447264868</v>
      </c>
      <c r="X711" s="1">
        <v>-0.004102248482336202</v>
      </c>
      <c r="Y711" s="1">
        <v>-0.01630321386890932</v>
      </c>
      <c r="Z711" s="1">
        <v>-0.01251322709009073</v>
      </c>
    </row>
    <row r="712" spans="1:26">
      <c r="A712" s="11">
        <v>43402</v>
      </c>
      <c r="B712" s="1">
        <v>-0.03236120597247794</v>
      </c>
      <c r="C712" s="1">
        <v>-0.06591136368087303</v>
      </c>
      <c r="D712" s="1">
        <v>-0.0008944770345050701</v>
      </c>
      <c r="E712" s="1">
        <v>-0.01388086155052937</v>
      </c>
      <c r="F712" s="1">
        <v>0.02128246426732727</v>
      </c>
      <c r="G712" s="1">
        <v>0.001840186543378586</v>
      </c>
      <c r="H712" s="1">
        <v>0.02341419196256833</v>
      </c>
      <c r="I712" s="1">
        <v>-0.01834589970626221</v>
      </c>
      <c r="J712" s="1">
        <v>-0.004755775759602177</v>
      </c>
      <c r="K712" s="1">
        <v>-0.001276993800520598</v>
      </c>
      <c r="L712" s="1">
        <v>0.01382722703029704</v>
      </c>
      <c r="M712" s="1">
        <v>-0.03368314221241819</v>
      </c>
      <c r="N712" s="1">
        <v>0.02377560338161455</v>
      </c>
      <c r="O712" s="1">
        <v>0.005002950970146136</v>
      </c>
      <c r="P712" s="1">
        <v>-0.0290764681470943</v>
      </c>
      <c r="Q712" s="1">
        <v>0.01454427752434873</v>
      </c>
      <c r="R712" s="1">
        <v>0.009222555541771094</v>
      </c>
      <c r="S712" s="1">
        <v>0.02599345450115287</v>
      </c>
      <c r="T712" s="1">
        <v>-0.01004209421246238</v>
      </c>
      <c r="U712" s="1">
        <v>0.0189067469583073</v>
      </c>
      <c r="V712" s="1">
        <v>0.02636134250038569</v>
      </c>
      <c r="W712" s="1">
        <v>-0.007173666703839898</v>
      </c>
      <c r="X712" s="1">
        <v>-0.0205954425711693</v>
      </c>
      <c r="Y712" s="1">
        <v>0.01747459997281386</v>
      </c>
      <c r="Z712" s="1">
        <v>0.01030933767306008</v>
      </c>
    </row>
    <row r="713" spans="1:26">
      <c r="A713" s="11">
        <v>43403</v>
      </c>
      <c r="B713" s="1">
        <v>0.03510218744761806</v>
      </c>
      <c r="C713" s="1">
        <v>0.04267101807129747</v>
      </c>
      <c r="D713" s="1">
        <v>0.02416470252565839</v>
      </c>
      <c r="E713" s="1">
        <v>0.005831667239070359</v>
      </c>
      <c r="F713" s="1">
        <v>0.04779105195553579</v>
      </c>
      <c r="G713" s="1">
        <v>0.002939278339888718</v>
      </c>
      <c r="H713" s="1">
        <v>0.01729184236899428</v>
      </c>
      <c r="I713" s="1">
        <v>0.01685030402972543</v>
      </c>
      <c r="J713" s="1">
        <v>0.02823632778217844</v>
      </c>
      <c r="K713" s="1">
        <v>0.01694347678268304</v>
      </c>
      <c r="L713" s="1">
        <v>0.0176442820006899</v>
      </c>
      <c r="M713" s="1">
        <v>0.02588211219051595</v>
      </c>
      <c r="N713" s="1">
        <v>0.01981770985811027</v>
      </c>
      <c r="O713" s="1">
        <v>0.0222194727248215</v>
      </c>
      <c r="P713" s="1">
        <v>-0.001155451656609019</v>
      </c>
      <c r="Q713" s="1">
        <v>0.01034518297035203</v>
      </c>
      <c r="R713" s="1">
        <v>0.01200498738448696</v>
      </c>
      <c r="S713" s="1">
        <v>0.008105142306334523</v>
      </c>
      <c r="T713" s="1">
        <v>0.04930184912194413</v>
      </c>
      <c r="U713" s="1">
        <v>0.02800266231635429</v>
      </c>
      <c r="V713" s="1">
        <v>0.01985715209769556</v>
      </c>
      <c r="W713" s="1">
        <v>0.01891807257907141</v>
      </c>
      <c r="X713" s="1">
        <v>0.02179310537918355</v>
      </c>
      <c r="Y713" s="1">
        <v>0.03009879203732591</v>
      </c>
      <c r="Z713" s="1">
        <v>-0.002975934954067339</v>
      </c>
    </row>
    <row r="714" spans="1:26">
      <c r="A714" s="11">
        <v>43404</v>
      </c>
      <c r="B714" s="1">
        <v>0.01014713995294647</v>
      </c>
      <c r="C714" s="1">
        <v>0.0141464667782194</v>
      </c>
      <c r="D714" s="1">
        <v>-0.08957157878905375</v>
      </c>
      <c r="E714" s="1">
        <v>0.01039604185163223</v>
      </c>
      <c r="F714" s="1">
        <v>0.01140286105365318</v>
      </c>
      <c r="G714" s="1">
        <v>-0.01062280089180678</v>
      </c>
      <c r="H714" s="1">
        <v>-0.02170505529691757</v>
      </c>
      <c r="I714" s="1">
        <v>0.0201866752361739</v>
      </c>
      <c r="J714" s="1">
        <v>0.01985638098601883</v>
      </c>
      <c r="K714" s="1">
        <v>0.005030142473021249</v>
      </c>
      <c r="L714" s="1">
        <v>0.0217432757738143</v>
      </c>
      <c r="M714" s="1">
        <v>-0.001017306373578442</v>
      </c>
      <c r="N714" s="1">
        <v>-0.01260080345060177</v>
      </c>
      <c r="O714" s="1">
        <v>0.006651920912066123</v>
      </c>
      <c r="P714" s="1">
        <v>0.02969251439609488</v>
      </c>
      <c r="Q714" s="1">
        <v>-0.02009227150603199</v>
      </c>
      <c r="R714" s="1">
        <v>0.01292466077600452</v>
      </c>
      <c r="S714" s="1">
        <v>-0.01078426407757649</v>
      </c>
      <c r="T714" s="1">
        <v>0.02253097390603465</v>
      </c>
      <c r="U714" s="1">
        <v>0.006892508986811263</v>
      </c>
      <c r="V714" s="1">
        <v>-0.02495043920589035</v>
      </c>
      <c r="W714" s="1">
        <v>0.004212105193462046</v>
      </c>
      <c r="X714" s="1">
        <v>0.003367800195888337</v>
      </c>
      <c r="Y714" s="1">
        <v>-0.01873499203702944</v>
      </c>
      <c r="Z714" s="1">
        <v>0.003197981050983678</v>
      </c>
    </row>
    <row r="715" spans="1:26">
      <c r="A715" s="11">
        <v>43405</v>
      </c>
      <c r="B715" s="1">
        <v>-0.0380652745382547</v>
      </c>
      <c r="C715" s="1">
        <v>0.02313593707835992</v>
      </c>
      <c r="D715" s="1">
        <v>0.008958490760153648</v>
      </c>
      <c r="E715" s="1">
        <v>0.03145997280974666</v>
      </c>
      <c r="F715" s="1">
        <v>-0.00498173154773407</v>
      </c>
      <c r="G715" s="1">
        <v>0.006664038124699623</v>
      </c>
      <c r="H715" s="1">
        <v>0.014167213103498</v>
      </c>
      <c r="I715" s="1">
        <v>0.03846734244447481</v>
      </c>
      <c r="J715" s="1">
        <v>0.01449857678878574</v>
      </c>
      <c r="K715" s="1">
        <v>0.04285266759402395</v>
      </c>
      <c r="L715" s="1">
        <v>-0.0003668646279022525</v>
      </c>
      <c r="M715" s="1">
        <v>0.03767797564148623</v>
      </c>
      <c r="N715" s="1">
        <v>-0.02106393554114194</v>
      </c>
      <c r="O715" s="1">
        <v>-0.002005954613017891</v>
      </c>
      <c r="P715" s="1">
        <v>-0.008332368849486516</v>
      </c>
      <c r="Q715" s="1">
        <v>0.0003942567072210412</v>
      </c>
      <c r="R715" s="1">
        <v>0.03373526026019924</v>
      </c>
      <c r="S715" s="1">
        <v>0.003115044670741751</v>
      </c>
      <c r="T715" s="1">
        <v>0.01115725671371637</v>
      </c>
      <c r="U715" s="1">
        <v>-0.006193125761113971</v>
      </c>
      <c r="V715" s="1">
        <v>0.007174419749168548</v>
      </c>
      <c r="W715" s="1">
        <v>4.297675418074576E-05</v>
      </c>
      <c r="X715" s="1">
        <v>0.02573186780586556</v>
      </c>
      <c r="Y715" s="1">
        <v>-0.01821686013223411</v>
      </c>
      <c r="Z715" s="1">
        <v>0.01126470765951404</v>
      </c>
    </row>
    <row r="716" spans="1:26">
      <c r="A716" s="11">
        <v>43406</v>
      </c>
      <c r="B716" s="1">
        <v>-0.01236621471121568</v>
      </c>
      <c r="C716" s="1">
        <v>-0.01465280695633131</v>
      </c>
      <c r="D716" s="1">
        <v>-0.0141112308643434</v>
      </c>
      <c r="E716" s="1">
        <v>-0.02762344016589646</v>
      </c>
      <c r="F716" s="1">
        <v>-0.007641476656606194</v>
      </c>
      <c r="G716" s="1">
        <v>-0.00845884407126174</v>
      </c>
      <c r="H716" s="1">
        <v>-0.0279388847221419</v>
      </c>
      <c r="I716" s="1">
        <v>0.007607790298500783</v>
      </c>
      <c r="J716" s="1">
        <v>0.005716507463960241</v>
      </c>
      <c r="K716" s="1">
        <v>-0.02519512880663333</v>
      </c>
      <c r="L716" s="1">
        <v>-0.005505766545096713</v>
      </c>
      <c r="M716" s="1">
        <v>0.01707549305527811</v>
      </c>
      <c r="N716" s="1">
        <v>0</v>
      </c>
      <c r="O716" s="1">
        <v>-0.0009459365471443659</v>
      </c>
      <c r="P716" s="1">
        <v>0.002265818362613414</v>
      </c>
      <c r="Q716" s="1">
        <v>0.002364897832201063</v>
      </c>
      <c r="R716" s="1">
        <v>-0.01420340635834572</v>
      </c>
      <c r="S716" s="1">
        <v>-0.03338043108821487</v>
      </c>
      <c r="T716" s="1">
        <v>0.0113609974956419</v>
      </c>
      <c r="U716" s="1">
        <v>0.0009837237338048421</v>
      </c>
      <c r="V716" s="1">
        <v>0.002137062333822382</v>
      </c>
      <c r="W716" s="1">
        <v>0.002353676947078664</v>
      </c>
      <c r="X716" s="1">
        <v>-0.01690599965164663</v>
      </c>
      <c r="Y716" s="1">
        <v>0.01034794751874757</v>
      </c>
      <c r="Z716" s="1">
        <v>0.01240045118334487</v>
      </c>
    </row>
    <row r="717" spans="1:26">
      <c r="A717" s="11">
        <v>43409</v>
      </c>
      <c r="B717" s="1">
        <v>0.04563181526368298</v>
      </c>
      <c r="C717" s="1">
        <v>0.01182394443336143</v>
      </c>
      <c r="D717" s="1">
        <v>0.005146215631487205</v>
      </c>
      <c r="E717" s="1">
        <v>0.02643572555843465</v>
      </c>
      <c r="F717" s="1">
        <v>0.009559595892194794</v>
      </c>
      <c r="G717" s="1">
        <v>0.01965866180935683</v>
      </c>
      <c r="H717" s="1">
        <v>0.02304768015298264</v>
      </c>
      <c r="I717" s="1">
        <v>0.006562184959811868</v>
      </c>
      <c r="J717" s="1">
        <v>0.0004063688482129901</v>
      </c>
      <c r="K717" s="1">
        <v>0.01784658272558537</v>
      </c>
      <c r="L717" s="1">
        <v>0.006550909520845138</v>
      </c>
      <c r="M717" s="1">
        <v>-0.007719041836196983</v>
      </c>
      <c r="N717" s="1">
        <v>0.01507782662913781</v>
      </c>
      <c r="O717" s="1">
        <v>0.01443780062231004</v>
      </c>
      <c r="P717" s="1">
        <v>0.0127167548388063</v>
      </c>
      <c r="Q717" s="1">
        <v>0.01966185321525904</v>
      </c>
      <c r="R717" s="1">
        <v>0.002744539391611456</v>
      </c>
      <c r="S717" s="1">
        <v>0.01189606747988603</v>
      </c>
      <c r="T717" s="1">
        <v>0.004324426205883469</v>
      </c>
      <c r="U717" s="1">
        <v>0.003603963073849581</v>
      </c>
      <c r="V717" s="1">
        <v>0.01113607540922001</v>
      </c>
      <c r="W717" s="1">
        <v>0.009863016252173562</v>
      </c>
      <c r="X717" s="1">
        <v>0.01386837462535362</v>
      </c>
      <c r="Y717" s="1">
        <v>0.0102419642106073</v>
      </c>
      <c r="Z717" s="1">
        <v>0.01017209932584962</v>
      </c>
    </row>
    <row r="718" spans="1:26">
      <c r="A718" s="11">
        <v>43410</v>
      </c>
      <c r="B718" s="1">
        <v>-0.006386231316009461</v>
      </c>
      <c r="C718" s="1">
        <v>0.01240391403255869</v>
      </c>
      <c r="D718" s="1">
        <v>0.01488017971717848</v>
      </c>
      <c r="E718" s="1">
        <v>-0.01306949382372025</v>
      </c>
      <c r="F718" s="1">
        <v>-0.007627869962420375</v>
      </c>
      <c r="G718" s="1">
        <v>0.01127711559530242</v>
      </c>
      <c r="H718" s="1">
        <v>0.01696258043468468</v>
      </c>
      <c r="I718" s="1">
        <v>0.01976818114540779</v>
      </c>
      <c r="J718" s="1">
        <v>0.009740346638205555</v>
      </c>
      <c r="K718" s="1">
        <v>0.005441175158731104</v>
      </c>
      <c r="L718" s="1">
        <v>0.004675041545711967</v>
      </c>
      <c r="M718" s="1">
        <v>0.008557022584981144</v>
      </c>
      <c r="N718" s="1">
        <v>0.003713113491065734</v>
      </c>
      <c r="O718" s="1">
        <v>0.007582583123707076</v>
      </c>
      <c r="P718" s="1">
        <v>0.001953126048035436</v>
      </c>
      <c r="Q718" s="1">
        <v>0.006555882536719793</v>
      </c>
      <c r="R718" s="1">
        <v>0.01539532341662286</v>
      </c>
      <c r="S718" s="1">
        <v>0.005952224105468362</v>
      </c>
      <c r="T718" s="1">
        <v>0.002350613028778481</v>
      </c>
      <c r="U718" s="1">
        <v>0.01077412503049247</v>
      </c>
      <c r="V718" s="1">
        <v>0.002812025126313733</v>
      </c>
      <c r="W718" s="1">
        <v>0.007229655921223044</v>
      </c>
      <c r="X718" s="1">
        <v>0.01787312950226916</v>
      </c>
      <c r="Y718" s="1">
        <v>0</v>
      </c>
      <c r="Z718" s="1">
        <v>0.01089199354253978</v>
      </c>
    </row>
    <row r="719" spans="1:26">
      <c r="A719" s="11">
        <v>43411</v>
      </c>
      <c r="B719" s="1">
        <v>0.01258692179755094</v>
      </c>
      <c r="C719" s="1">
        <v>0.01514450095673903</v>
      </c>
      <c r="D719" s="1">
        <v>0.001103397623892999</v>
      </c>
      <c r="E719" s="1">
        <v>0.03193751931789901</v>
      </c>
      <c r="F719" s="1">
        <v>0.0151074629106358</v>
      </c>
      <c r="G719" s="1">
        <v>0.01870480317215595</v>
      </c>
      <c r="H719" s="1">
        <v>-0.0005213625074081962</v>
      </c>
      <c r="I719" s="1">
        <v>0.02034854784268014</v>
      </c>
      <c r="J719" s="1">
        <v>0.02371363234643598</v>
      </c>
      <c r="K719" s="1">
        <v>0.00420915265167876</v>
      </c>
      <c r="L719" s="1">
        <v>0.01715328401313898</v>
      </c>
      <c r="M719" s="1">
        <v>0.01966863167366251</v>
      </c>
      <c r="N719" s="1">
        <v>0.007707845711373951</v>
      </c>
      <c r="O719" s="1">
        <v>0.009957319584035007</v>
      </c>
      <c r="P719" s="1">
        <v>0.03936156539196012</v>
      </c>
      <c r="Q719" s="1">
        <v>0.002298753853209101</v>
      </c>
      <c r="R719" s="1">
        <v>0.009096683038347209</v>
      </c>
      <c r="S719" s="1">
        <v>0.003254467417912688</v>
      </c>
      <c r="T719" s="1">
        <v>0.02397116815733669</v>
      </c>
      <c r="U719" s="1">
        <v>0.00452167349949395</v>
      </c>
      <c r="V719" s="1">
        <v>0.01366984649389802</v>
      </c>
      <c r="W719" s="1">
        <v>0.0306428426314076</v>
      </c>
      <c r="X719" s="1">
        <v>0.02490617334048051</v>
      </c>
      <c r="Y719" s="1">
        <v>0.007691002146338111</v>
      </c>
      <c r="Z719" s="1">
        <v>0.01057119471233503</v>
      </c>
    </row>
    <row r="720" spans="1:26">
      <c r="A720" s="11">
        <v>43412</v>
      </c>
      <c r="B720" s="1">
        <v>-0.04734209334353723</v>
      </c>
      <c r="C720" s="1">
        <v>0.001242231494550383</v>
      </c>
      <c r="D720" s="1">
        <v>0.005826747610870875</v>
      </c>
      <c r="E720" s="1">
        <v>-0.003396902773520338</v>
      </c>
      <c r="F720" s="1">
        <v>0</v>
      </c>
      <c r="G720" s="1">
        <v>-0.009180805923664881</v>
      </c>
      <c r="H720" s="1">
        <v>-0.003910784966773218</v>
      </c>
      <c r="I720" s="1">
        <v>-0.01185772207803037</v>
      </c>
      <c r="J720" s="1">
        <v>0.001177904276455699</v>
      </c>
      <c r="K720" s="1">
        <v>0.03233508339282465</v>
      </c>
      <c r="L720" s="1">
        <v>0.008073489582053339</v>
      </c>
      <c r="M720" s="1">
        <v>-0.003025659161460137</v>
      </c>
      <c r="N720" s="1">
        <v>0</v>
      </c>
      <c r="O720" s="1">
        <v>0.006878499168345042</v>
      </c>
      <c r="P720" s="1">
        <v>-0.001875937968984442</v>
      </c>
      <c r="Q720" s="1">
        <v>-0.007645126409942637</v>
      </c>
      <c r="R720" s="1">
        <v>0.004173492656563971</v>
      </c>
      <c r="S720" s="1">
        <v>0.007765724460799373</v>
      </c>
      <c r="T720" s="1">
        <v>0.001350121031840512</v>
      </c>
      <c r="U720" s="1">
        <v>-0.001929067443618648</v>
      </c>
      <c r="V720" s="1">
        <v>0.009681915648918737</v>
      </c>
      <c r="W720" s="1">
        <v>0.0001627001880704082</v>
      </c>
      <c r="X720" s="1">
        <v>-0.008216855945370027</v>
      </c>
      <c r="Y720" s="1">
        <v>0.01075475588130304</v>
      </c>
      <c r="Z720" s="1">
        <v>0.01428267440860065</v>
      </c>
    </row>
    <row r="721" spans="1:26">
      <c r="A721" s="11">
        <v>43413</v>
      </c>
      <c r="B721" s="1">
        <v>0.02942827447771834</v>
      </c>
      <c r="C721" s="1">
        <v>-0.003856838217698888</v>
      </c>
      <c r="D721" s="1">
        <v>-0.006106048792860364</v>
      </c>
      <c r="E721" s="1">
        <v>0.0109827096359032</v>
      </c>
      <c r="F721" s="1">
        <v>0.001044236871390103</v>
      </c>
      <c r="G721" s="1">
        <v>0.002494684734804631</v>
      </c>
      <c r="H721" s="1">
        <v>0.02015686670579719</v>
      </c>
      <c r="I721" s="1">
        <v>-0.01268178361601069</v>
      </c>
      <c r="J721" s="1">
        <v>-0.01960771246239201</v>
      </c>
      <c r="K721" s="1">
        <v>-0.003770150440814524</v>
      </c>
      <c r="L721" s="1">
        <v>-0.009699503396216946</v>
      </c>
      <c r="M721" s="1">
        <v>-0.004362836100859968</v>
      </c>
      <c r="N721" s="1">
        <v>-0.0298300788458582</v>
      </c>
      <c r="O721" s="1">
        <v>-0.0007969928283525496</v>
      </c>
      <c r="P721" s="1">
        <v>-0.01950763138970657</v>
      </c>
      <c r="Q721" s="1">
        <v>0.007704024652274599</v>
      </c>
      <c r="R721" s="1">
        <v>-0.02522105476656678</v>
      </c>
      <c r="S721" s="1">
        <v>0.006388590153253659</v>
      </c>
      <c r="T721" s="1">
        <v>-0.001203713001663553</v>
      </c>
      <c r="U721" s="1">
        <v>-0.01127588834100224</v>
      </c>
      <c r="V721" s="1">
        <v>-0.007534335604966191</v>
      </c>
      <c r="W721" s="1">
        <v>-0.008632755312500184</v>
      </c>
      <c r="X721" s="1">
        <v>0.00264417783903137</v>
      </c>
      <c r="Y721" s="1">
        <v>0.003260304254019353</v>
      </c>
      <c r="Z721" s="1">
        <v>-0.005156606725857271</v>
      </c>
    </row>
    <row r="722" spans="1:26">
      <c r="A722" s="11">
        <v>43416</v>
      </c>
      <c r="B722" s="1">
        <v>-0.02777797293700612</v>
      </c>
      <c r="C722" s="1">
        <v>-0.03332969670985353</v>
      </c>
      <c r="D722" s="1">
        <v>-0.03024578639538822</v>
      </c>
      <c r="E722" s="1">
        <v>-0.01011407005109388</v>
      </c>
      <c r="F722" s="1">
        <v>-0.008868141930707063</v>
      </c>
      <c r="G722" s="1">
        <v>-0.001066380341809947</v>
      </c>
      <c r="H722" s="1">
        <v>0.005132231943162369</v>
      </c>
      <c r="I722" s="1">
        <v>-0.001656954954791123</v>
      </c>
      <c r="J722" s="1">
        <v>-0.04040008250588178</v>
      </c>
      <c r="K722" s="1">
        <v>-0.004657861583334588</v>
      </c>
      <c r="L722" s="1">
        <v>-0.02102628351003921</v>
      </c>
      <c r="M722" s="1">
        <v>-0.01143088889678823</v>
      </c>
      <c r="N722" s="1">
        <v>-0.03500496930076413</v>
      </c>
      <c r="O722" s="1">
        <v>-0.006722727405689355</v>
      </c>
      <c r="P722" s="1">
        <v>-0.02464189898294877</v>
      </c>
      <c r="Q722" s="1">
        <v>-0.002293481703306233</v>
      </c>
      <c r="R722" s="1">
        <v>0.000342351954619291</v>
      </c>
      <c r="S722" s="1">
        <v>0.007124039456218423</v>
      </c>
      <c r="T722" s="1">
        <v>-0.01395760930146861</v>
      </c>
      <c r="U722" s="1">
        <v>0.002932575553550087</v>
      </c>
      <c r="V722" s="1">
        <v>-0.01690810896881834</v>
      </c>
      <c r="W722" s="1">
        <v>-0.02920550654161047</v>
      </c>
      <c r="X722" s="1">
        <v>-0.03059082801651791</v>
      </c>
      <c r="Y722" s="1">
        <v>0.004447764719563985</v>
      </c>
      <c r="Z722" s="1">
        <v>-0.01435404900147386</v>
      </c>
    </row>
    <row r="723" spans="1:26">
      <c r="A723" s="11">
        <v>43417</v>
      </c>
      <c r="B723" s="1">
        <v>-0.02246884952467088</v>
      </c>
      <c r="C723" s="1">
        <v>-0.02106265321468015</v>
      </c>
      <c r="D723" s="1">
        <v>0.02387904854968426</v>
      </c>
      <c r="E723" s="1">
        <v>-0.004919385019739653</v>
      </c>
      <c r="F723" s="1">
        <v>-0.007368434525647505</v>
      </c>
      <c r="G723" s="1">
        <v>0.004270331136654537</v>
      </c>
      <c r="H723" s="1">
        <v>0.002042004074302772</v>
      </c>
      <c r="I723" s="1">
        <v>0.01839925206253978</v>
      </c>
      <c r="J723" s="1">
        <v>-0.001667358668092311</v>
      </c>
      <c r="K723" s="1">
        <v>0.01725630354195884</v>
      </c>
      <c r="L723" s="1">
        <v>0.005874385270906002</v>
      </c>
      <c r="M723" s="1">
        <v>0.01618814391117485</v>
      </c>
      <c r="N723" s="1">
        <v>-0.01960769728912237</v>
      </c>
      <c r="O723" s="1">
        <v>-0.007686358632645773</v>
      </c>
      <c r="P723" s="1">
        <v>0.0006550951441834929</v>
      </c>
      <c r="Q723" s="1">
        <v>-0.005363946820526766</v>
      </c>
      <c r="R723" s="1">
        <v>0.008051151167217219</v>
      </c>
      <c r="S723" s="1">
        <v>0.002694562450576088</v>
      </c>
      <c r="T723" s="1">
        <v>0.01884904710494273</v>
      </c>
      <c r="U723" s="1">
        <v>-0.01462007392679421</v>
      </c>
      <c r="V723" s="1">
        <v>-0.01345491971019452</v>
      </c>
      <c r="W723" s="1">
        <v>-0.00558507513280182</v>
      </c>
      <c r="X723" s="1">
        <v>0.01378322856809344</v>
      </c>
      <c r="Y723" s="1">
        <v>-0.001021985508317558</v>
      </c>
      <c r="Z723" s="1">
        <v>-0.004069833138346635</v>
      </c>
    </row>
    <row r="724" spans="1:26">
      <c r="A724" s="11">
        <v>43418</v>
      </c>
      <c r="B724" s="1">
        <v>0.02497177336400558</v>
      </c>
      <c r="C724" s="1">
        <v>-0.01370487469442461</v>
      </c>
      <c r="D724" s="1">
        <v>0.01269255987592932</v>
      </c>
      <c r="E724" s="1">
        <v>0</v>
      </c>
      <c r="F724" s="1">
        <v>0.01511147054185669</v>
      </c>
      <c r="G724" s="1">
        <v>-0.01725006927482486</v>
      </c>
      <c r="H724" s="1">
        <v>-0.002292941259160242</v>
      </c>
      <c r="I724" s="1">
        <v>-6.816140248533387E-05</v>
      </c>
      <c r="J724" s="1">
        <v>-0.009185894585251098</v>
      </c>
      <c r="K724" s="1">
        <v>-0.0393903934453772</v>
      </c>
      <c r="L724" s="1">
        <v>-0.02062210834416334</v>
      </c>
      <c r="M724" s="1">
        <v>-0.004741031803506934</v>
      </c>
      <c r="N724" s="1">
        <v>-0.01499976947135406</v>
      </c>
      <c r="O724" s="1">
        <v>0.003814749587076616</v>
      </c>
      <c r="P724" s="1">
        <v>-0.01418101942520844</v>
      </c>
      <c r="Q724" s="1">
        <v>-0.01425261556509083</v>
      </c>
      <c r="R724" s="1">
        <v>0.01410351741314764</v>
      </c>
      <c r="S724" s="1">
        <v>0.003551440483029245</v>
      </c>
      <c r="T724" s="1">
        <v>-0.004463168270023354</v>
      </c>
      <c r="U724" s="1">
        <v>0.005934839619037069</v>
      </c>
      <c r="V724" s="1">
        <v>-0.01411315948120795</v>
      </c>
      <c r="W724" s="1">
        <v>0.0002554949323632094</v>
      </c>
      <c r="X724" s="1">
        <v>0.001967693803429649</v>
      </c>
      <c r="Y724" s="1">
        <v>0.00477337616883089</v>
      </c>
      <c r="Z724" s="1">
        <v>-0.02227246515018244</v>
      </c>
    </row>
    <row r="725" spans="1:26">
      <c r="A725" s="11">
        <v>43419</v>
      </c>
      <c r="B725" s="1">
        <v>0.02408657399279246</v>
      </c>
      <c r="C725" s="1">
        <v>-0.009137871547754028</v>
      </c>
      <c r="D725" s="1">
        <v>0.03133328532280655</v>
      </c>
      <c r="E725" s="1">
        <v>0.01293022604855842</v>
      </c>
      <c r="F725" s="1">
        <v>0.005223210372323317</v>
      </c>
      <c r="G725" s="1">
        <v>0.003277713830735607</v>
      </c>
      <c r="H725" s="1">
        <v>-0.00102096791956785</v>
      </c>
      <c r="I725" s="1">
        <v>-0.003532092912530871</v>
      </c>
      <c r="J725" s="1">
        <v>0.01854211508506109</v>
      </c>
      <c r="K725" s="1">
        <v>0.003292440332609781</v>
      </c>
      <c r="L725" s="1">
        <v>0.02552864306576352</v>
      </c>
      <c r="M725" s="1">
        <v>0.01429133360084722</v>
      </c>
      <c r="N725" s="1">
        <v>-0.03079552701949739</v>
      </c>
      <c r="O725" s="1">
        <v>0.005643503857127641</v>
      </c>
      <c r="P725" s="1">
        <v>0.02200606735598476</v>
      </c>
      <c r="Q725" s="1">
        <v>-0.01094207874591679</v>
      </c>
      <c r="R725" s="1">
        <v>0.01474526250609465</v>
      </c>
      <c r="S725" s="1">
        <v>-0.008464065421218137</v>
      </c>
      <c r="T725" s="1">
        <v>0.01678568778288803</v>
      </c>
      <c r="U725" s="1">
        <v>-0.01278223207788076</v>
      </c>
      <c r="V725" s="1">
        <v>-0.02850939740324743</v>
      </c>
      <c r="W725" s="1">
        <v>0.01110260121060791</v>
      </c>
      <c r="X725" s="1">
        <v>0.0187469034538188</v>
      </c>
      <c r="Y725" s="1">
        <v>0.002375000411598993</v>
      </c>
      <c r="Z725" s="1">
        <v>0.01044945012928733</v>
      </c>
    </row>
    <row r="726" spans="1:26">
      <c r="A726" s="11">
        <v>43420</v>
      </c>
      <c r="B726" s="1">
        <v>0.01189476190775296</v>
      </c>
      <c r="C726" s="1">
        <v>-0.01645353101538183</v>
      </c>
      <c r="D726" s="1">
        <v>0.01032962453662112</v>
      </c>
      <c r="E726" s="1">
        <v>0.01501773820322772</v>
      </c>
      <c r="F726" s="1">
        <v>0.002598429990440465</v>
      </c>
      <c r="G726" s="1">
        <v>0.006533579732471706</v>
      </c>
      <c r="H726" s="1">
        <v>-0.01201423107319011</v>
      </c>
      <c r="I726" s="1">
        <v>0.007975728445552832</v>
      </c>
      <c r="J726" s="1">
        <v>-0.0004139976759460762</v>
      </c>
      <c r="K726" s="1">
        <v>-0.002386699160451755</v>
      </c>
      <c r="L726" s="1">
        <v>-0.0007269866263202029</v>
      </c>
      <c r="M726" s="1">
        <v>-0.01221122693266952</v>
      </c>
      <c r="N726" s="1">
        <v>-0.00872918817021695</v>
      </c>
      <c r="O726" s="1">
        <v>0.007787165104762295</v>
      </c>
      <c r="P726" s="1">
        <v>0.009414646317615238</v>
      </c>
      <c r="Q726" s="1">
        <v>0.01501436181190385</v>
      </c>
      <c r="R726" s="1">
        <v>0.003467840032796321</v>
      </c>
      <c r="S726" s="1">
        <v>0.01938748003383406</v>
      </c>
      <c r="T726" s="1">
        <v>0.007054969607191319</v>
      </c>
      <c r="U726" s="1">
        <v>0.005643942667894253</v>
      </c>
      <c r="V726" s="1">
        <v>-0.01337283483405416</v>
      </c>
      <c r="W726" s="1">
        <v>0.01417815308450976</v>
      </c>
      <c r="X726" s="1">
        <v>-0.008061868767036739</v>
      </c>
      <c r="Y726" s="1">
        <v>0.0191268000870024</v>
      </c>
      <c r="Z726" s="1">
        <v>0.001654634368437602</v>
      </c>
    </row>
    <row r="727" spans="1:26">
      <c r="A727" s="11">
        <v>43423</v>
      </c>
      <c r="B727" s="1">
        <v>-0.02404498717691395</v>
      </c>
      <c r="C727" s="1">
        <v>-0.04467919298753387</v>
      </c>
      <c r="D727" s="1">
        <v>-0.02240260995175125</v>
      </c>
      <c r="E727" s="1">
        <v>-0.01091177592236481</v>
      </c>
      <c r="F727" s="1">
        <v>-0.01062456707700365</v>
      </c>
      <c r="G727" s="1">
        <v>0.008654635108379827</v>
      </c>
      <c r="H727" s="1">
        <v>-0.005175120979227565</v>
      </c>
      <c r="I727" s="1">
        <v>-0.03584247043823419</v>
      </c>
      <c r="J727" s="1">
        <v>-0.02524814978203893</v>
      </c>
      <c r="K727" s="1">
        <v>0.0002993626956222517</v>
      </c>
      <c r="L727" s="1">
        <v>0.007637072561091696</v>
      </c>
      <c r="M727" s="1">
        <v>-0.003613359340251199</v>
      </c>
      <c r="N727" s="1">
        <v>-0.0193728340236623</v>
      </c>
      <c r="O727" s="1">
        <v>0.009545639240893689</v>
      </c>
      <c r="P727" s="1">
        <v>-0.03389034595070306</v>
      </c>
      <c r="Q727" s="1">
        <v>0.009342046508432622</v>
      </c>
      <c r="R727" s="1">
        <v>-0.004607616902938094</v>
      </c>
      <c r="S727" s="1">
        <v>0.003264397362128246</v>
      </c>
      <c r="T727" s="1">
        <v>-0.0205206815429404</v>
      </c>
      <c r="U727" s="1">
        <v>0.001980581343132615</v>
      </c>
      <c r="V727" s="1">
        <v>-0.02372002001365436</v>
      </c>
      <c r="W727" s="1">
        <v>-0.03393359554418773</v>
      </c>
      <c r="X727" s="1">
        <v>-0.01395780653467982</v>
      </c>
      <c r="Y727" s="1">
        <v>0.00680944617500745</v>
      </c>
      <c r="Z727" s="1">
        <v>0.001445298888909985</v>
      </c>
    </row>
    <row r="728" spans="1:26">
      <c r="A728" s="11">
        <v>43424</v>
      </c>
      <c r="B728" s="1">
        <v>-0.05091689761103879</v>
      </c>
      <c r="C728" s="1">
        <v>-0.01009530370655976</v>
      </c>
      <c r="D728" s="1">
        <v>-0.01291892435957553</v>
      </c>
      <c r="E728" s="1">
        <v>0.0007479722472376604</v>
      </c>
      <c r="F728" s="1">
        <v>-0.03719262556807235</v>
      </c>
      <c r="G728" s="1">
        <v>-0.004290145063015172</v>
      </c>
      <c r="H728" s="1">
        <v>0.05461639907571203</v>
      </c>
      <c r="I728" s="1">
        <v>-0.02840688477041453</v>
      </c>
      <c r="J728" s="1">
        <v>-0.03991479226413885</v>
      </c>
      <c r="K728" s="1">
        <v>-0.003288569646285988</v>
      </c>
      <c r="L728" s="1">
        <v>-0.02147425765898026</v>
      </c>
      <c r="M728" s="1">
        <v>-0.0156521587099463</v>
      </c>
      <c r="N728" s="1">
        <v>-0.0008979397571600156</v>
      </c>
      <c r="O728" s="1">
        <v>-0.02859065250360926</v>
      </c>
      <c r="P728" s="1">
        <v>-0.02781509105127222</v>
      </c>
      <c r="Q728" s="1">
        <v>-0.006942134354187668</v>
      </c>
      <c r="R728" s="1">
        <v>-0.01851527043704859</v>
      </c>
      <c r="S728" s="1">
        <v>-0.003914171859081383</v>
      </c>
      <c r="T728" s="1">
        <v>-0.01257042040437717</v>
      </c>
      <c r="U728" s="1">
        <v>-0.03064225730788406</v>
      </c>
      <c r="V728" s="1">
        <v>-0.1052494156050056</v>
      </c>
      <c r="W728" s="1">
        <v>0.002233007739098181</v>
      </c>
      <c r="X728" s="1">
        <v>-0.02042633276120465</v>
      </c>
      <c r="Y728" s="1">
        <v>-0.01913558322437603</v>
      </c>
      <c r="Z728" s="1">
        <v>-0.02309242501270969</v>
      </c>
    </row>
    <row r="729" spans="1:26">
      <c r="A729" s="11">
        <v>43425</v>
      </c>
      <c r="B729" s="1">
        <v>0.03922690500973181</v>
      </c>
      <c r="C729" s="1">
        <v>-0.001196154866269339</v>
      </c>
      <c r="D729" s="1">
        <v>0.0210343629694083</v>
      </c>
      <c r="E729" s="1">
        <v>-0.005979112742411363</v>
      </c>
      <c r="F729" s="1">
        <v>0.02040286688013326</v>
      </c>
      <c r="G729" s="1">
        <v>-0.001436323680388263</v>
      </c>
      <c r="H729" s="1">
        <v>-0.0254009792431219</v>
      </c>
      <c r="I729" s="1">
        <v>0.02425621320591165</v>
      </c>
      <c r="J729" s="1">
        <v>0.002211013898346437</v>
      </c>
      <c r="K729" s="1">
        <v>-0.002699574608391098</v>
      </c>
      <c r="L729" s="1">
        <v>-0.007468750705377225</v>
      </c>
      <c r="M729" s="1">
        <v>0.01318615571238357</v>
      </c>
      <c r="N729" s="1">
        <v>-0.02229027972439102</v>
      </c>
      <c r="O729" s="1">
        <v>-0.01228259941218812</v>
      </c>
      <c r="P729" s="1">
        <v>0.01376449964759363</v>
      </c>
      <c r="Q729" s="1">
        <v>-0.007378474164060234</v>
      </c>
      <c r="R729" s="1">
        <v>0.009768999329741845</v>
      </c>
      <c r="S729" s="1">
        <v>-0.01197742603720742</v>
      </c>
      <c r="T729" s="1">
        <v>0.001023968303605516</v>
      </c>
      <c r="U729" s="1">
        <v>0.01189664138432356</v>
      </c>
      <c r="V729" s="1">
        <v>0.00333182445564506</v>
      </c>
      <c r="W729" s="1">
        <v>-0.001628185322923414</v>
      </c>
      <c r="X729" s="1">
        <v>0.002743812252179234</v>
      </c>
      <c r="Y729" s="1">
        <v>-0.005045048074688085</v>
      </c>
      <c r="Z729" s="1">
        <v>-0.005698860290390573</v>
      </c>
    </row>
    <row r="730" spans="1:26">
      <c r="A730" s="11">
        <v>43427</v>
      </c>
      <c r="B730" s="1">
        <v>-0.0324727410870318</v>
      </c>
      <c r="C730" s="1">
        <v>-0.01575688461799984</v>
      </c>
      <c r="D730" s="1">
        <v>-0.0009157078673813768</v>
      </c>
      <c r="E730" s="1">
        <v>-0.005075433931506779</v>
      </c>
      <c r="F730" s="1">
        <v>-0.003199296888105829</v>
      </c>
      <c r="G730" s="1">
        <v>-0.005753131415850765</v>
      </c>
      <c r="H730" s="1">
        <v>0.02555687873623236</v>
      </c>
      <c r="I730" s="1">
        <v>0.006766559336129907</v>
      </c>
      <c r="J730" s="1">
        <v>-0.00661930378602682</v>
      </c>
      <c r="K730" s="1">
        <v>0.004210622589643664</v>
      </c>
      <c r="L730" s="1">
        <v>-0.009197358787960463</v>
      </c>
      <c r="M730" s="1">
        <v>0.008229472417441874</v>
      </c>
      <c r="N730" s="1">
        <v>-0.01231827561009369</v>
      </c>
      <c r="O730" s="1">
        <v>-0.004458255587801108</v>
      </c>
      <c r="P730" s="1">
        <v>-0.0003878908035658268</v>
      </c>
      <c r="Q730" s="1">
        <v>0.004303657941427064</v>
      </c>
      <c r="R730" s="1">
        <v>0.001667970956818143</v>
      </c>
      <c r="S730" s="1">
        <v>-0.004983072683212963</v>
      </c>
      <c r="T730" s="1">
        <v>0.01130456400038415</v>
      </c>
      <c r="U730" s="1">
        <v>-0.01377217042092482</v>
      </c>
      <c r="V730" s="1">
        <v>-0.02757717090090472</v>
      </c>
      <c r="W730" s="1">
        <v>0.008540166108599534</v>
      </c>
      <c r="X730" s="1">
        <v>0.005107369714088428</v>
      </c>
      <c r="Y730" s="1">
        <v>-0.008789774003228668</v>
      </c>
      <c r="Z730" s="1">
        <v>-0.001910263565917392</v>
      </c>
    </row>
    <row r="731" spans="1:26">
      <c r="A731" s="11">
        <v>43430</v>
      </c>
      <c r="B731" s="1">
        <v>0.01462981122205265</v>
      </c>
      <c r="C731" s="1">
        <v>0.0129353624058457</v>
      </c>
      <c r="D731" s="1">
        <v>0.007790051869567938</v>
      </c>
      <c r="E731" s="1">
        <v>-0.003778333355761831</v>
      </c>
      <c r="F731" s="1">
        <v>0.01016338613231782</v>
      </c>
      <c r="G731" s="1">
        <v>0.005786421458931379</v>
      </c>
      <c r="H731" s="1">
        <v>-0.03725613233696001</v>
      </c>
      <c r="I731" s="1">
        <v>0.04256492972371051</v>
      </c>
      <c r="J731" s="1">
        <v>0.01332704721708655</v>
      </c>
      <c r="K731" s="1">
        <v>0.01168007720063513</v>
      </c>
      <c r="L731" s="1">
        <v>0.02447252169061431</v>
      </c>
      <c r="M731" s="1">
        <v>0.001518573241475751</v>
      </c>
      <c r="N731" s="1">
        <v>-0.009493637262527832</v>
      </c>
      <c r="O731" s="1">
        <v>0.01225557831753643</v>
      </c>
      <c r="P731" s="1">
        <v>0.03298749303173643</v>
      </c>
      <c r="Q731" s="1">
        <v>0.004674806956646016</v>
      </c>
      <c r="R731" s="1">
        <v>0.01049161926589592</v>
      </c>
      <c r="S731" s="1">
        <v>-0.004815505665294761</v>
      </c>
      <c r="T731" s="1">
        <v>-0.008576558510314358</v>
      </c>
      <c r="U731" s="1">
        <v>0.02009510921627378</v>
      </c>
      <c r="V731" s="1">
        <v>0.02821071102479777</v>
      </c>
      <c r="W731" s="1">
        <v>0.02204150087433265</v>
      </c>
      <c r="X731" s="1">
        <v>0.007804026927698215</v>
      </c>
      <c r="Y731" s="1">
        <v>0.009037814500700181</v>
      </c>
      <c r="Z731" s="1">
        <v>0.0223303212005852</v>
      </c>
    </row>
    <row r="732" spans="1:26">
      <c r="A732" s="11">
        <v>43431</v>
      </c>
      <c r="B732" s="1">
        <v>-0.008198951273165833</v>
      </c>
      <c r="C732" s="1">
        <v>0.005278723091646231</v>
      </c>
      <c r="D732" s="1">
        <v>-0.0003033082189989322</v>
      </c>
      <c r="E732" s="1">
        <v>-0.0299640565228797</v>
      </c>
      <c r="F732" s="1">
        <v>0.015620705469648</v>
      </c>
      <c r="G732" s="1">
        <v>0.005034192946062443</v>
      </c>
      <c r="H732" s="1">
        <v>0.01255750341093753</v>
      </c>
      <c r="I732" s="1">
        <v>-0.007453995142791658</v>
      </c>
      <c r="J732" s="1">
        <v>-0.00350700600565601</v>
      </c>
      <c r="K732" s="1">
        <v>-0.008288984266667576</v>
      </c>
      <c r="L732" s="1">
        <v>0.004210107428960663</v>
      </c>
      <c r="M732" s="1">
        <v>0.0005686517367788912</v>
      </c>
      <c r="N732" s="1">
        <v>0.01090015355888196</v>
      </c>
      <c r="O732" s="1">
        <v>-0.0004655991047853858</v>
      </c>
      <c r="P732" s="1">
        <v>0.006292939776296524</v>
      </c>
      <c r="Q732" s="1">
        <v>0.007367027911961088</v>
      </c>
      <c r="R732" s="1">
        <v>-0.001813012957148641</v>
      </c>
      <c r="S732" s="1">
        <v>0.009435617261009277</v>
      </c>
      <c r="T732" s="1">
        <v>-0.0196821160144165</v>
      </c>
      <c r="U732" s="1">
        <v>0.01636056632423388</v>
      </c>
      <c r="V732" s="1">
        <v>0.03075787364514326</v>
      </c>
      <c r="W732" s="1">
        <v>0.007494086545692946</v>
      </c>
      <c r="X732" s="1">
        <v>-0.00990430376594531</v>
      </c>
      <c r="Y732" s="1">
        <v>0.02501302306063247</v>
      </c>
      <c r="Z732" s="1">
        <v>-0.003120088635384377</v>
      </c>
    </row>
    <row r="733" spans="1:26">
      <c r="A733" s="11">
        <v>43432</v>
      </c>
      <c r="B733" s="1">
        <v>0.005131096731616935</v>
      </c>
      <c r="C733" s="1">
        <v>0.04864326419653953</v>
      </c>
      <c r="D733" s="1">
        <v>0.03577942980703597</v>
      </c>
      <c r="E733" s="1">
        <v>0.01661798483661725</v>
      </c>
      <c r="F733" s="1">
        <v>0.01824827255198458</v>
      </c>
      <c r="G733" s="1">
        <v>0.002146522136726947</v>
      </c>
      <c r="H733" s="1">
        <v>-0.000253094655906061</v>
      </c>
      <c r="I733" s="1">
        <v>0.02841495355856316</v>
      </c>
      <c r="J733" s="1">
        <v>0.03079613958571725</v>
      </c>
      <c r="K733" s="1">
        <v>0.01492558991671733</v>
      </c>
      <c r="L733" s="1">
        <v>0.01111935943290754</v>
      </c>
      <c r="M733" s="1">
        <v>0.005493628494668279</v>
      </c>
      <c r="N733" s="1">
        <v>0.02156543795964705</v>
      </c>
      <c r="O733" s="1">
        <v>0.01712066326683148</v>
      </c>
      <c r="P733" s="1">
        <v>0.03714752826712941</v>
      </c>
      <c r="Q733" s="1">
        <v>-0.008467884713888263</v>
      </c>
      <c r="R733" s="1">
        <v>0.02377407000723109</v>
      </c>
      <c r="S733" s="1">
        <v>0.008436974851299572</v>
      </c>
      <c r="T733" s="1">
        <v>0.03232211921741546</v>
      </c>
      <c r="U733" s="1">
        <v>0.009855320895563402</v>
      </c>
      <c r="V733" s="1">
        <v>0.007005101097749211</v>
      </c>
      <c r="W733" s="1">
        <v>0.02235633117092317</v>
      </c>
      <c r="X733" s="1">
        <v>0.0212805005342418</v>
      </c>
      <c r="Y733" s="1">
        <v>-0.009728144692128238</v>
      </c>
      <c r="Z733" s="1">
        <v>0.008138917194397743</v>
      </c>
    </row>
    <row r="734" spans="1:26">
      <c r="A734" s="11">
        <v>43433</v>
      </c>
      <c r="B734" s="1">
        <v>0.007940775297738289</v>
      </c>
      <c r="C734" s="1">
        <v>0.02716637157757629</v>
      </c>
      <c r="D734" s="1">
        <v>-0.004391436437468421</v>
      </c>
      <c r="E734" s="1">
        <v>-0.003461871324237031</v>
      </c>
      <c r="F734" s="1">
        <v>0.009216697454061951</v>
      </c>
      <c r="G734" s="1">
        <v>-0.00963929635936478</v>
      </c>
      <c r="H734" s="1">
        <v>0.003290998448142846</v>
      </c>
      <c r="I734" s="1">
        <v>-0.01342011128373533</v>
      </c>
      <c r="J734" s="1">
        <v>-0.0243278008316723</v>
      </c>
      <c r="K734" s="1">
        <v>0.00794118145911038</v>
      </c>
      <c r="L734" s="1">
        <v>-0.007932188470481827</v>
      </c>
      <c r="M734" s="1">
        <v>0.002825957360663045</v>
      </c>
      <c r="N734" s="1">
        <v>0.01801613726308871</v>
      </c>
      <c r="O734" s="1">
        <v>-0.001831701306933109</v>
      </c>
      <c r="P734" s="1">
        <v>-0.008369589097239838</v>
      </c>
      <c r="Q734" s="1">
        <v>0.01125771654571284</v>
      </c>
      <c r="R734" s="1">
        <v>-0.01128829550325516</v>
      </c>
      <c r="S734" s="1">
        <v>0.007082671815481278</v>
      </c>
      <c r="T734" s="1">
        <v>0.007875580256603287</v>
      </c>
      <c r="U734" s="1">
        <v>-0.005530182491438662</v>
      </c>
      <c r="V734" s="1">
        <v>-0.009877822591894847</v>
      </c>
      <c r="W734" s="1">
        <v>0.00472921752270361</v>
      </c>
      <c r="X734" s="1">
        <v>-0.003383773619044628</v>
      </c>
      <c r="Y734" s="1">
        <v>-0.01015634822683009</v>
      </c>
      <c r="Z734" s="1">
        <v>-0.002070438601639912</v>
      </c>
    </row>
    <row r="735" spans="1:26">
      <c r="A735" s="11">
        <v>43434</v>
      </c>
      <c r="B735" s="1">
        <v>-0.01153630134792583</v>
      </c>
      <c r="C735" s="1">
        <v>0.01226068554808513</v>
      </c>
      <c r="D735" s="1">
        <v>0.01061513188764085</v>
      </c>
      <c r="E735" s="1">
        <v>0.03164835475687999</v>
      </c>
      <c r="F735" s="1">
        <v>-0.0104009285083646</v>
      </c>
      <c r="G735" s="1">
        <v>0.009733116756278859</v>
      </c>
      <c r="H735" s="1">
        <v>-0.01085024725971317</v>
      </c>
      <c r="I735" s="1">
        <v>0.03273963453330486</v>
      </c>
      <c r="J735" s="1">
        <v>0.006124224957390068</v>
      </c>
      <c r="K735" s="1">
        <v>0.0148814868432503</v>
      </c>
      <c r="L735" s="1">
        <v>0.01026736185636823</v>
      </c>
      <c r="M735" s="1">
        <v>0.02592517677886419</v>
      </c>
      <c r="N735" s="1">
        <v>-0.01984264002986647</v>
      </c>
      <c r="O735" s="1">
        <v>0.01755169187240568</v>
      </c>
      <c r="P735" s="1">
        <v>0.006352755859539538</v>
      </c>
      <c r="Q735" s="1">
        <v>0.0142035611984177</v>
      </c>
      <c r="R735" s="1">
        <v>0.01484234134632167</v>
      </c>
      <c r="S735" s="1">
        <v>0.006607997727139603</v>
      </c>
      <c r="T735" s="1">
        <v>0.0102678835559753</v>
      </c>
      <c r="U735" s="1">
        <v>0.02191699928872493</v>
      </c>
      <c r="V735" s="1">
        <v>-0.002950597050588644</v>
      </c>
      <c r="W735" s="1">
        <v>0.003942485256140271</v>
      </c>
      <c r="X735" s="1">
        <v>0.003216535397007059</v>
      </c>
      <c r="Y735" s="1">
        <v>0.0142977097152408</v>
      </c>
      <c r="Z735" s="1">
        <v>0.009334411599117631</v>
      </c>
    </row>
    <row r="736" spans="1:26">
      <c r="A736" s="11">
        <v>43437</v>
      </c>
      <c r="B736" s="1">
        <v>0.03871340058077788</v>
      </c>
      <c r="C736" s="1">
        <v>0.0380668185667048</v>
      </c>
      <c r="D736" s="1">
        <v>0.009482205652307396</v>
      </c>
      <c r="E736" s="1">
        <v>-0.003367423694949578</v>
      </c>
      <c r="F736" s="1">
        <v>0.003588634425993442</v>
      </c>
      <c r="G736" s="1">
        <v>0.01285273452778823</v>
      </c>
      <c r="H736" s="1">
        <v>-0.01122442821401681</v>
      </c>
      <c r="I736" s="1">
        <v>0.04732708500218386</v>
      </c>
      <c r="J736" s="1">
        <v>0.0413044494761885</v>
      </c>
      <c r="K736" s="1">
        <v>0.007475973185798734</v>
      </c>
      <c r="L736" s="1">
        <v>0.009442842887003255</v>
      </c>
      <c r="M736" s="1">
        <v>-0.004394868323231549</v>
      </c>
      <c r="N736" s="1">
        <v>0.01641450331406658</v>
      </c>
      <c r="O736" s="1">
        <v>0.004509309114155258</v>
      </c>
      <c r="P736" s="1">
        <v>0.01082170162653706</v>
      </c>
      <c r="Q736" s="1">
        <v>0.01968215414118579</v>
      </c>
      <c r="R736" s="1">
        <v>-0.01783987607377846</v>
      </c>
      <c r="S736" s="1">
        <v>-0.003938791093125893</v>
      </c>
      <c r="T736" s="1">
        <v>-0.01351220910099316</v>
      </c>
      <c r="U736" s="1">
        <v>0.01504482222546799</v>
      </c>
      <c r="V736" s="1">
        <v>0.01944769573016569</v>
      </c>
      <c r="W736" s="1">
        <v>0.009737468127074544</v>
      </c>
      <c r="X736" s="1">
        <v>0.01050936866828223</v>
      </c>
      <c r="Y736" s="1">
        <v>-0.03548931634810093</v>
      </c>
      <c r="Z736" s="1">
        <v>-0.00554875035052127</v>
      </c>
    </row>
    <row r="737" spans="1:26">
      <c r="A737" s="11">
        <v>43438</v>
      </c>
      <c r="B737" s="1">
        <v>-0.039736688553759</v>
      </c>
      <c r="C737" s="1">
        <v>-0.04850553993297457</v>
      </c>
      <c r="D737" s="1">
        <v>-0.02803512631761362</v>
      </c>
      <c r="E737" s="1">
        <v>-0.02346057362513976</v>
      </c>
      <c r="F737" s="1">
        <v>-0.03729205212079634</v>
      </c>
      <c r="G737" s="1">
        <v>-0.011279640973481</v>
      </c>
      <c r="H737" s="1">
        <v>-0.004386195115899549</v>
      </c>
      <c r="I737" s="1">
        <v>-0.06547041446404678</v>
      </c>
      <c r="J737" s="1">
        <v>-0.02964488642230612</v>
      </c>
      <c r="K737" s="1">
        <v>-0.0328198572871915</v>
      </c>
      <c r="L737" s="1">
        <v>-0.04463635462262949</v>
      </c>
      <c r="M737" s="1">
        <v>-0.02600992077528019</v>
      </c>
      <c r="N737" s="1">
        <v>-0.02386497271400456</v>
      </c>
      <c r="O737" s="1">
        <v>-0.02603801178586285</v>
      </c>
      <c r="P737" s="1">
        <v>-0.03184959764586903</v>
      </c>
      <c r="Q737" s="1">
        <v>0.005567738145161538</v>
      </c>
      <c r="R737" s="1">
        <v>-0.02929126381477354</v>
      </c>
      <c r="S737" s="1">
        <v>-0.002871645840044068</v>
      </c>
      <c r="T737" s="1">
        <v>-0.02806291881199507</v>
      </c>
      <c r="U737" s="1">
        <v>-0.03090501177133265</v>
      </c>
      <c r="V737" s="1">
        <v>-0.04188576617565831</v>
      </c>
      <c r="W737" s="1">
        <v>-0.03210585866761462</v>
      </c>
      <c r="X737" s="1">
        <v>-0.04019034819378942</v>
      </c>
      <c r="Y737" s="1">
        <v>-0.001203628378853239</v>
      </c>
      <c r="Z737" s="1">
        <v>-0.05166368668342392</v>
      </c>
    </row>
    <row r="738" spans="1:26">
      <c r="A738" s="11">
        <v>43440</v>
      </c>
      <c r="B738" s="1">
        <v>-0.03253433270870143</v>
      </c>
      <c r="C738" s="1">
        <v>-0.03094900210831486</v>
      </c>
      <c r="D738" s="1">
        <v>-0.006987524174713489</v>
      </c>
      <c r="E738" s="1">
        <v>0.02344783020471075</v>
      </c>
      <c r="F738" s="1">
        <v>0.005040671105502437</v>
      </c>
      <c r="G738" s="1">
        <v>0.0042781633966118</v>
      </c>
      <c r="H738" s="1">
        <v>-0.009587690693802942</v>
      </c>
      <c r="I738" s="1">
        <v>0.01847051875049122</v>
      </c>
      <c r="J738" s="1">
        <v>0.03356243302100204</v>
      </c>
      <c r="K738" s="1">
        <v>-0.01475356203319744</v>
      </c>
      <c r="L738" s="1">
        <v>-0.01902444648089752</v>
      </c>
      <c r="M738" s="1">
        <v>0.01515139382188857</v>
      </c>
      <c r="N738" s="1">
        <v>0</v>
      </c>
      <c r="O738" s="1">
        <v>-0.01786111637292065</v>
      </c>
      <c r="P738" s="1">
        <v>0.006174064302218119</v>
      </c>
      <c r="Q738" s="1">
        <v>-0.01033611441071491</v>
      </c>
      <c r="R738" s="1">
        <v>-0.01247485145265825</v>
      </c>
      <c r="S738" s="1">
        <v>0.02086754994613771</v>
      </c>
      <c r="T738" s="1">
        <v>-0.01369913200162554</v>
      </c>
      <c r="U738" s="1">
        <v>-0.00650816292528178</v>
      </c>
      <c r="V738" s="1">
        <v>0.003318433874866411</v>
      </c>
      <c r="W738" s="1">
        <v>-0.007585107659582313</v>
      </c>
      <c r="X738" s="1">
        <v>-0.02644645602030182</v>
      </c>
      <c r="Y738" s="1">
        <v>-0.0001720094899833047</v>
      </c>
      <c r="Z738" s="1">
        <v>0</v>
      </c>
    </row>
    <row r="739" spans="1:26">
      <c r="A739" s="11">
        <v>43441</v>
      </c>
      <c r="B739" s="1">
        <v>-0.02625357879043699</v>
      </c>
      <c r="C739" s="1">
        <v>-0.02615226269107307</v>
      </c>
      <c r="D739" s="1">
        <v>-0.02650103751330923</v>
      </c>
      <c r="E739" s="1">
        <v>-0.003192273561967274</v>
      </c>
      <c r="F739" s="1">
        <v>-0.01240736788950558</v>
      </c>
      <c r="G739" s="1">
        <v>0.007454871604123614</v>
      </c>
      <c r="H739" s="1">
        <v>-0.01177407138330266</v>
      </c>
      <c r="I739" s="1">
        <v>-0.04618148855938142</v>
      </c>
      <c r="J739" s="1">
        <v>-0.04537873107199986</v>
      </c>
      <c r="K739" s="1">
        <v>-0.02186305630643215</v>
      </c>
      <c r="L739" s="1">
        <v>-0.01806261709646939</v>
      </c>
      <c r="M739" s="1">
        <v>-0.04179101487145764</v>
      </c>
      <c r="N739" s="1">
        <v>-0.004044206391761729</v>
      </c>
      <c r="O739" s="1">
        <v>-0.005397195328931237</v>
      </c>
      <c r="P739" s="1">
        <v>-0.04002201659571547</v>
      </c>
      <c r="Q739" s="1">
        <v>0.01230919144137577</v>
      </c>
      <c r="R739" s="1">
        <v>-0.02543524679863884</v>
      </c>
      <c r="S739" s="1">
        <v>-0.009665283711919992</v>
      </c>
      <c r="T739" s="1">
        <v>-0.02875112666453994</v>
      </c>
      <c r="U739" s="1">
        <v>-0.01277470652979462</v>
      </c>
      <c r="V739" s="1">
        <v>-0.02487765765359173</v>
      </c>
      <c r="W739" s="1">
        <v>-0.02553319837597645</v>
      </c>
      <c r="X739" s="1">
        <v>-0.03376705147761294</v>
      </c>
      <c r="Y739" s="1">
        <v>-0.006887031280836564</v>
      </c>
      <c r="Z739" s="1">
        <v>-0.01699683044917999</v>
      </c>
    </row>
    <row r="740" spans="1:26">
      <c r="A740" s="11">
        <v>43444</v>
      </c>
      <c r="B740" s="1">
        <v>-0.05301439411369391</v>
      </c>
      <c r="C740" s="1">
        <v>0.009683810155305839</v>
      </c>
      <c r="D740" s="1">
        <v>0.007074685717466611</v>
      </c>
      <c r="E740" s="1">
        <v>-0.009419817537224096</v>
      </c>
      <c r="F740" s="1">
        <v>-0.001604025937169795</v>
      </c>
      <c r="G740" s="1">
        <v>0.002818665123407005</v>
      </c>
      <c r="H740" s="1">
        <v>-0.001323839537264115</v>
      </c>
      <c r="I740" s="1">
        <v>-0.001562052673042991</v>
      </c>
      <c r="J740" s="1">
        <v>0</v>
      </c>
      <c r="K740" s="1">
        <v>-0.009491532531366587</v>
      </c>
      <c r="L740" s="1">
        <v>-0.01868528902998912</v>
      </c>
      <c r="M740" s="1">
        <v>-0.004283498393142682</v>
      </c>
      <c r="N740" s="1">
        <v>-0.01513474050252572</v>
      </c>
      <c r="O740" s="1">
        <v>-0.002359438678615766</v>
      </c>
      <c r="P740" s="1">
        <v>0.02642632016521351</v>
      </c>
      <c r="Q740" s="1">
        <v>0.004421330766913201</v>
      </c>
      <c r="R740" s="1">
        <v>0.008408156163146607</v>
      </c>
      <c r="S740" s="1">
        <v>-0.0009342733324214647</v>
      </c>
      <c r="T740" s="1">
        <v>0.01016712677733178</v>
      </c>
      <c r="U740" s="1">
        <v>-0.007630711562540693</v>
      </c>
      <c r="V740" s="1">
        <v>0.007520998515432309</v>
      </c>
      <c r="W740" s="1">
        <v>0.005172683471436734</v>
      </c>
      <c r="X740" s="1">
        <v>-0.0003903078443072694</v>
      </c>
      <c r="Y740" s="1">
        <v>0.01022895497177756</v>
      </c>
      <c r="Z740" s="1">
        <v>-0.01950802874687885</v>
      </c>
    </row>
    <row r="741" spans="1:26">
      <c r="A741" s="11">
        <v>43445</v>
      </c>
      <c r="B741" s="1">
        <v>-0.02207282634720376</v>
      </c>
      <c r="C741" s="1">
        <v>-0.01323729921410177</v>
      </c>
      <c r="D741" s="1">
        <v>0.01084307929145645</v>
      </c>
      <c r="E741" s="1">
        <v>-0.002852759390198023</v>
      </c>
      <c r="F741" s="1">
        <v>-0.01365463312812887</v>
      </c>
      <c r="G741" s="1">
        <v>0.01124397237255481</v>
      </c>
      <c r="H741" s="1">
        <v>0.02916239607488946</v>
      </c>
      <c r="I741" s="1">
        <v>-0.0002035996558689135</v>
      </c>
      <c r="J741" s="1">
        <v>-0.01657226022483882</v>
      </c>
      <c r="K741" s="1">
        <v>-0.003709562423712676</v>
      </c>
      <c r="L741" s="1">
        <v>-0.00976711048690182</v>
      </c>
      <c r="M741" s="1">
        <v>-0.001173184814804995</v>
      </c>
      <c r="N741" s="1">
        <v>0.01105693479132519</v>
      </c>
      <c r="O741" s="1">
        <v>-0.01288854982694532</v>
      </c>
      <c r="P741" s="1">
        <v>0.009294546768050527</v>
      </c>
      <c r="Q741" s="1">
        <v>0.008803827217708671</v>
      </c>
      <c r="R741" s="1">
        <v>0.004168286299030655</v>
      </c>
      <c r="S741" s="1">
        <v>-0.005661631104930676</v>
      </c>
      <c r="T741" s="1">
        <v>-0.006633604675183147</v>
      </c>
      <c r="U741" s="1">
        <v>-0.007021192142346644</v>
      </c>
      <c r="V741" s="1">
        <v>-0.02254105413689023</v>
      </c>
      <c r="W741" s="1">
        <v>0.001771608916460332</v>
      </c>
      <c r="X741" s="1">
        <v>-0.01757823865017438</v>
      </c>
      <c r="Y741" s="1">
        <v>0.009953602003881512</v>
      </c>
      <c r="Z741" s="1">
        <v>-0.01763495978867924</v>
      </c>
    </row>
    <row r="742" spans="1:26">
      <c r="A742" s="11">
        <v>43446</v>
      </c>
      <c r="B742" s="1">
        <v>0.02486096459047049</v>
      </c>
      <c r="C742" s="1">
        <v>0.01447060095964181</v>
      </c>
      <c r="D742" s="1">
        <v>0.01223755738816656</v>
      </c>
      <c r="E742" s="1">
        <v>0.0192637900798176</v>
      </c>
      <c r="F742" s="1">
        <v>0.00380022398671187</v>
      </c>
      <c r="G742" s="1">
        <v>0.003822170438232186</v>
      </c>
      <c r="H742" s="1">
        <v>0.001030439076356471</v>
      </c>
      <c r="I742" s="1">
        <v>0.007755109635911639</v>
      </c>
      <c r="J742" s="1">
        <v>0.007146174543614769</v>
      </c>
      <c r="K742" s="1">
        <v>0.0114800960600292</v>
      </c>
      <c r="L742" s="1">
        <v>0.006475792673700909</v>
      </c>
      <c r="M742" s="1">
        <v>-0.003523771156098365</v>
      </c>
      <c r="N742" s="1">
        <v>-0.01149219899604059</v>
      </c>
      <c r="O742" s="1">
        <v>0.0056297984553626</v>
      </c>
      <c r="P742" s="1">
        <v>0.004512511251995699</v>
      </c>
      <c r="Q742" s="1">
        <v>-0.01127238872654168</v>
      </c>
      <c r="R742" s="1">
        <v>0.0103787623238909</v>
      </c>
      <c r="S742" s="1">
        <v>-0.03060696384760642</v>
      </c>
      <c r="T742" s="1">
        <v>0.001790908216440457</v>
      </c>
      <c r="U742" s="1">
        <v>0.01548809881087365</v>
      </c>
      <c r="V742" s="1">
        <v>0.01512420758496358</v>
      </c>
      <c r="W742" s="1">
        <v>0.01587354317557521</v>
      </c>
      <c r="X742" s="1">
        <v>0.01411529462390382</v>
      </c>
      <c r="Y742" s="1">
        <v>-0.02718788046798359</v>
      </c>
      <c r="Z742" s="1">
        <v>0.006213748217274384</v>
      </c>
    </row>
    <row r="743" spans="1:26">
      <c r="A743" s="11">
        <v>43447</v>
      </c>
      <c r="B743" s="1">
        <v>-0.0009578173809470236</v>
      </c>
      <c r="C743" s="1">
        <v>-0.003734476652695329</v>
      </c>
      <c r="D743" s="1">
        <v>-0.0007461000949210428</v>
      </c>
      <c r="E743" s="1">
        <v>0.003742273941870211</v>
      </c>
      <c r="F743" s="1">
        <v>-0.005949270223172265</v>
      </c>
      <c r="G743" s="1">
        <v>0.01557612922618179</v>
      </c>
      <c r="H743" s="1">
        <v>0.0138961121715051</v>
      </c>
      <c r="I743" s="1">
        <v>0.001147240287579843</v>
      </c>
      <c r="J743" s="1">
        <v>-0.01152985805152917</v>
      </c>
      <c r="K743" s="1">
        <v>-0.0141104454720552</v>
      </c>
      <c r="L743" s="1">
        <v>0.0009902599430020587</v>
      </c>
      <c r="M743" s="1">
        <v>-0.01100209992590451</v>
      </c>
      <c r="N743" s="1">
        <v>0.01106315596568574</v>
      </c>
      <c r="O743" s="1">
        <v>0.0009530356788196581</v>
      </c>
      <c r="P743" s="1">
        <v>0.00339203048118164</v>
      </c>
      <c r="Q743" s="1">
        <v>0.01581437547401965</v>
      </c>
      <c r="R743" s="1">
        <v>0.01595490455543436</v>
      </c>
      <c r="S743" s="1">
        <v>-0.02564929396936422</v>
      </c>
      <c r="T743" s="1">
        <v>-0.01445539693034426</v>
      </c>
      <c r="U743" s="1">
        <v>-0.008288881934910508</v>
      </c>
      <c r="V743" s="1">
        <v>-0.01637380915065478</v>
      </c>
      <c r="W743" s="1">
        <v>0.001036155781268366</v>
      </c>
      <c r="X743" s="1">
        <v>-0.02000389270166791</v>
      </c>
      <c r="Y743" s="1">
        <v>-0.002794895245616824</v>
      </c>
      <c r="Z743" s="1">
        <v>-0.02790474971223356</v>
      </c>
    </row>
    <row r="744" spans="1:26">
      <c r="A744" s="11">
        <v>43448</v>
      </c>
      <c r="B744" s="1">
        <v>-0.03386565433297384</v>
      </c>
      <c r="C744" s="1">
        <v>-0.02064701002504354</v>
      </c>
      <c r="D744" s="1">
        <v>-0.01867116698784932</v>
      </c>
      <c r="E744" s="1">
        <v>-0.02833701424818114</v>
      </c>
      <c r="F744" s="1">
        <v>-0.01142520851932416</v>
      </c>
      <c r="G744" s="1">
        <v>-0.001363300731618944</v>
      </c>
      <c r="H744" s="1">
        <v>-0.00609168554257522</v>
      </c>
      <c r="I744" s="1">
        <v>0.004720185386122511</v>
      </c>
      <c r="J744" s="1">
        <v>-0.012561568952142</v>
      </c>
      <c r="K744" s="1">
        <v>0.002823006373526615</v>
      </c>
      <c r="L744" s="1">
        <v>-0.008208372877388515</v>
      </c>
      <c r="M744" s="1">
        <v>-0.004966373877662966</v>
      </c>
      <c r="N744" s="1">
        <v>-0.02206967943718208</v>
      </c>
      <c r="O744" s="1">
        <v>-0.01225753816538944</v>
      </c>
      <c r="P744" s="1">
        <v>-0.03124715802871092</v>
      </c>
      <c r="Q744" s="1">
        <v>-0.004706581048791736</v>
      </c>
      <c r="R744" s="1">
        <v>-0.01291263212676153</v>
      </c>
      <c r="S744" s="1">
        <v>0.02220527545403406</v>
      </c>
      <c r="T744" s="1">
        <v>0.0002853519380847658</v>
      </c>
      <c r="U744" s="1">
        <v>0.01036426841462212</v>
      </c>
      <c r="V744" s="1">
        <v>0.007348342191733304</v>
      </c>
      <c r="W744" s="1">
        <v>-0.02966640466249071</v>
      </c>
      <c r="X744" s="1">
        <v>-0.01000595824050565</v>
      </c>
      <c r="Y744" s="1">
        <v>-0.0001750224521149812</v>
      </c>
      <c r="Z744" s="1">
        <v>-0.02258821345276907</v>
      </c>
    </row>
    <row r="745" spans="1:26">
      <c r="A745" s="11">
        <v>43451</v>
      </c>
      <c r="B745" s="1">
        <v>-0.002314843739510297</v>
      </c>
      <c r="C745" s="1">
        <v>-0.008219581110945007</v>
      </c>
      <c r="D745" s="1">
        <v>-0.02298310030170003</v>
      </c>
      <c r="E745" s="1">
        <v>-0.0230237983191679</v>
      </c>
      <c r="F745" s="1">
        <v>-0.003577440681370003</v>
      </c>
      <c r="G745" s="1">
        <v>-0.01331030783584741</v>
      </c>
      <c r="H745" s="1">
        <v>-0.008426970161433678</v>
      </c>
      <c r="I745" s="1">
        <v>-0.01966284883566849</v>
      </c>
      <c r="J745" s="1">
        <v>-0.02680609391784483</v>
      </c>
      <c r="K745" s="1">
        <v>-0.02846405442084821</v>
      </c>
      <c r="L745" s="1">
        <v>-0.01276289498320127</v>
      </c>
      <c r="M745" s="1">
        <v>-0.01397474672997867</v>
      </c>
      <c r="N745" s="1">
        <v>-0.007206677258321581</v>
      </c>
      <c r="O745" s="1">
        <v>-0.01855408423237814</v>
      </c>
      <c r="P745" s="1">
        <v>-0.02961426761119945</v>
      </c>
      <c r="Q745" s="1">
        <v>-0.03092023570537294</v>
      </c>
      <c r="R745" s="1">
        <v>-0.008484693113557817</v>
      </c>
      <c r="S745" s="1">
        <v>-0.01916731790476101</v>
      </c>
      <c r="T745" s="1">
        <v>-0.02474103608707245</v>
      </c>
      <c r="U745" s="1">
        <v>-0.01191245141531549</v>
      </c>
      <c r="V745" s="1">
        <v>-0.04242950989112348</v>
      </c>
      <c r="W745" s="1">
        <v>-0.02271661680546078</v>
      </c>
      <c r="X745" s="1">
        <v>-0.01354371779523711</v>
      </c>
      <c r="Y745" s="1">
        <v>-0.01979696932511421</v>
      </c>
      <c r="Z745" s="1">
        <v>-0.008425526388392224</v>
      </c>
    </row>
    <row r="746" spans="1:26">
      <c r="A746" s="11">
        <v>43452</v>
      </c>
      <c r="B746" s="1">
        <v>-0.03082526471536606</v>
      </c>
      <c r="C746" s="1">
        <v>0.03773764854446626</v>
      </c>
      <c r="D746" s="1">
        <v>0.01433246513188213</v>
      </c>
      <c r="E746" s="1">
        <v>0.01256882031227424</v>
      </c>
      <c r="F746" s="1">
        <v>-0.01546515839262985</v>
      </c>
      <c r="G746" s="1">
        <v>-0.02110007374532452</v>
      </c>
      <c r="H746" s="1">
        <v>-0.008755717537994867</v>
      </c>
      <c r="I746" s="1">
        <v>0.02156296882411435</v>
      </c>
      <c r="J746" s="1">
        <v>-0.0004671261582771535</v>
      </c>
      <c r="K746" s="1">
        <v>0.02350285210593572</v>
      </c>
      <c r="L746" s="1">
        <v>-0.004746851994033463</v>
      </c>
      <c r="M746" s="1">
        <v>0.00425180819771076</v>
      </c>
      <c r="N746" s="1">
        <v>-0.02788912950777178</v>
      </c>
      <c r="O746" s="1">
        <v>-0.005892575024305846</v>
      </c>
      <c r="P746" s="1">
        <v>0.01049663897481246</v>
      </c>
      <c r="Q746" s="1">
        <v>-0.006006120398257431</v>
      </c>
      <c r="R746" s="1">
        <v>0.001604140307280399</v>
      </c>
      <c r="S746" s="1">
        <v>0.02289900143729406</v>
      </c>
      <c r="T746" s="1">
        <v>0.0198167131351763</v>
      </c>
      <c r="U746" s="1">
        <v>-0.003683693926732512</v>
      </c>
      <c r="V746" s="1">
        <v>0.01539174807124044</v>
      </c>
      <c r="W746" s="1">
        <v>0.006248237156062819</v>
      </c>
      <c r="X746" s="1">
        <v>0.002868887144316101</v>
      </c>
      <c r="Y746" s="1">
        <v>-0.005362072889167346</v>
      </c>
      <c r="Z746" s="1">
        <v>-0.01043979491789104</v>
      </c>
    </row>
    <row r="747" spans="1:26">
      <c r="A747" s="11">
        <v>43453</v>
      </c>
      <c r="B747" s="1">
        <v>-0.01675783401188791</v>
      </c>
      <c r="C747" s="1">
        <v>-0.02594055017344599</v>
      </c>
      <c r="D747" s="1">
        <v>-0.01628000386781803</v>
      </c>
      <c r="E747" s="1">
        <v>-0.02269204206355147</v>
      </c>
      <c r="F747" s="1">
        <v>-0.01290343897955459</v>
      </c>
      <c r="G747" s="1">
        <v>0.003180172251632474</v>
      </c>
      <c r="H747" s="1">
        <v>0.004157094000963424</v>
      </c>
      <c r="I747" s="1">
        <v>-0.02110782152659152</v>
      </c>
      <c r="J747" s="1">
        <v>-0.04016786288656782</v>
      </c>
      <c r="K747" s="1">
        <v>-0.03019823104414276</v>
      </c>
      <c r="L747" s="1">
        <v>-0.01268514052602576</v>
      </c>
      <c r="M747" s="1">
        <v>-0.01653219447534537</v>
      </c>
      <c r="N747" s="1">
        <v>0.01002165013318712</v>
      </c>
      <c r="O747" s="1">
        <v>-0.009755234734395546</v>
      </c>
      <c r="P747" s="1">
        <v>-0.002693091299757144</v>
      </c>
      <c r="Q747" s="1">
        <v>-0.004153857304624808</v>
      </c>
      <c r="R747" s="1">
        <v>-0.02313972217832805</v>
      </c>
      <c r="S747" s="1">
        <v>-0.004359553751448031</v>
      </c>
      <c r="T747" s="1">
        <v>-0.009559592535376527</v>
      </c>
      <c r="U747" s="1">
        <v>0.002352643899159235</v>
      </c>
      <c r="V747" s="1">
        <v>-0.03797281180153933</v>
      </c>
      <c r="W747" s="1">
        <v>-0.008423858053648203</v>
      </c>
      <c r="X747" s="1">
        <v>-0.03555386425628182</v>
      </c>
      <c r="Y747" s="1">
        <v>0.003773960570349955</v>
      </c>
      <c r="Z747" s="1">
        <v>-0.01545583488482094</v>
      </c>
    </row>
    <row r="748" spans="1:26">
      <c r="A748" s="11">
        <v>43454</v>
      </c>
      <c r="B748" s="1">
        <v>-0.06086942395524109</v>
      </c>
      <c r="C748" s="1">
        <v>-0.02034104367226386</v>
      </c>
      <c r="D748" s="1">
        <v>-0.02138959329999102</v>
      </c>
      <c r="E748" s="1">
        <v>-0.006548917602765325</v>
      </c>
      <c r="F748" s="1">
        <v>-0.01619784329659935</v>
      </c>
      <c r="G748" s="1">
        <v>0.0003520834955210717</v>
      </c>
      <c r="H748" s="1">
        <v>-0.0253562252912547</v>
      </c>
      <c r="I748" s="1">
        <v>-0.00985809949595351</v>
      </c>
      <c r="J748" s="1">
        <v>-0.0233576453586557</v>
      </c>
      <c r="K748" s="1">
        <v>-0.01102809975239605</v>
      </c>
      <c r="L748" s="1">
        <v>-0.008634187977943242</v>
      </c>
      <c r="M748" s="1">
        <v>-0.03505539948912684</v>
      </c>
      <c r="N748" s="1">
        <v>-0.01867714724448821</v>
      </c>
      <c r="O748" s="1">
        <v>-0.0110989775032927</v>
      </c>
      <c r="P748" s="1">
        <v>-0.02102424835051642</v>
      </c>
      <c r="Q748" s="1">
        <v>-0.003413057160574051</v>
      </c>
      <c r="R748" s="1">
        <v>0.009657551834296729</v>
      </c>
      <c r="S748" s="1">
        <v>-0.001574256506534866</v>
      </c>
      <c r="T748" s="1">
        <v>-0.002235544040146586</v>
      </c>
      <c r="U748" s="1">
        <v>-0.0392352230685401</v>
      </c>
      <c r="V748" s="1">
        <v>-0.01798498316157371</v>
      </c>
      <c r="W748" s="1">
        <v>-0.03809757617635445</v>
      </c>
      <c r="X748" s="1">
        <v>-0.0309320206002881</v>
      </c>
      <c r="Y748" s="1">
        <v>-0.01414270348942492</v>
      </c>
      <c r="Z748" s="1">
        <v>-0.009718526292118002</v>
      </c>
    </row>
    <row r="749" spans="1:26">
      <c r="A749" s="11">
        <v>43455</v>
      </c>
      <c r="B749" s="1">
        <v>-0.01666699553283835</v>
      </c>
      <c r="C749" s="1">
        <v>-0.02715223702349401</v>
      </c>
      <c r="D749" s="1">
        <v>0.003509930905643888</v>
      </c>
      <c r="E749" s="1">
        <v>-0.004794433755205718</v>
      </c>
      <c r="F749" s="1">
        <v>-0.02512990372713009</v>
      </c>
      <c r="G749" s="1">
        <v>-0.001056213450512655</v>
      </c>
      <c r="H749" s="1">
        <v>-0.05096892876420667</v>
      </c>
      <c r="I749" s="1">
        <v>-0.01140747823836064</v>
      </c>
      <c r="J749" s="1">
        <v>-0.02092687236433022</v>
      </c>
      <c r="K749" s="1">
        <v>-0.03345366445644338</v>
      </c>
      <c r="L749" s="1">
        <v>-0.02363921937657898</v>
      </c>
      <c r="M749" s="1">
        <v>-0.02379392835790006</v>
      </c>
      <c r="N749" s="1">
        <v>-0.02676434312620302</v>
      </c>
      <c r="O749" s="1">
        <v>-0.02282447955143119</v>
      </c>
      <c r="P749" s="1">
        <v>-0.03231226251801478</v>
      </c>
      <c r="Q749" s="1">
        <v>-0.008751952524017614</v>
      </c>
      <c r="R749" s="1">
        <v>-0.009203883963098569</v>
      </c>
      <c r="S749" s="1">
        <v>0.001823359185952</v>
      </c>
      <c r="T749" s="1">
        <v>-0.007485521757807478</v>
      </c>
      <c r="U749" s="1">
        <v>-0.01186750946406911</v>
      </c>
      <c r="V749" s="1">
        <v>-0.009238247589799409</v>
      </c>
      <c r="W749" s="1">
        <v>-0.01761846518034105</v>
      </c>
      <c r="X749" s="1">
        <v>-0.005028247198022195</v>
      </c>
      <c r="Y749" s="1">
        <v>-0.002723771643598938</v>
      </c>
      <c r="Z749" s="1">
        <v>-0.01711136964729132</v>
      </c>
    </row>
    <row r="750" spans="1:26">
      <c r="A750" s="11">
        <v>43458</v>
      </c>
      <c r="B750" s="1">
        <v>-0.04331437808294647</v>
      </c>
      <c r="C750" s="1">
        <v>-0.03411576437433184</v>
      </c>
      <c r="D750" s="1">
        <v>-0.02305250854156704</v>
      </c>
      <c r="E750" s="1">
        <v>-0.02127628934485415</v>
      </c>
      <c r="F750" s="1">
        <v>-0.02014804440131113</v>
      </c>
      <c r="G750" s="1">
        <v>-0.04053598985525919</v>
      </c>
      <c r="H750" s="1">
        <v>-0.06517497922623516</v>
      </c>
      <c r="I750" s="1">
        <v>-0.039233656822658</v>
      </c>
      <c r="J750" s="1">
        <v>-0.01374034814478542</v>
      </c>
      <c r="K750" s="1">
        <v>-0.0325754849694242</v>
      </c>
      <c r="L750" s="1">
        <v>-0.02155668135745836</v>
      </c>
      <c r="M750" s="1">
        <v>-0.0337325500272273</v>
      </c>
      <c r="N750" s="1">
        <v>-0.015116948183028</v>
      </c>
      <c r="O750" s="1">
        <v>-0.0254226886114256</v>
      </c>
      <c r="P750" s="1">
        <v>-0.04173875938374849</v>
      </c>
      <c r="Q750" s="1">
        <v>-0.0445298472478971</v>
      </c>
      <c r="R750" s="1">
        <v>-0.02240461183414477</v>
      </c>
      <c r="S750" s="1">
        <v>-0.03261222337533165</v>
      </c>
      <c r="T750" s="1">
        <v>-0.03003586973650818</v>
      </c>
      <c r="U750" s="1">
        <v>-0.03355711429827368</v>
      </c>
      <c r="V750" s="1">
        <v>0.006870483753747658</v>
      </c>
      <c r="W750" s="1">
        <v>-0.033921619228658</v>
      </c>
      <c r="X750" s="1">
        <v>-0.02966417896233275</v>
      </c>
      <c r="Y750" s="1">
        <v>-0.03404916650684187</v>
      </c>
      <c r="Z750" s="1">
        <v>-0.0140810351376317</v>
      </c>
    </row>
    <row r="751" spans="1:26">
      <c r="A751" s="11">
        <v>43460</v>
      </c>
      <c r="B751" s="1">
        <v>0.06456694339410651</v>
      </c>
      <c r="C751" s="1">
        <v>0.06720832950752809</v>
      </c>
      <c r="D751" s="1">
        <v>0.04361260448574744</v>
      </c>
      <c r="E751" s="1">
        <v>0.02604552210501598</v>
      </c>
      <c r="F751" s="1">
        <v>0.03235526918218934</v>
      </c>
      <c r="G751" s="1">
        <v>0.01579758734963721</v>
      </c>
      <c r="H751" s="1">
        <v>0.02483593699740894</v>
      </c>
      <c r="I751" s="1">
        <v>0.04287362365945269</v>
      </c>
      <c r="J751" s="1">
        <v>0.049019330740671</v>
      </c>
      <c r="K751" s="1">
        <v>0.04314262789138601</v>
      </c>
      <c r="L751" s="1">
        <v>0.04145867283689486</v>
      </c>
      <c r="M751" s="1">
        <v>0.05225210795277935</v>
      </c>
      <c r="N751" s="1">
        <v>0.01829263434764661</v>
      </c>
      <c r="O751" s="1">
        <v>0.02555615180366844</v>
      </c>
      <c r="P751" s="1">
        <v>0.06831002626262594</v>
      </c>
      <c r="Q751" s="1">
        <v>0.006830306324323798</v>
      </c>
      <c r="R751" s="1">
        <v>0.05235739165118147</v>
      </c>
      <c r="S751" s="1">
        <v>0.01896556631727697</v>
      </c>
      <c r="T751" s="1">
        <v>0.05881050229967255</v>
      </c>
      <c r="U751" s="1">
        <v>0.02631576653958412</v>
      </c>
      <c r="V751" s="1">
        <v>0.05783952098834044</v>
      </c>
      <c r="W751" s="1">
        <v>0.04557006246031214</v>
      </c>
      <c r="X751" s="1">
        <v>0.0251361451041896</v>
      </c>
      <c r="Y751" s="1">
        <v>0.02620142863065955</v>
      </c>
      <c r="Z751" s="1">
        <v>0.05193488315213135</v>
      </c>
    </row>
    <row r="752" spans="1:26">
      <c r="A752" s="11">
        <v>43461</v>
      </c>
      <c r="B752" s="1">
        <v>-0.01109466415605165</v>
      </c>
      <c r="C752" s="1">
        <v>0.010225188650969</v>
      </c>
      <c r="D752" s="1">
        <v>0.02229843755039074</v>
      </c>
      <c r="E752" s="1">
        <v>0.007595740896562564</v>
      </c>
      <c r="F752" s="1">
        <v>0.009666333308154584</v>
      </c>
      <c r="G752" s="1">
        <v>0.01591289537495411</v>
      </c>
      <c r="H752" s="1">
        <v>-0.0218981244407086</v>
      </c>
      <c r="I752" s="1">
        <v>0.02408064362061468</v>
      </c>
      <c r="J752" s="1">
        <v>0.002459184645540624</v>
      </c>
      <c r="K752" s="1">
        <v>-0.001008713887539425</v>
      </c>
      <c r="L752" s="1">
        <v>0.01125462454806803</v>
      </c>
      <c r="M752" s="1">
        <v>0.001712324273185351</v>
      </c>
      <c r="N752" s="1">
        <v>0.005574860749395505</v>
      </c>
      <c r="O752" s="1">
        <v>0.01872175742231064</v>
      </c>
      <c r="P752" s="1">
        <v>0.006165418785795573</v>
      </c>
      <c r="Q752" s="1">
        <v>0.01077373465080012</v>
      </c>
      <c r="R752" s="1">
        <v>0.01735079710614884</v>
      </c>
      <c r="S752" s="1">
        <v>0.006537342680315694</v>
      </c>
      <c r="T752" s="1">
        <v>0.01150723201489701</v>
      </c>
      <c r="U752" s="1">
        <v>0.002492872159574722</v>
      </c>
      <c r="V752" s="1">
        <v>-0.006143597545502644</v>
      </c>
      <c r="W752" s="1">
        <v>0.01431395571186811</v>
      </c>
      <c r="X752" s="1">
        <v>0.01391653940079163</v>
      </c>
      <c r="Y752" s="1">
        <v>0.01304164222949922</v>
      </c>
      <c r="Z752" s="1">
        <v>-0.001234728407225938</v>
      </c>
    </row>
    <row r="753" spans="1:26">
      <c r="A753" s="11">
        <v>43462</v>
      </c>
      <c r="B753" s="1">
        <v>-0.0149586734062469</v>
      </c>
      <c r="C753" s="1">
        <v>-0.002396435066403746</v>
      </c>
      <c r="D753" s="1">
        <v>-0.005338476764261801</v>
      </c>
      <c r="E753" s="1">
        <v>0.01051373580269899</v>
      </c>
      <c r="F753" s="1">
        <v>-0.003481157661850198</v>
      </c>
      <c r="G753" s="1">
        <v>-0.003203863214863434</v>
      </c>
      <c r="H753" s="1">
        <v>-0.001790926900708145</v>
      </c>
      <c r="I753" s="1">
        <v>-0.004659009860195962</v>
      </c>
      <c r="J753" s="1">
        <v>-0.001962496798631475</v>
      </c>
      <c r="K753" s="1">
        <v>-0.003365674452521339</v>
      </c>
      <c r="L753" s="1">
        <v>-0.002163817330040341</v>
      </c>
      <c r="M753" s="1">
        <v>-0.0008548341312809571</v>
      </c>
      <c r="N753" s="1">
        <v>0.003901492185132804</v>
      </c>
      <c r="O753" s="1">
        <v>-0.0003800699522827911</v>
      </c>
      <c r="P753" s="1">
        <v>-0.007807742244507532</v>
      </c>
      <c r="Q753" s="1">
        <v>0.005922115634634961</v>
      </c>
      <c r="R753" s="1">
        <v>-0.006438911646127976</v>
      </c>
      <c r="S753" s="1">
        <v>0.000941620368686058</v>
      </c>
      <c r="T753" s="1">
        <v>-0.004064845299109776</v>
      </c>
      <c r="U753" s="1">
        <v>0.011012728905341</v>
      </c>
      <c r="V753" s="1">
        <v>0.003863429209746139</v>
      </c>
      <c r="W753" s="1">
        <v>0.006151107798445965</v>
      </c>
      <c r="X753" s="1">
        <v>-0.005446514013637382</v>
      </c>
      <c r="Y753" s="1">
        <v>0.00217606992770758</v>
      </c>
      <c r="Z753" s="1">
        <v>-0.0007408631650049902</v>
      </c>
    </row>
    <row r="754" spans="1:26">
      <c r="A754" s="11">
        <v>43465</v>
      </c>
      <c r="B754" s="1">
        <v>-0.003417012980532763</v>
      </c>
      <c r="C754" s="1">
        <v>0.01934390255354601</v>
      </c>
      <c r="D754" s="1">
        <v>0.009354479981290131</v>
      </c>
      <c r="E754" s="1">
        <v>0.02041606040586719</v>
      </c>
      <c r="F754" s="1">
        <v>-0.003220159815502832</v>
      </c>
      <c r="G754" s="1">
        <v>0.008214362951246335</v>
      </c>
      <c r="H754" s="1">
        <v>-0.01345701073081196</v>
      </c>
      <c r="I754" s="1">
        <v>0.02677597784244323</v>
      </c>
      <c r="J754" s="1">
        <v>0.005899624478176158</v>
      </c>
      <c r="K754" s="1">
        <v>0.001350680358350287</v>
      </c>
      <c r="L754" s="1">
        <v>0.008158504418744217</v>
      </c>
      <c r="M754" s="1">
        <v>-0.005987692588137139</v>
      </c>
      <c r="N754" s="1">
        <v>0.01022709442338909</v>
      </c>
      <c r="O754" s="1">
        <v>0.01115729734823034</v>
      </c>
      <c r="P754" s="1">
        <v>0.01175403545844556</v>
      </c>
      <c r="Q754" s="1">
        <v>-0.005102162048022052</v>
      </c>
      <c r="R754" s="1">
        <v>0.0008756367755162753</v>
      </c>
      <c r="S754" s="1">
        <v>0.002526140717232561</v>
      </c>
      <c r="T754" s="1">
        <v>0.009959554781330926</v>
      </c>
      <c r="U754" s="1">
        <v>0.002810781843525234</v>
      </c>
      <c r="V754" s="1">
        <v>0.01739504420009741</v>
      </c>
      <c r="W754" s="1">
        <v>0.006023985833035539</v>
      </c>
      <c r="X754" s="1">
        <v>0.007447651568026625</v>
      </c>
      <c r="Y754" s="1">
        <v>0.01718837752671831</v>
      </c>
      <c r="Z754" s="1">
        <v>0.007667340302825787</v>
      </c>
    </row>
    <row r="755" spans="1:26">
      <c r="A755" s="11">
        <v>43467</v>
      </c>
      <c r="B755" s="1">
        <v>0.03276180101391102</v>
      </c>
      <c r="C755" s="1">
        <v>0.004062001939508342</v>
      </c>
      <c r="D755" s="1">
        <v>-0.007900397950860727</v>
      </c>
      <c r="E755" s="1">
        <v>0.00865746488512098</v>
      </c>
      <c r="F755" s="1">
        <v>0.009397819109350225</v>
      </c>
      <c r="G755" s="1">
        <v>-0.008147436947040898</v>
      </c>
      <c r="H755" s="1">
        <v>-0.02212795259910938</v>
      </c>
      <c r="I755" s="1">
        <v>-0.007172989526634921</v>
      </c>
      <c r="J755" s="1">
        <v>0.008308828806073532</v>
      </c>
      <c r="K755" s="1">
        <v>0.02866793386064348</v>
      </c>
      <c r="L755" s="1">
        <v>0.01731185047165962</v>
      </c>
      <c r="M755" s="1">
        <v>0.0141995929822365</v>
      </c>
      <c r="N755" s="1">
        <v>-0.001619445961173582</v>
      </c>
      <c r="O755" s="1">
        <v>-0.008902574170477462</v>
      </c>
      <c r="P755" s="1">
        <v>-0.004430620686000086</v>
      </c>
      <c r="Q755" s="1">
        <v>-0.01104518985168002</v>
      </c>
      <c r="R755" s="1">
        <v>0.01260102351125258</v>
      </c>
      <c r="S755" s="1">
        <v>-0.03631248488326388</v>
      </c>
      <c r="T755" s="1">
        <v>-0.00312600730297774</v>
      </c>
      <c r="U755" s="1">
        <v>0.03503880005593052</v>
      </c>
      <c r="V755" s="1">
        <v>0.005295848677576487</v>
      </c>
      <c r="W755" s="1">
        <v>-0.01952731943445318</v>
      </c>
      <c r="X755" s="1">
        <v>0.00217437615484406</v>
      </c>
      <c r="Y755" s="1">
        <v>-0.003557442332130623</v>
      </c>
      <c r="Z755" s="1">
        <v>0.02061823287489406</v>
      </c>
    </row>
    <row r="756" spans="1:26">
      <c r="A756" s="11">
        <v>43468</v>
      </c>
      <c r="B756" s="1">
        <v>0.002582278529230209</v>
      </c>
      <c r="C756" s="1">
        <v>-0.03986909004428874</v>
      </c>
      <c r="D756" s="1">
        <v>-0.01255745254949725</v>
      </c>
      <c r="E756" s="1">
        <v>-0.1326415511525098</v>
      </c>
      <c r="F756" s="1">
        <v>0.007855829595952324</v>
      </c>
      <c r="G756" s="1">
        <v>0.005714177073286253</v>
      </c>
      <c r="H756" s="1">
        <v>0.01239944846397112</v>
      </c>
      <c r="I756" s="1">
        <v>-0.0273460660523821</v>
      </c>
      <c r="J756" s="1">
        <v>-0.03393049633095735</v>
      </c>
      <c r="K756" s="1">
        <v>-0.01606553185659798</v>
      </c>
      <c r="L756" s="1">
        <v>-0.01421156942837354</v>
      </c>
      <c r="M756" s="1">
        <v>-0.03245659117266397</v>
      </c>
      <c r="N756" s="1">
        <v>-0.005475508691327402</v>
      </c>
      <c r="O756" s="1">
        <v>-0.01303127512636193</v>
      </c>
      <c r="P756" s="1">
        <v>-0.03678781986325763</v>
      </c>
      <c r="Q756" s="1">
        <v>0.001196354345764927</v>
      </c>
      <c r="R756" s="1">
        <v>-0.023159493105537</v>
      </c>
      <c r="S756" s="1">
        <v>0.01917380745878439</v>
      </c>
      <c r="T756" s="1">
        <v>-0.03018652622229423</v>
      </c>
      <c r="U756" s="1">
        <v>0.001353788759348662</v>
      </c>
      <c r="V756" s="1">
        <v>-0.01369648553796832</v>
      </c>
      <c r="W756" s="1">
        <v>-0.03304158539050872</v>
      </c>
      <c r="X756" s="1">
        <v>-0.02538507133517165</v>
      </c>
      <c r="Y756" s="1">
        <v>0.003570142909649077</v>
      </c>
      <c r="Z756" s="1">
        <v>-0.005531303929427578</v>
      </c>
    </row>
    <row r="757" spans="1:26">
      <c r="A757" s="11">
        <v>43469</v>
      </c>
      <c r="B757" s="1">
        <v>0.04194254195303349</v>
      </c>
      <c r="C757" s="1">
        <v>0.05204232530789521</v>
      </c>
      <c r="D757" s="1">
        <v>0.03132741009739837</v>
      </c>
      <c r="E757" s="1">
        <v>0.03922862529901638</v>
      </c>
      <c r="F757" s="1">
        <v>0.03377568820973731</v>
      </c>
      <c r="G757" s="1">
        <v>0.01846581318915774</v>
      </c>
      <c r="H757" s="1">
        <v>0.005511122324610929</v>
      </c>
      <c r="I757" s="1">
        <v>0.05296749148147883</v>
      </c>
      <c r="J757" s="1">
        <v>0.03963837803630432</v>
      </c>
      <c r="K757" s="1">
        <v>0.03998657420099305</v>
      </c>
      <c r="L757" s="1">
        <v>0.03686522665020697</v>
      </c>
      <c r="M757" s="1">
        <v>0.04933123606471423</v>
      </c>
      <c r="N757" s="1">
        <v>0.0256928691365621</v>
      </c>
      <c r="O757" s="1">
        <v>0.02448351716998642</v>
      </c>
      <c r="P757" s="1">
        <v>0.04650925717409193</v>
      </c>
      <c r="Q757" s="1">
        <v>0.01753002326665842</v>
      </c>
      <c r="R757" s="1">
        <v>0.04440842280685309</v>
      </c>
      <c r="S757" s="1">
        <v>-0.01106671520849922</v>
      </c>
      <c r="T757" s="1">
        <v>0.02649905214908999</v>
      </c>
      <c r="U757" s="1">
        <v>0.02569307383800923</v>
      </c>
      <c r="V757" s="1">
        <v>0.01373410405293374</v>
      </c>
      <c r="W757" s="1">
        <v>0.04519963042812369</v>
      </c>
      <c r="X757" s="1">
        <v>0.0436329660129986</v>
      </c>
      <c r="Y757" s="1">
        <v>0.002490115484283795</v>
      </c>
      <c r="Z757" s="1">
        <v>0.03071323491310207</v>
      </c>
    </row>
    <row r="758" spans="1:26">
      <c r="A758" s="11">
        <v>43472</v>
      </c>
      <c r="B758" s="1">
        <v>0.02153945958919001</v>
      </c>
      <c r="C758" s="1">
        <v>0.003149002199836604</v>
      </c>
      <c r="D758" s="1">
        <v>-0.00496239685793709</v>
      </c>
      <c r="E758" s="1">
        <v>0.03241700525393654</v>
      </c>
      <c r="F758" s="1">
        <v>-0.01061122475202525</v>
      </c>
      <c r="G758" s="1">
        <v>0.003835912567179411</v>
      </c>
      <c r="H758" s="1">
        <v>0.02588302174454782</v>
      </c>
      <c r="I758" s="1">
        <v>0.01635001244056822</v>
      </c>
      <c r="J758" s="1">
        <v>0.01110030825613761</v>
      </c>
      <c r="K758" s="1">
        <v>0.01634095346534248</v>
      </c>
      <c r="L758" s="1">
        <v>0.000695555742916909</v>
      </c>
      <c r="M758" s="1">
        <v>0.0002088428146851395</v>
      </c>
      <c r="N758" s="1">
        <v>-0.0302183577168571</v>
      </c>
      <c r="O758" s="1">
        <v>0.004379373520926988</v>
      </c>
      <c r="P758" s="1">
        <v>0.001275279060378276</v>
      </c>
      <c r="Q758" s="1">
        <v>0.005481654462285102</v>
      </c>
      <c r="R758" s="1">
        <v>-0.001185679464030365</v>
      </c>
      <c r="S758" s="1">
        <v>-0.002797186241158212</v>
      </c>
      <c r="T758" s="1">
        <v>0.01411124278741238</v>
      </c>
      <c r="U758" s="1">
        <v>0.01812793550498193</v>
      </c>
      <c r="V758" s="1">
        <v>0.04892382067745871</v>
      </c>
      <c r="W758" s="1">
        <v>0.01348305085758028</v>
      </c>
      <c r="X758" s="1">
        <v>-0.009598688387172372</v>
      </c>
      <c r="Y758" s="1">
        <v>0.006387636697554155</v>
      </c>
      <c r="Z758" s="1">
        <v>0.003988946885624678</v>
      </c>
    </row>
    <row r="759" spans="1:26">
      <c r="A759" s="11">
        <v>43473</v>
      </c>
      <c r="B759" s="1">
        <v>0.0148635793468157</v>
      </c>
      <c r="C759" s="1">
        <v>0.03785328228937779</v>
      </c>
      <c r="D759" s="1">
        <v>-0.002720243028601632</v>
      </c>
      <c r="E759" s="1">
        <v>-0.008676189289366198</v>
      </c>
      <c r="F759" s="1">
        <v>0.00818500206484396</v>
      </c>
      <c r="G759" s="1">
        <v>0.01910346625397685</v>
      </c>
      <c r="H759" s="1">
        <v>0.007498807927953877</v>
      </c>
      <c r="I759" s="1">
        <v>0.0179032523375704</v>
      </c>
      <c r="J759" s="1">
        <v>0.0124103001307676</v>
      </c>
      <c r="K759" s="1">
        <v>0.006935677892072389</v>
      </c>
      <c r="L759" s="1">
        <v>-0.001885843530785469</v>
      </c>
      <c r="M759" s="1">
        <v>-0.006893376913838178</v>
      </c>
      <c r="N759" s="1">
        <v>0.005739927692333557</v>
      </c>
      <c r="O759" s="1">
        <v>0.006851989694045546</v>
      </c>
      <c r="P759" s="1">
        <v>0.007250851381265466</v>
      </c>
      <c r="Q759" s="1">
        <v>0.01869137290559397</v>
      </c>
      <c r="R759" s="1">
        <v>0.009667698524700841</v>
      </c>
      <c r="S759" s="1">
        <v>0.01795449621172507</v>
      </c>
      <c r="T759" s="1">
        <v>0.007096235732709566</v>
      </c>
      <c r="U759" s="1">
        <v>0.01262533619939044</v>
      </c>
      <c r="V759" s="1">
        <v>-0.00100458619281496</v>
      </c>
      <c r="W759" s="1">
        <v>0.02327011645977373</v>
      </c>
      <c r="X759" s="1">
        <v>0.02412204165714504</v>
      </c>
      <c r="Y759" s="1">
        <v>0.02926637118647135</v>
      </c>
      <c r="Z759" s="1">
        <v>0.009114097590360526</v>
      </c>
    </row>
    <row r="760" spans="1:26">
      <c r="A760" s="11">
        <v>43474</v>
      </c>
      <c r="B760" s="1">
        <v>0.05108978440927792</v>
      </c>
      <c r="C760" s="1">
        <v>0.009690605613047465</v>
      </c>
      <c r="D760" s="1">
        <v>0.01712382636322074</v>
      </c>
      <c r="E760" s="1">
        <v>-0.01687859394031488</v>
      </c>
      <c r="F760" s="1">
        <v>0.009518496550916744</v>
      </c>
      <c r="G760" s="1">
        <v>-0.01226978758395991</v>
      </c>
      <c r="H760" s="1">
        <v>0.01756462815563675</v>
      </c>
      <c r="I760" s="1">
        <v>-0.01650485373757193</v>
      </c>
      <c r="J760" s="1">
        <v>0</v>
      </c>
      <c r="K760" s="1">
        <v>0.000939164459134556</v>
      </c>
      <c r="L760" s="1">
        <v>-0.001690306691950361</v>
      </c>
      <c r="M760" s="1">
        <v>0.03239348208209369</v>
      </c>
      <c r="N760" s="1">
        <v>0.01223006903733759</v>
      </c>
      <c r="O760" s="1">
        <v>0.0008663363404946001</v>
      </c>
      <c r="P760" s="1">
        <v>0.01429928658424928</v>
      </c>
      <c r="Q760" s="1">
        <v>-0.0007644002016412577</v>
      </c>
      <c r="R760" s="1">
        <v>-0.01511844675572838</v>
      </c>
      <c r="S760" s="1">
        <v>-0.006965218870333745</v>
      </c>
      <c r="T760" s="1">
        <v>-0.001629897762469024</v>
      </c>
      <c r="U760" s="1">
        <v>-0.01649269468757908</v>
      </c>
      <c r="V760" s="1">
        <v>0.009768757778218395</v>
      </c>
      <c r="W760" s="1">
        <v>0.0278719426964793</v>
      </c>
      <c r="X760" s="1">
        <v>-0.005678111826879828</v>
      </c>
      <c r="Y760" s="1">
        <v>-0.01258276818079296</v>
      </c>
      <c r="Z760" s="1">
        <v>0.00856902276343674</v>
      </c>
    </row>
    <row r="761" spans="1:26">
      <c r="A761" s="11">
        <v>43475</v>
      </c>
      <c r="B761" s="1">
        <v>0.003240361640999279</v>
      </c>
      <c r="C761" s="1">
        <v>0.02553614271733573</v>
      </c>
      <c r="D761" s="1">
        <v>0.002830888724018266</v>
      </c>
      <c r="E761" s="1">
        <v>0.01144568982351002</v>
      </c>
      <c r="F761" s="1">
        <v>-0.006655747824486857</v>
      </c>
      <c r="G761" s="1">
        <v>0.01828822862368717</v>
      </c>
      <c r="H761" s="1">
        <v>0.008777078971994756</v>
      </c>
      <c r="I761" s="1">
        <v>0.03103717169615527</v>
      </c>
      <c r="J761" s="1">
        <v>0.01225841000924976</v>
      </c>
      <c r="K761" s="1">
        <v>-0.002815059442777823</v>
      </c>
      <c r="L761" s="1">
        <v>-9.96255159643189E-05</v>
      </c>
      <c r="M761" s="1">
        <v>-0.001833553108731456</v>
      </c>
      <c r="N761" s="1">
        <v>-0.01610973553863926</v>
      </c>
      <c r="O761" s="1">
        <v>0.007046579438158451</v>
      </c>
      <c r="P761" s="1">
        <v>-0.006425401798130337</v>
      </c>
      <c r="Q761" s="1">
        <v>0.02027538333172996</v>
      </c>
      <c r="R761" s="1">
        <v>0.009039659016386814</v>
      </c>
      <c r="S761" s="1">
        <v>0.0138261850418766</v>
      </c>
      <c r="T761" s="1">
        <v>0.003541319680147703</v>
      </c>
      <c r="U761" s="1">
        <v>0.009966747679549082</v>
      </c>
      <c r="V761" s="1">
        <v>-0.02845363180550831</v>
      </c>
      <c r="W761" s="1">
        <v>0.01044884444897631</v>
      </c>
      <c r="X761" s="1">
        <v>0.01353653109818409</v>
      </c>
      <c r="Y761" s="1">
        <v>0.0096409157288595</v>
      </c>
      <c r="Z761" s="1">
        <v>0.00482198218751817</v>
      </c>
    </row>
    <row r="762" spans="1:26">
      <c r="A762" s="11">
        <v>43476</v>
      </c>
      <c r="B762" s="1">
        <v>0.004522096437024947</v>
      </c>
      <c r="C762" s="1">
        <v>0.0008223703987271236</v>
      </c>
      <c r="D762" s="1">
        <v>-0.007428446383281662</v>
      </c>
      <c r="E762" s="1">
        <v>0.005657923260351083</v>
      </c>
      <c r="F762" s="1">
        <v>-0.005304236503963833</v>
      </c>
      <c r="G762" s="1">
        <v>-0.004404981950993592</v>
      </c>
      <c r="H762" s="1">
        <v>0.01624161437987337</v>
      </c>
      <c r="I762" s="1">
        <v>-0.005279047749141896</v>
      </c>
      <c r="J762" s="1">
        <v>-0.01397270725044597</v>
      </c>
      <c r="K762" s="1">
        <v>0.009410371685325991</v>
      </c>
      <c r="L762" s="1">
        <v>-0.00478129183165199</v>
      </c>
      <c r="M762" s="1">
        <v>-0.009593865560049042</v>
      </c>
      <c r="N762" s="1">
        <v>0.0008186472214215534</v>
      </c>
      <c r="O762" s="1">
        <v>-0.003805710392329464</v>
      </c>
      <c r="P762" s="1">
        <v>-0.007721914141249342</v>
      </c>
      <c r="Q762" s="1">
        <v>-0.01049852194075185</v>
      </c>
      <c r="R762" s="1">
        <v>0.00473311484340222</v>
      </c>
      <c r="S762" s="1">
        <v>-0.001095067490029966</v>
      </c>
      <c r="T762" s="1">
        <v>-0.009060156134739539</v>
      </c>
      <c r="U762" s="1">
        <v>0.01546019229313567</v>
      </c>
      <c r="V762" s="1">
        <v>0.0193293702389985</v>
      </c>
      <c r="W762" s="1">
        <v>0.004772935586961458</v>
      </c>
      <c r="X762" s="1">
        <v>0.001878089481315959</v>
      </c>
      <c r="Y762" s="1">
        <v>0.007291539514305612</v>
      </c>
      <c r="Z762" s="1">
        <v>0.005256143163807847</v>
      </c>
    </row>
    <row r="763" spans="1:26">
      <c r="A763" s="11">
        <v>43479</v>
      </c>
      <c r="B763" s="1">
        <v>0.0151124046220763</v>
      </c>
      <c r="C763" s="1">
        <v>-0.007197593136816005</v>
      </c>
      <c r="D763" s="1">
        <v>-0.01032793520898057</v>
      </c>
      <c r="E763" s="1">
        <v>-0.000416711930510627</v>
      </c>
      <c r="F763" s="1">
        <v>0.003929393795821357</v>
      </c>
      <c r="G763" s="1">
        <v>-0.006126620875889777</v>
      </c>
      <c r="H763" s="1">
        <v>0</v>
      </c>
      <c r="I763" s="1">
        <v>-0.005496072407307429</v>
      </c>
      <c r="J763" s="1">
        <v>-0.01794970931235451</v>
      </c>
      <c r="K763" s="1">
        <v>0.005904235881142528</v>
      </c>
      <c r="L763" s="1">
        <v>0.01030904321190773</v>
      </c>
      <c r="M763" s="1">
        <v>0.004946487844618819</v>
      </c>
      <c r="N763" s="1">
        <v>-0.01308813447855828</v>
      </c>
      <c r="O763" s="1">
        <v>0.004189673949643202</v>
      </c>
      <c r="P763" s="1">
        <v>-0.007295800366837524</v>
      </c>
      <c r="Q763" s="1">
        <v>-0.0178097212076066</v>
      </c>
      <c r="R763" s="1">
        <v>0.008916284693327503</v>
      </c>
      <c r="S763" s="1">
        <v>0.001245341200610817</v>
      </c>
      <c r="T763" s="1">
        <v>0.004723384929931962</v>
      </c>
      <c r="U763" s="1">
        <v>-0.00809813561917605</v>
      </c>
      <c r="V763" s="1">
        <v>-0.01106162851859138</v>
      </c>
      <c r="W763" s="1">
        <v>-0.02066683775957789</v>
      </c>
      <c r="X763" s="1">
        <v>0.0002084013426277842</v>
      </c>
      <c r="Y763" s="1">
        <v>0.0001723442113161777</v>
      </c>
      <c r="Z763" s="1">
        <v>0.007501752434210474</v>
      </c>
    </row>
    <row r="764" spans="1:26">
      <c r="A764" s="11">
        <v>43480</v>
      </c>
      <c r="B764" s="1">
        <v>0.005701878256595183</v>
      </c>
      <c r="C764" s="1">
        <v>0.005365976619218671</v>
      </c>
      <c r="D764" s="1">
        <v>0.02147631910193715</v>
      </c>
      <c r="E764" s="1">
        <v>0.03648096412573532</v>
      </c>
      <c r="F764" s="1">
        <v>0.001677374244822394</v>
      </c>
      <c r="G764" s="1">
        <v>0.003081990401945456</v>
      </c>
      <c r="H764" s="1">
        <v>0.01398365044813055</v>
      </c>
      <c r="I764" s="1">
        <v>-0.002287118266639188</v>
      </c>
      <c r="J764" s="1">
        <v>0.01058164909074999</v>
      </c>
      <c r="K764" s="1">
        <v>-0.02038922166848689</v>
      </c>
      <c r="L764" s="1">
        <v>0.007331184569760563</v>
      </c>
      <c r="M764" s="1">
        <v>0.01743239318922951</v>
      </c>
      <c r="N764" s="1">
        <v>-0.007252079183228677</v>
      </c>
      <c r="O764" s="1">
        <v>0.00233181531117177</v>
      </c>
      <c r="P764" s="1">
        <v>0.02900503762437756</v>
      </c>
      <c r="Q764" s="1">
        <v>0.01620339701760209</v>
      </c>
      <c r="R764" s="1">
        <v>-0.006669866162310689</v>
      </c>
      <c r="S764" s="1">
        <v>0.0152277691306224</v>
      </c>
      <c r="T764" s="1">
        <v>-0.04112632869008193</v>
      </c>
      <c r="U764" s="1">
        <v>-0.000653364480757368</v>
      </c>
      <c r="V764" s="1">
        <v>-0.009151943543203589</v>
      </c>
      <c r="W764" s="1">
        <v>0.001829679752346269</v>
      </c>
      <c r="X764" s="1">
        <v>0.002707048362545095</v>
      </c>
      <c r="Y764" s="1">
        <v>0.00120650249580212</v>
      </c>
      <c r="Z764" s="1">
        <v>0.0110555170323503</v>
      </c>
    </row>
    <row r="765" spans="1:26">
      <c r="A765" s="11">
        <v>43481</v>
      </c>
      <c r="B765" s="1">
        <v>-0.01700784037320957</v>
      </c>
      <c r="C765" s="1">
        <v>-0.000511077552452055</v>
      </c>
      <c r="D765" s="1">
        <v>0.01066045120629444</v>
      </c>
      <c r="E765" s="1">
        <v>-0.01186655772079692</v>
      </c>
      <c r="F765" s="1">
        <v>0.001953483826491187</v>
      </c>
      <c r="G765" s="1">
        <v>0.007852665043534879</v>
      </c>
      <c r="H765" s="1">
        <v>-0.007036523428570973</v>
      </c>
      <c r="I765" s="1">
        <v>0.002292361167739676</v>
      </c>
      <c r="J765" s="1">
        <v>0.001903948960478852</v>
      </c>
      <c r="K765" s="1">
        <v>-0.00126158371880547</v>
      </c>
      <c r="L765" s="1">
        <v>0.00806452501774535</v>
      </c>
      <c r="M765" s="1">
        <v>0.003426623001072659</v>
      </c>
      <c r="N765" s="1">
        <v>-0.01481940723521424</v>
      </c>
      <c r="O765" s="1">
        <v>0.003917767057090238</v>
      </c>
      <c r="P765" s="1">
        <v>0.003523813364015638</v>
      </c>
      <c r="Q765" s="1">
        <v>0.004176494488013605</v>
      </c>
      <c r="R765" s="1">
        <v>0.008225706982693204</v>
      </c>
      <c r="S765" s="1">
        <v>0.001470656699087858</v>
      </c>
      <c r="T765" s="1">
        <v>0.01441911833111442</v>
      </c>
      <c r="U765" s="1">
        <v>-0.001307098127104944</v>
      </c>
      <c r="V765" s="1">
        <v>-0.005277280877326818</v>
      </c>
      <c r="W765" s="1">
        <v>-0.00356751333541161</v>
      </c>
      <c r="X765" s="1">
        <v>-0.002492264681901779</v>
      </c>
      <c r="Y765" s="1">
        <v>-0.01755600235219401</v>
      </c>
      <c r="Z765" s="1">
        <v>0.0209775179800693</v>
      </c>
    </row>
    <row r="766" spans="1:26">
      <c r="A766" s="11">
        <v>43482</v>
      </c>
      <c r="B766" s="1">
        <v>0.01537948793996557</v>
      </c>
      <c r="C766" s="1">
        <v>0.01996817602332679</v>
      </c>
      <c r="D766" s="1">
        <v>0.01259884119686761</v>
      </c>
      <c r="E766" s="1">
        <v>0.00956649478448468</v>
      </c>
      <c r="F766" s="1">
        <v>0.0002789360348094405</v>
      </c>
      <c r="G766" s="1">
        <v>0.0006774535956362016</v>
      </c>
      <c r="H766" s="1">
        <v>0.01417262981027823</v>
      </c>
      <c r="I766" s="1">
        <v>0.01689839837974172</v>
      </c>
      <c r="J766" s="1">
        <v>0.008550621320901897</v>
      </c>
      <c r="K766" s="1">
        <v>0.01862953726817596</v>
      </c>
      <c r="L766" s="1">
        <v>0.004097361002114441</v>
      </c>
      <c r="M766" s="1">
        <v>0.0162715405214231</v>
      </c>
      <c r="N766" s="1">
        <v>-0.002966107786852135</v>
      </c>
      <c r="O766" s="1">
        <v>0.004633880955157821</v>
      </c>
      <c r="P766" s="1">
        <v>0.007022334326374891</v>
      </c>
      <c r="Q766" s="1">
        <v>0.01058593419131637</v>
      </c>
      <c r="R766" s="1">
        <v>0.02131195616652337</v>
      </c>
      <c r="S766" s="1">
        <v>0.00308374117221355</v>
      </c>
      <c r="T766" s="1">
        <v>0.01961498378409088</v>
      </c>
      <c r="U766" s="1">
        <v>0.002617756536844151</v>
      </c>
      <c r="V766" s="1">
        <v>0.0224022533894892</v>
      </c>
      <c r="W766" s="1">
        <v>0.01508763210493824</v>
      </c>
      <c r="X766" s="1">
        <v>0.01228422355130721</v>
      </c>
      <c r="Y766" s="1">
        <v>-0.004379967090595072</v>
      </c>
      <c r="Z766" s="1">
        <v>0.01836074868402537</v>
      </c>
    </row>
    <row r="767" spans="1:26">
      <c r="A767" s="11">
        <v>43483</v>
      </c>
      <c r="B767" s="1">
        <v>0.02067448606508671</v>
      </c>
      <c r="C767" s="1">
        <v>0.01570647841725803</v>
      </c>
      <c r="D767" s="1">
        <v>0.02184597096888652</v>
      </c>
      <c r="E767" s="1">
        <v>0.01048385997676493</v>
      </c>
      <c r="F767" s="1">
        <v>0.008354102134658259</v>
      </c>
      <c r="G767" s="1">
        <v>-0.00338545752067787</v>
      </c>
      <c r="H767" s="1">
        <v>-0.008105383267781874</v>
      </c>
      <c r="I767" s="1">
        <v>0.02836220603790074</v>
      </c>
      <c r="J767" s="1">
        <v>0.02449408345443227</v>
      </c>
      <c r="K767" s="1">
        <v>0.01456943019080503</v>
      </c>
      <c r="L767" s="1">
        <v>0.01622628579351759</v>
      </c>
      <c r="M767" s="1">
        <v>0.01937159590910276</v>
      </c>
      <c r="N767" s="1">
        <v>0.02656174950551993</v>
      </c>
      <c r="O767" s="1">
        <v>0.02039358793372781</v>
      </c>
      <c r="P767" s="1">
        <v>0.01498282543729768</v>
      </c>
      <c r="Q767" s="1">
        <v>-0.002992765496520722</v>
      </c>
      <c r="R767" s="1">
        <v>0.02673643694818506</v>
      </c>
      <c r="S767" s="1">
        <v>-0.008832080593310865</v>
      </c>
      <c r="T767" s="1">
        <v>0.0101390190132109</v>
      </c>
      <c r="U767" s="1">
        <v>0.01044375633565564</v>
      </c>
      <c r="V767" s="1">
        <v>0.01888388956745279</v>
      </c>
      <c r="W767" s="1">
        <v>0.0104546874787379</v>
      </c>
      <c r="X767" s="1">
        <v>0.01604264260809107</v>
      </c>
      <c r="Y767" s="1">
        <v>0.004575188634867722</v>
      </c>
      <c r="Z767" s="1">
        <v>0.009873213371658141</v>
      </c>
    </row>
    <row r="768" spans="1:26">
      <c r="A768" s="11">
        <v>43487</v>
      </c>
      <c r="B768" s="1">
        <v>-0.01776282874794699</v>
      </c>
      <c r="C768" s="1">
        <v>-0.01872626409515787</v>
      </c>
      <c r="D768" s="1">
        <v>-0.01373363928676297</v>
      </c>
      <c r="E768" s="1">
        <v>-0.007980766951428131</v>
      </c>
      <c r="F768" s="1">
        <v>-0.03424477505277368</v>
      </c>
      <c r="G768" s="1">
        <v>0.005774690989533315</v>
      </c>
      <c r="H768" s="1">
        <v>-0.002817653369401762</v>
      </c>
      <c r="I768" s="1">
        <v>-0.03505240192539205</v>
      </c>
      <c r="J768" s="1">
        <v>-0.01977008715262185</v>
      </c>
      <c r="K768" s="1">
        <v>-0.005499726109393532</v>
      </c>
      <c r="L768" s="1">
        <v>-0.01577575005824239</v>
      </c>
      <c r="M768" s="1">
        <v>-0.01997305235458213</v>
      </c>
      <c r="N768" s="1">
        <v>-0.0691366978906085</v>
      </c>
      <c r="O768" s="1">
        <v>-0.01058789439973928</v>
      </c>
      <c r="P768" s="1">
        <v>-0.01884683857221048</v>
      </c>
      <c r="Q768" s="1">
        <v>-0.003752922097272959</v>
      </c>
      <c r="R768" s="1">
        <v>-0.01476662027303144</v>
      </c>
      <c r="S768" s="1">
        <v>-0.007975330437216765</v>
      </c>
      <c r="T768" s="1">
        <v>-0.01144234313531456</v>
      </c>
      <c r="U768" s="1">
        <v>-0.01227369497199804</v>
      </c>
      <c r="V768" s="1">
        <v>-0.005659045588760958</v>
      </c>
      <c r="W768" s="1">
        <v>0.0001663289909747956</v>
      </c>
      <c r="X768" s="1">
        <v>-0.01923083822103355</v>
      </c>
      <c r="Y768" s="1">
        <v>-0.001751822704083028</v>
      </c>
      <c r="Z768" s="1">
        <v>-0.01105202902474312</v>
      </c>
    </row>
    <row r="769" spans="1:26">
      <c r="A769" s="11">
        <v>43488</v>
      </c>
      <c r="B769" s="1">
        <v>-0.01744934048142976</v>
      </c>
      <c r="C769" s="1">
        <v>0.001983812190805345</v>
      </c>
      <c r="D769" s="1">
        <v>-0.0002869816491420929</v>
      </c>
      <c r="E769" s="1">
        <v>0.004826859599598166</v>
      </c>
      <c r="F769" s="1">
        <v>0.05490419709343763</v>
      </c>
      <c r="G769" s="1">
        <v>0.008780770479441813</v>
      </c>
      <c r="H769" s="1">
        <v>-0.0002824250253855576</v>
      </c>
      <c r="I769" s="1">
        <v>-0.007743651835151577</v>
      </c>
      <c r="J769" s="1">
        <v>0.005628498763804668</v>
      </c>
      <c r="K769" s="1">
        <v>-0.01566810178983902</v>
      </c>
      <c r="L769" s="1">
        <v>-0.002525624134362747</v>
      </c>
      <c r="M769" s="1">
        <v>0.009497402950614964</v>
      </c>
      <c r="N769" s="1">
        <v>-0.006004326589652442</v>
      </c>
      <c r="O769" s="1">
        <v>0.001683296825979008</v>
      </c>
      <c r="P769" s="1">
        <v>0.009746179413343992</v>
      </c>
      <c r="Q769" s="1">
        <v>0.010546622013059</v>
      </c>
      <c r="R769" s="1">
        <v>-0.006929954981532149</v>
      </c>
      <c r="S769" s="1">
        <v>0.001588058317521845</v>
      </c>
      <c r="T769" s="1">
        <v>-0.001471873628041132</v>
      </c>
      <c r="U769" s="1">
        <v>0.01013703300626778</v>
      </c>
      <c r="V769" s="1">
        <v>0.0005690712987109769</v>
      </c>
      <c r="W769" s="1">
        <v>0.003157394855029194</v>
      </c>
      <c r="X769" s="1">
        <v>0.01486067855421291</v>
      </c>
      <c r="Y769" s="1">
        <v>0.01351126665712088</v>
      </c>
      <c r="Z769" s="1">
        <v>0.03395691343218532</v>
      </c>
    </row>
    <row r="770" spans="1:26">
      <c r="A770" s="11">
        <v>43489</v>
      </c>
      <c r="B770" s="1">
        <v>0.02809189185328376</v>
      </c>
      <c r="C770" s="1">
        <v>-0.0009481235587335268</v>
      </c>
      <c r="D770" s="1">
        <v>0.004451644996691151</v>
      </c>
      <c r="E770" s="1">
        <v>-0.01881482134473733</v>
      </c>
      <c r="F770" s="1">
        <v>-0.01762030063173148</v>
      </c>
      <c r="G770" s="1">
        <v>0.008369621637344782</v>
      </c>
      <c r="H770" s="1">
        <v>-0.01865444222650869</v>
      </c>
      <c r="I770" s="1">
        <v>0.005202290993562064</v>
      </c>
      <c r="J770" s="1">
        <v>0.01539197414631355</v>
      </c>
      <c r="K770" s="1">
        <v>0.007178485312052674</v>
      </c>
      <c r="L770" s="1">
        <v>0.000584025231781915</v>
      </c>
      <c r="M770" s="1">
        <v>0.06252459724739556</v>
      </c>
      <c r="N770" s="1">
        <v>-0.03064839525059493</v>
      </c>
      <c r="O770" s="1">
        <v>-0.003720991739404655</v>
      </c>
      <c r="P770" s="1">
        <v>-0.004779184291233696</v>
      </c>
      <c r="Q770" s="1">
        <v>0.000745219998865343</v>
      </c>
      <c r="R770" s="1">
        <v>0.002758492610000163</v>
      </c>
      <c r="S770" s="1">
        <v>0.003963799026653003</v>
      </c>
      <c r="T770" s="1">
        <v>-0.007956427359375295</v>
      </c>
      <c r="U770" s="1">
        <v>-0.009387994229131613</v>
      </c>
      <c r="V770" s="1">
        <v>0.004124027167475619</v>
      </c>
      <c r="W770" s="1">
        <v>-0.003644532681510215</v>
      </c>
      <c r="X770" s="1">
        <v>0.05592831943154009</v>
      </c>
      <c r="Y770" s="1">
        <v>-0.01194588378005779</v>
      </c>
      <c r="Z770" s="1">
        <v>0.0101848959969626</v>
      </c>
    </row>
    <row r="771" spans="1:26">
      <c r="A771" s="11">
        <v>43490</v>
      </c>
      <c r="B771" s="1">
        <v>0.006909689910433947</v>
      </c>
      <c r="C771" s="1">
        <v>0.01655180527015654</v>
      </c>
      <c r="D771" s="1">
        <v>0.00543240434127723</v>
      </c>
      <c r="E771" s="1">
        <v>-0.001835750094362654</v>
      </c>
      <c r="F771" s="1">
        <v>-0.01269274563207223</v>
      </c>
      <c r="G771" s="1">
        <v>-0.01095614449252891</v>
      </c>
      <c r="H771" s="1">
        <v>-0.01382502649591744</v>
      </c>
      <c r="I771" s="1">
        <v>0.01937815939207854</v>
      </c>
      <c r="J771" s="1">
        <v>0.01515807413364745</v>
      </c>
      <c r="K771" s="1">
        <v>0.01363486771611555</v>
      </c>
      <c r="L771" s="1">
        <v>0.00632644380972347</v>
      </c>
      <c r="M771" s="1">
        <v>0.01420401256432902</v>
      </c>
      <c r="N771" s="1">
        <v>0.0210016166647482</v>
      </c>
      <c r="O771" s="1">
        <v>0.006265215613499908</v>
      </c>
      <c r="P771" s="1">
        <v>0.009133706481548876</v>
      </c>
      <c r="Q771" s="1">
        <v>-0.01824926934819127</v>
      </c>
      <c r="R771" s="1">
        <v>0.01456584790692839</v>
      </c>
      <c r="S771" s="1">
        <v>0.01485473475786914</v>
      </c>
      <c r="T771" s="1">
        <v>0.006585309734301825</v>
      </c>
      <c r="U771" s="1">
        <v>0.001960889772101071</v>
      </c>
      <c r="V771" s="1">
        <v>0.02520888111590902</v>
      </c>
      <c r="W771" s="1">
        <v>0.001330102883007944</v>
      </c>
      <c r="X771" s="1">
        <v>0.01309725272613327</v>
      </c>
      <c r="Y771" s="1">
        <v>-0.01174019309132246</v>
      </c>
      <c r="Z771" s="1">
        <v>0.001646122687533946</v>
      </c>
    </row>
    <row r="772" spans="1:26">
      <c r="A772" s="11">
        <v>43493</v>
      </c>
      <c r="B772" s="1">
        <v>0.007174066509983534</v>
      </c>
      <c r="C772" s="1">
        <v>-0.003377274814139519</v>
      </c>
      <c r="D772" s="1">
        <v>-0.002275093148093599</v>
      </c>
      <c r="E772" s="1">
        <v>-0.01246706145991161</v>
      </c>
      <c r="F772" s="1">
        <v>-0.01145909989954197</v>
      </c>
      <c r="G772" s="1">
        <v>0.002349717106952198</v>
      </c>
      <c r="H772" s="1">
        <v>0.01080611284023703</v>
      </c>
      <c r="I772" s="1">
        <v>-0.03102173446475354</v>
      </c>
      <c r="J772" s="1">
        <v>-0.005429961091489521</v>
      </c>
      <c r="K772" s="1">
        <v>-0.0006112343340463067</v>
      </c>
      <c r="L772" s="1">
        <v>0.004739483334168959</v>
      </c>
      <c r="M772" s="1">
        <v>0.009821823245632855</v>
      </c>
      <c r="N772" s="1">
        <v>0.02395990769563539</v>
      </c>
      <c r="O772" s="1">
        <v>-0.005507906773496885</v>
      </c>
      <c r="P772" s="1">
        <v>-0.01950175039955482</v>
      </c>
      <c r="Q772" s="1">
        <v>-0.006449217999190404</v>
      </c>
      <c r="R772" s="1">
        <v>-0.02217257683102603</v>
      </c>
      <c r="S772" s="1">
        <v>0.01244870052197711</v>
      </c>
      <c r="T772" s="1">
        <v>0.01061532156699085</v>
      </c>
      <c r="U772" s="1">
        <v>0.0003259447902650425</v>
      </c>
      <c r="V772" s="1">
        <v>-0.003729661526781891</v>
      </c>
      <c r="W772" s="1">
        <v>-0.01253630496324354</v>
      </c>
      <c r="X772" s="1">
        <v>0.003802044368830249</v>
      </c>
      <c r="Y772" s="1">
        <v>-0.02358151472277348</v>
      </c>
      <c r="Z772" s="1">
        <v>0.002464872877007585</v>
      </c>
    </row>
    <row r="773" spans="1:26">
      <c r="A773" s="11">
        <v>43494</v>
      </c>
      <c r="B773" s="1">
        <v>0.02446562612628145</v>
      </c>
      <c r="C773" s="1">
        <v>0.005344908025910922</v>
      </c>
      <c r="D773" s="1">
        <v>0.001140140499885867</v>
      </c>
      <c r="E773" s="1">
        <v>0</v>
      </c>
      <c r="F773" s="1">
        <v>0.02007365282319795</v>
      </c>
      <c r="G773" s="1">
        <v>0.005693306103347728</v>
      </c>
      <c r="H773" s="1">
        <v>-0.003467168469779791</v>
      </c>
      <c r="I773" s="1">
        <v>0.02549705919368495</v>
      </c>
      <c r="J773" s="1">
        <v>-0.004549271089991813</v>
      </c>
      <c r="K773" s="1">
        <v>0.003976751780997878</v>
      </c>
      <c r="L773" s="1">
        <v>0.002791724763916648</v>
      </c>
      <c r="M773" s="1">
        <v>0.01530978485607948</v>
      </c>
      <c r="N773" s="1">
        <v>0.01346601490819932</v>
      </c>
      <c r="O773" s="1">
        <v>-0.0003024685498712598</v>
      </c>
      <c r="P773" s="1">
        <v>-0.02036528935107007</v>
      </c>
      <c r="Q773" s="1">
        <v>0.006109131014158331</v>
      </c>
      <c r="R773" s="1">
        <v>0.05774887744101398</v>
      </c>
      <c r="S773" s="1">
        <v>0.01056656519160248</v>
      </c>
      <c r="T773" s="1">
        <v>0.01511328130360567</v>
      </c>
      <c r="U773" s="1">
        <v>0.0009780689610534576</v>
      </c>
      <c r="V773" s="1">
        <v>-0.005824116264080303</v>
      </c>
      <c r="W773" s="1">
        <v>-0.004119768838104165</v>
      </c>
      <c r="X773" s="1">
        <v>-0.0009468196862316702</v>
      </c>
      <c r="Y773" s="1">
        <v>-0.03250396894473151</v>
      </c>
      <c r="Z773" s="1">
        <v>-0.01127029704921312</v>
      </c>
    </row>
    <row r="774" spans="1:26">
      <c r="A774" s="11">
        <v>43495</v>
      </c>
      <c r="B774" s="1">
        <v>0.009673736887984008</v>
      </c>
      <c r="C774" s="1">
        <v>0.06250845602094501</v>
      </c>
      <c r="D774" s="1">
        <v>0.02092542653386342</v>
      </c>
      <c r="E774" s="1">
        <v>0.01117533718689789</v>
      </c>
      <c r="F774" s="1">
        <v>-0.01801538929563984</v>
      </c>
      <c r="G774" s="1">
        <v>0.005994010500380176</v>
      </c>
      <c r="H774" s="1">
        <v>0.01159738937131505</v>
      </c>
      <c r="I774" s="1">
        <v>0.01514176507356746</v>
      </c>
      <c r="J774" s="1">
        <v>0.01462502566803647</v>
      </c>
      <c r="K774" s="1">
        <v>0.008226456369192503</v>
      </c>
      <c r="L774" s="1">
        <v>0.002304211297816661</v>
      </c>
      <c r="M774" s="1">
        <v>0.01986867029006212</v>
      </c>
      <c r="N774" s="1">
        <v>0.04116724717500198</v>
      </c>
      <c r="O774" s="1">
        <v>0.01379829000638977</v>
      </c>
      <c r="P774" s="1">
        <v>0.03341743805620201</v>
      </c>
      <c r="Q774" s="1">
        <v>0.01518027642211073</v>
      </c>
      <c r="R774" s="1">
        <v>-0.001388125538092755</v>
      </c>
      <c r="S774" s="1">
        <v>-0.0007126971501481005</v>
      </c>
      <c r="T774" s="1">
        <v>0.00553385250156313</v>
      </c>
      <c r="U774" s="1">
        <v>-0.04332202763163606</v>
      </c>
      <c r="V774" s="1">
        <v>0.00878708847530163</v>
      </c>
      <c r="W774" s="1">
        <v>0.03444499400814793</v>
      </c>
      <c r="X774" s="1">
        <v>0.0138388885476477</v>
      </c>
      <c r="Y774" s="1">
        <v>0.0135133717950231</v>
      </c>
      <c r="Z774" s="1">
        <v>-0.005595798005499808</v>
      </c>
    </row>
    <row r="775" spans="1:26">
      <c r="A775" s="11">
        <v>43496</v>
      </c>
      <c r="B775" s="1">
        <v>-0.01736542638098382</v>
      </c>
      <c r="C775" s="1">
        <v>-0.005416346502314817</v>
      </c>
      <c r="D775" s="1">
        <v>0.01073595055233678</v>
      </c>
      <c r="E775" s="1">
        <v>0.01043815319031904</v>
      </c>
      <c r="F775" s="1">
        <v>0.0321757313131612</v>
      </c>
      <c r="G775" s="1">
        <v>0.02350239205843674</v>
      </c>
      <c r="H775" s="1">
        <v>0.01547723076515073</v>
      </c>
      <c r="I775" s="1">
        <v>0.006690889167910941</v>
      </c>
      <c r="J775" s="1">
        <v>-0.007657595518864135</v>
      </c>
      <c r="K775" s="1">
        <v>0.02055026649813296</v>
      </c>
      <c r="L775" s="1">
        <v>-0.008715676177360465</v>
      </c>
      <c r="M775" s="1">
        <v>-0.0126981115146273</v>
      </c>
      <c r="N775" s="1">
        <v>0.03242684653716865</v>
      </c>
      <c r="O775" s="1">
        <v>0.05288926972041041</v>
      </c>
      <c r="P775" s="1">
        <v>-0.01833053337621138</v>
      </c>
      <c r="Q775" s="1">
        <v>0.01981284367453751</v>
      </c>
      <c r="R775" s="1">
        <v>0.01189179760336767</v>
      </c>
      <c r="S775" s="1">
        <v>0.01079680565330987</v>
      </c>
      <c r="T775" s="1">
        <v>0.04019899558680518</v>
      </c>
      <c r="U775" s="1">
        <v>0.02349324565306099</v>
      </c>
      <c r="V775" s="1">
        <v>0.009262835134525638</v>
      </c>
      <c r="W775" s="1">
        <v>0.002489241738817149</v>
      </c>
      <c r="X775" s="1">
        <v>-0.004674839898277772</v>
      </c>
      <c r="Y775" s="1">
        <v>0.01962944447929482</v>
      </c>
      <c r="Z775" s="1">
        <v>-0.008128840424870387</v>
      </c>
    </row>
    <row r="776" spans="1:26">
      <c r="A776" s="11">
        <v>43497</v>
      </c>
      <c r="B776" s="1">
        <v>-0.005179794049799402</v>
      </c>
      <c r="C776" s="1">
        <v>0.004693787995721843</v>
      </c>
      <c r="D776" s="1">
        <v>-0.004966459510579058</v>
      </c>
      <c r="E776" s="1">
        <v>0.01053290753038261</v>
      </c>
      <c r="F776" s="1">
        <v>0.006016035781539086</v>
      </c>
      <c r="G776" s="1">
        <v>-0.003557864371350972</v>
      </c>
      <c r="H776" s="1">
        <v>-0.01185426964641167</v>
      </c>
      <c r="I776" s="1">
        <v>-0.0007319460649706233</v>
      </c>
      <c r="J776" s="1">
        <v>0.01044012242713754</v>
      </c>
      <c r="K776" s="1">
        <v>-0.01539835031050119</v>
      </c>
      <c r="L776" s="1">
        <v>0.003671206444070485</v>
      </c>
      <c r="M776" s="1">
        <v>0.006518836257518146</v>
      </c>
      <c r="N776" s="1">
        <v>-0.003039375774868458</v>
      </c>
      <c r="O776" s="1">
        <v>0.0233585074495859</v>
      </c>
      <c r="P776" s="1">
        <v>-0.01580009325603593</v>
      </c>
      <c r="Q776" s="1">
        <v>-0.01796170717355017</v>
      </c>
      <c r="R776" s="1">
        <v>-0.008546889821350434</v>
      </c>
      <c r="S776" s="1">
        <v>-0.01421050180757433</v>
      </c>
      <c r="T776" s="1">
        <v>-0.01067574800973015</v>
      </c>
      <c r="U776" s="1">
        <v>-0.001996326674254534</v>
      </c>
      <c r="V776" s="1">
        <v>-0.02506851755361894</v>
      </c>
      <c r="W776" s="1">
        <v>-0.009118002216171428</v>
      </c>
      <c r="X776" s="1">
        <v>0.005260400690829226</v>
      </c>
      <c r="Y776" s="1">
        <v>-0.009262184875193258</v>
      </c>
      <c r="Z776" s="1">
        <v>0.01470944664324469</v>
      </c>
    </row>
    <row r="777" spans="1:26">
      <c r="A777" s="11">
        <v>43500</v>
      </c>
      <c r="B777" s="1">
        <v>0.01470174498980015</v>
      </c>
      <c r="C777" s="1">
        <v>0.0247013048326572</v>
      </c>
      <c r="D777" s="1">
        <v>0.006100407948818498</v>
      </c>
      <c r="E777" s="1">
        <v>0.01924195198211454</v>
      </c>
      <c r="F777" s="1">
        <v>-0.0005435546253910184</v>
      </c>
      <c r="G777" s="1">
        <v>0.003894842492365935</v>
      </c>
      <c r="H777" s="1">
        <v>0</v>
      </c>
      <c r="I777" s="1">
        <v>0.003844130527124623</v>
      </c>
      <c r="J777" s="1">
        <v>0.01302811455626385</v>
      </c>
      <c r="K777" s="1">
        <v>0.017143041079418</v>
      </c>
      <c r="L777" s="1">
        <v>0.003561759628110561</v>
      </c>
      <c r="M777" s="1">
        <v>0.02030470114181515</v>
      </c>
      <c r="N777" s="1">
        <v>-0.001829087027575671</v>
      </c>
      <c r="O777" s="1">
        <v>0.01795030810387832</v>
      </c>
      <c r="P777" s="1">
        <v>0.02879927135566462</v>
      </c>
      <c r="Q777" s="1">
        <v>-0.02090335635646878</v>
      </c>
      <c r="R777" s="1">
        <v>0.004464459001738863</v>
      </c>
      <c r="S777" s="1">
        <v>-0.001527492207668124</v>
      </c>
      <c r="T777" s="1">
        <v>0.004652283912663924</v>
      </c>
      <c r="U777" s="1">
        <v>-0.01299971149299228</v>
      </c>
      <c r="V777" s="1">
        <v>0.01784453736198355</v>
      </c>
      <c r="W777" s="1">
        <v>0.0006572972314209391</v>
      </c>
      <c r="X777" s="1">
        <v>0.00280334575600838</v>
      </c>
      <c r="Y777" s="1">
        <v>-0.009349415145401663</v>
      </c>
      <c r="Z777" s="1">
        <v>0.01490959638365119</v>
      </c>
    </row>
    <row r="778" spans="1:26">
      <c r="A778" s="11">
        <v>43501</v>
      </c>
      <c r="B778" s="1">
        <v>-0.009055547414500431</v>
      </c>
      <c r="C778" s="1">
        <v>0.03319902382011497</v>
      </c>
      <c r="D778" s="1">
        <v>-0.007165673310270848</v>
      </c>
      <c r="E778" s="1">
        <v>-0.01376581784489572</v>
      </c>
      <c r="F778" s="1">
        <v>0.0103343192246057</v>
      </c>
      <c r="G778" s="1">
        <v>-0.003233160847888938</v>
      </c>
      <c r="H778" s="1">
        <v>-0.001428323424061295</v>
      </c>
      <c r="I778" s="1">
        <v>-0.00182315923980414</v>
      </c>
      <c r="J778" s="1">
        <v>0.0110862516296002</v>
      </c>
      <c r="K778" s="1">
        <v>0.006505016414166231</v>
      </c>
      <c r="L778" s="1">
        <v>-0.004412456360543215</v>
      </c>
      <c r="M778" s="1">
        <v>-0.00703384093441406</v>
      </c>
      <c r="N778" s="1">
        <v>-0.001425409363302377</v>
      </c>
      <c r="O778" s="1">
        <v>0.002394298470736578</v>
      </c>
      <c r="P778" s="1">
        <v>0.01399670057816715</v>
      </c>
      <c r="Q778" s="1">
        <v>0.006480995804215572</v>
      </c>
      <c r="R778" s="1">
        <v>0.004904226667079792</v>
      </c>
      <c r="S778" s="1">
        <v>-0.0009561055442695032</v>
      </c>
      <c r="T778" s="1">
        <v>0.006850281162136929</v>
      </c>
      <c r="U778" s="1">
        <v>0.0006755075958613244</v>
      </c>
      <c r="V778" s="1">
        <v>0.004555504384002873</v>
      </c>
      <c r="W778" s="1">
        <v>0.009934602578157037</v>
      </c>
      <c r="X778" s="1">
        <v>0.01341752408484354</v>
      </c>
      <c r="Y778" s="1">
        <v>0.001850695219696163</v>
      </c>
      <c r="Z778" s="1">
        <v>-0.003672415099423731</v>
      </c>
    </row>
    <row r="779" spans="1:26">
      <c r="A779" s="11">
        <v>43502</v>
      </c>
      <c r="B779" s="1">
        <v>-0.02985073885860801</v>
      </c>
      <c r="C779" s="1">
        <v>0.002267165335845922</v>
      </c>
      <c r="D779" s="1">
        <v>-0.003886097148388279</v>
      </c>
      <c r="E779" s="1">
        <v>0.01974080246810828</v>
      </c>
      <c r="F779" s="1">
        <v>0.0005386264611590974</v>
      </c>
      <c r="G779" s="1">
        <v>-0.007460336633613007</v>
      </c>
      <c r="H779" s="1">
        <v>-0.02202482215125168</v>
      </c>
      <c r="I779" s="1">
        <v>-0.00322760893555607</v>
      </c>
      <c r="J779" s="1">
        <v>0.01184251047260032</v>
      </c>
      <c r="K779" s="1">
        <v>0.002349999550361748</v>
      </c>
      <c r="L779" s="1">
        <v>-0.0004816778839215052</v>
      </c>
      <c r="M779" s="1">
        <v>-0.004664930040659265</v>
      </c>
      <c r="N779" s="1">
        <v>0.004689731808113384</v>
      </c>
      <c r="O779" s="1">
        <v>-0.01780856951317322</v>
      </c>
      <c r="P779" s="1">
        <v>-0.01109851377449111</v>
      </c>
      <c r="Q779" s="1">
        <v>-0.003408994263129461</v>
      </c>
      <c r="R779" s="1">
        <v>-0.0001527971318283639</v>
      </c>
      <c r="S779" s="1">
        <v>-0.002105364963536638</v>
      </c>
      <c r="T779" s="1">
        <v>-0.00184921148170325</v>
      </c>
      <c r="U779" s="1">
        <v>-0.002362787943754663</v>
      </c>
      <c r="V779" s="1">
        <v>-0.003572460722151116</v>
      </c>
      <c r="W779" s="1">
        <v>0.005040456596381304</v>
      </c>
      <c r="X779" s="1">
        <v>-0.004965095833958544</v>
      </c>
      <c r="Y779" s="1">
        <v>-0.006464983881617758</v>
      </c>
      <c r="Z779" s="1">
        <v>0.003071929174147225</v>
      </c>
    </row>
    <row r="780" spans="1:26">
      <c r="A780" s="11">
        <v>43503</v>
      </c>
      <c r="B780" s="1">
        <v>-0.04144424150739134</v>
      </c>
      <c r="C780" s="1">
        <v>-0.00949742291274569</v>
      </c>
      <c r="D780" s="1">
        <v>-0.009196025234522898</v>
      </c>
      <c r="E780" s="1">
        <v>-0.02131416932369856</v>
      </c>
      <c r="F780" s="1">
        <v>0.01372043046316329</v>
      </c>
      <c r="G780" s="1">
        <v>0.00686286799009439</v>
      </c>
      <c r="H780" s="1">
        <v>0.0002923374647934018</v>
      </c>
      <c r="I780" s="1">
        <v>-0.01148590207868438</v>
      </c>
      <c r="J780" s="1">
        <v>-0.009102699020562488</v>
      </c>
      <c r="K780" s="1">
        <v>-0.006741202776217703</v>
      </c>
      <c r="L780" s="1">
        <v>-0.01310969876078094</v>
      </c>
      <c r="M780" s="1">
        <v>-0.002256501036290715</v>
      </c>
      <c r="N780" s="1">
        <v>-0.01116293949949387</v>
      </c>
      <c r="O780" s="1">
        <v>-0.01039200360322245</v>
      </c>
      <c r="P780" s="1">
        <v>-0.007167811629195331</v>
      </c>
      <c r="Q780" s="1">
        <v>0.01140277423749825</v>
      </c>
      <c r="R780" s="1">
        <v>0.005185882846657552</v>
      </c>
      <c r="S780" s="1">
        <v>0.006233607147424491</v>
      </c>
      <c r="T780" s="1">
        <v>-0.006982390211154987</v>
      </c>
      <c r="U780" s="1">
        <v>-0.003720895460064155</v>
      </c>
      <c r="V780" s="1">
        <v>-0.008964839649524325</v>
      </c>
      <c r="W780" s="1">
        <v>-0.01755305931707196</v>
      </c>
      <c r="X780" s="1">
        <v>-0.01921992485218071</v>
      </c>
      <c r="Y780" s="1">
        <v>-0.004090063414972978</v>
      </c>
      <c r="Z780" s="1">
        <v>0.006533103632487824</v>
      </c>
    </row>
    <row r="781" spans="1:26">
      <c r="A781" s="11">
        <v>43504</v>
      </c>
      <c r="B781" s="1">
        <v>-0.02161814133101092</v>
      </c>
      <c r="C781" s="1">
        <v>-0.0006416183807508302</v>
      </c>
      <c r="D781" s="1">
        <v>0.005484750007118455</v>
      </c>
      <c r="E781" s="1">
        <v>0.003396725853824334</v>
      </c>
      <c r="F781" s="1">
        <v>-0.002122797032296231</v>
      </c>
      <c r="G781" s="1">
        <v>0.00129840938871939</v>
      </c>
      <c r="H781" s="1">
        <v>0.002631457482124011</v>
      </c>
      <c r="I781" s="1">
        <v>0.005871698037049011</v>
      </c>
      <c r="J781" s="1">
        <v>0.002624552494134624</v>
      </c>
      <c r="K781" s="1">
        <v>0.003246055403811399</v>
      </c>
      <c r="L781" s="1">
        <v>-0.00996281606843552</v>
      </c>
      <c r="M781" s="1">
        <v>0.002957680649932071</v>
      </c>
      <c r="N781" s="1">
        <v>0.002462857577981703</v>
      </c>
      <c r="O781" s="1">
        <v>0.004580055347212397</v>
      </c>
      <c r="P781" s="1">
        <v>0.003799706920954327</v>
      </c>
      <c r="Q781" s="1">
        <v>0.006436803801470603</v>
      </c>
      <c r="R781" s="1">
        <v>0.0007588018696207399</v>
      </c>
      <c r="S781" s="1">
        <v>0.003479174014653585</v>
      </c>
      <c r="T781" s="1">
        <v>0.006935697329704338</v>
      </c>
      <c r="U781" s="1">
        <v>0.003395383508452143</v>
      </c>
      <c r="V781" s="1">
        <v>-0.01363748280049848</v>
      </c>
      <c r="W781" s="1">
        <v>0.002470029080107183</v>
      </c>
      <c r="X781" s="1">
        <v>-0.009232945316307362</v>
      </c>
      <c r="Y781" s="1">
        <v>0.007093974739096121</v>
      </c>
      <c r="Z781" s="1">
        <v>-0.00527376188679507</v>
      </c>
    </row>
    <row r="782" spans="1:26">
      <c r="A782" s="11">
        <v>43507</v>
      </c>
      <c r="B782" s="1">
        <v>0.01606972376454641</v>
      </c>
      <c r="C782" s="1">
        <v>-0.002370935621623382</v>
      </c>
      <c r="D782" s="1">
        <v>0.003216602950801173</v>
      </c>
      <c r="E782" s="1">
        <v>-0.002389350173437221</v>
      </c>
      <c r="F782" s="1">
        <v>-0.0159575601380787</v>
      </c>
      <c r="G782" s="1">
        <v>-0.001944818940253223</v>
      </c>
      <c r="H782" s="1">
        <v>-0.003791158263677485</v>
      </c>
      <c r="I782" s="1">
        <v>-0.004977379726734177</v>
      </c>
      <c r="J782" s="1">
        <v>-0.002617682249657416</v>
      </c>
      <c r="K782" s="1">
        <v>0.002058874518731768</v>
      </c>
      <c r="L782" s="1">
        <v>-0.004735812901206504</v>
      </c>
      <c r="M782" s="1">
        <v>0.01092806643029909</v>
      </c>
      <c r="N782" s="1">
        <v>0.001023798808440946</v>
      </c>
      <c r="O782" s="1">
        <v>0.007228795006641864</v>
      </c>
      <c r="P782" s="1">
        <v>-0.003974725887266106</v>
      </c>
      <c r="Q782" s="1">
        <v>-0.002633378873495573</v>
      </c>
      <c r="R782" s="1">
        <v>-0.004113517472014161</v>
      </c>
      <c r="S782" s="1">
        <v>-0.0002855654719083889</v>
      </c>
      <c r="T782" s="1">
        <v>0.00641332561570529</v>
      </c>
      <c r="U782" s="1">
        <v>0.005414531666803057</v>
      </c>
      <c r="V782" s="1">
        <v>-0.01029911160723029</v>
      </c>
      <c r="W782" s="1">
        <v>0.004352963955802425</v>
      </c>
      <c r="X782" s="1">
        <v>0.003232992333962015</v>
      </c>
      <c r="Y782" s="1">
        <v>0.001853350449593005</v>
      </c>
      <c r="Z782" s="1">
        <v>0.007748500302428241</v>
      </c>
    </row>
    <row r="783" spans="1:26">
      <c r="A783" s="11">
        <v>43508</v>
      </c>
      <c r="B783" s="1">
        <v>0.02405264113667482</v>
      </c>
      <c r="C783" s="1">
        <v>0.01675953581336986</v>
      </c>
      <c r="D783" s="1">
        <v>0.01045563451545428</v>
      </c>
      <c r="E783" s="1">
        <v>-0.007784727815115189</v>
      </c>
      <c r="F783" s="1">
        <v>0.006486451596826148</v>
      </c>
      <c r="G783" s="1">
        <v>0.001623737612893361</v>
      </c>
      <c r="H783" s="1">
        <v>0.01170994710383755</v>
      </c>
      <c r="I783" s="1">
        <v>0.02006960549534309</v>
      </c>
      <c r="J783" s="1">
        <v>0.02143467163513479</v>
      </c>
      <c r="K783" s="1">
        <v>0.01584972876583945</v>
      </c>
      <c r="L783" s="1">
        <v>0.01705035962564594</v>
      </c>
      <c r="M783" s="1">
        <v>-0.009952055236267965</v>
      </c>
      <c r="N783" s="1">
        <v>0.01574999596634497</v>
      </c>
      <c r="O783" s="1">
        <v>0.003753896007921975</v>
      </c>
      <c r="P783" s="1">
        <v>0.01558211165255563</v>
      </c>
      <c r="Q783" s="1">
        <v>0.01018453049270374</v>
      </c>
      <c r="R783" s="1">
        <v>0.02141957957524077</v>
      </c>
      <c r="S783" s="1">
        <v>-0.01315818959932025</v>
      </c>
      <c r="T783" s="1">
        <v>0.03193236660694465</v>
      </c>
      <c r="U783" s="1">
        <v>0.003366098673505569</v>
      </c>
      <c r="V783" s="1">
        <v>0.003706562694130833</v>
      </c>
      <c r="W783" s="1">
        <v>0.01537394550322313</v>
      </c>
      <c r="X783" s="1">
        <v>0.01971559579490023</v>
      </c>
      <c r="Y783" s="1">
        <v>0.00684543250525671</v>
      </c>
      <c r="Z783" s="1">
        <v>0.009510295802250379</v>
      </c>
    </row>
    <row r="784" spans="1:26">
      <c r="A784" s="11">
        <v>43509</v>
      </c>
      <c r="B784" s="1">
        <v>0.03861002646113088</v>
      </c>
      <c r="C784" s="1">
        <v>-0.000340935331468506</v>
      </c>
      <c r="D784" s="1">
        <v>0.002621420776610428</v>
      </c>
      <c r="E784" s="1">
        <v>0.02554826528048304</v>
      </c>
      <c r="F784" s="1">
        <v>-0.005638966136776502</v>
      </c>
      <c r="G784" s="1">
        <v>-0.00259398434824587</v>
      </c>
      <c r="H784" s="1">
        <v>0.00289310636170792</v>
      </c>
      <c r="I784" s="1">
        <v>-0.01507378233865186</v>
      </c>
      <c r="J784" s="1">
        <v>-0.001284792231882159</v>
      </c>
      <c r="K784" s="1">
        <v>0.006356470838118744</v>
      </c>
      <c r="L784" s="1">
        <v>0.0047755192807164</v>
      </c>
      <c r="M784" s="1">
        <v>0.005199164522575517</v>
      </c>
      <c r="N784" s="1">
        <v>-0.01329042083638998</v>
      </c>
      <c r="O784" s="1">
        <v>0.003630040463526552</v>
      </c>
      <c r="P784" s="1">
        <v>-0.0007486541766604793</v>
      </c>
      <c r="Q784" s="1">
        <v>-0.0003732706933814445</v>
      </c>
      <c r="R784" s="1">
        <v>0.01003571945267323</v>
      </c>
      <c r="S784" s="1">
        <v>0.00105931925415681</v>
      </c>
      <c r="T784" s="1">
        <v>-0.007432949555040036</v>
      </c>
      <c r="U784" s="1">
        <v>0.001006000716010647</v>
      </c>
      <c r="V784" s="1">
        <v>0.03067728920027535</v>
      </c>
      <c r="W784" s="1">
        <v>-0.003785150334330023</v>
      </c>
      <c r="X784" s="1">
        <v>0.0141289149517605</v>
      </c>
      <c r="Y784" s="1">
        <v>0.001102577811736616</v>
      </c>
      <c r="Z784" s="1">
        <v>-0.0008062771996234508</v>
      </c>
    </row>
    <row r="785" spans="1:26">
      <c r="A785" s="11">
        <v>43510</v>
      </c>
      <c r="B785" s="1">
        <v>0.01208166170654734</v>
      </c>
      <c r="C785" s="1">
        <v>-0.001851009843079732</v>
      </c>
      <c r="D785" s="1">
        <v>-0.003165234899962899</v>
      </c>
      <c r="E785" s="1">
        <v>-0.002942087644638214</v>
      </c>
      <c r="F785" s="1">
        <v>0.006210976030636806</v>
      </c>
      <c r="G785" s="1">
        <v>0.002275542702216526</v>
      </c>
      <c r="H785" s="1">
        <v>-0.006058774335444994</v>
      </c>
      <c r="I785" s="1">
        <v>-0.001721137110810234</v>
      </c>
      <c r="J785" s="1">
        <v>-0.003859335139453801</v>
      </c>
      <c r="K785" s="1">
        <v>-0.005167875938644984</v>
      </c>
      <c r="L785" s="1">
        <v>-0.006499198607319734</v>
      </c>
      <c r="M785" s="1">
        <v>0</v>
      </c>
      <c r="N785" s="1">
        <v>0.002857148681889576</v>
      </c>
      <c r="O785" s="1">
        <v>-0.01194634942341333</v>
      </c>
      <c r="P785" s="1">
        <v>0.0008428669646163289</v>
      </c>
      <c r="Q785" s="1">
        <v>0.0003734100764196668</v>
      </c>
      <c r="R785" s="1">
        <v>-0.008305014320432846</v>
      </c>
      <c r="S785" s="1">
        <v>0.0009135227376524391</v>
      </c>
      <c r="T785" s="1">
        <v>-0.005092495939370889</v>
      </c>
      <c r="U785" s="1">
        <v>-0.001675717259866483</v>
      </c>
      <c r="V785" s="1">
        <v>-0.005373883718221339</v>
      </c>
      <c r="W785" s="1">
        <v>-0.005052585408854338</v>
      </c>
      <c r="X785" s="1">
        <v>-0.01008244968821725</v>
      </c>
      <c r="Y785" s="1">
        <v>-0.008260172628494877</v>
      </c>
      <c r="Z785" s="1">
        <v>-0.01251257455080079</v>
      </c>
    </row>
    <row r="786" spans="1:26">
      <c r="A786" s="11">
        <v>43511</v>
      </c>
      <c r="B786" s="1">
        <v>0.01928395330450661</v>
      </c>
      <c r="C786" s="1">
        <v>0.01988676005878709</v>
      </c>
      <c r="D786" s="1">
        <v>0.01366718085589413</v>
      </c>
      <c r="E786" s="1">
        <v>0.01652553592003181</v>
      </c>
      <c r="F786" s="1">
        <v>0.01368769748827536</v>
      </c>
      <c r="G786" s="1">
        <v>0.001946235101160987</v>
      </c>
      <c r="H786" s="1">
        <v>0.009869331013661053</v>
      </c>
      <c r="I786" s="1">
        <v>-0.02111784592170485</v>
      </c>
      <c r="J786" s="1">
        <v>0.002152454116430169</v>
      </c>
      <c r="K786" s="1">
        <v>0.01298696525133169</v>
      </c>
      <c r="L786" s="1">
        <v>0.03056067618020775</v>
      </c>
      <c r="M786" s="1">
        <v>-0.005172273024167229</v>
      </c>
      <c r="N786" s="1">
        <v>-0.00813989450473529</v>
      </c>
      <c r="O786" s="1">
        <v>0.01120369942605137</v>
      </c>
      <c r="P786" s="1">
        <v>0.01234795344531392</v>
      </c>
      <c r="Q786" s="1">
        <v>0.01120229954369045</v>
      </c>
      <c r="R786" s="1">
        <v>0.01839422350062891</v>
      </c>
      <c r="S786" s="1">
        <v>-0.001969921453952472</v>
      </c>
      <c r="T786" s="1">
        <v>0.01713829984709903</v>
      </c>
      <c r="U786" s="1">
        <v>0.02282656991180332</v>
      </c>
      <c r="V786" s="1">
        <v>0.009143562002296157</v>
      </c>
      <c r="W786" s="1">
        <v>0.0257981311258082</v>
      </c>
      <c r="X786" s="1">
        <v>0.01518531886551244</v>
      </c>
      <c r="Y786" s="1">
        <v>0.02091469485987085</v>
      </c>
      <c r="Z786" s="1">
        <v>0.02411596612979561</v>
      </c>
    </row>
    <row r="787" spans="1:26">
      <c r="A787" s="11">
        <v>43515</v>
      </c>
      <c r="B787" s="1">
        <v>0.0003003922510267376</v>
      </c>
      <c r="C787" s="1">
        <v>-0.004091136036403986</v>
      </c>
      <c r="D787" s="1">
        <v>0.0005446133221744809</v>
      </c>
      <c r="E787" s="1">
        <v>-0.005999758364402585</v>
      </c>
      <c r="F787" s="1">
        <v>-0.005824964139649724</v>
      </c>
      <c r="G787" s="1">
        <v>0.01035929640489708</v>
      </c>
      <c r="H787" s="1">
        <v>0.006323722295446643</v>
      </c>
      <c r="I787" s="1">
        <v>-0.0108811182288121</v>
      </c>
      <c r="J787" s="1">
        <v>-0.001288871695278471</v>
      </c>
      <c r="K787" s="1">
        <v>-0.005413312112197532</v>
      </c>
      <c r="L787" s="1">
        <v>-0.003505582218728542</v>
      </c>
      <c r="M787" s="1">
        <v>-0.0005199017968158248</v>
      </c>
      <c r="N787" s="1">
        <v>0.005129140919957642</v>
      </c>
      <c r="O787" s="1">
        <v>0.004058715019810144</v>
      </c>
      <c r="P787" s="1">
        <v>-0.0004621583667725471</v>
      </c>
      <c r="Q787" s="1">
        <v>-0.005169424582485593</v>
      </c>
      <c r="R787" s="1">
        <v>0.001762113192770531</v>
      </c>
      <c r="S787" s="1">
        <v>0.0008185098276689562</v>
      </c>
      <c r="T787" s="1">
        <v>-0.003711681515106369</v>
      </c>
      <c r="U787" s="1">
        <v>0.005251187351767994</v>
      </c>
      <c r="V787" s="1">
        <v>0.01523568207246351</v>
      </c>
      <c r="W787" s="1">
        <v>-0.006574581305351046</v>
      </c>
      <c r="X787" s="1">
        <v>-0.004013242399770633</v>
      </c>
      <c r="Y787" s="1">
        <v>0.005076053218259435</v>
      </c>
      <c r="Z787" s="1">
        <v>0.0121730935748916</v>
      </c>
    </row>
    <row r="788" spans="1:26">
      <c r="A788" s="11">
        <v>43516</v>
      </c>
      <c r="B788" s="1">
        <v>0.01471011660680777</v>
      </c>
      <c r="C788" s="1">
        <v>0.01270827049177736</v>
      </c>
      <c r="D788" s="1">
        <v>0.008983120972474889</v>
      </c>
      <c r="E788" s="1">
        <v>-0.001168108047850613</v>
      </c>
      <c r="F788" s="1">
        <v>0.006391981939075198</v>
      </c>
      <c r="G788" s="1">
        <v>0.00187563244152722</v>
      </c>
      <c r="H788" s="1">
        <v>0.004855733307794985</v>
      </c>
      <c r="I788" s="1">
        <v>0.01666004613857375</v>
      </c>
      <c r="J788" s="1">
        <v>0.005591199144698189</v>
      </c>
      <c r="K788" s="1">
        <v>0.01489564338577676</v>
      </c>
      <c r="L788" s="1">
        <v>0.004848930969173493</v>
      </c>
      <c r="M788" s="1">
        <v>-0.0565287554070969</v>
      </c>
      <c r="N788" s="1">
        <v>0.03102660236682042</v>
      </c>
      <c r="O788" s="1">
        <v>0.004588428276009582</v>
      </c>
      <c r="P788" s="1">
        <v>-0.005198973602310697</v>
      </c>
      <c r="Q788" s="1">
        <v>-0.02449911367931901</v>
      </c>
      <c r="R788" s="1">
        <v>0.01202003516938999</v>
      </c>
      <c r="S788" s="1">
        <v>-0.01101452549120852</v>
      </c>
      <c r="T788" s="1">
        <v>0.003931347965406617</v>
      </c>
      <c r="U788" s="1">
        <v>0.007182379469071742</v>
      </c>
      <c r="V788" s="1">
        <v>-0.008049063056133399</v>
      </c>
      <c r="W788" s="1">
        <v>0.005541622830971704</v>
      </c>
      <c r="X788" s="1">
        <v>0.007142938792571663</v>
      </c>
      <c r="Y788" s="1">
        <v>0.005771875184380271</v>
      </c>
      <c r="Z788" s="1">
        <v>0.01104084011047801</v>
      </c>
    </row>
    <row r="789" spans="1:26">
      <c r="A789" s="11">
        <v>43517</v>
      </c>
      <c r="B789" s="1">
        <v>-0.01272193217513817</v>
      </c>
      <c r="C789" s="1">
        <v>-0.009417620799804682</v>
      </c>
      <c r="D789" s="1">
        <v>-0.001349028548224718</v>
      </c>
      <c r="E789" s="1">
        <v>-0.02280709127578295</v>
      </c>
      <c r="F789" s="1">
        <v>0.01799401032943182</v>
      </c>
      <c r="G789" s="1">
        <v>0.007746820407791288</v>
      </c>
      <c r="H789" s="1">
        <v>0.007390567461589503</v>
      </c>
      <c r="I789" s="1">
        <v>0.01857637965478576</v>
      </c>
      <c r="J789" s="1">
        <v>0.0004279660345989367</v>
      </c>
      <c r="K789" s="1">
        <v>0.004515860536433047</v>
      </c>
      <c r="L789" s="1">
        <v>-0.002081529395682291</v>
      </c>
      <c r="M789" s="1">
        <v>-0.001837718049804149</v>
      </c>
      <c r="N789" s="1">
        <v>-0.002771734378876567</v>
      </c>
      <c r="O789" s="1">
        <v>0.001522301920891422</v>
      </c>
      <c r="P789" s="1">
        <v>0.02109178851826798</v>
      </c>
      <c r="Q789" s="1">
        <v>0.00608818086807128</v>
      </c>
      <c r="R789" s="1">
        <v>0.001882642185292882</v>
      </c>
      <c r="S789" s="1">
        <v>-0.02499730808260436</v>
      </c>
      <c r="T789" s="1">
        <v>0.0009790161814771103</v>
      </c>
      <c r="U789" s="1">
        <v>-0.0006480123530706594</v>
      </c>
      <c r="V789" s="1">
        <v>-0.009352042977478603</v>
      </c>
      <c r="W789" s="1">
        <v>-0.003052844033999413</v>
      </c>
      <c r="X789" s="1">
        <v>-0.005455513061199402</v>
      </c>
      <c r="Y789" s="1">
        <v>0.006994371267535771</v>
      </c>
      <c r="Z789" s="1">
        <v>-0.007410211300421632</v>
      </c>
    </row>
    <row r="790" spans="1:26">
      <c r="A790" s="11">
        <v>43518</v>
      </c>
      <c r="B790" s="1">
        <v>0.002996714478358697</v>
      </c>
      <c r="C790" s="1">
        <v>0.01549408479988856</v>
      </c>
      <c r="D790" s="1">
        <v>0.008780295982838471</v>
      </c>
      <c r="E790" s="1">
        <v>0.01695591221733039</v>
      </c>
      <c r="F790" s="1">
        <v>0.003638983023099618</v>
      </c>
      <c r="G790" s="1">
        <v>0.005765658792584505</v>
      </c>
      <c r="H790" s="1">
        <v>-0.07364550341627218</v>
      </c>
      <c r="I790" s="1">
        <v>0.01915861946234254</v>
      </c>
      <c r="J790" s="1">
        <v>0.01496368205594223</v>
      </c>
      <c r="K790" s="1">
        <v>0.005057770943202922</v>
      </c>
      <c r="L790" s="1">
        <v>-0.004456517475281196</v>
      </c>
      <c r="M790" s="1">
        <v>-0.01270483801203082</v>
      </c>
      <c r="N790" s="1">
        <v>0.02243403236561914</v>
      </c>
      <c r="O790" s="1">
        <v>0.004995670206034308</v>
      </c>
      <c r="P790" s="1">
        <v>0.01425816830505622</v>
      </c>
      <c r="Q790" s="1">
        <v>0.00756445005666917</v>
      </c>
      <c r="R790" s="1">
        <v>0.0104094533080954</v>
      </c>
      <c r="S790" s="1">
        <v>0.003291680889656368</v>
      </c>
      <c r="T790" s="1">
        <v>0.002986751335007698</v>
      </c>
      <c r="U790" s="1">
        <v>0.01037925461626399</v>
      </c>
      <c r="V790" s="1">
        <v>0.003053961319447573</v>
      </c>
      <c r="W790" s="1">
        <v>0.002585175263220885</v>
      </c>
      <c r="X790" s="1">
        <v>0.006765571945841709</v>
      </c>
      <c r="Y790" s="1">
        <v>0.01371308115286829</v>
      </c>
      <c r="Z790" s="1">
        <v>0.005304540913521727</v>
      </c>
    </row>
    <row r="791" spans="1:26">
      <c r="A791" s="11">
        <v>43521</v>
      </c>
      <c r="B791" s="1">
        <v>-0.0002985186974900911</v>
      </c>
      <c r="C791" s="1">
        <v>0.006650198259800177</v>
      </c>
      <c r="D791" s="1">
        <v>0.001472676761065328</v>
      </c>
      <c r="E791" s="1">
        <v>-0.006473135268124985</v>
      </c>
      <c r="F791" s="1">
        <v>-0.001035799852802222</v>
      </c>
      <c r="G791" s="1">
        <v>-0.01242032255810066</v>
      </c>
      <c r="H791" s="1">
        <v>-0.01736227011466884</v>
      </c>
      <c r="I791" s="1">
        <v>-0.006687629340843992</v>
      </c>
      <c r="J791" s="1">
        <v>0.00716106286242657</v>
      </c>
      <c r="K791" s="1">
        <v>0.001677335432855198</v>
      </c>
      <c r="L791" s="1">
        <v>0.01047648738592133</v>
      </c>
      <c r="M791" s="1">
        <v>0.006341038685729439</v>
      </c>
      <c r="N791" s="1">
        <v>0.006602060921746755</v>
      </c>
      <c r="O791" s="1">
        <v>0.000323892184880048</v>
      </c>
      <c r="P791" s="1">
        <v>0.005587145038026264</v>
      </c>
      <c r="Q791" s="1">
        <v>-0.006756828948607296</v>
      </c>
      <c r="R791" s="1">
        <v>-0.005723380798201338</v>
      </c>
      <c r="S791" s="1">
        <v>0.00134258144012489</v>
      </c>
      <c r="T791" s="1">
        <v>-0.005001380028758051</v>
      </c>
      <c r="U791" s="1">
        <v>-0.0006418395214642381</v>
      </c>
      <c r="V791" s="1">
        <v>0.01176459722459633</v>
      </c>
      <c r="W791" s="1">
        <v>0.006901880731441601</v>
      </c>
      <c r="X791" s="1">
        <v>-0.0005449415874118069</v>
      </c>
      <c r="Y791" s="1">
        <v>-0.002459550049486503</v>
      </c>
      <c r="Z791" s="1">
        <v>-0.003517509235617111</v>
      </c>
    </row>
    <row r="792" spans="1:26">
      <c r="A792" s="11">
        <v>43522</v>
      </c>
      <c r="B792" s="1">
        <v>-0.01105823249490712</v>
      </c>
      <c r="C792" s="1">
        <v>-0.0002342595345277143</v>
      </c>
      <c r="D792" s="1">
        <v>0.001604595393893238</v>
      </c>
      <c r="E792" s="1">
        <v>-0.0096741313821882</v>
      </c>
      <c r="F792" s="1">
        <v>0.005963053327320056</v>
      </c>
      <c r="G792" s="1">
        <v>-0.002579800426894097</v>
      </c>
      <c r="H792" s="1">
        <v>0.0201487642534619</v>
      </c>
      <c r="I792" s="1">
        <v>-0.006429870035683183</v>
      </c>
      <c r="J792" s="1">
        <v>-0.0004185846970954366</v>
      </c>
      <c r="K792" s="1">
        <v>-0.00697754792219496</v>
      </c>
      <c r="L792" s="1">
        <v>-0.007634381343206043</v>
      </c>
      <c r="M792" s="1">
        <v>-0.005003819859350833</v>
      </c>
      <c r="N792" s="1">
        <v>0.005015584579200372</v>
      </c>
      <c r="O792" s="1">
        <v>-0.0001081161564070454</v>
      </c>
      <c r="P792" s="1">
        <v>0.006900480021931887</v>
      </c>
      <c r="Q792" s="1">
        <v>0.01058193031620291</v>
      </c>
      <c r="R792" s="1">
        <v>-0.002302487844953904</v>
      </c>
      <c r="S792" s="1">
        <v>0.00640493740643544</v>
      </c>
      <c r="T792" s="1">
        <v>-0.00767707774422588</v>
      </c>
      <c r="U792" s="1">
        <v>0.002891188847016002</v>
      </c>
      <c r="V792" s="1">
        <v>-0.01108053986815083</v>
      </c>
      <c r="W792" s="1">
        <v>0.0005909949265774372</v>
      </c>
      <c r="X792" s="1">
        <v>-0.009994642826638422</v>
      </c>
      <c r="Y792" s="1">
        <v>-0.00246561435138648</v>
      </c>
      <c r="Z792" s="1">
        <v>-0.01117886735717477</v>
      </c>
    </row>
    <row r="793" spans="1:26">
      <c r="A793" s="11">
        <v>43523</v>
      </c>
      <c r="B793" s="1">
        <v>0.01420374522442325</v>
      </c>
      <c r="C793" s="1">
        <v>0.0203153535332381</v>
      </c>
      <c r="D793" s="1">
        <v>0.002136110392848778</v>
      </c>
      <c r="E793" s="1">
        <v>0.01594890551191064</v>
      </c>
      <c r="F793" s="1">
        <v>-0.006958693373775526</v>
      </c>
      <c r="G793" s="1">
        <v>0.007436186033304537</v>
      </c>
      <c r="H793" s="1">
        <v>0.1002736690601027</v>
      </c>
      <c r="I793" s="1">
        <v>-0.001282106392403004</v>
      </c>
      <c r="J793" s="1">
        <v>-0.002091692419422198</v>
      </c>
      <c r="K793" s="1">
        <v>-0.001967257959792801</v>
      </c>
      <c r="L793" s="1">
        <v>-0.001234627144642397</v>
      </c>
      <c r="M793" s="1">
        <v>0.002979826576440026</v>
      </c>
      <c r="N793" s="1">
        <v>0.004222684944780841</v>
      </c>
      <c r="O793" s="1">
        <v>0.002484508534617014</v>
      </c>
      <c r="P793" s="1">
        <v>-0.001691062870174509</v>
      </c>
      <c r="Q793" s="1">
        <v>0.007479765331062538</v>
      </c>
      <c r="R793" s="1">
        <v>-0.01312562120144889</v>
      </c>
      <c r="S793" s="1">
        <v>0.03408962907743773</v>
      </c>
      <c r="T793" s="1">
        <v>0.01381486956624656</v>
      </c>
      <c r="U793" s="1">
        <v>-0.005125307717505412</v>
      </c>
      <c r="V793" s="1">
        <v>0.01009823324471992</v>
      </c>
      <c r="W793" s="1">
        <v>0.02027618276403609</v>
      </c>
      <c r="X793" s="1">
        <v>0.004405309085169451</v>
      </c>
      <c r="Y793" s="1">
        <v>0.001412346211846716</v>
      </c>
      <c r="Z793" s="1">
        <v>0.01309026066679464</v>
      </c>
    </row>
    <row r="794" spans="1:26">
      <c r="A794" s="11">
        <v>43524</v>
      </c>
      <c r="B794" s="1">
        <v>-0.01132300216985238</v>
      </c>
      <c r="C794" s="1">
        <v>0.01038020764147074</v>
      </c>
      <c r="D794" s="1">
        <v>-0.00200318217150508</v>
      </c>
      <c r="E794" s="1">
        <v>0.01373630266353976</v>
      </c>
      <c r="F794" s="1">
        <v>0.003633120416754565</v>
      </c>
      <c r="G794" s="1">
        <v>-0.03273418949490914</v>
      </c>
      <c r="H794" s="1">
        <v>-0.005247574073694472</v>
      </c>
      <c r="I794" s="1">
        <v>0.002750689855716137</v>
      </c>
      <c r="J794" s="1">
        <v>-0.1727463980478292</v>
      </c>
      <c r="K794" s="1">
        <v>-0.006758593012076708</v>
      </c>
      <c r="L794" s="1">
        <v>-0.007607240897589906</v>
      </c>
      <c r="M794" s="1">
        <v>0.04066870970991499</v>
      </c>
      <c r="N794" s="1">
        <v>0.001719617598234358</v>
      </c>
      <c r="O794" s="1">
        <v>0.002370491182269285</v>
      </c>
      <c r="P794" s="1">
        <v>-0.001248264387292419</v>
      </c>
      <c r="Q794" s="1">
        <v>0.001484485550218739</v>
      </c>
      <c r="R794" s="1">
        <v>-0.009061779494131006</v>
      </c>
      <c r="S794" s="1">
        <v>0.008969095191459386</v>
      </c>
      <c r="T794" s="1">
        <v>-0.01617000620503617</v>
      </c>
      <c r="U794" s="1">
        <v>0.001931985823181659</v>
      </c>
      <c r="V794" s="1">
        <v>-0.005204127082254151</v>
      </c>
      <c r="W794" s="1">
        <v>0.001659399453488808</v>
      </c>
      <c r="X794" s="1">
        <v>-0.007675601257661424</v>
      </c>
      <c r="Y794" s="1">
        <v>0.00352609099022283</v>
      </c>
      <c r="Z794" s="1">
        <v>0.0003917148377396984</v>
      </c>
    </row>
    <row r="795" spans="1:26">
      <c r="A795" s="11">
        <v>43525</v>
      </c>
      <c r="B795" s="1">
        <v>0.02441219377387593</v>
      </c>
      <c r="C795" s="1">
        <v>0.001500254138306456</v>
      </c>
      <c r="D795" s="1">
        <v>0.0148533019387691</v>
      </c>
      <c r="E795" s="1">
        <v>0.03019750942244048</v>
      </c>
      <c r="F795" s="1">
        <v>0.01111996879766441</v>
      </c>
      <c r="G795" s="1">
        <v>0.0009951156679390838</v>
      </c>
      <c r="H795" s="1">
        <v>0.009161815671670182</v>
      </c>
      <c r="I795" s="1">
        <v>-0.00445011869195</v>
      </c>
      <c r="J795" s="1">
        <v>-0.006588970956907692</v>
      </c>
      <c r="K795" s="1">
        <v>0.0005671224446626155</v>
      </c>
      <c r="L795" s="1">
        <v>0.0006704686738905341</v>
      </c>
      <c r="M795" s="1">
        <v>-0.0303353768372957</v>
      </c>
      <c r="N795" s="1">
        <v>0.006487561814979337</v>
      </c>
      <c r="O795" s="1">
        <v>-0.001397186786280535</v>
      </c>
      <c r="P795" s="1">
        <v>0.004463221310324617</v>
      </c>
      <c r="Q795" s="1">
        <v>-0.002594427260773302</v>
      </c>
      <c r="R795" s="1">
        <v>-0.0004423680883545167</v>
      </c>
      <c r="S795" s="1">
        <v>0.00241129544649521</v>
      </c>
      <c r="T795" s="1">
        <v>0.007894794238676228</v>
      </c>
      <c r="U795" s="1">
        <v>-0.009640143692000613</v>
      </c>
      <c r="V795" s="1">
        <v>0.004129898735677484</v>
      </c>
      <c r="W795" s="1">
        <v>0.01729800426390282</v>
      </c>
      <c r="X795" s="1">
        <v>0.002394323496475836</v>
      </c>
      <c r="Y795" s="1">
        <v>0.0007026993697281103</v>
      </c>
      <c r="Z795" s="1">
        <v>0.00136950586133544</v>
      </c>
    </row>
    <row r="796" spans="1:26">
      <c r="A796" s="11">
        <v>43528</v>
      </c>
      <c r="B796" s="1">
        <v>-0.009414609164006826</v>
      </c>
      <c r="C796" s="1">
        <v>-0.01799735745992748</v>
      </c>
      <c r="D796" s="1">
        <v>-0.004878789170635556</v>
      </c>
      <c r="E796" s="1">
        <v>-0.003194209988009344</v>
      </c>
      <c r="F796" s="1">
        <v>-0.009462834001231601</v>
      </c>
      <c r="G796" s="1">
        <v>0.005634787712104572</v>
      </c>
      <c r="H796" s="1">
        <v>-0.009628641125162707</v>
      </c>
      <c r="I796" s="1">
        <v>0.0153699969611174</v>
      </c>
      <c r="J796" s="1">
        <v>-0.003571459317936676</v>
      </c>
      <c r="K796" s="1">
        <v>0.0005664844212351916</v>
      </c>
      <c r="L796" s="1">
        <v>-0.002298206052443463</v>
      </c>
      <c r="M796" s="1">
        <v>-0.00938537474428347</v>
      </c>
      <c r="N796" s="1">
        <v>-0.005497637437507641</v>
      </c>
      <c r="O796" s="1">
        <v>-0.002798935794778634</v>
      </c>
      <c r="P796" s="1">
        <v>-0.002399157299719845</v>
      </c>
      <c r="Q796" s="1">
        <v>0.001858150622119803</v>
      </c>
      <c r="R796" s="1">
        <v>-0.004279176296629994</v>
      </c>
      <c r="S796" s="1">
        <v>0.001651101446362935</v>
      </c>
      <c r="T796" s="1">
        <v>0.002588373298482383</v>
      </c>
      <c r="U796" s="1">
        <v>-0.02725511833434302</v>
      </c>
      <c r="V796" s="1">
        <v>-0.003701743950028868</v>
      </c>
      <c r="W796" s="1">
        <v>-0.01745804971026865</v>
      </c>
      <c r="X796" s="1">
        <v>-0.005695320222410705</v>
      </c>
      <c r="Y796" s="1">
        <v>-0.01264031984294789</v>
      </c>
      <c r="Z796" s="1">
        <v>-0.006058124157921951</v>
      </c>
    </row>
    <row r="797" spans="1:26">
      <c r="A797" s="11">
        <v>43529</v>
      </c>
      <c r="B797" s="1">
        <v>0.001782547835953219</v>
      </c>
      <c r="C797" s="1">
        <v>-0.00593963473001391</v>
      </c>
      <c r="D797" s="1">
        <v>0.003180265584909359</v>
      </c>
      <c r="E797" s="1">
        <v>0.01413740222796589</v>
      </c>
      <c r="F797" s="1">
        <v>-0.0002584240684976313</v>
      </c>
      <c r="G797" s="1">
        <v>-0.005603214786278454</v>
      </c>
      <c r="H797" s="1">
        <v>0.002777736196192482</v>
      </c>
      <c r="I797" s="1">
        <v>-0.02635438675665147</v>
      </c>
      <c r="J797" s="1">
        <v>-0.008704613876058698</v>
      </c>
      <c r="K797" s="1">
        <v>-0.002265350870254368</v>
      </c>
      <c r="L797" s="1">
        <v>-0.0007679229606634141</v>
      </c>
      <c r="M797" s="1">
        <v>-0.005217137773689262</v>
      </c>
      <c r="N797" s="1">
        <v>0.008006248407693484</v>
      </c>
      <c r="O797" s="1">
        <v>-0.01360256923293646</v>
      </c>
      <c r="P797" s="1">
        <v>-0.004988616974399229</v>
      </c>
      <c r="Q797" s="1">
        <v>-0.001854704302166832</v>
      </c>
      <c r="R797" s="1">
        <v>0.004593950226210008</v>
      </c>
      <c r="S797" s="1">
        <v>0.003767330326722718</v>
      </c>
      <c r="T797" s="1">
        <v>-0.01443767450318245</v>
      </c>
      <c r="U797" s="1">
        <v>-0.001000296551849078</v>
      </c>
      <c r="V797" s="1">
        <v>0.0458238689676107</v>
      </c>
      <c r="W797" s="1">
        <v>-0.0192333666382023</v>
      </c>
      <c r="X797" s="1">
        <v>-0.008869295299959057</v>
      </c>
      <c r="Y797" s="1">
        <v>-0.002844989666860975</v>
      </c>
      <c r="Z797" s="1">
        <v>-0.001376354175511185</v>
      </c>
    </row>
    <row r="798" spans="1:26">
      <c r="A798" s="11">
        <v>43530</v>
      </c>
      <c r="B798" s="1">
        <v>-0.02964763785003943</v>
      </c>
      <c r="C798" s="1">
        <v>-0.01315904953653224</v>
      </c>
      <c r="D798" s="1">
        <v>-0.012944057537286</v>
      </c>
      <c r="E798" s="1">
        <v>-0.01691438462305828</v>
      </c>
      <c r="F798" s="1">
        <v>-0.002840732019074532</v>
      </c>
      <c r="G798" s="1">
        <v>-0.002320018480854946</v>
      </c>
      <c r="H798" s="1">
        <v>0.001108396939469625</v>
      </c>
      <c r="I798" s="1">
        <v>-0.01988222714990762</v>
      </c>
      <c r="J798" s="1">
        <v>-0.01446293570276758</v>
      </c>
      <c r="K798" s="1">
        <v>-0.001987182003787558</v>
      </c>
      <c r="L798" s="1">
        <v>-0.003745862300964298</v>
      </c>
      <c r="M798" s="1">
        <v>-0.006181011095073963</v>
      </c>
      <c r="N798" s="1">
        <v>0.03385004805095759</v>
      </c>
      <c r="O798" s="1">
        <v>-0.001969967379167215</v>
      </c>
      <c r="P798" s="1">
        <v>0.0004474650959669368</v>
      </c>
      <c r="Q798" s="1">
        <v>0.005945828861380509</v>
      </c>
      <c r="R798" s="1">
        <v>-0.007818256287152381</v>
      </c>
      <c r="S798" s="1">
        <v>0.0002817155493310963</v>
      </c>
      <c r="T798" s="1">
        <v>-0.02125497080071237</v>
      </c>
      <c r="U798" s="1">
        <v>-0.004674518619188661</v>
      </c>
      <c r="V798" s="1">
        <v>0.01184193953628121</v>
      </c>
      <c r="W798" s="1">
        <v>-0.01265400196926569</v>
      </c>
      <c r="X798" s="1">
        <v>-0.01472786376305846</v>
      </c>
      <c r="Y798" s="1">
        <v>-0.007132559240884739</v>
      </c>
      <c r="Z798" s="1">
        <v>-0.02205153564836293</v>
      </c>
    </row>
    <row r="799" spans="1:26">
      <c r="A799" s="11">
        <v>43531</v>
      </c>
      <c r="B799" s="1">
        <v>0.01649855703787462</v>
      </c>
      <c r="C799" s="1">
        <v>-0.00447634982171019</v>
      </c>
      <c r="D799" s="1">
        <v>-0.000133968184006128</v>
      </c>
      <c r="E799" s="1">
        <v>-0.02609219270470131</v>
      </c>
      <c r="F799" s="1">
        <v>-0.005956942044796132</v>
      </c>
      <c r="G799" s="1">
        <v>-0.002325804611291726</v>
      </c>
      <c r="H799" s="1">
        <v>-0.006087851082045459</v>
      </c>
      <c r="I799" s="1">
        <v>-0.0013900307079312</v>
      </c>
      <c r="J799" s="1">
        <v>-0.01362681321257397</v>
      </c>
      <c r="K799" s="1">
        <v>0.0145049616099524</v>
      </c>
      <c r="L799" s="1">
        <v>-0.007230853442223517</v>
      </c>
      <c r="M799" s="1">
        <v>-0.01187331455333707</v>
      </c>
      <c r="N799" s="1">
        <v>0.001280381010540177</v>
      </c>
      <c r="O799" s="1">
        <v>-0.01480439333891082</v>
      </c>
      <c r="P799" s="1">
        <v>-0.01216996477962096</v>
      </c>
      <c r="Q799" s="1">
        <v>0.007018590124150403</v>
      </c>
      <c r="R799" s="1">
        <v>-0.00208147326540864</v>
      </c>
      <c r="S799" s="1">
        <v>0.004502344198584307</v>
      </c>
      <c r="T799" s="1">
        <v>-0.01944315400524566</v>
      </c>
      <c r="U799" s="1">
        <v>0.00368983133907097</v>
      </c>
      <c r="V799" s="1">
        <v>-0.009493170800566331</v>
      </c>
      <c r="W799" s="1">
        <v>-0.001711515309680278</v>
      </c>
      <c r="X799" s="1">
        <v>-0.01778615197020927</v>
      </c>
      <c r="Y799" s="1">
        <v>0.01113471458611137</v>
      </c>
      <c r="Z799" s="1">
        <v>-0.01932757410770214</v>
      </c>
    </row>
    <row r="800" spans="1:26">
      <c r="A800" s="11">
        <v>43532</v>
      </c>
      <c r="B800" s="1">
        <v>-0.03967522217651309</v>
      </c>
      <c r="C800" s="1">
        <v>-4.725583376596898E-05</v>
      </c>
      <c r="D800" s="1">
        <v>-0.007896017479680273</v>
      </c>
      <c r="E800" s="1">
        <v>-0.002329313811332612</v>
      </c>
      <c r="F800" s="1">
        <v>-0.004950435910102358</v>
      </c>
      <c r="G800" s="1">
        <v>0</v>
      </c>
      <c r="H800" s="1">
        <v>0.002783852185360702</v>
      </c>
      <c r="I800" s="1">
        <v>0.006264975227037839</v>
      </c>
      <c r="J800" s="1">
        <v>-0.004250738861113823</v>
      </c>
      <c r="K800" s="1">
        <v>0.005887572417002884</v>
      </c>
      <c r="L800" s="1">
        <v>0.000388283858810512</v>
      </c>
      <c r="M800" s="1">
        <v>-0.01258821211914118</v>
      </c>
      <c r="N800" s="1">
        <v>0.01150900821816703</v>
      </c>
      <c r="O800" s="1">
        <v>-0.002893861420796728</v>
      </c>
      <c r="P800" s="1">
        <v>0.001087193463515712</v>
      </c>
      <c r="Q800" s="1">
        <v>0.005869489399936034</v>
      </c>
      <c r="R800" s="1">
        <v>0.002830969914958015</v>
      </c>
      <c r="S800" s="1">
        <v>0.0007005430873157081</v>
      </c>
      <c r="T800" s="1">
        <v>0.007052393465076134</v>
      </c>
      <c r="U800" s="1">
        <v>0.001336875746897892</v>
      </c>
      <c r="V800" s="1">
        <v>-0.004726157001867071</v>
      </c>
      <c r="W800" s="1">
        <v>-0.003827676349534959</v>
      </c>
      <c r="X800" s="1">
        <v>-0.01560388961704995</v>
      </c>
      <c r="Y800" s="1">
        <v>0.004085121463485608</v>
      </c>
      <c r="Z800" s="1">
        <v>-0.000205085042366937</v>
      </c>
    </row>
    <row r="801" spans="1:26">
      <c r="A801" s="11">
        <v>43535</v>
      </c>
      <c r="B801" s="1">
        <v>0.02503921213381788</v>
      </c>
      <c r="C801" s="1">
        <v>-0.05332041169098012</v>
      </c>
      <c r="D801" s="1">
        <v>0.01335476400363</v>
      </c>
      <c r="E801" s="1">
        <v>-0.009535024670903502</v>
      </c>
      <c r="F801" s="1">
        <v>0.02566122778157376</v>
      </c>
      <c r="G801" s="1">
        <v>0.01332002906427654</v>
      </c>
      <c r="H801" s="1">
        <v>-0.003331165155517013</v>
      </c>
      <c r="I801" s="1">
        <v>0.008867212363762533</v>
      </c>
      <c r="J801" s="1">
        <v>0.01600888906389408</v>
      </c>
      <c r="K801" s="1">
        <v>0.007246253165253735</v>
      </c>
      <c r="L801" s="1">
        <v>0.01300867111767112</v>
      </c>
      <c r="M801" s="1">
        <v>-0.003090600227053875</v>
      </c>
      <c r="N801" s="1">
        <v>0.0115584083683542</v>
      </c>
      <c r="O801" s="1">
        <v>0.01339586476739685</v>
      </c>
      <c r="P801" s="1">
        <v>0.02099343697233125</v>
      </c>
      <c r="Q801" s="1">
        <v>0.01312924456671505</v>
      </c>
      <c r="R801" s="1">
        <v>0.01247933915289257</v>
      </c>
      <c r="S801" s="1">
        <v>0.02108991822414374</v>
      </c>
      <c r="T801" s="1">
        <v>0.02642878183959474</v>
      </c>
      <c r="U801" s="1">
        <v>0.008678444773427163</v>
      </c>
      <c r="V801" s="1">
        <v>0.00606787548113763</v>
      </c>
      <c r="W801" s="1">
        <v>0.01789069203069427</v>
      </c>
      <c r="X801" s="1">
        <v>0.01917801051541446</v>
      </c>
      <c r="Y801" s="1">
        <v>0.01857466654558459</v>
      </c>
      <c r="Z801" s="1">
        <v>0.003285153960578713</v>
      </c>
    </row>
    <row r="802" spans="1:26">
      <c r="A802" s="11">
        <v>43536</v>
      </c>
      <c r="B802" s="1">
        <v>0.02839689517894439</v>
      </c>
      <c r="C802" s="1">
        <v>-0.06149847400837882</v>
      </c>
      <c r="D802" s="1">
        <v>0.007454847098728568</v>
      </c>
      <c r="E802" s="1">
        <v>-0.01021629977820182</v>
      </c>
      <c r="F802" s="1">
        <v>0.008169215832457333</v>
      </c>
      <c r="G802" s="1">
        <v>0.008215692710483058</v>
      </c>
      <c r="H802" s="1">
        <v>-0.02367698337609359</v>
      </c>
      <c r="I802" s="1">
        <v>-0.007978974352993773</v>
      </c>
      <c r="J802" s="1">
        <v>0.00953377212820361</v>
      </c>
      <c r="K802" s="1">
        <v>-0.001383366243538964</v>
      </c>
      <c r="L802" s="1">
        <v>-0.002970858309014779</v>
      </c>
      <c r="M802" s="1">
        <v>-0.02344490420557144</v>
      </c>
      <c r="N802" s="1">
        <v>-0.004641678861677323</v>
      </c>
      <c r="O802" s="1">
        <v>0.006719272208402627</v>
      </c>
      <c r="P802" s="1">
        <v>0.007001561993862815</v>
      </c>
      <c r="Q802" s="1">
        <v>0.00791914919106107</v>
      </c>
      <c r="R802" s="1">
        <v>0.001320506345881656</v>
      </c>
      <c r="S802" s="1">
        <v>0.006594766207902225</v>
      </c>
      <c r="T802" s="1">
        <v>-0.01236004202942742</v>
      </c>
      <c r="U802" s="1">
        <v>0.01356694173208539</v>
      </c>
      <c r="V802" s="1">
        <v>-0.001179774228624364</v>
      </c>
      <c r="W802" s="1">
        <v>0.002359334288977388</v>
      </c>
      <c r="X802" s="1">
        <v>-0.00288031945684053</v>
      </c>
      <c r="Y802" s="1">
        <v>-0.002605018767638412</v>
      </c>
      <c r="Z802" s="1">
        <v>0.001227936518892303</v>
      </c>
    </row>
    <row r="803" spans="1:26">
      <c r="A803" s="11">
        <v>43537</v>
      </c>
      <c r="B803" s="1">
        <v>0.01900224819400931</v>
      </c>
      <c r="C803" s="1">
        <v>0.004608302986452761</v>
      </c>
      <c r="D803" s="1">
        <v>0.009249174984586661</v>
      </c>
      <c r="E803" s="1">
        <v>0.01171110281872556</v>
      </c>
      <c r="F803" s="1">
        <v>0.001772814831882963</v>
      </c>
      <c r="G803" s="1">
        <v>-0.008800555708239011</v>
      </c>
      <c r="H803" s="1">
        <v>0.00627681305456429</v>
      </c>
      <c r="I803" s="1">
        <v>0.003392956953221171</v>
      </c>
      <c r="J803" s="1">
        <v>0.02885615631084582</v>
      </c>
      <c r="K803" s="1">
        <v>0.004987264996481278</v>
      </c>
      <c r="L803" s="1">
        <v>0.003364001174864573</v>
      </c>
      <c r="M803" s="1">
        <v>0.004166513672570149</v>
      </c>
      <c r="N803" s="1">
        <v>0.00681611293112061</v>
      </c>
      <c r="O803" s="1">
        <v>0.003720404249567988</v>
      </c>
      <c r="P803" s="1">
        <v>0.007745167944775089</v>
      </c>
      <c r="Q803" s="1">
        <v>-0.0007145348234072202</v>
      </c>
      <c r="R803" s="1">
        <v>0.007326967317215383</v>
      </c>
      <c r="S803" s="1">
        <v>0.003985816406121723</v>
      </c>
      <c r="T803" s="1">
        <v>0.005937883966080193</v>
      </c>
      <c r="U803" s="1">
        <v>-0.0114264435506034</v>
      </c>
      <c r="V803" s="1">
        <v>0.0123391562657531</v>
      </c>
      <c r="W803" s="1">
        <v>0.01549507759121571</v>
      </c>
      <c r="X803" s="1">
        <v>0.008280282326393662</v>
      </c>
      <c r="Y803" s="1">
        <v>0.004004740623748448</v>
      </c>
      <c r="Z803" s="1">
        <v>0.004088402395868052</v>
      </c>
    </row>
    <row r="804" spans="1:26">
      <c r="A804" s="11">
        <v>43538</v>
      </c>
      <c r="B804" s="1">
        <v>-0.00145671212115972</v>
      </c>
      <c r="C804" s="1">
        <v>-0.01018197769316387</v>
      </c>
      <c r="D804" s="1">
        <v>0.001702375586202232</v>
      </c>
      <c r="E804" s="1">
        <v>-0.02118863448912245</v>
      </c>
      <c r="F804" s="1">
        <v>0.00783612442278514</v>
      </c>
      <c r="G804" s="1">
        <v>0</v>
      </c>
      <c r="H804" s="1">
        <v>0.01049053864505511</v>
      </c>
      <c r="I804" s="1">
        <v>-0.01202382248254241</v>
      </c>
      <c r="J804" s="1">
        <v>0.001529641995132502</v>
      </c>
      <c r="K804" s="1">
        <v>-0.007168338221368753</v>
      </c>
      <c r="L804" s="1">
        <v>0.009100349336250479</v>
      </c>
      <c r="M804" s="1">
        <v>0.01086741676580782</v>
      </c>
      <c r="N804" s="1">
        <v>0.004810214627183784</v>
      </c>
      <c r="O804" s="1">
        <v>0.008285228432792557</v>
      </c>
      <c r="P804" s="1">
        <v>0.0007858409332923699</v>
      </c>
      <c r="Q804" s="1">
        <v>-0.003930751853563064</v>
      </c>
      <c r="R804" s="1">
        <v>-0.004218469183845053</v>
      </c>
      <c r="S804" s="1">
        <v>-0.002601062418861932</v>
      </c>
      <c r="T804" s="1">
        <v>0.008490086935257324</v>
      </c>
      <c r="U804" s="1">
        <v>0</v>
      </c>
      <c r="V804" s="1">
        <v>-0.008169162506831529</v>
      </c>
      <c r="W804" s="1">
        <v>0.01063109873707058</v>
      </c>
      <c r="X804" s="1">
        <v>-0.0106990711754924</v>
      </c>
      <c r="Y804" s="1">
        <v>0.005029389079228341</v>
      </c>
      <c r="Z804" s="1">
        <v>-0.0008140916287171507</v>
      </c>
    </row>
    <row r="805" spans="1:26">
      <c r="A805" s="11">
        <v>43539</v>
      </c>
      <c r="B805" s="1">
        <v>0.005252248862370523</v>
      </c>
      <c r="C805" s="1">
        <v>0.01524251966842893</v>
      </c>
      <c r="D805" s="1">
        <v>0.005620266902916837</v>
      </c>
      <c r="E805" s="1">
        <v>0.001402690106081961</v>
      </c>
      <c r="F805" s="1">
        <v>0.0150489559270286</v>
      </c>
      <c r="G805" s="1">
        <v>0.0131535821891573</v>
      </c>
      <c r="H805" s="1">
        <v>0.0103815584334257</v>
      </c>
      <c r="I805" s="1">
        <v>0.002472647096143588</v>
      </c>
      <c r="J805" s="1">
        <v>0.01527509209895994</v>
      </c>
      <c r="K805" s="1">
        <v>0.002237819705260602</v>
      </c>
      <c r="L805" s="1">
        <v>0.01148680553819315</v>
      </c>
      <c r="M805" s="1">
        <v>0.004104619258124664</v>
      </c>
      <c r="N805" s="1">
        <v>0.006205411753252399</v>
      </c>
      <c r="O805" s="1">
        <v>0.008649564881753724</v>
      </c>
      <c r="P805" s="1">
        <v>0.01151973049679178</v>
      </c>
      <c r="Q805" s="1">
        <v>0.0007172564821715799</v>
      </c>
      <c r="R805" s="1">
        <v>-0.01168735289808065</v>
      </c>
      <c r="S805" s="1">
        <v>-0.00434666277601492</v>
      </c>
      <c r="T805" s="1">
        <v>0.00515377706763287</v>
      </c>
      <c r="U805" s="1">
        <v>0.01287942753741711</v>
      </c>
      <c r="V805" s="1">
        <v>0.0022226397154963</v>
      </c>
      <c r="W805" s="1">
        <v>0.006349379159242385</v>
      </c>
      <c r="X805" s="1">
        <v>0</v>
      </c>
      <c r="Y805" s="1">
        <v>0.007592908879167526</v>
      </c>
      <c r="Z805" s="1">
        <v>0.001629609699638213</v>
      </c>
    </row>
    <row r="806" spans="1:26">
      <c r="A806" s="11">
        <v>43542</v>
      </c>
      <c r="B806" s="1">
        <v>0.01625562311205497</v>
      </c>
      <c r="C806" s="1">
        <v>-0.01770507585910741</v>
      </c>
      <c r="D806" s="1">
        <v>0.0001298947976062781</v>
      </c>
      <c r="E806" s="1">
        <v>-0.002001709776683458</v>
      </c>
      <c r="F806" s="1">
        <v>-0.01359014810902848</v>
      </c>
      <c r="G806" s="1">
        <v>-0.007464919943110715</v>
      </c>
      <c r="H806" s="1">
        <v>0.01527355243863426</v>
      </c>
      <c r="I806" s="1">
        <v>0.01359397558293662</v>
      </c>
      <c r="J806" s="1">
        <v>0.0005018389385060829</v>
      </c>
      <c r="K806" s="1">
        <v>0.01646655148729592</v>
      </c>
      <c r="L806" s="1">
        <v>0.006006785660567671</v>
      </c>
      <c r="M806" s="1">
        <v>-0.005644886051474063</v>
      </c>
      <c r="N806" s="1">
        <v>0.009691717554203061</v>
      </c>
      <c r="O806" s="1">
        <v>-0.00332293751314483</v>
      </c>
      <c r="P806" s="1">
        <v>0.01432130475604843</v>
      </c>
      <c r="Q806" s="1">
        <v>0.005736992089403925</v>
      </c>
      <c r="R806" s="1">
        <v>0.01123417455851405</v>
      </c>
      <c r="S806" s="1">
        <v>0.0006435190727367424</v>
      </c>
      <c r="T806" s="1">
        <v>0.0007422302912869494</v>
      </c>
      <c r="U806" s="1">
        <v>0.004238944238728504</v>
      </c>
      <c r="V806" s="1">
        <v>0.01591433205706783</v>
      </c>
      <c r="W806" s="1">
        <v>0.001672463672739655</v>
      </c>
      <c r="X806" s="1">
        <v>0.01448441274113055</v>
      </c>
      <c r="Y806" s="1">
        <v>-0.005480366662935277</v>
      </c>
      <c r="Z806" s="1">
        <v>0.01790082982156793</v>
      </c>
    </row>
    <row r="807" spans="1:26">
      <c r="A807" s="11">
        <v>43543</v>
      </c>
      <c r="B807" s="1">
        <v>-0.01485312316499143</v>
      </c>
      <c r="C807" s="1">
        <v>0.003089106637008676</v>
      </c>
      <c r="D807" s="1">
        <v>0.008317031006355613</v>
      </c>
      <c r="E807" s="1">
        <v>-0.005214391094944038</v>
      </c>
      <c r="F807" s="1">
        <v>-0.003507184092014781</v>
      </c>
      <c r="G807" s="1">
        <v>-0.01013737093154432</v>
      </c>
      <c r="H807" s="1">
        <v>-0.007111601520035871</v>
      </c>
      <c r="I807" s="1">
        <v>0.00417994971583191</v>
      </c>
      <c r="J807" s="1">
        <v>0.002505870679748279</v>
      </c>
      <c r="K807" s="1">
        <v>-0.001372808380764035</v>
      </c>
      <c r="L807" s="1">
        <v>-0.003638749691347143</v>
      </c>
      <c r="M807" s="1">
        <v>-0.006656455760198243</v>
      </c>
      <c r="N807" s="1">
        <v>-0.02251318670127889</v>
      </c>
      <c r="O807" s="1">
        <v>-0.003118993518587465</v>
      </c>
      <c r="P807" s="1">
        <v>0.0006806018736185138</v>
      </c>
      <c r="Q807" s="1">
        <v>-0.008912727086338279</v>
      </c>
      <c r="R807" s="1">
        <v>-0.004531497800177364</v>
      </c>
      <c r="S807" s="1">
        <v>-0.001285924238369707</v>
      </c>
      <c r="T807" s="1">
        <v>-0.002504006319316132</v>
      </c>
      <c r="U807" s="1">
        <v>-0.00389631279795255</v>
      </c>
      <c r="V807" s="1">
        <v>0.007447308046409029</v>
      </c>
      <c r="W807" s="1">
        <v>0.009221004440167491</v>
      </c>
      <c r="X807" s="1">
        <v>-0.009518504382491466</v>
      </c>
      <c r="Y807" s="1">
        <v>-0.009815862742099002</v>
      </c>
      <c r="Z807" s="1">
        <v>-0.02138299254144072</v>
      </c>
    </row>
    <row r="808" spans="1:26">
      <c r="A808" s="11">
        <v>43544</v>
      </c>
      <c r="B808" s="1">
        <v>0.02319528156406614</v>
      </c>
      <c r="C808" s="1">
        <v>0.00731073943882965</v>
      </c>
      <c r="D808" s="1">
        <v>-0.005284423602023414</v>
      </c>
      <c r="E808" s="1">
        <v>-0.008265874158162823</v>
      </c>
      <c r="F808" s="1">
        <v>-0.007792914271673501</v>
      </c>
      <c r="G808" s="1">
        <v>-0.0003304362341688405</v>
      </c>
      <c r="H808" s="1">
        <v>0.0005508998708148027</v>
      </c>
      <c r="I808" s="1">
        <v>-0.008138088863484327</v>
      </c>
      <c r="J808" s="1">
        <v>-0.0005002085867309436</v>
      </c>
      <c r="K808" s="1">
        <v>0.0002751342888318575</v>
      </c>
      <c r="L808" s="1">
        <v>-0.0213481997469116</v>
      </c>
      <c r="M808" s="1">
        <v>-0.02049657158106055</v>
      </c>
      <c r="N808" s="1">
        <v>-0.005177470077764146</v>
      </c>
      <c r="O808" s="1">
        <v>-0.005502243036768051</v>
      </c>
      <c r="P808" s="1">
        <v>-0.001105043515559401</v>
      </c>
      <c r="Q808" s="1">
        <v>0.005395814402186394</v>
      </c>
      <c r="R808" s="1">
        <v>-0.005286339578311594</v>
      </c>
      <c r="S808" s="1">
        <v>0.006299579805121525</v>
      </c>
      <c r="T808" s="1">
        <v>-0.002347247706996125</v>
      </c>
      <c r="U808" s="1">
        <v>-0.0055412521505801</v>
      </c>
      <c r="V808" s="1">
        <v>-0.01172550230869107</v>
      </c>
      <c r="W808" s="1">
        <v>-0.001240636246412685</v>
      </c>
      <c r="X808" s="1">
        <v>-0.01191624711716233</v>
      </c>
      <c r="Y808" s="1">
        <v>0.002956651534692378</v>
      </c>
      <c r="Z808" s="1">
        <v>-0.03798223131007405</v>
      </c>
    </row>
    <row r="809" spans="1:26">
      <c r="A809" s="11">
        <v>43545</v>
      </c>
      <c r="B809" s="1">
        <v>0.02238574003610339</v>
      </c>
      <c r="C809" s="1">
        <v>-0.009198229140264358</v>
      </c>
      <c r="D809" s="1">
        <v>0.01645489341481943</v>
      </c>
      <c r="E809" s="1">
        <v>-0.005489153599062879</v>
      </c>
      <c r="F809" s="1">
        <v>0.01469481893927127</v>
      </c>
      <c r="G809" s="1">
        <v>0.01189691308047269</v>
      </c>
      <c r="H809" s="1">
        <v>0.04240132322340928</v>
      </c>
      <c r="I809" s="1">
        <v>0.0004384504419976398</v>
      </c>
      <c r="J809" s="1">
        <v>0.0115058079344601</v>
      </c>
      <c r="K809" s="1">
        <v>0.01594272878507574</v>
      </c>
      <c r="L809" s="1">
        <v>-0.01578667125113808</v>
      </c>
      <c r="M809" s="1">
        <v>0.02092547201610628</v>
      </c>
      <c r="N809" s="1">
        <v>0.02171585235028028</v>
      </c>
      <c r="O809" s="1">
        <v>0.009763379806473793</v>
      </c>
      <c r="P809" s="1">
        <v>0.02297495650478631</v>
      </c>
      <c r="Q809" s="1">
        <v>0.01645786469813482</v>
      </c>
      <c r="R809" s="1">
        <v>0.00664293225390522</v>
      </c>
      <c r="S809" s="1">
        <v>0.01448479902506294</v>
      </c>
      <c r="T809" s="1">
        <v>0.0101805497407903</v>
      </c>
      <c r="U809" s="1">
        <v>0.018026923254717</v>
      </c>
      <c r="V809" s="1">
        <v>0.02514829109568595</v>
      </c>
      <c r="W809" s="1">
        <v>0.02040425158522385</v>
      </c>
      <c r="X809" s="1">
        <v>0.008753375499358063</v>
      </c>
      <c r="Y809" s="1">
        <v>0.01075079554595182</v>
      </c>
      <c r="Z809" s="1">
        <v>-0.02250074784685141</v>
      </c>
    </row>
    <row r="810" spans="1:26">
      <c r="A810" s="11">
        <v>43546</v>
      </c>
      <c r="B810" s="1">
        <v>-0.0349222534433199</v>
      </c>
      <c r="C810" s="1">
        <v>-0.02825332796158497</v>
      </c>
      <c r="D810" s="1">
        <v>-0.01542337178191755</v>
      </c>
      <c r="E810" s="1">
        <v>-0.01553559189919462</v>
      </c>
      <c r="F810" s="1">
        <v>-0.01473160064267476</v>
      </c>
      <c r="G810" s="1">
        <v>0.003265977042500534</v>
      </c>
      <c r="H810" s="1">
        <v>0.01003667590418278</v>
      </c>
      <c r="I810" s="1">
        <v>-0.0237275975587864</v>
      </c>
      <c r="J810" s="1">
        <v>-0.04352102626818433</v>
      </c>
      <c r="K810" s="1">
        <v>-0.02245660141724648</v>
      </c>
      <c r="L810" s="1">
        <v>-0.03023224903964949</v>
      </c>
      <c r="M810" s="1">
        <v>-0.02798582173550812</v>
      </c>
      <c r="N810" s="1">
        <v>-0.003741539982206277</v>
      </c>
      <c r="O810" s="1">
        <v>-0.01085075117114531</v>
      </c>
      <c r="P810" s="1">
        <v>-0.0263684154829279</v>
      </c>
      <c r="Q810" s="1">
        <v>0.007039916781132805</v>
      </c>
      <c r="R810" s="1">
        <v>-0.01701138973690175</v>
      </c>
      <c r="S810" s="1">
        <v>0.0004505468881292884</v>
      </c>
      <c r="T810" s="1">
        <v>-0.02977199154539112</v>
      </c>
      <c r="U810" s="1">
        <v>0.0003222252456207553</v>
      </c>
      <c r="V810" s="1">
        <v>-0.01471921162696055</v>
      </c>
      <c r="W810" s="1">
        <v>-0.02671079078172867</v>
      </c>
      <c r="X810" s="1">
        <v>-0.03644426780185273</v>
      </c>
      <c r="Y810" s="1">
        <v>0.02521844643713722</v>
      </c>
      <c r="Z810" s="1">
        <v>-0.0523343444028701</v>
      </c>
    </row>
    <row r="811" spans="1:26">
      <c r="A811" s="11">
        <v>43549</v>
      </c>
      <c r="B811" s="1">
        <v>0.002871922949250205</v>
      </c>
      <c r="C811" s="1">
        <v>0.02288977498762046</v>
      </c>
      <c r="D811" s="1">
        <v>0.005049251354277473</v>
      </c>
      <c r="E811" s="1">
        <v>-0.01391190466873438</v>
      </c>
      <c r="F811" s="1">
        <v>-0.007095946680902521</v>
      </c>
      <c r="G811" s="1">
        <v>0.002603770258721383</v>
      </c>
      <c r="H811" s="1">
        <v>0.001046168830430627</v>
      </c>
      <c r="I811" s="1">
        <v>0.008913630553964103</v>
      </c>
      <c r="J811" s="1">
        <v>-0.01913143657576455</v>
      </c>
      <c r="K811" s="1">
        <v>0.0008300874274846937</v>
      </c>
      <c r="L811" s="1">
        <v>-0.008320002156954387</v>
      </c>
      <c r="M811" s="1">
        <v>-0.01277368238680254</v>
      </c>
      <c r="N811" s="1">
        <v>0.01126598549739244</v>
      </c>
      <c r="O811" s="1">
        <v>0.001955272219297477</v>
      </c>
      <c r="P811" s="1">
        <v>0.005211343420571612</v>
      </c>
      <c r="Q811" s="1">
        <v>0.001048354579045174</v>
      </c>
      <c r="R811" s="1">
        <v>0.00551991339852953</v>
      </c>
      <c r="S811" s="1">
        <v>0.009544206055709603</v>
      </c>
      <c r="T811" s="1">
        <v>0.003968957675311913</v>
      </c>
      <c r="U811" s="1">
        <v>-0.009655793537556967</v>
      </c>
      <c r="V811" s="1">
        <v>0.002681732931680392</v>
      </c>
      <c r="W811" s="1">
        <v>0.01891489089960063</v>
      </c>
      <c r="X811" s="1">
        <v>-0.001400823168579368</v>
      </c>
      <c r="Y811" s="1">
        <v>0.005354827964707543</v>
      </c>
      <c r="Z811" s="1">
        <v>0.002520608765037569</v>
      </c>
    </row>
    <row r="812" spans="1:26">
      <c r="A812" s="11">
        <v>43550</v>
      </c>
      <c r="B812" s="1">
        <v>0.02119124981938092</v>
      </c>
      <c r="C812" s="1">
        <v>-0.0002158598717679761</v>
      </c>
      <c r="D812" s="1">
        <v>0.01507143018247614</v>
      </c>
      <c r="E812" s="1">
        <v>0.01789871746400928</v>
      </c>
      <c r="F812" s="1">
        <v>0.01148542409228259</v>
      </c>
      <c r="G812" s="1">
        <v>0.004220988881355359</v>
      </c>
      <c r="H812" s="1">
        <v>0.006269589770345751</v>
      </c>
      <c r="I812" s="1">
        <v>0.001716319804743627</v>
      </c>
      <c r="J812" s="1">
        <v>0.008434465963500504</v>
      </c>
      <c r="K812" s="1">
        <v>0.01106210854685186</v>
      </c>
      <c r="L812" s="1">
        <v>0.01000731058743742</v>
      </c>
      <c r="M812" s="1">
        <v>0.001232277835232498</v>
      </c>
      <c r="N812" s="1">
        <v>0.008488174120987457</v>
      </c>
      <c r="O812" s="1">
        <v>0.004877749800006548</v>
      </c>
      <c r="P812" s="1">
        <v>0.002124828556051339</v>
      </c>
      <c r="Q812" s="1">
        <v>0.006284899177017023</v>
      </c>
      <c r="R812" s="1">
        <v>0.000296735741621923</v>
      </c>
      <c r="S812" s="1">
        <v>-0.01792730171341661</v>
      </c>
      <c r="T812" s="1">
        <v>-0.004711028084783409</v>
      </c>
      <c r="U812" s="1">
        <v>0.02014963987163476</v>
      </c>
      <c r="V812" s="1">
        <v>0.01400722882323469</v>
      </c>
      <c r="W812" s="1">
        <v>0.009821616824876811</v>
      </c>
      <c r="X812" s="1">
        <v>0.002004082410103747</v>
      </c>
      <c r="Y812" s="1">
        <v>0.00915460142312563</v>
      </c>
      <c r="Z812" s="1">
        <v>0.02811421587866336</v>
      </c>
    </row>
    <row r="813" spans="1:26">
      <c r="A813" s="11">
        <v>43551</v>
      </c>
      <c r="B813" s="1">
        <v>-0.01794722702058038</v>
      </c>
      <c r="C813" s="1">
        <v>0.01034073062616936</v>
      </c>
      <c r="D813" s="1">
        <v>0.003680014009463051</v>
      </c>
      <c r="E813" s="1">
        <v>-0.007447670792631755</v>
      </c>
      <c r="F813" s="1">
        <v>0.01463530141673774</v>
      </c>
      <c r="G813" s="1">
        <v>-0.012609132055449</v>
      </c>
      <c r="H813" s="1">
        <v>-0.01479772416005842</v>
      </c>
      <c r="I813" s="1">
        <v>0.004251126964661012</v>
      </c>
      <c r="J813" s="1">
        <v>-0.01045463986121664</v>
      </c>
      <c r="K813" s="1">
        <v>-0.002461883430926903</v>
      </c>
      <c r="L813" s="1">
        <v>-0.003402978746711582</v>
      </c>
      <c r="M813" s="1">
        <v>0.02215378799120193</v>
      </c>
      <c r="N813" s="1">
        <v>-0.01280032786752472</v>
      </c>
      <c r="O813" s="1">
        <v>-0.00744326041108867</v>
      </c>
      <c r="P813" s="1">
        <v>-0.009668513168810122</v>
      </c>
      <c r="Q813" s="1">
        <v>-0.004857658952279631</v>
      </c>
      <c r="R813" s="1">
        <v>0.005933174541283393</v>
      </c>
      <c r="S813" s="1">
        <v>-0.004631632093492599</v>
      </c>
      <c r="T813" s="1">
        <v>0.01496214339929902</v>
      </c>
      <c r="U813" s="1">
        <v>0.0003184322619649294</v>
      </c>
      <c r="V813" s="1">
        <v>0.002385803583473622</v>
      </c>
      <c r="W813" s="1">
        <v>-0.009541733396353669</v>
      </c>
      <c r="X813" s="1">
        <v>-0.004400055179769824</v>
      </c>
      <c r="Y813" s="1">
        <v>0.004123416615411601</v>
      </c>
      <c r="Z813" s="1">
        <v>-0.002445299514045929</v>
      </c>
    </row>
    <row r="814" spans="1:26">
      <c r="A814" s="11">
        <v>43552</v>
      </c>
      <c r="B814" s="1">
        <v>0.001998805052079167</v>
      </c>
      <c r="C814" s="1">
        <v>0.0006145345821215731</v>
      </c>
      <c r="D814" s="1">
        <v>0.007586317777076523</v>
      </c>
      <c r="E814" s="1">
        <v>-0.002917592501077482</v>
      </c>
      <c r="F814" s="1">
        <v>0.005222836710043977</v>
      </c>
      <c r="G814" s="1">
        <v>-0.006876502893010006</v>
      </c>
      <c r="H814" s="1">
        <v>0.009222958094361022</v>
      </c>
      <c r="I814" s="1">
        <v>0.0036186809690264</v>
      </c>
      <c r="J814" s="1">
        <v>0.00369772687321146</v>
      </c>
      <c r="K814" s="1">
        <v>0.01179073238264849</v>
      </c>
      <c r="L814" s="1">
        <v>0.01134776290711303</v>
      </c>
      <c r="M814" s="1">
        <v>0.01244236430639667</v>
      </c>
      <c r="N814" s="1">
        <v>0.007105239647484662</v>
      </c>
      <c r="O814" s="1">
        <v>0.009998802037157972</v>
      </c>
      <c r="P814" s="1">
        <v>0.001370389551283546</v>
      </c>
      <c r="Q814" s="1">
        <v>-0.004881286163683662</v>
      </c>
      <c r="R814" s="1">
        <v>0.006635205768004138</v>
      </c>
      <c r="S814" s="1">
        <v>-0.0009122124635233542</v>
      </c>
      <c r="T814" s="1">
        <v>0.01061635458539412</v>
      </c>
      <c r="U814" s="1">
        <v>-0.01242030836287611</v>
      </c>
      <c r="V814" s="1">
        <v>0.006264342243475607</v>
      </c>
      <c r="W814" s="1">
        <v>0.005393007564526764</v>
      </c>
      <c r="X814" s="1">
        <v>0.006428182563479323</v>
      </c>
      <c r="Y814" s="1">
        <v>-0.02956643530469039</v>
      </c>
      <c r="Z814" s="1">
        <v>0.01114317744202453</v>
      </c>
    </row>
    <row r="815" spans="1:26">
      <c r="A815" s="11">
        <v>43553</v>
      </c>
      <c r="B815" s="1">
        <v>-0.01225417463832901</v>
      </c>
      <c r="C815" s="1">
        <v>0.0186412012743824</v>
      </c>
      <c r="D815" s="1">
        <v>0.02032854330053468</v>
      </c>
      <c r="E815" s="1">
        <v>-0.002717388104573337</v>
      </c>
      <c r="F815" s="1">
        <v>-0.01088601575400883</v>
      </c>
      <c r="G815" s="1">
        <v>0.0121997855791498</v>
      </c>
      <c r="H815" s="1">
        <v>-0.004439018925248117</v>
      </c>
      <c r="I815" s="1">
        <v>0.0111336175439678</v>
      </c>
      <c r="J815" s="1">
        <v>0.02263148825606809</v>
      </c>
      <c r="K815" s="1">
        <v>0.001083828081505311</v>
      </c>
      <c r="L815" s="1">
        <v>0.00516328310172387</v>
      </c>
      <c r="M815" s="1">
        <v>0.02893949434889476</v>
      </c>
      <c r="N815" s="1">
        <v>0.01287452258126809</v>
      </c>
      <c r="O815" s="1">
        <v>0.0104382674730803</v>
      </c>
      <c r="P815" s="1">
        <v>0.008637487770267294</v>
      </c>
      <c r="Q815" s="1">
        <v>0.004204300195370436</v>
      </c>
      <c r="R815" s="1">
        <v>-0.001904202446809333</v>
      </c>
      <c r="S815" s="1">
        <v>-0.005571047023495868</v>
      </c>
      <c r="T815" s="1">
        <v>-0.001182504518686289</v>
      </c>
      <c r="U815" s="1">
        <v>0.011286696227778</v>
      </c>
      <c r="V815" s="1">
        <v>-0.0007468962499910248</v>
      </c>
      <c r="W815" s="1">
        <v>0.01265254924224801</v>
      </c>
      <c r="X815" s="1">
        <v>0.01117766085173599</v>
      </c>
      <c r="Y815" s="1">
        <v>0.0008464573464606051</v>
      </c>
      <c r="Z815" s="1">
        <v>0.0008817035017274488</v>
      </c>
    </row>
    <row r="816" spans="1:26">
      <c r="A816" s="11">
        <v>43556</v>
      </c>
      <c r="B816" s="1">
        <v>0.00894401263736877</v>
      </c>
      <c r="C816" s="1">
        <v>0.02653249043331529</v>
      </c>
      <c r="D816" s="1">
        <v>0.005657333329922132</v>
      </c>
      <c r="E816" s="1">
        <v>-0.01299495744343304</v>
      </c>
      <c r="F816" s="1">
        <v>0.008254179972314146</v>
      </c>
      <c r="G816" s="1">
        <v>0</v>
      </c>
      <c r="H816" s="1">
        <v>-0.007343309432517042</v>
      </c>
      <c r="I816" s="1">
        <v>0.01295055294442182</v>
      </c>
      <c r="J816" s="1">
        <v>0.03190923360425946</v>
      </c>
      <c r="K816" s="1">
        <v>-0.0005414774618188734</v>
      </c>
      <c r="L816" s="1">
        <v>0.03368564645473748</v>
      </c>
      <c r="M816" s="1">
        <v>0.009632047173635083</v>
      </c>
      <c r="N816" s="1">
        <v>0.005223795157495603</v>
      </c>
      <c r="O816" s="1">
        <v>0.00969131887471919</v>
      </c>
      <c r="P816" s="1">
        <v>0.009157395339079999</v>
      </c>
      <c r="Q816" s="1">
        <v>-0.0167481503720901</v>
      </c>
      <c r="R816" s="1">
        <v>0.01335495641155693</v>
      </c>
      <c r="S816" s="1">
        <v>0.002433673757027632</v>
      </c>
      <c r="T816" s="1">
        <v>0.006082627576904587</v>
      </c>
      <c r="U816" s="1">
        <v>0.01881399845399412</v>
      </c>
      <c r="V816" s="1">
        <v>-0.003613379939458872</v>
      </c>
      <c r="W816" s="1">
        <v>0.009024145008847517</v>
      </c>
      <c r="X816" s="1">
        <v>0.01816039706279104</v>
      </c>
      <c r="Y816" s="1">
        <v>-0.0006766325433479325</v>
      </c>
      <c r="Z816" s="1">
        <v>0.0288481123976656</v>
      </c>
    </row>
    <row r="817" spans="1:26">
      <c r="A817" s="11">
        <v>43557</v>
      </c>
      <c r="B817" s="1">
        <v>-0.01973118242339855</v>
      </c>
      <c r="C817" s="1">
        <v>-0.002017720600647199</v>
      </c>
      <c r="D817" s="1">
        <v>-0.002812276961685067</v>
      </c>
      <c r="E817" s="1">
        <v>-0.008282110278566956</v>
      </c>
      <c r="F817" s="1">
        <v>-0.001995045851744481</v>
      </c>
      <c r="G817" s="1">
        <v>0.002605389420968551</v>
      </c>
      <c r="H817" s="1">
        <v>-0.006076749052419839</v>
      </c>
      <c r="I817" s="1">
        <v>0.001297011844445528</v>
      </c>
      <c r="J817" s="1">
        <v>-0.01645862186926261</v>
      </c>
      <c r="K817" s="1">
        <v>-0.01137586535676327</v>
      </c>
      <c r="L817" s="1">
        <v>0.004778186848740429</v>
      </c>
      <c r="M817" s="1">
        <v>0.005724141825133033</v>
      </c>
      <c r="N817" s="1">
        <v>-0.01801484175264512</v>
      </c>
      <c r="O817" s="1">
        <v>-0.003691864099582887</v>
      </c>
      <c r="P817" s="1">
        <v>0.001428307117953498</v>
      </c>
      <c r="Q817" s="1">
        <v>0.001419682610938278</v>
      </c>
      <c r="R817" s="1">
        <v>-0.009123922983691135</v>
      </c>
      <c r="S817" s="1">
        <v>0.005130452896431992</v>
      </c>
      <c r="T817" s="1">
        <v>0.008861865789860701</v>
      </c>
      <c r="U817" s="1">
        <v>-0.01001574344445222</v>
      </c>
      <c r="V817" s="1">
        <v>-0.006377285238928665</v>
      </c>
      <c r="W817" s="1">
        <v>-0.004996563425101574</v>
      </c>
      <c r="X817" s="1">
        <v>-0.01395908784717592</v>
      </c>
      <c r="Y817" s="1">
        <v>-0.00947710258376977</v>
      </c>
      <c r="Z817" s="1">
        <v>0.004495161707789963</v>
      </c>
    </row>
    <row r="818" spans="1:26">
      <c r="A818" s="11">
        <v>43558</v>
      </c>
      <c r="B818" s="1">
        <v>-0.03558929693763402</v>
      </c>
      <c r="C818" s="1">
        <v>-0.01538074714711946</v>
      </c>
      <c r="D818" s="1">
        <v>-0.008217297836625059</v>
      </c>
      <c r="E818" s="1">
        <v>0.003854224409576279</v>
      </c>
      <c r="F818" s="1">
        <v>0.006247083059133907</v>
      </c>
      <c r="G818" s="1">
        <v>-0.002598619006499825</v>
      </c>
      <c r="H818" s="1">
        <v>-0.009834960533600001</v>
      </c>
      <c r="I818" s="1">
        <v>0.007833588651611434</v>
      </c>
      <c r="J818" s="1">
        <v>0.001521426128676451</v>
      </c>
      <c r="K818" s="1">
        <v>-0.01342499444215994</v>
      </c>
      <c r="L818" s="1">
        <v>0.001997639677997043</v>
      </c>
      <c r="M818" s="1">
        <v>0.003414969498803933</v>
      </c>
      <c r="N818" s="1">
        <v>-0.04780404026086449</v>
      </c>
      <c r="O818" s="1">
        <v>0.001905525253251161</v>
      </c>
      <c r="P818" s="1">
        <v>0.006544114622609065</v>
      </c>
      <c r="Q818" s="1">
        <v>-0.005315335663214404</v>
      </c>
      <c r="R818" s="1">
        <v>-0.001315512358101456</v>
      </c>
      <c r="S818" s="1">
        <v>-0.002369739589950792</v>
      </c>
      <c r="T818" s="1">
        <v>0.008028924643920687</v>
      </c>
      <c r="U818" s="1">
        <v>0.007587469832468496</v>
      </c>
      <c r="V818" s="1">
        <v>-0.001888100225559519</v>
      </c>
      <c r="W818" s="1">
        <v>0.007095880103977548</v>
      </c>
      <c r="X818" s="1">
        <v>-0.007668144443525704</v>
      </c>
      <c r="Y818" s="1">
        <v>0.005809142659962241</v>
      </c>
      <c r="Z818" s="1">
        <v>0.005326918039348261</v>
      </c>
    </row>
    <row r="819" spans="1:26">
      <c r="A819" s="11">
        <v>43559</v>
      </c>
      <c r="B819" s="1">
        <v>0.009376875014042163</v>
      </c>
      <c r="C819" s="1">
        <v>0.02890265337219011</v>
      </c>
      <c r="D819" s="1">
        <v>-0.003956459544817936</v>
      </c>
      <c r="E819" s="1">
        <v>0.004304020260793129</v>
      </c>
      <c r="F819" s="1">
        <v>0.003476762113125531</v>
      </c>
      <c r="G819" s="1">
        <v>-0.005537813887300791</v>
      </c>
      <c r="H819" s="1">
        <v>0.005369183208568717</v>
      </c>
      <c r="I819" s="1">
        <v>0.005202069805753995</v>
      </c>
      <c r="J819" s="1">
        <v>0.000506287338928324</v>
      </c>
      <c r="K819" s="1">
        <v>0.003610656491062514</v>
      </c>
      <c r="L819" s="1">
        <v>0.009660314132412529</v>
      </c>
      <c r="M819" s="1">
        <v>0.005482975612586483</v>
      </c>
      <c r="N819" s="1">
        <v>0.01148596453500272</v>
      </c>
      <c r="O819" s="1">
        <v>-0.0009509505663068962</v>
      </c>
      <c r="P819" s="1">
        <v>-0.005084706860070232</v>
      </c>
      <c r="Q819" s="1">
        <v>-0.005700202507080254</v>
      </c>
      <c r="R819" s="1">
        <v>0.0100981556285451</v>
      </c>
      <c r="S819" s="1">
        <v>-0.005436395923362647</v>
      </c>
      <c r="T819" s="1">
        <v>0.008396117116607593</v>
      </c>
      <c r="U819" s="1">
        <v>0.003451663567014984</v>
      </c>
      <c r="V819" s="1">
        <v>0.02610040306606565</v>
      </c>
      <c r="W819" s="1">
        <v>-0.00617894525193019</v>
      </c>
      <c r="X819" s="1">
        <v>0.01307739547240394</v>
      </c>
      <c r="Y819" s="1">
        <v>0.002038170690640717</v>
      </c>
      <c r="Z819" s="1">
        <v>0.01059759246686176</v>
      </c>
    </row>
    <row r="820" spans="1:26">
      <c r="A820" s="11">
        <v>43560</v>
      </c>
      <c r="B820" s="1">
        <v>0.06592750919277601</v>
      </c>
      <c r="C820" s="1">
        <v>-0.009927748674071424</v>
      </c>
      <c r="D820" s="1">
        <v>0.001489310164229707</v>
      </c>
      <c r="E820" s="1">
        <v>-0.0006428362588365433</v>
      </c>
      <c r="F820" s="1">
        <v>0.0002472582367007981</v>
      </c>
      <c r="G820" s="1">
        <v>0.01113660997702182</v>
      </c>
      <c r="H820" s="1">
        <v>0.0216287900950527</v>
      </c>
      <c r="I820" s="1">
        <v>0.004810125016875277</v>
      </c>
      <c r="J820" s="1">
        <v>0.001518219806708521</v>
      </c>
      <c r="K820" s="1">
        <v>0.001383137155658964</v>
      </c>
      <c r="L820" s="1">
        <v>-0.00236863792388009</v>
      </c>
      <c r="M820" s="1">
        <v>0.001316183315703823</v>
      </c>
      <c r="N820" s="1">
        <v>0.003113521203698344</v>
      </c>
      <c r="O820" s="1">
        <v>-0.005711134404337348</v>
      </c>
      <c r="P820" s="1">
        <v>0.004440366562993736</v>
      </c>
      <c r="Q820" s="1">
        <v>0.01254067193714126</v>
      </c>
      <c r="R820" s="1">
        <v>0</v>
      </c>
      <c r="S820" s="1">
        <v>0.003904379253984791</v>
      </c>
      <c r="T820" s="1">
        <v>0.01091411045648227</v>
      </c>
      <c r="U820" s="1">
        <v>0.01157006596999444</v>
      </c>
      <c r="V820" s="1">
        <v>-0.00540674320753054</v>
      </c>
      <c r="W820" s="1">
        <v>0.00523555408123344</v>
      </c>
      <c r="X820" s="1">
        <v>0.006453840473452432</v>
      </c>
      <c r="Y820" s="1">
        <v>0.001695300390909704</v>
      </c>
      <c r="Z820" s="1">
        <v>-0.002306931001482493</v>
      </c>
    </row>
    <row r="821" spans="1:26">
      <c r="A821" s="11">
        <v>43563</v>
      </c>
      <c r="B821" s="1">
        <v>-0.0002812218986759651</v>
      </c>
      <c r="C821" s="1">
        <v>-0.0444211927254774</v>
      </c>
      <c r="D821" s="1">
        <v>-0.01251975317224641</v>
      </c>
      <c r="E821" s="1">
        <v>0.003215922292816531</v>
      </c>
      <c r="F821" s="1">
        <v>0.007174668415171448</v>
      </c>
      <c r="G821" s="1">
        <v>-0.01328151451735105</v>
      </c>
      <c r="H821" s="1">
        <v>0.007056852392028024</v>
      </c>
      <c r="I821" s="1">
        <v>-0.0001814328270342003</v>
      </c>
      <c r="J821" s="1">
        <v>0.007579465357708148</v>
      </c>
      <c r="K821" s="1">
        <v>0.005803003380493221</v>
      </c>
      <c r="L821" s="1">
        <v>0.003229020541583694</v>
      </c>
      <c r="M821" s="1">
        <v>-0.02460079538513227</v>
      </c>
      <c r="N821" s="1">
        <v>0.009311385807940553</v>
      </c>
      <c r="O821" s="1">
        <v>-0.004467661469760853</v>
      </c>
      <c r="P821" s="1">
        <v>0.0003335453602266725</v>
      </c>
      <c r="Q821" s="1">
        <v>-0.008846495039583901</v>
      </c>
      <c r="R821" s="1">
        <v>-0.001159083450674059</v>
      </c>
      <c r="S821" s="1">
        <v>-0.002607940636511263</v>
      </c>
      <c r="T821" s="1">
        <v>-0.006233115489777452</v>
      </c>
      <c r="U821" s="1">
        <v>0.001235995806281309</v>
      </c>
      <c r="V821" s="1">
        <v>0.01223107150126901</v>
      </c>
      <c r="W821" s="1">
        <v>0.006980459017072782</v>
      </c>
      <c r="X821" s="1">
        <v>0.0007772718700325143</v>
      </c>
      <c r="Y821" s="1">
        <v>0.0006770906849402625</v>
      </c>
      <c r="Z821" s="1">
        <v>0.001051132695688128</v>
      </c>
    </row>
    <row r="822" spans="1:26">
      <c r="A822" s="11">
        <v>43564</v>
      </c>
      <c r="B822" s="1">
        <v>-0.01912244431716636</v>
      </c>
      <c r="C822" s="1">
        <v>-0.01463207461763139</v>
      </c>
      <c r="D822" s="1">
        <v>0.005146451960046594</v>
      </c>
      <c r="E822" s="1">
        <v>-0.01731130989016383</v>
      </c>
      <c r="F822" s="1">
        <v>0.00810610427572378</v>
      </c>
      <c r="G822" s="1">
        <v>-0.004596246644648749</v>
      </c>
      <c r="H822" s="1">
        <v>0.0249157135823399</v>
      </c>
      <c r="I822" s="1">
        <v>-0.03739404923640777</v>
      </c>
      <c r="J822" s="1">
        <v>-0.01755271547529391</v>
      </c>
      <c r="K822" s="1">
        <v>-0.01456065138267926</v>
      </c>
      <c r="L822" s="1">
        <v>-0.007383130984428554</v>
      </c>
      <c r="M822" s="1">
        <v>-0.000962737622588361</v>
      </c>
      <c r="N822" s="1">
        <v>-0.003075284130179767</v>
      </c>
      <c r="O822" s="1">
        <v>-0.005205363641334282</v>
      </c>
      <c r="P822" s="1">
        <v>-0.005419497149424246</v>
      </c>
      <c r="Q822" s="1">
        <v>-0.001785003951813913</v>
      </c>
      <c r="R822" s="1">
        <v>-0.007833107640618175</v>
      </c>
      <c r="S822" s="1">
        <v>0.006421971224682022</v>
      </c>
      <c r="T822" s="1">
        <v>-0.006025147401945818</v>
      </c>
      <c r="U822" s="1">
        <v>0.001111501000416348</v>
      </c>
      <c r="V822" s="1">
        <v>-0.01550095298620502</v>
      </c>
      <c r="W822" s="1">
        <v>-0.002226843179686022</v>
      </c>
      <c r="X822" s="1">
        <v>-0.02058252955728712</v>
      </c>
      <c r="Y822" s="1">
        <v>-0.002169870204475122</v>
      </c>
      <c r="Z822" s="1">
        <v>-0.01511944967405976</v>
      </c>
    </row>
    <row r="823" spans="1:26">
      <c r="A823" s="11">
        <v>43565</v>
      </c>
      <c r="B823" s="1">
        <v>0.02408266672167381</v>
      </c>
      <c r="C823" s="1">
        <v>-0.01110981083658946</v>
      </c>
      <c r="D823" s="1">
        <v>0.001124328715351064</v>
      </c>
      <c r="E823" s="1">
        <v>-0.001957228463807525</v>
      </c>
      <c r="F823" s="1">
        <v>0.0009747665946029382</v>
      </c>
      <c r="G823" s="1">
        <v>-0.003957842243273779</v>
      </c>
      <c r="H823" s="1">
        <v>-0.0002552267739773795</v>
      </c>
      <c r="I823" s="1">
        <v>-0.001259182784405177</v>
      </c>
      <c r="J823" s="1">
        <v>0.01939739420636033</v>
      </c>
      <c r="K823" s="1">
        <v>-0.00139416710760043</v>
      </c>
      <c r="L823" s="1">
        <v>0.00448191828082134</v>
      </c>
      <c r="M823" s="1">
        <v>0.01406811721784562</v>
      </c>
      <c r="N823" s="1">
        <v>0.005625441938263309</v>
      </c>
      <c r="O823" s="1">
        <v>0.004639162649881401</v>
      </c>
      <c r="P823" s="1">
        <v>0.007628844906047538</v>
      </c>
      <c r="Q823" s="1">
        <v>-0.003218874411083927</v>
      </c>
      <c r="R823" s="1">
        <v>0.005555444004087473</v>
      </c>
      <c r="S823" s="1">
        <v>0.0004560219132923038</v>
      </c>
      <c r="T823" s="1">
        <v>-6.773924890413063E-05</v>
      </c>
      <c r="U823" s="1">
        <v>0.004094154299045139</v>
      </c>
      <c r="V823" s="1">
        <v>0.001115913294108095</v>
      </c>
      <c r="W823" s="1">
        <v>0.00377962196606263</v>
      </c>
      <c r="X823" s="1">
        <v>0.0003966476667724983</v>
      </c>
      <c r="Y823" s="1">
        <v>0.003595608167196618</v>
      </c>
      <c r="Z823" s="1">
        <v>0.00511680236954426</v>
      </c>
    </row>
    <row r="824" spans="1:26">
      <c r="A824" s="11">
        <v>43566</v>
      </c>
      <c r="B824" s="1">
        <v>-0.002239545009144361</v>
      </c>
      <c r="C824" s="1">
        <v>0.01430365847821147</v>
      </c>
      <c r="D824" s="1">
        <v>-0.004116935545785627</v>
      </c>
      <c r="E824" s="1">
        <v>0.004357753967985323</v>
      </c>
      <c r="F824" s="1">
        <v>-0.00097381734998081</v>
      </c>
      <c r="G824" s="1">
        <v>0.002980274210176548</v>
      </c>
      <c r="H824" s="1">
        <v>0.01354457297321865</v>
      </c>
      <c r="I824" s="1">
        <v>0.009645170404590342</v>
      </c>
      <c r="J824" s="1">
        <v>-0.001501942564905989</v>
      </c>
      <c r="K824" s="1">
        <v>-0.0002787396632235595</v>
      </c>
      <c r="L824" s="1">
        <v>0.008448630989722483</v>
      </c>
      <c r="M824" s="1">
        <v>0.007221676565922319</v>
      </c>
      <c r="N824" s="1">
        <v>0.01010442577955017</v>
      </c>
      <c r="O824" s="1">
        <v>0.005476617847584908</v>
      </c>
      <c r="P824" s="1">
        <v>0.001164902781095822</v>
      </c>
      <c r="Q824" s="1">
        <v>0.006099517001911581</v>
      </c>
      <c r="R824" s="1">
        <v>0.01352169046495999</v>
      </c>
      <c r="S824" s="1">
        <v>0.0006377232315246673</v>
      </c>
      <c r="T824" s="1">
        <v>-0.001014171591610546</v>
      </c>
      <c r="U824" s="1">
        <v>0.0100380335430994</v>
      </c>
      <c r="V824" s="1">
        <v>-0.003715176764781725</v>
      </c>
      <c r="W824" s="1">
        <v>0.005952952611785856</v>
      </c>
      <c r="X824" s="1">
        <v>0.006143426032712451</v>
      </c>
      <c r="Y824" s="1">
        <v>-0.0008529972562151267</v>
      </c>
      <c r="Z824" s="1">
        <v>0.007637066819811356</v>
      </c>
    </row>
    <row r="825" spans="1:26">
      <c r="A825" s="11">
        <v>43567</v>
      </c>
      <c r="B825" s="1">
        <v>0.02412973515411343</v>
      </c>
      <c r="C825" s="1">
        <v>0.02561055161649173</v>
      </c>
      <c r="D825" s="1">
        <v>-0.006388503581772675</v>
      </c>
      <c r="E825" s="1">
        <v>-0.01128194769417978</v>
      </c>
      <c r="F825" s="1">
        <v>0.006335280627504769</v>
      </c>
      <c r="G825" s="1">
        <v>0.009243851903721234</v>
      </c>
      <c r="H825" s="1">
        <v>0.003782016355005302</v>
      </c>
      <c r="I825" s="1">
        <v>0.008116931325240273</v>
      </c>
      <c r="J825" s="1">
        <v>0.01354075925964549</v>
      </c>
      <c r="K825" s="1">
        <v>0.007539653115497646</v>
      </c>
      <c r="L825" s="1">
        <v>0.04687994180185151</v>
      </c>
      <c r="M825" s="1">
        <v>0.002453039809540813</v>
      </c>
      <c r="N825" s="1">
        <v>0.01036074661732922</v>
      </c>
      <c r="O825" s="1">
        <v>0.01110753992655433</v>
      </c>
      <c r="P825" s="1">
        <v>0.005152610084244724</v>
      </c>
      <c r="Q825" s="1">
        <v>0.001069926071682881</v>
      </c>
      <c r="R825" s="1">
        <v>0.0113326554450166</v>
      </c>
      <c r="S825" s="1">
        <v>0.009652067401595632</v>
      </c>
      <c r="T825" s="1">
        <v>-0.003902869809836451</v>
      </c>
      <c r="U825" s="1">
        <v>0</v>
      </c>
      <c r="V825" s="1">
        <v>0.003480078248897511</v>
      </c>
      <c r="W825" s="1">
        <v>0.0004992216383106207</v>
      </c>
      <c r="X825" s="1">
        <v>0.0171359911340061</v>
      </c>
      <c r="Y825" s="1">
        <v>0.003073824922330548</v>
      </c>
      <c r="Z825" s="1">
        <v>0.0193681660440459</v>
      </c>
    </row>
    <row r="826" spans="1:26">
      <c r="A826" s="11">
        <v>43570</v>
      </c>
      <c r="B826" s="1">
        <v>-0.01506839038209451</v>
      </c>
      <c r="C826" s="1">
        <v>-0.01101041611276554</v>
      </c>
      <c r="D826" s="1">
        <v>0.003656107952496601</v>
      </c>
      <c r="E826" s="1">
        <v>0.02040829284904344</v>
      </c>
      <c r="F826" s="1">
        <v>0.01162240770253553</v>
      </c>
      <c r="G826" s="1">
        <v>-0.00228981569252007</v>
      </c>
      <c r="H826" s="1">
        <v>0.0007534900334393857</v>
      </c>
      <c r="I826" s="1">
        <v>0.006379328184011213</v>
      </c>
      <c r="J826" s="1">
        <v>-0.000494949091171315</v>
      </c>
      <c r="K826" s="1">
        <v>0.01441257205625091</v>
      </c>
      <c r="L826" s="1">
        <v>-0.01142009537748168</v>
      </c>
      <c r="M826" s="1">
        <v>-0.01581040996460881</v>
      </c>
      <c r="N826" s="1">
        <v>0.006718903925468256</v>
      </c>
      <c r="O826" s="1">
        <v>0.002218483471141841</v>
      </c>
      <c r="P826" s="1">
        <v>0.0008266228773623485</v>
      </c>
      <c r="Q826" s="1">
        <v>-0.003206694329749737</v>
      </c>
      <c r="R826" s="1">
        <v>-0.001985603531964975</v>
      </c>
      <c r="S826" s="1">
        <v>-0.005456370024402135</v>
      </c>
      <c r="T826" s="1">
        <v>0.005073053905494174</v>
      </c>
      <c r="U826" s="1">
        <v>-0.005589968097770792</v>
      </c>
      <c r="V826" s="1">
        <v>0.01548397642093624</v>
      </c>
      <c r="W826" s="1">
        <v>-0.01101023908962195</v>
      </c>
      <c r="X826" s="1">
        <v>-0.004453921430147112</v>
      </c>
      <c r="Y826" s="1">
        <v>-0.0005109794377362586</v>
      </c>
      <c r="Z826" s="1">
        <v>-0.01590222729378377</v>
      </c>
    </row>
    <row r="827" spans="1:26">
      <c r="A827" s="11">
        <v>43571</v>
      </c>
      <c r="B827" s="1">
        <v>0.01696802788193064</v>
      </c>
      <c r="C827" s="1">
        <v>0.01667285896963411</v>
      </c>
      <c r="D827" s="1">
        <v>-0.02499661111803708</v>
      </c>
      <c r="E827" s="1">
        <v>-0.01032287378046393</v>
      </c>
      <c r="F827" s="1">
        <v>0.004547457690252887</v>
      </c>
      <c r="G827" s="1">
        <v>-0.01147520051087703</v>
      </c>
      <c r="H827" s="1">
        <v>-0.0102913139304488</v>
      </c>
      <c r="I827" s="1">
        <v>0.01273934248413799</v>
      </c>
      <c r="J827" s="1">
        <v>0.01831693070841878</v>
      </c>
      <c r="K827" s="1">
        <v>0.007103627810995272</v>
      </c>
      <c r="L827" s="1">
        <v>0.01055107811861267</v>
      </c>
      <c r="M827" s="1">
        <v>0.009370822967170733</v>
      </c>
      <c r="N827" s="1">
        <v>-0.009659570074604273</v>
      </c>
      <c r="O827" s="1">
        <v>0.006850682238114247</v>
      </c>
      <c r="P827" s="1">
        <v>-0.002313118387745394</v>
      </c>
      <c r="Q827" s="1">
        <v>-0.01358082634039337</v>
      </c>
      <c r="R827" s="1">
        <v>0.01520738430942914</v>
      </c>
      <c r="S827" s="1">
        <v>-0.01410092752131353</v>
      </c>
      <c r="T827" s="1">
        <v>0.01509799632180764</v>
      </c>
      <c r="U827" s="1">
        <v>0.007182827883482013</v>
      </c>
      <c r="V827" s="1">
        <v>-0.0001222104826786863</v>
      </c>
      <c r="W827" s="1">
        <v>-0.038658228330953</v>
      </c>
      <c r="X827" s="1">
        <v>0.0141996455800586</v>
      </c>
      <c r="Y827" s="1">
        <v>0.001362883240382695</v>
      </c>
      <c r="Z827" s="1">
        <v>0.01280164952678664</v>
      </c>
    </row>
    <row r="828" spans="1:26">
      <c r="A828" s="11">
        <v>43572</v>
      </c>
      <c r="B828" s="1">
        <v>0.007658696701930312</v>
      </c>
      <c r="C828" s="1">
        <v>-0.01100281378039347</v>
      </c>
      <c r="D828" s="1">
        <v>-0.04161313431302427</v>
      </c>
      <c r="E828" s="1">
        <v>-0.004780497318209176</v>
      </c>
      <c r="F828" s="1">
        <v>0.01429601358449695</v>
      </c>
      <c r="G828" s="1">
        <v>-0.004643582402775071</v>
      </c>
      <c r="H828" s="1">
        <v>-0.007608029669961103</v>
      </c>
      <c r="I828" s="1">
        <v>0.005407614291200957</v>
      </c>
      <c r="J828" s="1">
        <v>-0.003403097789012266</v>
      </c>
      <c r="K828" s="1">
        <v>-0.007325119379682388</v>
      </c>
      <c r="L828" s="1">
        <v>0.0288031777155473</v>
      </c>
      <c r="M828" s="1">
        <v>-0.0003789821983795072</v>
      </c>
      <c r="N828" s="1">
        <v>-0.003723928106644125</v>
      </c>
      <c r="O828" s="1">
        <v>-0.01172383000825483</v>
      </c>
      <c r="P828" s="1">
        <v>0.008280039092404046</v>
      </c>
      <c r="Q828" s="1">
        <v>-0.0003621807494365026</v>
      </c>
      <c r="R828" s="1">
        <v>-0.004339909593271574</v>
      </c>
      <c r="S828" s="1">
        <v>-0.003449368669895425</v>
      </c>
      <c r="T828" s="1">
        <v>-0.01678266230613912</v>
      </c>
      <c r="U828" s="1">
        <v>-0.009302191406519444</v>
      </c>
      <c r="V828" s="1">
        <v>0.008661838036413183</v>
      </c>
      <c r="W828" s="1">
        <v>-0.03492862059411916</v>
      </c>
      <c r="X828" s="1">
        <v>0.04008460494217725</v>
      </c>
      <c r="Y828" s="1">
        <v>-0.01717988347426069</v>
      </c>
      <c r="Z828" s="1">
        <v>0.002072106376726834</v>
      </c>
    </row>
    <row r="829" spans="1:26">
      <c r="A829" s="11">
        <v>43573</v>
      </c>
      <c r="B829" s="1">
        <v>-0.01967775988524056</v>
      </c>
      <c r="C829" s="1">
        <v>0.006754581656883474</v>
      </c>
      <c r="D829" s="1">
        <v>-0.0008064342288858217</v>
      </c>
      <c r="E829" s="1">
        <v>-0.006113666153638508</v>
      </c>
      <c r="F829" s="1">
        <v>-0.003288681658040971</v>
      </c>
      <c r="G829" s="1">
        <v>0.009330256331957054</v>
      </c>
      <c r="H829" s="1">
        <v>0.006644222009589917</v>
      </c>
      <c r="I829" s="1">
        <v>0.02175923278387248</v>
      </c>
      <c r="J829" s="1">
        <v>0.0009754075953882779</v>
      </c>
      <c r="K829" s="1">
        <v>0.004373498731691461</v>
      </c>
      <c r="L829" s="1">
        <v>-0.007349273720692606</v>
      </c>
      <c r="M829" s="1">
        <v>-0.01099329222847079</v>
      </c>
      <c r="N829" s="1">
        <v>-0.0322180565646949</v>
      </c>
      <c r="O829" s="1">
        <v>-0.007308813270855308</v>
      </c>
      <c r="P829" s="1">
        <v>0.01313979228124862</v>
      </c>
      <c r="Q829" s="1">
        <v>-0.001087464966883611</v>
      </c>
      <c r="R829" s="1">
        <v>0.004499329427366083</v>
      </c>
      <c r="S829" s="1">
        <v>0.003507422977915731</v>
      </c>
      <c r="T829" s="1">
        <v>0.02149413780666776</v>
      </c>
      <c r="U829" s="1">
        <v>0.002503992901854435</v>
      </c>
      <c r="V829" s="1">
        <v>0.007014783790404433</v>
      </c>
      <c r="W829" s="1">
        <v>0.008815305103758941</v>
      </c>
      <c r="X829" s="1">
        <v>0.01696474110282642</v>
      </c>
      <c r="Y829" s="1">
        <v>0.004499640908135927</v>
      </c>
      <c r="Z829" s="1">
        <v>-0.02191905118398274</v>
      </c>
    </row>
    <row r="830" spans="1:26">
      <c r="A830" s="11">
        <v>43577</v>
      </c>
      <c r="B830" s="1">
        <v>0.03401194974895372</v>
      </c>
      <c r="C830" s="1">
        <v>-0.01289231649115086</v>
      </c>
      <c r="D830" s="1">
        <v>0.0123771705352953</v>
      </c>
      <c r="E830" s="1">
        <v>-0.006150938426269348</v>
      </c>
      <c r="F830" s="1">
        <v>-0.01013461673172134</v>
      </c>
      <c r="G830" s="1">
        <v>0.006272433335670513</v>
      </c>
      <c r="H830" s="1">
        <v>-0.001776975332394515</v>
      </c>
      <c r="I830" s="1">
        <v>0.000591829548284073</v>
      </c>
      <c r="J830" s="1">
        <v>-0.03118895571471569</v>
      </c>
      <c r="K830" s="1">
        <v>-0.002721564262036735</v>
      </c>
      <c r="L830" s="1">
        <v>0.001233825038969627</v>
      </c>
      <c r="M830" s="1">
        <v>-0.009007158158429562</v>
      </c>
      <c r="N830" s="1">
        <v>0.004414412309732718</v>
      </c>
      <c r="O830" s="1">
        <v>-0.003947821174489885</v>
      </c>
      <c r="P830" s="1">
        <v>0.003161293595696391</v>
      </c>
      <c r="Q830" s="1">
        <v>-0.009070837822659938</v>
      </c>
      <c r="R830" s="1">
        <v>-0.004339302554563385</v>
      </c>
      <c r="S830" s="1">
        <v>-0.01425618756946812</v>
      </c>
      <c r="T830" s="1">
        <v>-0.001193290435617</v>
      </c>
      <c r="U830" s="1">
        <v>0.001560559835767084</v>
      </c>
      <c r="V830" s="1">
        <v>-0.01489268634906693</v>
      </c>
      <c r="W830" s="1">
        <v>-0.002656394706413878</v>
      </c>
      <c r="X830" s="1">
        <v>-0.02230314248985132</v>
      </c>
      <c r="Y830" s="1">
        <v>0.005685984827580093</v>
      </c>
      <c r="Z830" s="1">
        <v>-0.01247346286708184</v>
      </c>
    </row>
    <row r="831" spans="1:26">
      <c r="A831" s="11">
        <v>43578</v>
      </c>
      <c r="B831" s="1">
        <v>-0.0177946265636244</v>
      </c>
      <c r="C831" s="1">
        <v>-0.003065310325916948</v>
      </c>
      <c r="D831" s="1">
        <v>0.01448457525835001</v>
      </c>
      <c r="E831" s="1">
        <v>0.001768528055255292</v>
      </c>
      <c r="F831" s="1">
        <v>-0.000237897849396318</v>
      </c>
      <c r="G831" s="1">
        <v>0.004593463565155664</v>
      </c>
      <c r="H831" s="1">
        <v>-0.01068179269734371</v>
      </c>
      <c r="I831" s="1">
        <v>-0.008217972651253014</v>
      </c>
      <c r="J831" s="1">
        <v>0.01056313921790131</v>
      </c>
      <c r="K831" s="1">
        <v>0.008458432784938408</v>
      </c>
      <c r="L831" s="1">
        <v>0.001232304590709887</v>
      </c>
      <c r="M831" s="1">
        <v>0.02088581853435101</v>
      </c>
      <c r="N831" s="1">
        <v>0.003845370244376811</v>
      </c>
      <c r="O831" s="1">
        <v>0.01542576925690953</v>
      </c>
      <c r="P831" s="1">
        <v>0.01357460506683572</v>
      </c>
      <c r="Q831" s="1">
        <v>-0.0003663828869527874</v>
      </c>
      <c r="R831" s="1">
        <v>0.0007030421393188213</v>
      </c>
      <c r="S831" s="1">
        <v>0.007697657662756763</v>
      </c>
      <c r="T831" s="1">
        <v>0.01892045463778524</v>
      </c>
      <c r="U831" s="1">
        <v>0.0006237691789925393</v>
      </c>
      <c r="V831" s="1">
        <v>0.001706789101713291</v>
      </c>
      <c r="W831" s="1">
        <v>0.01864212611738369</v>
      </c>
      <c r="X831" s="1">
        <v>0.006676722223642795</v>
      </c>
      <c r="Y831" s="1">
        <v>-0.02090125425883449</v>
      </c>
      <c r="Z831" s="1">
        <v>0.04560052075063892</v>
      </c>
    </row>
    <row r="832" spans="1:26">
      <c r="A832" s="11">
        <v>43579</v>
      </c>
      <c r="B832" s="1">
        <v>-0.02607705273699956</v>
      </c>
      <c r="C832" s="1">
        <v>0.003850082317953252</v>
      </c>
      <c r="D832" s="1">
        <v>-0.0007858352988677764</v>
      </c>
      <c r="E832" s="1">
        <v>-0.01544609737880742</v>
      </c>
      <c r="F832" s="1">
        <v>-0.00333392876656935</v>
      </c>
      <c r="G832" s="1">
        <v>-0.01077729361604218</v>
      </c>
      <c r="H832" s="1">
        <v>0.002570929180243819</v>
      </c>
      <c r="I832" s="1">
        <v>-0.01460431095044856</v>
      </c>
      <c r="J832" s="1">
        <v>-0.01095032055903666</v>
      </c>
      <c r="K832" s="1">
        <v>0.003787510494187796</v>
      </c>
      <c r="L832" s="1">
        <v>-0.001670331704831884</v>
      </c>
      <c r="M832" s="1">
        <v>0.002651893553732299</v>
      </c>
      <c r="N832" s="1">
        <v>-0.002006637826591273</v>
      </c>
      <c r="O832" s="1">
        <v>-0.00168794674523931</v>
      </c>
      <c r="P832" s="1">
        <v>-0.003427914013520938</v>
      </c>
      <c r="Q832" s="1">
        <v>0.007692405029902316</v>
      </c>
      <c r="R832" s="1">
        <v>0.004214350632053554</v>
      </c>
      <c r="S832" s="1">
        <v>0.01027792287508689</v>
      </c>
      <c r="T832" s="1">
        <v>-0.005516787196315986</v>
      </c>
      <c r="U832" s="1">
        <v>-0.0408099985133582</v>
      </c>
      <c r="V832" s="1">
        <v>0.008763404549722464</v>
      </c>
      <c r="W832" s="1">
        <v>-0.008941901181402256</v>
      </c>
      <c r="X832" s="1">
        <v>-0.0009209356195051255</v>
      </c>
      <c r="Y832" s="1">
        <v>-0.001224583071701479</v>
      </c>
      <c r="Z832" s="1">
        <v>-0.009009156388440909</v>
      </c>
    </row>
    <row r="833" spans="1:26">
      <c r="A833" s="11">
        <v>43580</v>
      </c>
      <c r="B833" s="1">
        <v>-0.04002240957706327</v>
      </c>
      <c r="C833" s="1">
        <v>0.01954920034397234</v>
      </c>
      <c r="D833" s="1">
        <v>-0.0003928289456639478</v>
      </c>
      <c r="E833" s="1">
        <v>0.02285992140430149</v>
      </c>
      <c r="F833" s="1">
        <v>0.02580648483788028</v>
      </c>
      <c r="G833" s="1">
        <v>0.007263165308196484</v>
      </c>
      <c r="H833" s="1">
        <v>-0.02102568548437633</v>
      </c>
      <c r="I833" s="1">
        <v>-0.02117213099563653</v>
      </c>
      <c r="J833" s="1">
        <v>-0.01358846060454932</v>
      </c>
      <c r="K833" s="1">
        <v>-0.01212905933794961</v>
      </c>
      <c r="L833" s="1">
        <v>0.0005284330271131399</v>
      </c>
      <c r="M833" s="1">
        <v>0.007934957417430333</v>
      </c>
      <c r="N833" s="1">
        <v>-0.06031787869641869</v>
      </c>
      <c r="O833" s="1">
        <v>-0.007608557723568832</v>
      </c>
      <c r="P833" s="1">
        <v>0.03311725122696974</v>
      </c>
      <c r="Q833" s="1">
        <v>0.01199548538839745</v>
      </c>
      <c r="R833" s="1">
        <v>-0.01846638280388535</v>
      </c>
      <c r="S833" s="1">
        <v>-0.006553156058411114</v>
      </c>
      <c r="T833" s="1">
        <v>-0.0144132522420175</v>
      </c>
      <c r="U833" s="1">
        <v>-0.01461539556227487</v>
      </c>
      <c r="V833" s="1">
        <v>-0.01375496461042436</v>
      </c>
      <c r="W833" s="1">
        <v>0.03054735994433933</v>
      </c>
      <c r="X833" s="1">
        <v>-0.01641167038860247</v>
      </c>
      <c r="Y833" s="1">
        <v>-0.02154892988599166</v>
      </c>
      <c r="Z833" s="1">
        <v>-0.0008263034077952147</v>
      </c>
    </row>
    <row r="834" spans="1:26">
      <c r="A834" s="11">
        <v>43581</v>
      </c>
      <c r="B834" s="1">
        <v>-0.02936043067306415</v>
      </c>
      <c r="C834" s="1">
        <v>-0.005250617193850893</v>
      </c>
      <c r="D834" s="1">
        <v>-0.0009182873202573383</v>
      </c>
      <c r="E834" s="1">
        <v>0.005477865641136059</v>
      </c>
      <c r="F834" s="1">
        <v>0.00349390557138185</v>
      </c>
      <c r="G834" s="1">
        <v>-0.001310961908943309</v>
      </c>
      <c r="H834" s="1">
        <v>0.0120483024868141</v>
      </c>
      <c r="I834" s="1">
        <v>0.01977641037978861</v>
      </c>
      <c r="J834" s="1">
        <v>-0.009693971550691405</v>
      </c>
      <c r="K834" s="1">
        <v>0.01473381772204152</v>
      </c>
      <c r="L834" s="1">
        <v>0.007569716890238887</v>
      </c>
      <c r="M834" s="1">
        <v>-0.006935196225541396</v>
      </c>
      <c r="N834" s="1">
        <v>0.02684276501044591</v>
      </c>
      <c r="O834" s="1">
        <v>-0.00287522208091251</v>
      </c>
      <c r="P834" s="1">
        <v>0.005729995172070401</v>
      </c>
      <c r="Q834" s="1">
        <v>0.001436583489880627</v>
      </c>
      <c r="R834" s="1">
        <v>0.01140260471337151</v>
      </c>
      <c r="S834" s="1">
        <v>0.0099635236827742</v>
      </c>
      <c r="T834" s="1">
        <v>0.01189888738986533</v>
      </c>
      <c r="U834" s="1">
        <v>0.011206333468194</v>
      </c>
      <c r="V834" s="1">
        <v>-0.0565204983397376</v>
      </c>
      <c r="W834" s="1">
        <v>0.01361565718552904</v>
      </c>
      <c r="X834" s="1">
        <v>0.004874413035459213</v>
      </c>
      <c r="Y834" s="1">
        <v>0.01307066502022747</v>
      </c>
      <c r="Z834" s="1">
        <v>0.008064311776538657</v>
      </c>
    </row>
    <row r="835" spans="1:26">
      <c r="A835" s="11">
        <v>43584</v>
      </c>
      <c r="B835" s="1">
        <v>0.004839794518942897</v>
      </c>
      <c r="C835" s="1">
        <v>-0.004569619298510963</v>
      </c>
      <c r="D835" s="1">
        <v>-0.008795010611882259</v>
      </c>
      <c r="E835" s="1">
        <v>0.009370044927100585</v>
      </c>
      <c r="F835" s="1">
        <v>0.008589053842840588</v>
      </c>
      <c r="G835" s="1">
        <v>-0.0006565345823563717</v>
      </c>
      <c r="H835" s="1">
        <v>-0.007764226449541112</v>
      </c>
      <c r="I835" s="1">
        <v>0.007757217006979067</v>
      </c>
      <c r="J835" s="1">
        <v>0.0128801221449788</v>
      </c>
      <c r="K835" s="1">
        <v>0.003495377501784303</v>
      </c>
      <c r="L835" s="1">
        <v>0.0144141432085203</v>
      </c>
      <c r="M835" s="1">
        <v>0.01604383130536302</v>
      </c>
      <c r="N835" s="1">
        <v>0.01363902709418552</v>
      </c>
      <c r="O835" s="1">
        <v>-0.003630742446324997</v>
      </c>
      <c r="P835" s="1">
        <v>-0.0009240390110663022</v>
      </c>
      <c r="Q835" s="1">
        <v>-0.007947726831280755</v>
      </c>
      <c r="R835" s="1">
        <v>0.00507296208193897</v>
      </c>
      <c r="S835" s="1">
        <v>-0.008038248692789463</v>
      </c>
      <c r="T835" s="1">
        <v>-0.01125544633932674</v>
      </c>
      <c r="U835" s="1">
        <v>0.006518879937716937</v>
      </c>
      <c r="V835" s="1">
        <v>0.008817260164107221</v>
      </c>
      <c r="W835" s="1">
        <v>-0.002562707988514101</v>
      </c>
      <c r="X835" s="1">
        <v>-0.002052408445446963</v>
      </c>
      <c r="Y835" s="1">
        <v>0.004595379165618807</v>
      </c>
      <c r="Z835" s="1">
        <v>0.01374380373033035</v>
      </c>
    </row>
    <row r="836" spans="1:26">
      <c r="A836" s="11">
        <v>43585</v>
      </c>
      <c r="B836" s="1">
        <v>-0.009331737074539936</v>
      </c>
      <c r="C836" s="1">
        <v>-0.003587776744143123</v>
      </c>
      <c r="D836" s="1">
        <v>0.01046245418091796</v>
      </c>
      <c r="E836" s="1">
        <v>0.002374986615973462</v>
      </c>
      <c r="F836" s="1">
        <v>0.001840707352101401</v>
      </c>
      <c r="G836" s="1">
        <v>0.01806246403351386</v>
      </c>
      <c r="H836" s="1">
        <v>0.009129057322302625</v>
      </c>
      <c r="I836" s="1">
        <v>-0.003968706750832163</v>
      </c>
      <c r="J836" s="1">
        <v>0.01475107216406446</v>
      </c>
      <c r="K836" s="1">
        <v>0.004823499160657718</v>
      </c>
      <c r="L836" s="1">
        <v>-0.0006025413372171551</v>
      </c>
      <c r="M836" s="1">
        <v>0.007430777988445492</v>
      </c>
      <c r="N836" s="1">
        <v>0.01532448087851357</v>
      </c>
      <c r="O836" s="1">
        <v>0.01061076088073265</v>
      </c>
      <c r="P836" s="1">
        <v>0.006395989982512118</v>
      </c>
      <c r="Q836" s="1">
        <v>0.01165344011328884</v>
      </c>
      <c r="R836" s="1">
        <v>0.004907560366032016</v>
      </c>
      <c r="S836" s="1">
        <v>0.01837081170353216</v>
      </c>
      <c r="T836" s="1">
        <v>0.007308455009004344</v>
      </c>
      <c r="U836" s="1">
        <v>0.00259075789739005</v>
      </c>
      <c r="V836" s="1">
        <v>-0.004884328206753774</v>
      </c>
      <c r="W836" s="1">
        <v>0.01809097180268804</v>
      </c>
      <c r="X836" s="1">
        <v>-0.009160479018635259</v>
      </c>
      <c r="Y836" s="1">
        <v>0.00615772758628319</v>
      </c>
      <c r="Z836" s="1">
        <v>-0.001821132295774297</v>
      </c>
    </row>
    <row r="837" spans="1:26">
      <c r="A837" s="11">
        <v>43586</v>
      </c>
      <c r="B837" s="1">
        <v>-0.03646319675600984</v>
      </c>
      <c r="C837" s="1">
        <v>-0.002356474206242298</v>
      </c>
      <c r="D837" s="1">
        <v>-0.01114037147522329</v>
      </c>
      <c r="E837" s="1">
        <v>0.003230248905738753</v>
      </c>
      <c r="F837" s="1">
        <v>-0.002526567066290952</v>
      </c>
      <c r="G837" s="1">
        <v>-0.007096967020146616</v>
      </c>
      <c r="H837" s="1">
        <v>-0.009563057435583833</v>
      </c>
      <c r="I837" s="1">
        <v>-0.006581289688338599</v>
      </c>
      <c r="J837" s="1">
        <v>-0.001002736322907483</v>
      </c>
      <c r="K837" s="1">
        <v>0.04773346829903224</v>
      </c>
      <c r="L837" s="1">
        <v>-0.00766924376641831</v>
      </c>
      <c r="M837" s="1">
        <v>-0.006085269485952782</v>
      </c>
      <c r="N837" s="1">
        <v>-0.01730195366638054</v>
      </c>
      <c r="O837" s="1">
        <v>-0.01898366055974865</v>
      </c>
      <c r="P837" s="1">
        <v>-0.02082716287129294</v>
      </c>
      <c r="Q837" s="1">
        <v>-0.01367906298783694</v>
      </c>
      <c r="R837" s="1">
        <v>-0.01144121642982421</v>
      </c>
      <c r="S837" s="1">
        <v>0.00375266153619136</v>
      </c>
      <c r="T837" s="1">
        <v>-0.01611547377818112</v>
      </c>
      <c r="U837" s="1">
        <v>-0.005490757035610971</v>
      </c>
      <c r="V837" s="1">
        <v>-0.02260384011016969</v>
      </c>
      <c r="W837" s="1">
        <v>-0.003460250720586311</v>
      </c>
      <c r="X837" s="1">
        <v>-0.002641549577321545</v>
      </c>
      <c r="Y837" s="1">
        <v>-0.01171555796602741</v>
      </c>
      <c r="Z837" s="1">
        <v>-0.01520405555420856</v>
      </c>
    </row>
    <row r="838" spans="1:26">
      <c r="A838" s="11">
        <v>43587</v>
      </c>
      <c r="B838" s="1">
        <v>-0.06086384040947845</v>
      </c>
      <c r="C838" s="1">
        <v>-0.002653967607347152</v>
      </c>
      <c r="D838" s="1">
        <v>0.01113295801087144</v>
      </c>
      <c r="E838" s="1">
        <v>0.006440676820876012</v>
      </c>
      <c r="F838" s="1">
        <v>-0.01773423045507283</v>
      </c>
      <c r="G838" s="1">
        <v>-0.0009744247543360673</v>
      </c>
      <c r="H838" s="1">
        <v>-0.01069952613914016</v>
      </c>
      <c r="I838" s="1">
        <v>-0.002552663668277</v>
      </c>
      <c r="J838" s="1">
        <v>0.005519050501025635</v>
      </c>
      <c r="K838" s="1">
        <v>-0.007890256375744031</v>
      </c>
      <c r="L838" s="1">
        <v>0.002171021788688554</v>
      </c>
      <c r="M838" s="1">
        <v>-0.009833208210096922</v>
      </c>
      <c r="N838" s="1">
        <v>-0.004307786374761813</v>
      </c>
      <c r="O838" s="1">
        <v>0.006918378547080772</v>
      </c>
      <c r="P838" s="1">
        <v>-0.01305912130570508</v>
      </c>
      <c r="Q838" s="1">
        <v>0.006569447494180647</v>
      </c>
      <c r="R838" s="1">
        <v>-0.009315761728162064</v>
      </c>
      <c r="S838" s="1">
        <v>0.02184572541320717</v>
      </c>
      <c r="T838" s="1">
        <v>0.01155292641681283</v>
      </c>
      <c r="U838" s="1">
        <v>-0.005521274235876783</v>
      </c>
      <c r="V838" s="1">
        <v>0.009911227087242791</v>
      </c>
      <c r="W838" s="1">
        <v>0.0047741118326321</v>
      </c>
      <c r="X838" s="1">
        <v>-0.00699974391003122</v>
      </c>
      <c r="Y838" s="1">
        <v>0.00831587375283549</v>
      </c>
      <c r="Z838" s="1">
        <v>0.01852652510887842</v>
      </c>
    </row>
    <row r="839" spans="1:26">
      <c r="A839" s="11">
        <v>43588</v>
      </c>
      <c r="B839" s="1">
        <v>0.02719928318468412</v>
      </c>
      <c r="C839" s="1">
        <v>0.001756308002922147</v>
      </c>
      <c r="D839" s="1">
        <v>0.01323899706206566</v>
      </c>
      <c r="E839" s="1">
        <v>0.03711619645180209</v>
      </c>
      <c r="F839" s="1">
        <v>0.0150059940068159</v>
      </c>
      <c r="G839" s="1">
        <v>0.01300821848159095</v>
      </c>
      <c r="H839" s="1">
        <v>0.00949611091963698</v>
      </c>
      <c r="I839" s="1">
        <v>0.01699970597344191</v>
      </c>
      <c r="J839" s="1">
        <v>0.0124750838834542</v>
      </c>
      <c r="K839" s="1">
        <v>0.01539247744451178</v>
      </c>
      <c r="L839" s="1">
        <v>0.006151702537744885</v>
      </c>
      <c r="M839" s="1">
        <v>0.00468447393919269</v>
      </c>
      <c r="N839" s="1">
        <v>0.01128728929048495</v>
      </c>
      <c r="O839" s="1">
        <v>0.007945274626885324</v>
      </c>
      <c r="P839" s="1">
        <v>0.02131374612483961</v>
      </c>
      <c r="Q839" s="1">
        <v>0.01015224025447736</v>
      </c>
      <c r="R839" s="1">
        <v>0.01695407885136957</v>
      </c>
      <c r="S839" s="1">
        <v>-0.0004843413246446993</v>
      </c>
      <c r="T839" s="1">
        <v>0.007157133465252485</v>
      </c>
      <c r="U839" s="1">
        <v>0.002612281016818763</v>
      </c>
      <c r="V839" s="1">
        <v>-0.006280906520130802</v>
      </c>
      <c r="W839" s="1">
        <v>0.002987563048419517</v>
      </c>
      <c r="X839" s="1">
        <v>0.01543181592902898</v>
      </c>
      <c r="Y839" s="1">
        <v>0.004386626420038064</v>
      </c>
      <c r="Z839" s="1">
        <v>0.01151962022620401</v>
      </c>
    </row>
    <row r="840" spans="1:26">
      <c r="A840" s="11">
        <v>43591</v>
      </c>
      <c r="B840" s="1">
        <v>0.006211140210238053</v>
      </c>
      <c r="C840" s="1">
        <v>-0.01290961105730293</v>
      </c>
      <c r="D840" s="1">
        <v>0.000258467646802929</v>
      </c>
      <c r="E840" s="1">
        <v>-0.0106953959827375</v>
      </c>
      <c r="F840" s="1">
        <v>0.0002307507771195372</v>
      </c>
      <c r="G840" s="1">
        <v>-0.003210558970153876</v>
      </c>
      <c r="H840" s="1">
        <v>-0.00156768745527458</v>
      </c>
      <c r="I840" s="1">
        <v>-0.04032099820316692</v>
      </c>
      <c r="J840" s="1">
        <v>-0.009857246666496011</v>
      </c>
      <c r="K840" s="1">
        <v>0.0002527644358756298</v>
      </c>
      <c r="L840" s="1">
        <v>-0.008869944856572554</v>
      </c>
      <c r="M840" s="1">
        <v>-0.002610765713495056</v>
      </c>
      <c r="N840" s="1">
        <v>-0.004279019569183196</v>
      </c>
      <c r="O840" s="1">
        <v>0.001278162501834101</v>
      </c>
      <c r="P840" s="1">
        <v>-0.005818317818622076</v>
      </c>
      <c r="Q840" s="1">
        <v>0.0007176552733618724</v>
      </c>
      <c r="R840" s="1">
        <v>-0.02731866358977308</v>
      </c>
      <c r="S840" s="1">
        <v>0.0003083915484223265</v>
      </c>
      <c r="T840" s="1">
        <v>-0.00769868603908741</v>
      </c>
      <c r="U840" s="1">
        <v>-0.00358278149010316</v>
      </c>
      <c r="V840" s="1">
        <v>0.0005267326080775625</v>
      </c>
      <c r="W840" s="1">
        <v>0.00114852853233427</v>
      </c>
      <c r="X840" s="1">
        <v>-0.002063960297973289</v>
      </c>
      <c r="Y840" s="1">
        <v>-0.005765049668197686</v>
      </c>
      <c r="Z840" s="1">
        <v>-0.007392626999443874</v>
      </c>
    </row>
    <row r="841" spans="1:26">
      <c r="A841" s="11">
        <v>43592</v>
      </c>
      <c r="B841" s="1">
        <v>-0.008771873802769004</v>
      </c>
      <c r="C841" s="1">
        <v>-0.03867065218168264</v>
      </c>
      <c r="D841" s="1">
        <v>-0.008147418306372445</v>
      </c>
      <c r="E841" s="1">
        <v>-0.01829509226487991</v>
      </c>
      <c r="F841" s="1">
        <v>-0.01247086329382152</v>
      </c>
      <c r="G841" s="1">
        <v>-0.007729431672015119</v>
      </c>
      <c r="H841" s="1">
        <v>0.0005233390282799455</v>
      </c>
      <c r="I841" s="1">
        <v>-0.01510837708683266</v>
      </c>
      <c r="J841" s="1">
        <v>-0.02389213961596559</v>
      </c>
      <c r="K841" s="1">
        <v>-0.008587784869455772</v>
      </c>
      <c r="L841" s="1">
        <v>-0.01633504659120255</v>
      </c>
      <c r="M841" s="1">
        <v>-0.02374749653803365</v>
      </c>
      <c r="N841" s="1">
        <v>-0.01102179202317943</v>
      </c>
      <c r="O841" s="1">
        <v>-0.007766021425543834</v>
      </c>
      <c r="P841" s="1">
        <v>-0.0205230137741651</v>
      </c>
      <c r="Q841" s="1">
        <v>-0.005021370409104553</v>
      </c>
      <c r="R841" s="1">
        <v>-0.008353733111239992</v>
      </c>
      <c r="S841" s="1">
        <v>-0.0184726923148083</v>
      </c>
      <c r="T841" s="1">
        <v>-0.01198044120902986</v>
      </c>
      <c r="U841" s="1">
        <v>-0.001961505771690297</v>
      </c>
      <c r="V841" s="1">
        <v>-0.012371699712169</v>
      </c>
      <c r="W841" s="1">
        <v>-0.02602528976648111</v>
      </c>
      <c r="X841" s="1">
        <v>-0.02688466058996619</v>
      </c>
      <c r="Y841" s="1">
        <v>-0.004920304331021863</v>
      </c>
      <c r="Z841" s="1">
        <v>-0.01952486524726127</v>
      </c>
    </row>
    <row r="842" spans="1:26">
      <c r="A842" s="11">
        <v>43593</v>
      </c>
      <c r="B842" s="1">
        <v>0.003277516979393491</v>
      </c>
      <c r="C842" s="1">
        <v>0.007054250837616349</v>
      </c>
      <c r="D842" s="1">
        <v>0</v>
      </c>
      <c r="E842" s="1">
        <v>0.004870793044402522</v>
      </c>
      <c r="F842" s="1">
        <v>-0.004910751386573708</v>
      </c>
      <c r="G842" s="1">
        <v>-0.01168446175679605</v>
      </c>
      <c r="H842" s="1">
        <v>0.009416559125357438</v>
      </c>
      <c r="I842" s="1">
        <v>-0.01375473626071333</v>
      </c>
      <c r="J842" s="1">
        <v>-0.004079533488163145</v>
      </c>
      <c r="K842" s="1">
        <v>0.003311867982838335</v>
      </c>
      <c r="L842" s="1">
        <v>-0.005300036439899625</v>
      </c>
      <c r="M842" s="1">
        <v>0.003830793963841117</v>
      </c>
      <c r="N842" s="1">
        <v>-0.01851157104702938</v>
      </c>
      <c r="O842" s="1">
        <v>0.004074356168267901</v>
      </c>
      <c r="P842" s="1">
        <v>-7.954853925573602E-05</v>
      </c>
      <c r="Q842" s="1">
        <v>-0.009733304937126319</v>
      </c>
      <c r="R842" s="1">
        <v>-0.0001447040683193457</v>
      </c>
      <c r="S842" s="1">
        <v>-0.001437706179775677</v>
      </c>
      <c r="T842" s="1">
        <v>-0.005526075123078567</v>
      </c>
      <c r="U842" s="1">
        <v>-0.007533588461575591</v>
      </c>
      <c r="V842" s="1">
        <v>0.004930337147889263</v>
      </c>
      <c r="W842" s="1">
        <v>-0.004379659756608145</v>
      </c>
      <c r="X842" s="1">
        <v>-0.000386532162898523</v>
      </c>
      <c r="Y842" s="1">
        <v>-0.00441441165576395</v>
      </c>
      <c r="Z842" s="1">
        <v>-0.01067549156258196</v>
      </c>
    </row>
    <row r="843" spans="1:26">
      <c r="A843" s="11">
        <v>43594</v>
      </c>
      <c r="B843" s="1">
        <v>0.01470121143730263</v>
      </c>
      <c r="C843" s="1">
        <v>-0.009966567606435883</v>
      </c>
      <c r="D843" s="1">
        <v>-0.008997270663635204</v>
      </c>
      <c r="E843" s="1">
        <v>-0.004636320026223606</v>
      </c>
      <c r="F843" s="1">
        <v>0.008695092907779145</v>
      </c>
      <c r="G843" s="1">
        <v>-0.03940882966504178</v>
      </c>
      <c r="H843" s="1">
        <v>0.009587840255675717</v>
      </c>
      <c r="I843" s="1">
        <v>-0.0007068851461761172</v>
      </c>
      <c r="J843" s="1">
        <v>-0.01228898850086313</v>
      </c>
      <c r="K843" s="1">
        <v>0.005332644755889016</v>
      </c>
      <c r="L843" s="1">
        <v>-0.0007991838612596558</v>
      </c>
      <c r="M843" s="1">
        <v>0.0009540236375222833</v>
      </c>
      <c r="N843" s="1">
        <v>0.0005776728841995205</v>
      </c>
      <c r="O843" s="1">
        <v>0.003096386738786538</v>
      </c>
      <c r="P843" s="1">
        <v>-7.955486772925902E-05</v>
      </c>
      <c r="Q843" s="1">
        <v>0.001456303765111855</v>
      </c>
      <c r="R843" s="1">
        <v>0.00246906044566253</v>
      </c>
      <c r="S843" s="1">
        <v>0.002609296410446493</v>
      </c>
      <c r="T843" s="1">
        <v>-0.005736409947471821</v>
      </c>
      <c r="U843" s="1">
        <v>0.002640418288971214</v>
      </c>
      <c r="V843" s="1">
        <v>-0.00397794956532016</v>
      </c>
      <c r="W843" s="1">
        <v>-0.005582087222429588</v>
      </c>
      <c r="X843" s="1">
        <v>-0.017394569709691</v>
      </c>
      <c r="Y843" s="1">
        <v>0.001773573600085676</v>
      </c>
      <c r="Z843" s="1">
        <v>0.001037609135354556</v>
      </c>
    </row>
    <row r="844" spans="1:26">
      <c r="A844" s="11">
        <v>43595</v>
      </c>
      <c r="B844" s="1">
        <v>0.005151435571948415</v>
      </c>
      <c r="C844" s="1">
        <v>0.001524726888494587</v>
      </c>
      <c r="D844" s="1">
        <v>-0.000789578611600783</v>
      </c>
      <c r="E844" s="1">
        <v>-0.004658345538726683</v>
      </c>
      <c r="F844" s="1">
        <v>0.005359093479284871</v>
      </c>
      <c r="G844" s="1">
        <v>0.0140171056859888</v>
      </c>
      <c r="H844" s="1">
        <v>-0.005646169944341417</v>
      </c>
      <c r="I844" s="1">
        <v>0.003665818522932351</v>
      </c>
      <c r="J844" s="1">
        <v>-0.008812779222487466</v>
      </c>
      <c r="K844" s="1">
        <v>0.002273184436110798</v>
      </c>
      <c r="L844" s="1">
        <v>-8.871363986628911E-05</v>
      </c>
      <c r="M844" s="1">
        <v>0.005337311754693763</v>
      </c>
      <c r="N844" s="1">
        <v>0.002307789691689877</v>
      </c>
      <c r="O844" s="1">
        <v>0.02320650286778947</v>
      </c>
      <c r="P844" s="1">
        <v>0.01298794224664412</v>
      </c>
      <c r="Q844" s="1">
        <v>0.02071953893795331</v>
      </c>
      <c r="R844" s="1">
        <v>0.007245214510481324</v>
      </c>
      <c r="S844" s="1">
        <v>0.01175461657686716</v>
      </c>
      <c r="T844" s="1">
        <v>-0.004615959420497306</v>
      </c>
      <c r="U844" s="1">
        <v>0.007899984387598868</v>
      </c>
      <c r="V844" s="1">
        <v>-0.006257438587602637</v>
      </c>
      <c r="W844" s="1">
        <v>0.0006692209196537124</v>
      </c>
      <c r="X844" s="1">
        <v>0.01278519145176338</v>
      </c>
      <c r="Y844" s="1">
        <v>0.007613466311525929</v>
      </c>
      <c r="Z844" s="1">
        <v>0.004146134474411145</v>
      </c>
    </row>
    <row r="845" spans="1:26">
      <c r="A845" s="11">
        <v>43598</v>
      </c>
      <c r="B845" s="1">
        <v>-0.03459335179657319</v>
      </c>
      <c r="C845" s="1">
        <v>-0.04877769084407657</v>
      </c>
      <c r="D845" s="1">
        <v>-0.006584488494237872</v>
      </c>
      <c r="E845" s="1">
        <v>-0.023611845704266</v>
      </c>
      <c r="F845" s="1">
        <v>-0.02016228654981422</v>
      </c>
      <c r="G845" s="1">
        <v>0.01685755847738735</v>
      </c>
      <c r="H845" s="1">
        <v>-0.0005165693034658858</v>
      </c>
      <c r="I845" s="1">
        <v>-0.06260769834582069</v>
      </c>
      <c r="J845" s="1">
        <v>-0.04445567415394269</v>
      </c>
      <c r="K845" s="1">
        <v>-0.01461645883390783</v>
      </c>
      <c r="L845" s="1">
        <v>-0.02719796215669223</v>
      </c>
      <c r="M845" s="1">
        <v>-0.03223344595790845</v>
      </c>
      <c r="N845" s="1">
        <v>-0.01285705552364191</v>
      </c>
      <c r="O845" s="1">
        <v>-0.01477325609186397</v>
      </c>
      <c r="P845" s="1">
        <v>-0.02973327323417319</v>
      </c>
      <c r="Q845" s="1">
        <v>0.007834596464608712</v>
      </c>
      <c r="R845" s="1">
        <v>-0.02240189631487854</v>
      </c>
      <c r="S845" s="1">
        <v>0.0141458248982842</v>
      </c>
      <c r="T845" s="1">
        <v>-0.0205262839860999</v>
      </c>
      <c r="U845" s="1">
        <v>-0.00489895942805707</v>
      </c>
      <c r="V845" s="1">
        <v>-0.03965684343151032</v>
      </c>
      <c r="W845" s="1">
        <v>-0.03009173566874557</v>
      </c>
      <c r="X845" s="1">
        <v>-0.04641676373163595</v>
      </c>
      <c r="Y845" s="1">
        <v>-0.002811674782309037</v>
      </c>
      <c r="Z845" s="1">
        <v>-0.04975248576742564</v>
      </c>
    </row>
    <row r="846" spans="1:26">
      <c r="A846" s="11">
        <v>43599</v>
      </c>
      <c r="B846" s="1">
        <v>0.02886518597181542</v>
      </c>
      <c r="C846" s="1">
        <v>0.01680653230233076</v>
      </c>
      <c r="D846" s="1">
        <v>0.005832691244000321</v>
      </c>
      <c r="E846" s="1">
        <v>0.0002180946446705967</v>
      </c>
      <c r="F846" s="1">
        <v>0.01490081102348939</v>
      </c>
      <c r="G846" s="1">
        <v>-0.01259933142389658</v>
      </c>
      <c r="H846" s="1">
        <v>-0.001291407497529207</v>
      </c>
      <c r="I846" s="1">
        <v>0.005673541070429833</v>
      </c>
      <c r="J846" s="1">
        <v>0.001641558613395322</v>
      </c>
      <c r="K846" s="1">
        <v>0.003836194092426748</v>
      </c>
      <c r="L846" s="1">
        <v>0.007949056262331222</v>
      </c>
      <c r="M846" s="1">
        <v>0.01195131858306064</v>
      </c>
      <c r="N846" s="1">
        <v>0.008747931000560483</v>
      </c>
      <c r="O846" s="1">
        <v>0.00211228028143351</v>
      </c>
      <c r="P846" s="1">
        <v>0.01118757741642074</v>
      </c>
      <c r="Q846" s="1">
        <v>-0.009187029325198326</v>
      </c>
      <c r="R846" s="1">
        <v>0.015818966218895</v>
      </c>
      <c r="S846" s="1">
        <v>-0.004372688957082316</v>
      </c>
      <c r="T846" s="1">
        <v>0.008169004003210745</v>
      </c>
      <c r="U846" s="1">
        <v>0.02034801560145616</v>
      </c>
      <c r="V846" s="1">
        <v>0.003096867481632737</v>
      </c>
      <c r="W846" s="1">
        <v>0.02416912177033925</v>
      </c>
      <c r="X846" s="1">
        <v>0.0201629529662084</v>
      </c>
      <c r="Y846" s="1">
        <v>-0.003524122550333852</v>
      </c>
      <c r="Z846" s="1">
        <v>0.008907637675277913</v>
      </c>
    </row>
    <row r="847" spans="1:26">
      <c r="A847" s="11">
        <v>43600</v>
      </c>
      <c r="B847" s="1">
        <v>0.005159816953168583</v>
      </c>
      <c r="C847" s="1">
        <v>0.007579258451997584</v>
      </c>
      <c r="D847" s="1">
        <v>0.0007908274524845993</v>
      </c>
      <c r="E847" s="1">
        <v>0.01568269415976564</v>
      </c>
      <c r="F847" s="1">
        <v>-0.009788102382723984</v>
      </c>
      <c r="G847" s="1">
        <v>-0.002441406404426139</v>
      </c>
      <c r="H847" s="1">
        <v>0.008016597674741055</v>
      </c>
      <c r="I847" s="1">
        <v>-0.01543037044187545</v>
      </c>
      <c r="J847" s="1">
        <v>0.02349676869535666</v>
      </c>
      <c r="K847" s="1">
        <v>-0.005095868405129877</v>
      </c>
      <c r="L847" s="1">
        <v>-0.003806829289767388</v>
      </c>
      <c r="M847" s="1">
        <v>0.00696994528383188</v>
      </c>
      <c r="N847" s="1">
        <v>0.004625194748142381</v>
      </c>
      <c r="O847" s="1">
        <v>-0.001791540220454912</v>
      </c>
      <c r="P847" s="1">
        <v>0.0140822723446985</v>
      </c>
      <c r="Q847" s="1">
        <v>0.0007132206823661225</v>
      </c>
      <c r="R847" s="1">
        <v>0.006694523409644715</v>
      </c>
      <c r="S847" s="1">
        <v>0.00329376034004536</v>
      </c>
      <c r="T847" s="1">
        <v>-0.008034294139933951</v>
      </c>
      <c r="U847" s="1">
        <v>0.005146382136373751</v>
      </c>
      <c r="V847" s="1">
        <v>-0.006314998592222731</v>
      </c>
      <c r="W847" s="1">
        <v>-0.01626829675331654</v>
      </c>
      <c r="X847" s="1">
        <v>0</v>
      </c>
      <c r="Y847" s="1">
        <v>0.00459751074881698</v>
      </c>
      <c r="Z847" s="1">
        <v>-0.02189019679782267</v>
      </c>
    </row>
    <row r="848" spans="1:26">
      <c r="A848" s="11">
        <v>43601</v>
      </c>
      <c r="B848" s="1">
        <v>0.001924989442050551</v>
      </c>
      <c r="C848" s="1">
        <v>0.02363728464191373</v>
      </c>
      <c r="D848" s="1">
        <v>0.01264130021019172</v>
      </c>
      <c r="E848" s="1">
        <v>0.01050823171671</v>
      </c>
      <c r="F848" s="1">
        <v>0.0164744853736023</v>
      </c>
      <c r="G848" s="1">
        <v>0.006118215863831766</v>
      </c>
      <c r="H848" s="1">
        <v>-0.001282535209446878</v>
      </c>
      <c r="I848" s="1">
        <v>0.007939636234199021</v>
      </c>
      <c r="J848" s="1">
        <v>0.01121230969433085</v>
      </c>
      <c r="K848" s="1">
        <v>0.00332883126892769</v>
      </c>
      <c r="L848" s="1">
        <v>0.01282959394415717</v>
      </c>
      <c r="M848" s="1">
        <v>0.01115173810910575</v>
      </c>
      <c r="N848" s="1">
        <v>-0.001918449448267467</v>
      </c>
      <c r="O848" s="1">
        <v>0.01034511940771154</v>
      </c>
      <c r="P848" s="1">
        <v>0.02309151165240975</v>
      </c>
      <c r="Q848" s="1">
        <v>0.004633146805834931</v>
      </c>
      <c r="R848" s="1">
        <v>0.01040960892895026</v>
      </c>
      <c r="S848" s="1">
        <v>0.002932745462610908</v>
      </c>
      <c r="T848" s="1">
        <v>0.008120497693044237</v>
      </c>
      <c r="U848" s="1">
        <v>0.01183977610290898</v>
      </c>
      <c r="V848" s="1">
        <v>-0.0004235701809749415</v>
      </c>
      <c r="W848" s="1">
        <v>0.01513056099140409</v>
      </c>
      <c r="X848" s="1">
        <v>0.01776788588560385</v>
      </c>
      <c r="Y848" s="1">
        <v>0.01003347194879911</v>
      </c>
      <c r="Z848" s="1">
        <v>0.009749701300808988</v>
      </c>
    </row>
    <row r="849" spans="1:26">
      <c r="A849" s="11">
        <v>43602</v>
      </c>
      <c r="B849" s="1">
        <v>-0.02625692751471587</v>
      </c>
      <c r="C849" s="1">
        <v>0.003419907227014019</v>
      </c>
      <c r="D849" s="1">
        <v>-0.01196353027053376</v>
      </c>
      <c r="E849" s="1">
        <v>-0.005730275017649222</v>
      </c>
      <c r="F849" s="1">
        <v>0.008104027899032529</v>
      </c>
      <c r="G849" s="1">
        <v>0.005743369553760314</v>
      </c>
      <c r="H849" s="1">
        <v>0.005137376044833886</v>
      </c>
      <c r="I849" s="1">
        <v>-0.07651182961304015</v>
      </c>
      <c r="J849" s="1">
        <v>0.004224177413078012</v>
      </c>
      <c r="K849" s="1">
        <v>-0.005870104905478124</v>
      </c>
      <c r="L849" s="1">
        <v>-0.00485143843684166</v>
      </c>
      <c r="M849" s="1">
        <v>-0.006655308226933165</v>
      </c>
      <c r="N849" s="1">
        <v>0.006150159452446458</v>
      </c>
      <c r="O849" s="1">
        <v>0.0008359058536375752</v>
      </c>
      <c r="P849" s="1">
        <v>-0.006670021588098596</v>
      </c>
      <c r="Q849" s="1">
        <v>0.003547213123069159</v>
      </c>
      <c r="R849" s="1">
        <v>-0.009300645154741716</v>
      </c>
      <c r="S849" s="1">
        <v>0.004364855851585192</v>
      </c>
      <c r="T849" s="1">
        <v>0.005539019934251099</v>
      </c>
      <c r="U849" s="1">
        <v>0.005692571331672669</v>
      </c>
      <c r="V849" s="1">
        <v>0.001554055850206293</v>
      </c>
      <c r="W849" s="1">
        <v>-0.01981173244726597</v>
      </c>
      <c r="X849" s="1">
        <v>-0.0368771011830572</v>
      </c>
      <c r="Y849" s="1">
        <v>0.01237395374353145</v>
      </c>
      <c r="Z849" s="1">
        <v>-0.01031419986134741</v>
      </c>
    </row>
    <row r="850" spans="1:26">
      <c r="A850" s="11">
        <v>43605</v>
      </c>
      <c r="B850" s="1">
        <v>-0.01578425550305873</v>
      </c>
      <c r="C850" s="1">
        <v>-0.006281324134039146</v>
      </c>
      <c r="D850" s="1">
        <v>-0.008686398670812889</v>
      </c>
      <c r="E850" s="1">
        <v>-0.01152562544919122</v>
      </c>
      <c r="F850" s="1">
        <v>-0.01745581223049952</v>
      </c>
      <c r="G850" s="1">
        <v>-0.004366935362589142</v>
      </c>
      <c r="H850" s="1">
        <v>-0.009711588367161128</v>
      </c>
      <c r="I850" s="1">
        <v>0.00407943101892938</v>
      </c>
      <c r="J850" s="1">
        <v>-0.003154511175501362</v>
      </c>
      <c r="K850" s="1">
        <v>0.003594458267288214</v>
      </c>
      <c r="L850" s="1">
        <v>0.005236136108245359</v>
      </c>
      <c r="M850" s="1">
        <v>-0.00440274177193245</v>
      </c>
      <c r="N850" s="1">
        <v>-0.0003817272287770512</v>
      </c>
      <c r="O850" s="1">
        <v>0.001148376838946197</v>
      </c>
      <c r="P850" s="1">
        <v>-0.01444526924265599</v>
      </c>
      <c r="Q850" s="1">
        <v>-0.004595563987723872</v>
      </c>
      <c r="R850" s="1">
        <v>0.001155738327779376</v>
      </c>
      <c r="S850" s="1">
        <v>0.001824696433870399</v>
      </c>
      <c r="T850" s="1">
        <v>-0.0256381204188223</v>
      </c>
      <c r="U850" s="1">
        <v>0.01226432978787106</v>
      </c>
      <c r="V850" s="1">
        <v>0.01678637853477394</v>
      </c>
      <c r="W850" s="1">
        <v>0.004509255037753901</v>
      </c>
      <c r="X850" s="1">
        <v>-0.00936873275545691</v>
      </c>
      <c r="Y850" s="1">
        <v>0.01583750682689633</v>
      </c>
      <c r="Z850" s="1">
        <v>-0.00443433720075781</v>
      </c>
    </row>
    <row r="851" spans="1:26">
      <c r="A851" s="11">
        <v>43606</v>
      </c>
      <c r="B851" s="1">
        <v>0.03007035488682575</v>
      </c>
      <c r="C851" s="1">
        <v>0.01689391784961547</v>
      </c>
      <c r="D851" s="1">
        <v>-0.0002652621849134063</v>
      </c>
      <c r="E851" s="1">
        <v>0.02418435474698555</v>
      </c>
      <c r="F851" s="1">
        <v>0.01192170979028306</v>
      </c>
      <c r="G851" s="1">
        <v>-0.004048510057669263</v>
      </c>
      <c r="H851" s="1">
        <v>-0.008516095088777265</v>
      </c>
      <c r="I851" s="1">
        <v>0.0260027091130639</v>
      </c>
      <c r="J851" s="1">
        <v>0.02531614641850011</v>
      </c>
      <c r="K851" s="1">
        <v>0.01023277404534495</v>
      </c>
      <c r="L851" s="1">
        <v>0.003412699687671328</v>
      </c>
      <c r="M851" s="1">
        <v>0.02614867676502253</v>
      </c>
      <c r="N851" s="1">
        <v>-0.008790542529645173</v>
      </c>
      <c r="O851" s="1">
        <v>0.01303437574241784</v>
      </c>
      <c r="P851" s="1">
        <v>0.005387065882105357</v>
      </c>
      <c r="Q851" s="1">
        <v>-0.001420363170394734</v>
      </c>
      <c r="R851" s="1">
        <v>0.01197301195222433</v>
      </c>
      <c r="S851" s="1">
        <v>0.001691879958436004</v>
      </c>
      <c r="T851" s="1">
        <v>0.01745528634921123</v>
      </c>
      <c r="U851" s="1">
        <v>0.006834464497279091</v>
      </c>
      <c r="V851" s="1">
        <v>-0.001664687357447736</v>
      </c>
      <c r="W851" s="1">
        <v>0.009318551254578367</v>
      </c>
      <c r="X851" s="1">
        <v>0.01603602188398012</v>
      </c>
      <c r="Y851" s="1">
        <v>0.008303546245801874</v>
      </c>
      <c r="Z851" s="1">
        <v>0.01959896394862271</v>
      </c>
    </row>
    <row r="852" spans="1:26">
      <c r="A852" s="11">
        <v>43607</v>
      </c>
      <c r="B852" s="1">
        <v>-0.04346446821880545</v>
      </c>
      <c r="C852" s="1">
        <v>-0.01664114298958042</v>
      </c>
      <c r="D852" s="1">
        <v>0.003585615682639709</v>
      </c>
      <c r="E852" s="1">
        <v>0.006536204439888449</v>
      </c>
      <c r="F852" s="1">
        <v>0.0002307507771195372</v>
      </c>
      <c r="G852" s="1">
        <v>0.001016537996553657</v>
      </c>
      <c r="H852" s="1">
        <v>-0.0145753692352335</v>
      </c>
      <c r="I852" s="1">
        <v>-0.0007918803142002995</v>
      </c>
      <c r="J852" s="1">
        <v>-0.01234543556931156</v>
      </c>
      <c r="K852" s="1">
        <v>-0.007090499844681464</v>
      </c>
      <c r="L852" s="1">
        <v>-0.008144538811404312</v>
      </c>
      <c r="M852" s="1">
        <v>-0.01498941615516747</v>
      </c>
      <c r="N852" s="1">
        <v>0.0185077186481053</v>
      </c>
      <c r="O852" s="1">
        <v>0.001441085844563705</v>
      </c>
      <c r="P852" s="1">
        <v>0.006067974555923117</v>
      </c>
      <c r="Q852" s="1">
        <v>0.009246265599191839</v>
      </c>
      <c r="R852" s="1">
        <v>-0.02808232374663577</v>
      </c>
      <c r="S852" s="1">
        <v>0.003594131576234227</v>
      </c>
      <c r="T852" s="1">
        <v>-0.001110908129808186</v>
      </c>
      <c r="U852" s="1">
        <v>-0.004011101218073798</v>
      </c>
      <c r="V852" s="1">
        <v>0.07782077243334684</v>
      </c>
      <c r="W852" s="1">
        <v>0.02374144679271084</v>
      </c>
      <c r="X852" s="1">
        <v>-0.01456904707930562</v>
      </c>
      <c r="Y852" s="1">
        <v>-0.004201577339174034</v>
      </c>
      <c r="Z852" s="1">
        <v>-0.007863459894695057</v>
      </c>
    </row>
    <row r="853" spans="1:26">
      <c r="A853" s="11">
        <v>43608</v>
      </c>
      <c r="B853" s="1">
        <v>-0.06205501022345739</v>
      </c>
      <c r="C853" s="1">
        <v>-0.006321207827971853</v>
      </c>
      <c r="D853" s="1">
        <v>-0.007146183456521626</v>
      </c>
      <c r="E853" s="1">
        <v>-0.009216736865979791</v>
      </c>
      <c r="F853" s="1">
        <v>-0.01316353469381992</v>
      </c>
      <c r="G853" s="1">
        <v>-0.004399604056151807</v>
      </c>
      <c r="H853" s="1">
        <v>0.006603443804647391</v>
      </c>
      <c r="I853" s="1">
        <v>-0.01664498287198735</v>
      </c>
      <c r="J853" s="1">
        <v>-0.0005211155866627903</v>
      </c>
      <c r="K853" s="1">
        <v>-0.01147686703887962</v>
      </c>
      <c r="L853" s="1">
        <v>-0.01967145466663356</v>
      </c>
      <c r="M853" s="1">
        <v>-0.03062572480694936</v>
      </c>
      <c r="N853" s="1">
        <v>-0.0003782589314814677</v>
      </c>
      <c r="O853" s="1">
        <v>-0.01130644773292022</v>
      </c>
      <c r="P853" s="1">
        <v>-0.01167072720335127</v>
      </c>
      <c r="Q853" s="1">
        <v>0.002818874664587412</v>
      </c>
      <c r="R853" s="1">
        <v>-0.01642712030181459</v>
      </c>
      <c r="S853" s="1">
        <v>0.01152041305682672</v>
      </c>
      <c r="T853" s="1">
        <v>-0.002016389830387655</v>
      </c>
      <c r="U853" s="1">
        <v>-0.004337207091844042</v>
      </c>
      <c r="V853" s="1">
        <v>0.02372352691872526</v>
      </c>
      <c r="W853" s="1">
        <v>-0.002356076876378954</v>
      </c>
      <c r="X853" s="1">
        <v>-0.02607766980310322</v>
      </c>
      <c r="Y853" s="1">
        <v>-0.006413549847967381</v>
      </c>
      <c r="Z853" s="1">
        <v>-0.01078830450690704</v>
      </c>
    </row>
    <row r="854" spans="1:26">
      <c r="A854" s="11">
        <v>43609</v>
      </c>
      <c r="B854" s="1">
        <v>-0.01193026003868314</v>
      </c>
      <c r="C854" s="1">
        <v>0.01240907161084293</v>
      </c>
      <c r="D854" s="1">
        <v>0.0009334504151254919</v>
      </c>
      <c r="E854" s="1">
        <v>-0.01035938455000063</v>
      </c>
      <c r="F854" s="1">
        <v>-0.001404525848190397</v>
      </c>
      <c r="G854" s="1">
        <v>-0.001019914003209998</v>
      </c>
      <c r="H854" s="1">
        <v>-0.01521955998754498</v>
      </c>
      <c r="I854" s="1">
        <v>0.01817244743628788</v>
      </c>
      <c r="J854" s="1">
        <v>0.04377284770116541</v>
      </c>
      <c r="K854" s="1">
        <v>-0.006450051050074901</v>
      </c>
      <c r="L854" s="1">
        <v>0.00984885970809346</v>
      </c>
      <c r="M854" s="1">
        <v>0.003728210331648496</v>
      </c>
      <c r="N854" s="1">
        <v>-0.007763994927714513</v>
      </c>
      <c r="O854" s="1">
        <v>-0.008420942827277345</v>
      </c>
      <c r="P854" s="1">
        <v>0.0004756243182093556</v>
      </c>
      <c r="Q854" s="1">
        <v>0.001756823124718032</v>
      </c>
      <c r="R854" s="1">
        <v>0.007455949828348185</v>
      </c>
      <c r="S854" s="1">
        <v>0.007678408276226234</v>
      </c>
      <c r="T854" s="1">
        <v>0.0003481407695293814</v>
      </c>
      <c r="U854" s="1">
        <v>0.004044862684529749</v>
      </c>
      <c r="V854" s="1">
        <v>0.02733002262251283</v>
      </c>
      <c r="W854" s="1">
        <v>0.002877883829870864</v>
      </c>
      <c r="X854" s="1">
        <v>0.002740893710308168</v>
      </c>
      <c r="Y854" s="1">
        <v>0.007643655422510331</v>
      </c>
      <c r="Z854" s="1">
        <v>0.009125298890717115</v>
      </c>
    </row>
    <row r="855" spans="1:26">
      <c r="A855" s="11">
        <v>43613</v>
      </c>
      <c r="B855" s="1">
        <v>-0.01536771095919043</v>
      </c>
      <c r="C855" s="1">
        <v>-5.629372612991901E-05</v>
      </c>
      <c r="D855" s="1">
        <v>-0.0122506142273604</v>
      </c>
      <c r="E855" s="1">
        <v>-0.0202946273097161</v>
      </c>
      <c r="F855" s="1">
        <v>-0.004686771546198787</v>
      </c>
      <c r="G855" s="1">
        <v>-0.01939434215585323</v>
      </c>
      <c r="H855" s="1">
        <v>-0.01998399186153388</v>
      </c>
      <c r="I855" s="1">
        <v>-0.009931624761407187</v>
      </c>
      <c r="J855" s="1">
        <v>-0.01847208294667613</v>
      </c>
      <c r="K855" s="1">
        <v>-0.001298016202219143</v>
      </c>
      <c r="L855" s="1">
        <v>-0.01084683252620344</v>
      </c>
      <c r="M855" s="1">
        <v>-0.02189643382803497</v>
      </c>
      <c r="N855" s="1">
        <v>-0.04828227548211406</v>
      </c>
      <c r="O855" s="1">
        <v>-0.005451780545633556</v>
      </c>
      <c r="P855" s="1">
        <v>-0.0006338427806796831</v>
      </c>
      <c r="Q855" s="1">
        <v>-0.0224478312341122</v>
      </c>
      <c r="R855" s="1">
        <v>-0.00680869532783801</v>
      </c>
      <c r="S855" s="1">
        <v>-0.01253019079385698</v>
      </c>
      <c r="T855" s="1">
        <v>-0.008567177193674169</v>
      </c>
      <c r="U855" s="1">
        <v>-0.01053610543132677</v>
      </c>
      <c r="V855" s="1">
        <v>-0.009807336118083154</v>
      </c>
      <c r="W855" s="1">
        <v>-0.01994084312015709</v>
      </c>
      <c r="X855" s="1">
        <v>-0.01619011766275846</v>
      </c>
      <c r="Y855" s="1">
        <v>-0.009945731572951089</v>
      </c>
      <c r="Z855" s="1">
        <v>-0.02404057672378679</v>
      </c>
    </row>
    <row r="856" spans="1:26">
      <c r="A856" s="11">
        <v>43614</v>
      </c>
      <c r="B856" s="1">
        <v>-0.009290508966126598</v>
      </c>
      <c r="C856" s="1">
        <v>-0.01713272995552551</v>
      </c>
      <c r="D856" s="1">
        <v>-0.004583549700186818</v>
      </c>
      <c r="E856" s="1">
        <v>-0.01046693471866711</v>
      </c>
      <c r="F856" s="1">
        <v>-0.01295049238070611</v>
      </c>
      <c r="G856" s="1">
        <v>-0.01283812419302566</v>
      </c>
      <c r="H856" s="1">
        <v>-0.01522575488639644</v>
      </c>
      <c r="I856" s="1">
        <v>0.02587754533068876</v>
      </c>
      <c r="J856" s="1">
        <v>-0.03357066756007054</v>
      </c>
      <c r="K856" s="1">
        <v>-0.005459976361481544</v>
      </c>
      <c r="L856" s="1">
        <v>-0.002764375959229959</v>
      </c>
      <c r="M856" s="1">
        <v>-0.00939440139413239</v>
      </c>
      <c r="N856" s="1">
        <v>0.006416810758427705</v>
      </c>
      <c r="O856" s="1">
        <v>0.006852308911409422</v>
      </c>
      <c r="P856" s="1">
        <v>-0.009670022999681671</v>
      </c>
      <c r="Q856" s="1">
        <v>-0.01542881359016823</v>
      </c>
      <c r="R856" s="1">
        <v>0.00611012183790649</v>
      </c>
      <c r="S856" s="1">
        <v>-0.007544973587382486</v>
      </c>
      <c r="T856" s="1">
        <v>-0.001381582497957834</v>
      </c>
      <c r="U856" s="1">
        <v>-0.0006263092008528259</v>
      </c>
      <c r="V856" s="1">
        <v>-0.01399046398276615</v>
      </c>
      <c r="W856" s="1">
        <v>-0.006081526330660503</v>
      </c>
      <c r="X856" s="1">
        <v>-0.007266467086568418</v>
      </c>
      <c r="Y856" s="1">
        <v>-0.009365071112780843</v>
      </c>
      <c r="Z856" s="1">
        <v>0.008135898247783935</v>
      </c>
    </row>
    <row r="857" spans="1:26">
      <c r="A857" s="11">
        <v>43615</v>
      </c>
      <c r="B857" s="1">
        <v>-0.01800430036562739</v>
      </c>
      <c r="C857" s="1">
        <v>0.00306772566953617</v>
      </c>
      <c r="D857" s="1">
        <v>0.007178031570285404</v>
      </c>
      <c r="E857" s="1">
        <v>0.01101805479473206</v>
      </c>
      <c r="F857" s="1">
        <v>-0.004293919141890479</v>
      </c>
      <c r="G857" s="1">
        <v>-0.006326897835758793</v>
      </c>
      <c r="H857" s="1">
        <v>-0.01159554166378285</v>
      </c>
      <c r="I857" s="1">
        <v>0.003897338095234071</v>
      </c>
      <c r="J857" s="1">
        <v>0.00736827384356431</v>
      </c>
      <c r="K857" s="1">
        <v>0.01777727258492368</v>
      </c>
      <c r="L857" s="1">
        <v>-0.01071885879730317</v>
      </c>
      <c r="M857" s="1">
        <v>-0.003430092868365153</v>
      </c>
      <c r="N857" s="1">
        <v>0.0003984259468401419</v>
      </c>
      <c r="O857" s="1">
        <v>0.003350534422108753</v>
      </c>
      <c r="P857" s="1">
        <v>0.00632267029414213</v>
      </c>
      <c r="Q857" s="1">
        <v>0.004008309906488039</v>
      </c>
      <c r="R857" s="1">
        <v>0.007850664319819289</v>
      </c>
      <c r="S857" s="1">
        <v>0.007559349508283297</v>
      </c>
      <c r="T857" s="1">
        <v>-0.004385205099565637</v>
      </c>
      <c r="U857" s="1">
        <v>-0.001567014586986604</v>
      </c>
      <c r="V857" s="1">
        <v>0.009417522931820299</v>
      </c>
      <c r="W857" s="1">
        <v>0.01216184809563225</v>
      </c>
      <c r="X857" s="1">
        <v>-0.006674281150901407</v>
      </c>
      <c r="Y857" s="1">
        <v>-0.02320381657446025</v>
      </c>
      <c r="Z857" s="1">
        <v>-0.01457095056536106</v>
      </c>
    </row>
    <row r="858" spans="1:26">
      <c r="A858" s="11">
        <v>43616</v>
      </c>
      <c r="B858" s="1">
        <v>-0.00420156486935952</v>
      </c>
      <c r="C858" s="1">
        <v>-0.0236087814013497</v>
      </c>
      <c r="D858" s="1">
        <v>-0.01250513116792029</v>
      </c>
      <c r="E858" s="1">
        <v>-0.01111572741993394</v>
      </c>
      <c r="F858" s="1">
        <v>-0.01772868503291691</v>
      </c>
      <c r="G858" s="1">
        <v>0.006013491237278012</v>
      </c>
      <c r="H858" s="1">
        <v>0.01424573604377066</v>
      </c>
      <c r="I858" s="1">
        <v>-0.01065810689012592</v>
      </c>
      <c r="J858" s="1">
        <v>-0.02403348309069608</v>
      </c>
      <c r="K858" s="1">
        <v>-0.01053136251632225</v>
      </c>
      <c r="L858" s="1">
        <v>-0.01027444430121593</v>
      </c>
      <c r="M858" s="1">
        <v>-0.03624201928149617</v>
      </c>
      <c r="N858" s="1">
        <v>-0.02290381750809423</v>
      </c>
      <c r="O858" s="1">
        <v>-0.002400410619988635</v>
      </c>
      <c r="P858" s="1">
        <v>-0.01630466910583284</v>
      </c>
      <c r="Q858" s="1">
        <v>0.01088955393253421</v>
      </c>
      <c r="R858" s="1">
        <v>-0.03262762776950356</v>
      </c>
      <c r="S858" s="1">
        <v>0.01980610000520122</v>
      </c>
      <c r="T858" s="1">
        <v>-0.01205903912718764</v>
      </c>
      <c r="U858" s="1">
        <v>-0.04017563977459904</v>
      </c>
      <c r="V858" s="1">
        <v>0.0007461874629151044</v>
      </c>
      <c r="W858" s="1">
        <v>-0.00373185188748737</v>
      </c>
      <c r="X858" s="1">
        <v>-0.01820499328755087</v>
      </c>
      <c r="Y858" s="1">
        <v>-0.04363881796725777</v>
      </c>
      <c r="Z858" s="1">
        <v>-0.02024526610450617</v>
      </c>
    </row>
    <row r="859" spans="1:26">
      <c r="A859" s="11">
        <v>43619</v>
      </c>
      <c r="B859" s="1">
        <v>0.03145356902042384</v>
      </c>
      <c r="C859" s="1">
        <v>-0.00796216217543666</v>
      </c>
      <c r="D859" s="1">
        <v>0.007080450273675432</v>
      </c>
      <c r="E859" s="1">
        <v>0.01653072136955802</v>
      </c>
      <c r="F859" s="1">
        <v>-0.0009754729582991395</v>
      </c>
      <c r="G859" s="1">
        <v>0.007735675823791199</v>
      </c>
      <c r="H859" s="1">
        <v>0.02919294695925734</v>
      </c>
      <c r="I859" s="1">
        <v>0.02225919660888609</v>
      </c>
      <c r="J859" s="1">
        <v>-0.001070575783409966</v>
      </c>
      <c r="K859" s="1">
        <v>0.01246091674597438</v>
      </c>
      <c r="L859" s="1">
        <v>0.00471860429029558</v>
      </c>
      <c r="M859" s="1">
        <v>0.003991555483604303</v>
      </c>
      <c r="N859" s="1">
        <v>0.02119832907720087</v>
      </c>
      <c r="O859" s="1">
        <v>0.008891212870360876</v>
      </c>
      <c r="P859" s="1">
        <v>-0.03104794763006624</v>
      </c>
      <c r="Q859" s="1">
        <v>0.01005372898849477</v>
      </c>
      <c r="R859" s="1">
        <v>0.006229057122256965</v>
      </c>
      <c r="S859" s="1">
        <v>0.008659841892538545</v>
      </c>
      <c r="T859" s="1">
        <v>0.01754688419617523</v>
      </c>
      <c r="U859" s="1">
        <v>0.01667757163409145</v>
      </c>
      <c r="V859" s="1">
        <v>0.03107533316915556</v>
      </c>
      <c r="W859" s="1">
        <v>-0.006367504081165154</v>
      </c>
      <c r="X859" s="1">
        <v>0.02229572250728262</v>
      </c>
      <c r="Y859" s="1">
        <v>0.0373505101924001</v>
      </c>
      <c r="Z859" s="1">
        <v>0.005803801915408302</v>
      </c>
    </row>
    <row r="860" spans="1:26">
      <c r="A860" s="11">
        <v>43620</v>
      </c>
      <c r="B860" s="1">
        <v>0.05392338778931771</v>
      </c>
      <c r="C860" s="1">
        <v>0.01690810116585184</v>
      </c>
      <c r="D860" s="1">
        <v>0.03042162338274967</v>
      </c>
      <c r="E860" s="1">
        <v>0.01105810109424188</v>
      </c>
      <c r="F860" s="1">
        <v>0.01074227055164756</v>
      </c>
      <c r="G860" s="1">
        <v>0.005582375016943475</v>
      </c>
      <c r="H860" s="1">
        <v>0.0198024401141077</v>
      </c>
      <c r="I860" s="1">
        <v>0.01626046895335631</v>
      </c>
      <c r="J860" s="1">
        <v>0.03912117363855505</v>
      </c>
      <c r="K860" s="1">
        <v>0.01410287649855779</v>
      </c>
      <c r="L860" s="1">
        <v>0.03080952340739018</v>
      </c>
      <c r="M860" s="1">
        <v>0.0281454174461806</v>
      </c>
      <c r="N860" s="1">
        <v>0.006387217701070647</v>
      </c>
      <c r="O860" s="1">
        <v>0.005287892286264251</v>
      </c>
      <c r="P860" s="1">
        <v>0.02770358777833071</v>
      </c>
      <c r="Q860" s="1">
        <v>-0.001777604450682646</v>
      </c>
      <c r="R860" s="1">
        <v>0.03608601132190659</v>
      </c>
      <c r="S860" s="1">
        <v>-0.009335735379210952</v>
      </c>
      <c r="T860" s="1">
        <v>0.02010246800663285</v>
      </c>
      <c r="U860" s="1">
        <v>0.01254433985465786</v>
      </c>
      <c r="V860" s="1">
        <v>0.0349605676391429</v>
      </c>
      <c r="W860" s="1">
        <v>0.01014022871390097</v>
      </c>
      <c r="X860" s="1">
        <v>0.04491457746199523</v>
      </c>
      <c r="Y860" s="1">
        <v>-0.002838003869838124</v>
      </c>
      <c r="Z860" s="1">
        <v>0.02493090082658189</v>
      </c>
    </row>
    <row r="861" spans="1:26">
      <c r="A861" s="11">
        <v>43621</v>
      </c>
      <c r="B861" s="1">
        <v>-0.01058559468333342</v>
      </c>
      <c r="C861" s="1">
        <v>0.01198417473321833</v>
      </c>
      <c r="D861" s="1">
        <v>0.01023533269466048</v>
      </c>
      <c r="E861" s="1">
        <v>0</v>
      </c>
      <c r="F861" s="1">
        <v>-0.002415815848596958</v>
      </c>
      <c r="G861" s="1">
        <v>0.007633599521272627</v>
      </c>
      <c r="H861" s="1">
        <v>0.1002358130393306</v>
      </c>
      <c r="I861" s="1">
        <v>0.004120230099647681</v>
      </c>
      <c r="J861" s="1">
        <v>0.008767198940342391</v>
      </c>
      <c r="K861" s="1">
        <v>-0.002275931672019449</v>
      </c>
      <c r="L861" s="1">
        <v>0.00355389755613067</v>
      </c>
      <c r="M861" s="1">
        <v>0.02594465522291434</v>
      </c>
      <c r="N861" s="1">
        <v>-0.01447816605181562</v>
      </c>
      <c r="O861" s="1">
        <v>0.01351048232595264</v>
      </c>
      <c r="P861" s="1">
        <v>0.02167918804689672</v>
      </c>
      <c r="Q861" s="1">
        <v>0.01531343460747459</v>
      </c>
      <c r="R861" s="1">
        <v>0.00757839844141639</v>
      </c>
      <c r="S861" s="1">
        <v>0.03024819138638901</v>
      </c>
      <c r="T861" s="1">
        <v>0.0330282003358533</v>
      </c>
      <c r="U861" s="1">
        <v>0.0063532799673649</v>
      </c>
      <c r="V861" s="1">
        <v>-0.004193251976057022</v>
      </c>
      <c r="W861" s="1">
        <v>0.02545052342015253</v>
      </c>
      <c r="X861" s="1">
        <v>0.003099810162592531</v>
      </c>
      <c r="Y861" s="1">
        <v>0.01440768333264675</v>
      </c>
      <c r="Z861" s="1">
        <v>-0.004954946012104222</v>
      </c>
    </row>
    <row r="862" spans="1:26">
      <c r="A862" s="11">
        <v>43622</v>
      </c>
      <c r="B862" s="1">
        <v>0.02853072965190706</v>
      </c>
      <c r="C862" s="1">
        <v>0.005419492604348264</v>
      </c>
      <c r="D862" s="1">
        <v>0.00104174852530603</v>
      </c>
      <c r="E862" s="1">
        <v>-0.01029387798558878</v>
      </c>
      <c r="F862" s="1">
        <v>-0.00363168004613601</v>
      </c>
      <c r="G862" s="1">
        <v>0.003788326199625214</v>
      </c>
      <c r="H862" s="1">
        <v>0.02575727969362474</v>
      </c>
      <c r="I862" s="1">
        <v>0.001846426104582743</v>
      </c>
      <c r="J862" s="1">
        <v>0.005112692775297134</v>
      </c>
      <c r="K862" s="1">
        <v>-0.0002535331046775724</v>
      </c>
      <c r="L862" s="1">
        <v>0.002179456720527329</v>
      </c>
      <c r="M862" s="1">
        <v>-0.00477892126683932</v>
      </c>
      <c r="N862" s="1">
        <v>0.02133206697509538</v>
      </c>
      <c r="O862" s="1">
        <v>0.007326644501556068</v>
      </c>
      <c r="P862" s="1">
        <v>0.01581515095718777</v>
      </c>
      <c r="Q862" s="1">
        <v>0.003858385134000608</v>
      </c>
      <c r="R862" s="1">
        <v>0.008677632112646938</v>
      </c>
      <c r="S862" s="1">
        <v>-0.0006943579619317353</v>
      </c>
      <c r="T862" s="1">
        <v>0.03732997607989486</v>
      </c>
      <c r="U862" s="1">
        <v>0.01325752721542894</v>
      </c>
      <c r="V862" s="1">
        <v>0.002456509078983427</v>
      </c>
      <c r="W862" s="1">
        <v>0.005349638850931981</v>
      </c>
      <c r="X862" s="1">
        <v>-0.003296278171412204</v>
      </c>
      <c r="Y862" s="1">
        <v>0.00894276978875852</v>
      </c>
      <c r="Z862" s="1">
        <v>0.001358388769918006</v>
      </c>
    </row>
    <row r="863" spans="1:26">
      <c r="A863" s="11">
        <v>43623</v>
      </c>
      <c r="B863" s="1">
        <v>0.00381420182143466</v>
      </c>
      <c r="C863" s="1">
        <v>0.008726795123635389</v>
      </c>
      <c r="D863" s="1">
        <v>0.009499141589630833</v>
      </c>
      <c r="E863" s="1">
        <v>0.01300115254387935</v>
      </c>
      <c r="F863" s="1">
        <v>0.008019061485886381</v>
      </c>
      <c r="G863" s="1">
        <v>-0.01132120690852323</v>
      </c>
      <c r="H863" s="1">
        <v>0.001627530334016303</v>
      </c>
      <c r="I863" s="1">
        <v>0.01515470833417099</v>
      </c>
      <c r="J863" s="1">
        <v>0.002543279543856025</v>
      </c>
      <c r="K863" s="1">
        <v>-0.008618600419003641</v>
      </c>
      <c r="L863" s="1">
        <v>-0.01096310312140791</v>
      </c>
      <c r="M863" s="1">
        <v>0.007802963635549443</v>
      </c>
      <c r="N863" s="1">
        <v>0.01241394069840807</v>
      </c>
      <c r="O863" s="1">
        <v>0.001919811178219488</v>
      </c>
      <c r="P863" s="1">
        <v>0.02800800428862127</v>
      </c>
      <c r="Q863" s="1">
        <v>-0.002795151773340332</v>
      </c>
      <c r="R863" s="1">
        <v>0.006883124630659543</v>
      </c>
      <c r="S863" s="1">
        <v>0.002002430795463583</v>
      </c>
      <c r="T863" s="1">
        <v>0.01590352977694298</v>
      </c>
      <c r="U863" s="1">
        <v>0.01214918844756441</v>
      </c>
      <c r="V863" s="1">
        <v>0.01341878273084252</v>
      </c>
      <c r="W863" s="1">
        <v>0.0196558861645344</v>
      </c>
      <c r="X863" s="1">
        <v>0.01508911617445308</v>
      </c>
      <c r="Y863" s="1">
        <v>-0.005213856212108237</v>
      </c>
      <c r="Z863" s="1">
        <v>-0.01356259838619123</v>
      </c>
    </row>
    <row r="864" spans="1:26">
      <c r="A864" s="11">
        <v>43626</v>
      </c>
      <c r="B864" s="1">
        <v>-0.002418345200983163</v>
      </c>
      <c r="C864" s="1">
        <v>0.0002826871016587962</v>
      </c>
      <c r="D864" s="1">
        <v>0.007604923229948213</v>
      </c>
      <c r="E864" s="1">
        <v>-0.01582884425569986</v>
      </c>
      <c r="F864" s="1">
        <v>-0.004580468589518993</v>
      </c>
      <c r="G864" s="1">
        <v>0.003470141603525878</v>
      </c>
      <c r="H864" s="1">
        <v>-0.02483769856661022</v>
      </c>
      <c r="I864" s="1">
        <v>0.007396798734526921</v>
      </c>
      <c r="J864" s="1">
        <v>0.008624922703853954</v>
      </c>
      <c r="K864" s="1">
        <v>-0.007670091351394848</v>
      </c>
      <c r="L864" s="1">
        <v>0.01080961294110505</v>
      </c>
      <c r="M864" s="1">
        <v>-0.001389628388006048</v>
      </c>
      <c r="N864" s="1">
        <v>-0.003308580781187009</v>
      </c>
      <c r="O864" s="1">
        <v>0.0002016432709772698</v>
      </c>
      <c r="P864" s="1">
        <v>0.009132362945940997</v>
      </c>
      <c r="Q864" s="1">
        <v>-0.004204860648298059</v>
      </c>
      <c r="R864" s="1">
        <v>-0.0002848757596511931</v>
      </c>
      <c r="S864" s="1">
        <v>-0.006076451180355047</v>
      </c>
      <c r="T864" s="1">
        <v>-0.005126746013603967</v>
      </c>
      <c r="U864" s="1">
        <v>-0.01723593099491638</v>
      </c>
      <c r="V864" s="1">
        <v>0.008060534067090064</v>
      </c>
      <c r="W864" s="1">
        <v>0.007348175459010786</v>
      </c>
      <c r="X864" s="1">
        <v>0.009366510347735169</v>
      </c>
      <c r="Y864" s="1">
        <v>-0.01904257903844853</v>
      </c>
      <c r="Z864" s="1">
        <v>0.004582689052523348</v>
      </c>
    </row>
    <row r="865" spans="1:26">
      <c r="A865" s="11">
        <v>43627</v>
      </c>
      <c r="B865" s="1">
        <v>-0.001038854670133427</v>
      </c>
      <c r="C865" s="1">
        <v>-0.01263424611013308</v>
      </c>
      <c r="D865" s="1">
        <v>-0.006651919023519803</v>
      </c>
      <c r="E865" s="1">
        <v>0.01869143617734914</v>
      </c>
      <c r="F865" s="1">
        <v>-0.001694891079349725</v>
      </c>
      <c r="G865" s="1">
        <v>-0.009681973390961218</v>
      </c>
      <c r="H865" s="1">
        <v>0.01237811591662341</v>
      </c>
      <c r="I865" s="1">
        <v>0.001268338283648918</v>
      </c>
      <c r="J865" s="1">
        <v>0.007099395812404818</v>
      </c>
      <c r="K865" s="1">
        <v>0.001545760960333542</v>
      </c>
      <c r="L865" s="1">
        <v>0.003081484323741224</v>
      </c>
      <c r="M865" s="1">
        <v>0.005566582537285258</v>
      </c>
      <c r="N865" s="1">
        <v>0.01835582044803297</v>
      </c>
      <c r="O865" s="1">
        <v>-0.007258128778365514</v>
      </c>
      <c r="P865" s="1">
        <v>-0.003770633824655034</v>
      </c>
      <c r="Q865" s="1">
        <v>-0.008796394620417924</v>
      </c>
      <c r="R865" s="1">
        <v>-0.005840722441100898</v>
      </c>
      <c r="S865" s="1">
        <v>-0.003599268945643885</v>
      </c>
      <c r="T865" s="1">
        <v>-0.001441979133445681</v>
      </c>
      <c r="U865" s="1">
        <v>0.005637628292578301</v>
      </c>
      <c r="V865" s="1">
        <v>0.003426132079556776</v>
      </c>
      <c r="W865" s="1">
        <v>0.004546227718523976</v>
      </c>
      <c r="X865" s="1">
        <v>-0.01835780859865488</v>
      </c>
      <c r="Y865" s="1">
        <v>0.0121103588435354</v>
      </c>
      <c r="Z865" s="1">
        <v>0.01323045056516015</v>
      </c>
    </row>
    <row r="866" spans="1:26">
      <c r="A866" s="11">
        <v>43628</v>
      </c>
      <c r="B866" s="1">
        <v>-0.02911585563813435</v>
      </c>
      <c r="C866" s="1">
        <v>-0.006584028323489366</v>
      </c>
      <c r="D866" s="1">
        <v>0.004120772092952807</v>
      </c>
      <c r="E866" s="1">
        <v>0.01621526545787577</v>
      </c>
      <c r="F866" s="1">
        <v>0.005579502993058094</v>
      </c>
      <c r="G866" s="1">
        <v>0.0118715238448206</v>
      </c>
      <c r="H866" s="1">
        <v>-0.002351318164649618</v>
      </c>
      <c r="I866" s="1">
        <v>-0.00806675380101296</v>
      </c>
      <c r="J866" s="1">
        <v>0.003020846943526223</v>
      </c>
      <c r="K866" s="1">
        <v>0.01697941074384146</v>
      </c>
      <c r="L866" s="1">
        <v>-0.01273960023320042</v>
      </c>
      <c r="M866" s="1">
        <v>0.004547379706122401</v>
      </c>
      <c r="N866" s="1">
        <v>-0.01073814095686398</v>
      </c>
      <c r="O866" s="1">
        <v>-0.003147949513062631</v>
      </c>
      <c r="P866" s="1">
        <v>-0.004617785388220663</v>
      </c>
      <c r="Q866" s="1">
        <v>0.01277941136752681</v>
      </c>
      <c r="R866" s="1">
        <v>0.0004299995468115547</v>
      </c>
      <c r="S866" s="1">
        <v>0.004484262734098188</v>
      </c>
      <c r="T866" s="1">
        <v>0.006371249676211166</v>
      </c>
      <c r="U866" s="1">
        <v>0.002179922683787749</v>
      </c>
      <c r="V866" s="1">
        <v>0.004667159769587537</v>
      </c>
      <c r="W866" s="1">
        <v>0.0005962539998340954</v>
      </c>
      <c r="X866" s="1">
        <v>0.001849692664988467</v>
      </c>
      <c r="Y866" s="1">
        <v>0.009326107200255951</v>
      </c>
      <c r="Z866" s="1">
        <v>-0.005628621494801922</v>
      </c>
    </row>
    <row r="867" spans="1:26">
      <c r="A867" s="11">
        <v>43629</v>
      </c>
      <c r="B867" s="1">
        <v>0.01249537323837324</v>
      </c>
      <c r="C867" s="1">
        <v>0.005273284190506544</v>
      </c>
      <c r="D867" s="1">
        <v>0.003078256032551518</v>
      </c>
      <c r="E867" s="1">
        <v>-0.006298797025688807</v>
      </c>
      <c r="F867" s="1">
        <v>0.005789901614478232</v>
      </c>
      <c r="G867" s="1">
        <v>0.009661848187532351</v>
      </c>
      <c r="H867" s="1">
        <v>0.004949215761580694</v>
      </c>
      <c r="I867" s="1">
        <v>0.0184151684145768</v>
      </c>
      <c r="J867" s="1">
        <v>0.003514214855457665</v>
      </c>
      <c r="K867" s="1">
        <v>0.01872014827253499</v>
      </c>
      <c r="L867" s="1">
        <v>0.002471006053676339</v>
      </c>
      <c r="M867" s="1">
        <v>0.03089953926176903</v>
      </c>
      <c r="N867" s="1">
        <v>0.008269247809369773</v>
      </c>
      <c r="O867" s="1">
        <v>-0.001629567330467929</v>
      </c>
      <c r="P867" s="1">
        <v>0.006312572383152082</v>
      </c>
      <c r="Q867" s="1">
        <v>-0.001752512638857673</v>
      </c>
      <c r="R867" s="1">
        <v>0.002148438595605429</v>
      </c>
      <c r="S867" s="1">
        <v>0.001363766977676706</v>
      </c>
      <c r="T867" s="1">
        <v>0.0108469011473995</v>
      </c>
      <c r="U867" s="1">
        <v>0.003417938689671995</v>
      </c>
      <c r="V867" s="1">
        <v>0.0004531710894997154</v>
      </c>
      <c r="W867" s="1">
        <v>0.00424509581817345</v>
      </c>
      <c r="X867" s="1">
        <v>0.02052100720444061</v>
      </c>
      <c r="Y867" s="1">
        <v>0.004532587748142802</v>
      </c>
      <c r="Z867" s="1">
        <v>0.01267844813766072</v>
      </c>
    </row>
    <row r="868" spans="1:26">
      <c r="A868" s="11">
        <v>43630</v>
      </c>
      <c r="B868" s="1">
        <v>-0.0306768962945434</v>
      </c>
      <c r="C868" s="1">
        <v>-0.004872977326534245</v>
      </c>
      <c r="D868" s="1">
        <v>-0.003580480298683186</v>
      </c>
      <c r="E868" s="1">
        <v>0.004859580653229667</v>
      </c>
      <c r="F868" s="1">
        <v>0.01487160423948741</v>
      </c>
      <c r="G868" s="1">
        <v>0.01230334228951158</v>
      </c>
      <c r="H868" s="1">
        <v>-0.008911806750985907</v>
      </c>
      <c r="I868" s="1">
        <v>-0.0001320291268317453</v>
      </c>
      <c r="J868" s="1">
        <v>-0.004001809259442823</v>
      </c>
      <c r="K868" s="1">
        <v>-0.007946565762651625</v>
      </c>
      <c r="L868" s="1">
        <v>0.002556042299881378</v>
      </c>
      <c r="M868" s="1">
        <v>-0.01069114703752716</v>
      </c>
      <c r="N868" s="1">
        <v>-0.006834947865926533</v>
      </c>
      <c r="O868" s="1">
        <v>0.001734340298516823</v>
      </c>
      <c r="P868" s="1">
        <v>0.0009821670601939392</v>
      </c>
      <c r="Q868" s="1">
        <v>0.009480402887440231</v>
      </c>
      <c r="R868" s="1">
        <v>0.0007144700839283313</v>
      </c>
      <c r="S868" s="1">
        <v>0.004334245780763357</v>
      </c>
      <c r="T868" s="1">
        <v>-0.01119002326727314</v>
      </c>
      <c r="U868" s="1">
        <v>0.001858622855646086</v>
      </c>
      <c r="V868" s="1">
        <v>-0.005775999858223968</v>
      </c>
      <c r="W868" s="1">
        <v>-0.003423294470838001</v>
      </c>
      <c r="X868" s="1">
        <v>-0.005630270516643665</v>
      </c>
      <c r="Y868" s="1">
        <v>0.01145446075979328</v>
      </c>
      <c r="Z868" s="1">
        <v>0.003353507437141134</v>
      </c>
    </row>
    <row r="869" spans="1:26">
      <c r="A869" s="11">
        <v>43633</v>
      </c>
      <c r="B869" s="1">
        <v>0.01273190416255821</v>
      </c>
      <c r="C869" s="1">
        <v>0.02229519494322307</v>
      </c>
      <c r="D869" s="1">
        <v>0.01180583752671671</v>
      </c>
      <c r="E869" s="1">
        <v>0.01366673522644413</v>
      </c>
      <c r="F869" s="1">
        <v>0.005909023008596748</v>
      </c>
      <c r="G869" s="1">
        <v>-0.0006752204031341691</v>
      </c>
      <c r="H869" s="1">
        <v>-0.021059672729278</v>
      </c>
      <c r="I869" s="1">
        <v>0.01887696075737089</v>
      </c>
      <c r="J869" s="1">
        <v>-0.000502531507132975</v>
      </c>
      <c r="K869" s="1">
        <v>-0.01952436864689255</v>
      </c>
      <c r="L869" s="1">
        <v>-0.005463389718733502</v>
      </c>
      <c r="M869" s="1">
        <v>-0.01235039051394571</v>
      </c>
      <c r="N869" s="1">
        <v>0</v>
      </c>
      <c r="O869" s="1">
        <v>-0.01140747673726406</v>
      </c>
      <c r="P869" s="1">
        <v>0.003020316514911192</v>
      </c>
      <c r="Q869" s="1">
        <v>0.0142607871618472</v>
      </c>
      <c r="R869" s="1">
        <v>-0.01113978091085255</v>
      </c>
      <c r="S869" s="1">
        <v>0.003658145390235568</v>
      </c>
      <c r="T869" s="1">
        <v>-0.01243494195391448</v>
      </c>
      <c r="U869" s="1">
        <v>-0.001545957590190827</v>
      </c>
      <c r="V869" s="1">
        <v>-0.00740382826971997</v>
      </c>
      <c r="W869" s="1">
        <v>0.002348399402225532</v>
      </c>
      <c r="X869" s="1">
        <v>-0.003639959101548129</v>
      </c>
      <c r="Y869" s="1">
        <v>-0.01115303812467394</v>
      </c>
      <c r="Z869" s="1">
        <v>-0.01871648382461177</v>
      </c>
    </row>
    <row r="870" spans="1:26">
      <c r="A870" s="11">
        <v>43634</v>
      </c>
      <c r="B870" s="1">
        <v>0.02873569520224706</v>
      </c>
      <c r="C870" s="1">
        <v>0.05370517776210471</v>
      </c>
      <c r="D870" s="1">
        <v>0.02168701323371813</v>
      </c>
      <c r="E870" s="1">
        <v>-0.008711912693234791</v>
      </c>
      <c r="F870" s="1">
        <v>0.01621209184186601</v>
      </c>
      <c r="G870" s="1">
        <v>-0.002026872345879616</v>
      </c>
      <c r="H870" s="1">
        <v>-0.01232831571157922</v>
      </c>
      <c r="I870" s="1">
        <v>0.03245440998346227</v>
      </c>
      <c r="J870" s="1">
        <v>0.03115581354935504</v>
      </c>
      <c r="K870" s="1">
        <v>0.01250943630233992</v>
      </c>
      <c r="L870" s="1">
        <v>0.01364223902371808</v>
      </c>
      <c r="M870" s="1">
        <v>0.01016014877164362</v>
      </c>
      <c r="N870" s="1">
        <v>-0.01454963731913372</v>
      </c>
      <c r="O870" s="1">
        <v>0.001339398119016399</v>
      </c>
      <c r="P870" s="1">
        <v>0.0173875684954885</v>
      </c>
      <c r="Q870" s="1">
        <v>-0.005830024302121539</v>
      </c>
      <c r="R870" s="1">
        <v>0.0252741583356173</v>
      </c>
      <c r="S870" s="1">
        <v>-0.01109753243231426</v>
      </c>
      <c r="T870" s="1">
        <v>-0.006392418659737165</v>
      </c>
      <c r="U870" s="1">
        <v>0.004334200593494986</v>
      </c>
      <c r="V870" s="1">
        <v>-0.007688551660208987</v>
      </c>
      <c r="W870" s="1">
        <v>0.01143652138025786</v>
      </c>
      <c r="X870" s="1">
        <v>0.03450361469825447</v>
      </c>
      <c r="Y870" s="1">
        <v>-0.005205614474235287</v>
      </c>
      <c r="Z870" s="1">
        <v>0.02270676723324283</v>
      </c>
    </row>
    <row r="871" spans="1:26">
      <c r="A871" s="11">
        <v>43635</v>
      </c>
      <c r="B871" s="1">
        <v>-0.0006981579563399842</v>
      </c>
      <c r="C871" s="1">
        <v>-0.01443999978397537</v>
      </c>
      <c r="D871" s="1">
        <v>0.009309513898127619</v>
      </c>
      <c r="E871" s="1">
        <v>0.01715844019162849</v>
      </c>
      <c r="F871" s="1">
        <v>-0.002543156302073468</v>
      </c>
      <c r="G871" s="1">
        <v>0.01489483954840365</v>
      </c>
      <c r="H871" s="1">
        <v>0.009789742120647649</v>
      </c>
      <c r="I871" s="1">
        <v>0.003513566124656142</v>
      </c>
      <c r="J871" s="1">
        <v>0.005360744444019128</v>
      </c>
      <c r="K871" s="1">
        <v>-0.01512834223402515</v>
      </c>
      <c r="L871" s="1">
        <v>-0.007225846549715254</v>
      </c>
      <c r="M871" s="1">
        <v>-0.003675059197192687</v>
      </c>
      <c r="N871" s="1">
        <v>-0.004389396442478821</v>
      </c>
      <c r="O871" s="1">
        <v>0.007305082496823045</v>
      </c>
      <c r="P871" s="1">
        <v>0.003921529654354439</v>
      </c>
      <c r="Q871" s="1">
        <v>0.01552259279088242</v>
      </c>
      <c r="R871" s="1">
        <v>0.00295838862962805</v>
      </c>
      <c r="S871" s="1">
        <v>0.003437087870904021</v>
      </c>
      <c r="T871" s="1">
        <v>0.0004947102562187222</v>
      </c>
      <c r="U871" s="1">
        <v>-0.0009245023070307834</v>
      </c>
      <c r="V871" s="1">
        <v>-0.003585262967399472</v>
      </c>
      <c r="W871" s="1">
        <v>0.01237905638667613</v>
      </c>
      <c r="X871" s="1">
        <v>0.0007847998224213004</v>
      </c>
      <c r="Y871" s="1">
        <v>0.005232854698394851</v>
      </c>
      <c r="Z871" s="1">
        <v>-0.01509790537120659</v>
      </c>
    </row>
    <row r="872" spans="1:26">
      <c r="A872" s="11">
        <v>43636</v>
      </c>
      <c r="B872" s="1">
        <v>0.03109684550063196</v>
      </c>
      <c r="C872" s="1">
        <v>0.01714780215935607</v>
      </c>
      <c r="D872" s="1">
        <v>0.008978202490770304</v>
      </c>
      <c r="E872" s="1">
        <v>0.005760358437155055</v>
      </c>
      <c r="F872" s="1">
        <v>0.01251746233572848</v>
      </c>
      <c r="G872" s="1">
        <v>0.002001570518065598</v>
      </c>
      <c r="H872" s="1">
        <v>-0.005574334649250612</v>
      </c>
      <c r="I872" s="1">
        <v>0.01763172521049916</v>
      </c>
      <c r="J872" s="1">
        <v>0.0111490729358954</v>
      </c>
      <c r="K872" s="1">
        <v>0.01638512872691056</v>
      </c>
      <c r="L872" s="1">
        <v>0.002547268283082049</v>
      </c>
      <c r="M872" s="1">
        <v>0.0001939617007580274</v>
      </c>
      <c r="N872" s="1">
        <v>0.007214126380451713</v>
      </c>
      <c r="O872" s="1">
        <v>-0.004392277593564087</v>
      </c>
      <c r="P872" s="1">
        <v>0.009285741326711561</v>
      </c>
      <c r="Q872" s="1">
        <v>-0.0006792219770274111</v>
      </c>
      <c r="R872" s="1">
        <v>0.01446663056910946</v>
      </c>
      <c r="S872" s="1">
        <v>0.0006600813848121057</v>
      </c>
      <c r="T872" s="1">
        <v>0.01432291283838194</v>
      </c>
      <c r="U872" s="1">
        <v>0.004010973069922263</v>
      </c>
      <c r="V872" s="1">
        <v>0.0005803245125377554</v>
      </c>
      <c r="W872" s="1">
        <v>0.001912456412245467</v>
      </c>
      <c r="X872" s="1">
        <v>0.02862178705895757</v>
      </c>
      <c r="Y872" s="1">
        <v>-0.0050321739643302</v>
      </c>
      <c r="Z872" s="1">
        <v>0.0009016616791481802</v>
      </c>
    </row>
    <row r="873" spans="1:26">
      <c r="A873" s="11">
        <v>43637</v>
      </c>
      <c r="B873" s="1">
        <v>0.004405414771516902</v>
      </c>
      <c r="C873" s="1">
        <v>-0.008109222541549999</v>
      </c>
      <c r="D873" s="1">
        <v>0.004510049765521496</v>
      </c>
      <c r="E873" s="1">
        <v>0.00920438506968102</v>
      </c>
      <c r="F873" s="1">
        <v>-0.00274726945490078</v>
      </c>
      <c r="G873" s="1">
        <v>-0.003994678729620449</v>
      </c>
      <c r="H873" s="1">
        <v>-0.008286822273777639</v>
      </c>
      <c r="I873" s="1">
        <v>0.009338549887510927</v>
      </c>
      <c r="J873" s="1">
        <v>-0.007670524650490673</v>
      </c>
      <c r="K873" s="1">
        <v>0.01648082522918348</v>
      </c>
      <c r="L873" s="1">
        <v>-0.006806325923918388</v>
      </c>
      <c r="M873" s="1">
        <v>-0.005240596699280009</v>
      </c>
      <c r="N873" s="1">
        <v>-0.04496583788455666</v>
      </c>
      <c r="O873" s="1">
        <v>-0.004616924152490043</v>
      </c>
      <c r="P873" s="1">
        <v>0.0001459942008916748</v>
      </c>
      <c r="Q873" s="1">
        <v>-0.002039461385817343</v>
      </c>
      <c r="R873" s="1">
        <v>-0.0123215911135911</v>
      </c>
      <c r="S873" s="1">
        <v>-0.008165487438685504</v>
      </c>
      <c r="T873" s="1">
        <v>-0.01265779934708899</v>
      </c>
      <c r="U873" s="1">
        <v>-0.002765748951707891</v>
      </c>
      <c r="V873" s="1">
        <v>0.01612318909086774</v>
      </c>
      <c r="W873" s="1">
        <v>0.003818248324477302</v>
      </c>
      <c r="X873" s="1">
        <v>-0.01067265816965546</v>
      </c>
      <c r="Y873" s="1">
        <v>0.007499177893580899</v>
      </c>
      <c r="Z873" s="1">
        <v>0.0006758838563463154</v>
      </c>
    </row>
    <row r="874" spans="1:26">
      <c r="A874" s="11">
        <v>43640</v>
      </c>
      <c r="B874" s="1">
        <v>-0.01923087726525818</v>
      </c>
      <c r="C874" s="1">
        <v>0.005782024301782318</v>
      </c>
      <c r="D874" s="1">
        <v>-0.001698843448188603</v>
      </c>
      <c r="E874" s="1">
        <v>-0.07417928721346556</v>
      </c>
      <c r="F874" s="1">
        <v>0.0009184326627884598</v>
      </c>
      <c r="G874" s="1">
        <v>-0.002339692012641725</v>
      </c>
      <c r="H874" s="1">
        <v>-0.003932095883574571</v>
      </c>
      <c r="I874" s="1">
        <v>0.01582714926476325</v>
      </c>
      <c r="J874" s="1">
        <v>-0.001932274592297389</v>
      </c>
      <c r="K874" s="1">
        <v>0.008730000277048733</v>
      </c>
      <c r="L874" s="1">
        <v>-0.007127023882538053</v>
      </c>
      <c r="M874" s="1">
        <v>-0.0005853288227859466</v>
      </c>
      <c r="N874" s="1">
        <v>0.01020818147977254</v>
      </c>
      <c r="O874" s="1">
        <v>0.01092547231243723</v>
      </c>
      <c r="P874" s="1">
        <v>0.005913566218735067</v>
      </c>
      <c r="Q874" s="1">
        <v>-0.001021732379332563</v>
      </c>
      <c r="R874" s="1">
        <v>0.0008408992338990728</v>
      </c>
      <c r="S874" s="1">
        <v>-0.002660991940004465</v>
      </c>
      <c r="T874" s="1">
        <v>0.0005801284460789091</v>
      </c>
      <c r="U874" s="1">
        <v>0.00400596511102469</v>
      </c>
      <c r="V874" s="1">
        <v>-0.01004551925756259</v>
      </c>
      <c r="W874" s="1">
        <v>0.003701424092905858</v>
      </c>
      <c r="X874" s="1">
        <v>-0.001926359751836526</v>
      </c>
      <c r="Y874" s="1">
        <v>0.008655397716592184</v>
      </c>
      <c r="Z874" s="1">
        <v>-0.006977552508666718</v>
      </c>
    </row>
    <row r="875" spans="1:26">
      <c r="A875" s="11">
        <v>43641</v>
      </c>
      <c r="B875" s="1">
        <v>-0.02923957766256646</v>
      </c>
      <c r="C875" s="1">
        <v>-0.01248688274983256</v>
      </c>
      <c r="D875" s="1">
        <v>-0.006563832795925095</v>
      </c>
      <c r="E875" s="1">
        <v>0.001970304959423075</v>
      </c>
      <c r="F875" s="1">
        <v>-0.01949539451940629</v>
      </c>
      <c r="G875" s="1">
        <v>-0.01139030032836885</v>
      </c>
      <c r="H875" s="1">
        <v>0.01258333247860133</v>
      </c>
      <c r="I875" s="1">
        <v>-0.003415700843960146</v>
      </c>
      <c r="J875" s="1">
        <v>-0.002904113186134261</v>
      </c>
      <c r="K875" s="1">
        <v>0.003462018555721924</v>
      </c>
      <c r="L875" s="1">
        <v>-0.008282866554546353</v>
      </c>
      <c r="M875" s="1">
        <v>-0.004295171287839739</v>
      </c>
      <c r="N875" s="1">
        <v>0.005980837489632851</v>
      </c>
      <c r="O875" s="1">
        <v>0.005404005816209922</v>
      </c>
      <c r="P875" s="1">
        <v>-0.03157191055968556</v>
      </c>
      <c r="Q875" s="1">
        <v>0.0003410081439267909</v>
      </c>
      <c r="R875" s="1">
        <v>-0.001400838681652972</v>
      </c>
      <c r="S875" s="1">
        <v>-0.006003807657217086</v>
      </c>
      <c r="T875" s="1">
        <v>-0.005644720842629791</v>
      </c>
      <c r="U875" s="1">
        <v>-0.0009207208074297757</v>
      </c>
      <c r="V875" s="1">
        <v>-0.01176204337711328</v>
      </c>
      <c r="W875" s="1">
        <v>-0.006834448594383646</v>
      </c>
      <c r="X875" s="1">
        <v>-0.00386022985431167</v>
      </c>
      <c r="Y875" s="1">
        <v>-0.004633929917618462</v>
      </c>
      <c r="Z875" s="1">
        <v>-0.002946424156152427</v>
      </c>
    </row>
    <row r="876" spans="1:26">
      <c r="A876" s="11">
        <v>43642</v>
      </c>
      <c r="B876" s="1">
        <v>0.02870310280535593</v>
      </c>
      <c r="C876" s="1">
        <v>0.01521714312011002</v>
      </c>
      <c r="D876" s="1">
        <v>-0.0135813637116402</v>
      </c>
      <c r="E876" s="1">
        <v>-0.01857151080311215</v>
      </c>
      <c r="F876" s="1">
        <v>-0.01497077071037711</v>
      </c>
      <c r="G876" s="1">
        <v>-0.02914254576682451</v>
      </c>
      <c r="H876" s="1">
        <v>-0.01413249227623803</v>
      </c>
      <c r="I876" s="1">
        <v>-0.001142604978549788</v>
      </c>
      <c r="J876" s="1">
        <v>0.009223353916925081</v>
      </c>
      <c r="K876" s="1">
        <v>0.0009860923935662846</v>
      </c>
      <c r="L876" s="1">
        <v>0.006681481528627575</v>
      </c>
      <c r="M876" s="1">
        <v>-0.005882309830582022</v>
      </c>
      <c r="N876" s="1">
        <v>-0.01722059046195823</v>
      </c>
      <c r="O876" s="1">
        <v>-0.0105464982164184</v>
      </c>
      <c r="P876" s="1">
        <v>0.003747544721546481</v>
      </c>
      <c r="Q876" s="1">
        <v>-0.02215418653281909</v>
      </c>
      <c r="R876" s="1">
        <v>-0.005469535579187501</v>
      </c>
      <c r="S876" s="1">
        <v>-0.01803517590415049</v>
      </c>
      <c r="T876" s="1">
        <v>-0.01955358128939744</v>
      </c>
      <c r="U876" s="1">
        <v>-0.0006143795436492905</v>
      </c>
      <c r="V876" s="1">
        <v>-0.00128328433839886</v>
      </c>
      <c r="W876" s="1">
        <v>-0.004428874501864244</v>
      </c>
      <c r="X876" s="1">
        <v>-0.004262760085128381</v>
      </c>
      <c r="Y876" s="1">
        <v>-0.01741368769589346</v>
      </c>
      <c r="Z876" s="1">
        <v>0.008865725802835733</v>
      </c>
    </row>
    <row r="877" spans="1:26">
      <c r="A877" s="11">
        <v>43643</v>
      </c>
      <c r="B877" s="1">
        <v>-0.01343452732234518</v>
      </c>
      <c r="C877" s="1">
        <v>-0.02912471792354265</v>
      </c>
      <c r="D877" s="1">
        <v>0.01302390105943418</v>
      </c>
      <c r="E877" s="1">
        <v>0.004007508286349992</v>
      </c>
      <c r="F877" s="1">
        <v>-0.002612598533350274</v>
      </c>
      <c r="G877" s="1">
        <v>-0.004886486729336337</v>
      </c>
      <c r="H877" s="1">
        <v>-0.01754802080535733</v>
      </c>
      <c r="I877" s="1">
        <v>-0.003265656372375525</v>
      </c>
      <c r="J877" s="1">
        <v>-0.002404990999752554</v>
      </c>
      <c r="K877" s="1">
        <v>-0.002215789778070576</v>
      </c>
      <c r="L877" s="1">
        <v>0.00331852509540087</v>
      </c>
      <c r="M877" s="1">
        <v>0.0007889874743578495</v>
      </c>
      <c r="N877" s="1">
        <v>-0.0008341478363836918</v>
      </c>
      <c r="O877" s="1">
        <v>0.0180384720962139</v>
      </c>
      <c r="P877" s="1">
        <v>0.00164269526996752</v>
      </c>
      <c r="Q877" s="1">
        <v>-0.002788247972564051</v>
      </c>
      <c r="R877" s="1">
        <v>-0.003102932638693323</v>
      </c>
      <c r="S877" s="1">
        <v>0.01247212919118224</v>
      </c>
      <c r="T877" s="1">
        <v>0.001056680919122144</v>
      </c>
      <c r="U877" s="1">
        <v>0.01383350612076062</v>
      </c>
      <c r="V877" s="1">
        <v>0.003271263594261109</v>
      </c>
      <c r="W877" s="1">
        <v>0.005269713131495601</v>
      </c>
      <c r="X877" s="1">
        <v>0.009339954243715143</v>
      </c>
      <c r="Y877" s="1">
        <v>0.004562014649718948</v>
      </c>
      <c r="Z877" s="1">
        <v>0.01397039014709467</v>
      </c>
    </row>
    <row r="878" spans="1:26">
      <c r="A878" s="11">
        <v>43644</v>
      </c>
      <c r="B878" s="1">
        <v>0.01152227100463454</v>
      </c>
      <c r="C878" s="1">
        <v>-2.739900713166765E-05</v>
      </c>
      <c r="D878" s="1">
        <v>0.002816246453895888</v>
      </c>
      <c r="E878" s="1">
        <v>0.005543116706767215</v>
      </c>
      <c r="F878" s="1">
        <v>0.006666987284786652</v>
      </c>
      <c r="G878" s="1">
        <v>0.004208727289799041</v>
      </c>
      <c r="H878" s="1">
        <v>0.008049652517184924</v>
      </c>
      <c r="I878" s="1">
        <v>0.005399940608320053</v>
      </c>
      <c r="J878" s="1">
        <v>0.002410788925420349</v>
      </c>
      <c r="K878" s="1">
        <v>0.01924506938347093</v>
      </c>
      <c r="L878" s="1">
        <v>0.02719579955509333</v>
      </c>
      <c r="M878" s="1">
        <v>0.0007881171597985404</v>
      </c>
      <c r="N878" s="1">
        <v>-0.01148203975059103</v>
      </c>
      <c r="O878" s="1">
        <v>0.004228113675509126</v>
      </c>
      <c r="P878" s="1">
        <v>-0.001416681928842922</v>
      </c>
      <c r="Q878" s="1">
        <v>0.006640689008735601</v>
      </c>
      <c r="R878" s="1">
        <v>0.01372205646129943</v>
      </c>
      <c r="S878" s="1">
        <v>0.00476721452604445</v>
      </c>
      <c r="T878" s="1">
        <v>0.007784084399716562</v>
      </c>
      <c r="U878" s="1">
        <v>0.01607035341554508</v>
      </c>
      <c r="V878" s="1">
        <v>0.008617874026330519</v>
      </c>
      <c r="W878" s="1">
        <v>-0.0003063517133767846</v>
      </c>
      <c r="X878" s="1">
        <v>0.02255667277665774</v>
      </c>
      <c r="Y878" s="1">
        <v>-0.00209580527999631</v>
      </c>
      <c r="Z878" s="1">
        <v>0.02177734031517864</v>
      </c>
    </row>
    <row r="879" spans="1:26">
      <c r="A879" s="11">
        <v>43647</v>
      </c>
      <c r="B879" s="1">
        <v>0.007939116331352469</v>
      </c>
      <c r="C879" s="1">
        <v>-0.0207412752683811</v>
      </c>
      <c r="D879" s="1">
        <v>-0.005738565530636008</v>
      </c>
      <c r="E879" s="1">
        <v>0.01830203034633637</v>
      </c>
      <c r="F879" s="1">
        <v>0.01017021606507917</v>
      </c>
      <c r="G879" s="1">
        <v>-0.00488982002461813</v>
      </c>
      <c r="H879" s="1">
        <v>0.001248465119150888</v>
      </c>
      <c r="I879" s="1">
        <v>-0.0034395353897273</v>
      </c>
      <c r="J879" s="1">
        <v>0.009620202305688608</v>
      </c>
      <c r="K879" s="1">
        <v>0.01403995741665298</v>
      </c>
      <c r="L879" s="1">
        <v>0.01681574990128509</v>
      </c>
      <c r="M879" s="1">
        <v>0.01496673443338037</v>
      </c>
      <c r="N879" s="1">
        <v>0.007180436808611246</v>
      </c>
      <c r="O879" s="1">
        <v>0.01082694865847733</v>
      </c>
      <c r="P879" s="1">
        <v>0.01283963143548705</v>
      </c>
      <c r="Q879" s="1">
        <v>-0.007291532483146512</v>
      </c>
      <c r="R879" s="1">
        <v>0.0080937370807459</v>
      </c>
      <c r="S879" s="1">
        <v>-0.007221745067329643</v>
      </c>
      <c r="T879" s="1">
        <v>0.006567768891245107</v>
      </c>
      <c r="U879" s="1">
        <v>-0.002387486166573249</v>
      </c>
      <c r="V879" s="1">
        <v>0.003809939655700978</v>
      </c>
      <c r="W879" s="1">
        <v>0.01951100523267502</v>
      </c>
      <c r="X879" s="1">
        <v>0.001696903557451668</v>
      </c>
      <c r="Y879" s="1">
        <v>-0.008227280968698847</v>
      </c>
      <c r="Z879" s="1">
        <v>0.007612233845874838</v>
      </c>
    </row>
    <row r="880" spans="1:26">
      <c r="A880" s="11">
        <v>43648</v>
      </c>
      <c r="B880" s="1">
        <v>-0.06164376184049625</v>
      </c>
      <c r="C880" s="1">
        <v>-0.006452333283271328</v>
      </c>
      <c r="D880" s="1">
        <v>0.003438153569727209</v>
      </c>
      <c r="E880" s="1">
        <v>0.01082729423062423</v>
      </c>
      <c r="F880" s="1">
        <v>0.009176176653693302</v>
      </c>
      <c r="G880" s="1">
        <v>0.01790100115240567</v>
      </c>
      <c r="H880" s="1">
        <v>0.01296078888809693</v>
      </c>
      <c r="I880" s="1">
        <v>-6.101100126298942E-05</v>
      </c>
      <c r="J880" s="1">
        <v>0.003334716110693803</v>
      </c>
      <c r="K880" s="1">
        <v>-0.00596805435872505</v>
      </c>
      <c r="L880" s="1">
        <v>0.001055820624962678</v>
      </c>
      <c r="M880" s="1">
        <v>-0.002134455282448822</v>
      </c>
      <c r="N880" s="1">
        <v>0.01908180621206146</v>
      </c>
      <c r="O880" s="1">
        <v>0.01229790113153317</v>
      </c>
      <c r="P880" s="1">
        <v>0.006633334095337284</v>
      </c>
      <c r="Q880" s="1">
        <v>0.01713910523455886</v>
      </c>
      <c r="R880" s="1">
        <v>-0.01232019516071314</v>
      </c>
      <c r="S880" s="1">
        <v>0.02562937345075866</v>
      </c>
      <c r="T880" s="1">
        <v>0.004530976171491785</v>
      </c>
      <c r="U880" s="1">
        <v>0.01226417110279754</v>
      </c>
      <c r="V880" s="1">
        <v>0.001150128951579621</v>
      </c>
      <c r="W880" s="1">
        <v>0.005677882812506585</v>
      </c>
      <c r="X880" s="1">
        <v>-0.004893700407718971</v>
      </c>
      <c r="Y880" s="1">
        <v>0.02594464392929163</v>
      </c>
      <c r="Z880" s="1">
        <v>-0.0319446002213124</v>
      </c>
    </row>
    <row r="881" spans="1:26">
      <c r="A881" s="11">
        <v>43649</v>
      </c>
      <c r="B881" s="1">
        <v>-0.004379702757533077</v>
      </c>
      <c r="C881" s="1">
        <v>0.0008753848671065878</v>
      </c>
      <c r="D881" s="1">
        <v>0.00440619827437394</v>
      </c>
      <c r="E881" s="1">
        <v>0.006267780924331223</v>
      </c>
      <c r="F881" s="1">
        <v>0.01002581778610789</v>
      </c>
      <c r="G881" s="1">
        <v>0.01482772708658375</v>
      </c>
      <c r="H881" s="1">
        <v>0.02534416783034699</v>
      </c>
      <c r="I881" s="1">
        <v>0.0009690933895647458</v>
      </c>
      <c r="J881" s="1">
        <v>0.004748315628895883</v>
      </c>
      <c r="K881" s="1">
        <v>0.004563194598217413</v>
      </c>
      <c r="L881" s="1">
        <v>-0.001592892691662073</v>
      </c>
      <c r="M881" s="1">
        <v>0.008944283955497623</v>
      </c>
      <c r="N881" s="1">
        <v>0.01213954522576222</v>
      </c>
      <c r="O881" s="1">
        <v>0.008327702341774712</v>
      </c>
      <c r="P881" s="1">
        <v>0.006443412034092155</v>
      </c>
      <c r="Q881" s="1">
        <v>0.01478666766335279</v>
      </c>
      <c r="R881" s="1">
        <v>-0.002102265294943173</v>
      </c>
      <c r="S881" s="1">
        <v>0.02094717072667174</v>
      </c>
      <c r="T881" s="1">
        <v>0.01460986002756459</v>
      </c>
      <c r="U881" s="1">
        <v>0.004137327865498364</v>
      </c>
      <c r="V881" s="1">
        <v>0.009880709138056165</v>
      </c>
      <c r="W881" s="1">
        <v>0.01434663528729918</v>
      </c>
      <c r="X881" s="1">
        <v>0.0003783345372905256</v>
      </c>
      <c r="Y881" s="1">
        <v>0</v>
      </c>
      <c r="Z881" s="1">
        <v>0.01159429857946614</v>
      </c>
    </row>
    <row r="882" spans="1:26">
      <c r="A882" s="11">
        <v>43651</v>
      </c>
      <c r="B882" s="1">
        <v>-0.003665496603663665</v>
      </c>
      <c r="C882" s="1">
        <v>0.003921235883090679</v>
      </c>
      <c r="D882" s="1">
        <v>-0.0007311974672322696</v>
      </c>
      <c r="E882" s="1">
        <v>-0.01438999441816835</v>
      </c>
      <c r="F882" s="1">
        <v>-0.0009232400556545839</v>
      </c>
      <c r="G882" s="1">
        <v>0.0003395916659800768</v>
      </c>
      <c r="H882" s="1">
        <v>-0.002399423291945868</v>
      </c>
      <c r="I882" s="1">
        <v>-0.01131328748612059</v>
      </c>
      <c r="J882" s="1">
        <v>0</v>
      </c>
      <c r="K882" s="1">
        <v>0.0009558872571440169</v>
      </c>
      <c r="L882" s="1">
        <v>0.005938297212281229</v>
      </c>
      <c r="M882" s="1">
        <v>-0.0001930268972661908</v>
      </c>
      <c r="N882" s="1">
        <v>-0.008334782846008193</v>
      </c>
      <c r="O882" s="1">
        <v>-0.001651768144050325</v>
      </c>
      <c r="P882" s="1">
        <v>-0.002910115924928069</v>
      </c>
      <c r="Q882" s="1">
        <v>-0.002033159463182388</v>
      </c>
      <c r="R882" s="1">
        <v>-0.008286558558738055</v>
      </c>
      <c r="S882" s="1">
        <v>-0.009572052157539868</v>
      </c>
      <c r="T882" s="1">
        <v>-0.008550440986452079</v>
      </c>
      <c r="U882" s="1">
        <v>0.009417488105148752</v>
      </c>
      <c r="V882" s="1">
        <v>0.008418530813566916</v>
      </c>
      <c r="W882" s="1">
        <v>-0.01564981102547525</v>
      </c>
      <c r="X882" s="1">
        <v>0.00491583384119143</v>
      </c>
      <c r="Y882" s="1">
        <v>0.003096264879008714</v>
      </c>
      <c r="Z882" s="1">
        <v>0.01851412550061027</v>
      </c>
    </row>
    <row r="883" spans="1:26">
      <c r="A883" s="11">
        <v>43654</v>
      </c>
      <c r="B883" s="1">
        <v>-0.02501797883517565</v>
      </c>
      <c r="C883" s="1">
        <v>-0.01331976731596818</v>
      </c>
      <c r="D883" s="1">
        <v>-0.005243222278899395</v>
      </c>
      <c r="E883" s="1">
        <v>-0.002615108352656104</v>
      </c>
      <c r="F883" s="1">
        <v>-0.01501838736918182</v>
      </c>
      <c r="G883" s="1">
        <v>-0.009510883124918879</v>
      </c>
      <c r="H883" s="1">
        <v>-0.00168384818493128</v>
      </c>
      <c r="I883" s="1">
        <v>0.002876047369003265</v>
      </c>
      <c r="J883" s="1">
        <v>-0.01984872468203536</v>
      </c>
      <c r="K883" s="1">
        <v>-0.00429885856767942</v>
      </c>
      <c r="L883" s="1">
        <v>-0.005462907316683974</v>
      </c>
      <c r="M883" s="1">
        <v>0.003855454924738932</v>
      </c>
      <c r="N883" s="1">
        <v>0.006149951392195652</v>
      </c>
      <c r="O883" s="1">
        <v>-0.007299318450626591</v>
      </c>
      <c r="P883" s="1">
        <v>-0.0007295038637213924</v>
      </c>
      <c r="Q883" s="1">
        <v>-0.001697683007152673</v>
      </c>
      <c r="R883" s="1">
        <v>0.0007080990794503528</v>
      </c>
      <c r="S883" s="1">
        <v>0.005790654038816623</v>
      </c>
      <c r="T883" s="1">
        <v>-0.007187044904549356</v>
      </c>
      <c r="U883" s="1">
        <v>-0.001457826029571896</v>
      </c>
      <c r="V883" s="1">
        <v>0.003046264571792801</v>
      </c>
      <c r="W883" s="1">
        <v>-0.009446016882969643</v>
      </c>
      <c r="X883" s="1">
        <v>-0.008843009421862558</v>
      </c>
      <c r="Y883" s="1">
        <v>-0.007202811767151429</v>
      </c>
      <c r="Z883" s="1">
        <v>-0.01925993375215129</v>
      </c>
    </row>
    <row r="884" spans="1:26">
      <c r="A884" s="11">
        <v>43655</v>
      </c>
      <c r="B884" s="1">
        <v>0.01698075319153292</v>
      </c>
      <c r="C884" s="1">
        <v>0.005610687951719262</v>
      </c>
      <c r="D884" s="1">
        <v>-0.002206238365705437</v>
      </c>
      <c r="E884" s="1">
        <v>0.005899146580600201</v>
      </c>
      <c r="F884" s="1">
        <v>0.008210009838112819</v>
      </c>
      <c r="G884" s="1">
        <v>-0.002400592135397894</v>
      </c>
      <c r="H884" s="1">
        <v>-0.0009639433112940132</v>
      </c>
      <c r="I884" s="1">
        <v>-0.003295255352476878</v>
      </c>
      <c r="J884" s="1">
        <v>-0.005303878964636355</v>
      </c>
      <c r="K884" s="1">
        <v>-0.0009595203159609156</v>
      </c>
      <c r="L884" s="1">
        <v>0.004252797357634508</v>
      </c>
      <c r="M884" s="1">
        <v>-0.0074884884599139</v>
      </c>
      <c r="N884" s="1">
        <v>-0.01487382198610476</v>
      </c>
      <c r="O884" s="1">
        <v>0.0002942717328167088</v>
      </c>
      <c r="P884" s="1">
        <v>-0.003650776535980116</v>
      </c>
      <c r="Q884" s="1">
        <v>0.005441906268358609</v>
      </c>
      <c r="R884" s="1">
        <v>-0.0004246006505383981</v>
      </c>
      <c r="S884" s="1">
        <v>0.003527135746231425</v>
      </c>
      <c r="T884" s="1">
        <v>-0.001404177271762341</v>
      </c>
      <c r="U884" s="1">
        <v>-0.00103547078602706</v>
      </c>
      <c r="V884" s="1">
        <v>-0.01248476464799086</v>
      </c>
      <c r="W884" s="1">
        <v>-0.003055918235770227</v>
      </c>
      <c r="X884" s="1">
        <v>0.01252853589311131</v>
      </c>
      <c r="Y884" s="1">
        <v>-0.01530885865150244</v>
      </c>
      <c r="Z884" s="1">
        <v>0.0134600133679208</v>
      </c>
    </row>
    <row r="885" spans="1:26">
      <c r="A885" s="11">
        <v>43656</v>
      </c>
      <c r="B885" s="1">
        <v>0.01929495069875742</v>
      </c>
      <c r="C885" s="1">
        <v>-0.002237508534642663</v>
      </c>
      <c r="D885" s="1">
        <v>0.008844997369892527</v>
      </c>
      <c r="E885" s="1">
        <v>-0.001737616327888492</v>
      </c>
      <c r="F885" s="1">
        <v>0.01884620271782733</v>
      </c>
      <c r="G885" s="1">
        <v>-0.002749769382972445</v>
      </c>
      <c r="H885" s="1">
        <v>-0.001447431627708884</v>
      </c>
      <c r="I885" s="1">
        <v>-0.01554923975775802</v>
      </c>
      <c r="J885" s="1">
        <v>-0.001938710778645936</v>
      </c>
      <c r="K885" s="1">
        <v>-0.007682900102721546</v>
      </c>
      <c r="L885" s="1">
        <v>-0.002911421593463026</v>
      </c>
      <c r="M885" s="1">
        <v>0.00328871012414611</v>
      </c>
      <c r="N885" s="1">
        <v>0.01344382934830146</v>
      </c>
      <c r="O885" s="1">
        <v>0.001132131297153061</v>
      </c>
      <c r="P885" s="1">
        <v>0.01018613207967012</v>
      </c>
      <c r="Q885" s="1">
        <v>-0.002029720646837152</v>
      </c>
      <c r="R885" s="1">
        <v>-0.001698391670274524</v>
      </c>
      <c r="S885" s="1">
        <v>0.008322957385342722</v>
      </c>
      <c r="T885" s="1">
        <v>-0.009953893563324212</v>
      </c>
      <c r="U885" s="1">
        <v>0.006559458379914007</v>
      </c>
      <c r="V885" s="1">
        <v>-0.02220980040025189</v>
      </c>
      <c r="W885" s="1">
        <v>-0.001279674154229582</v>
      </c>
      <c r="X885" s="1">
        <v>-0.01724802029335082</v>
      </c>
      <c r="Y885" s="1">
        <v>0.01045890190625731</v>
      </c>
      <c r="Z885" s="1">
        <v>-0.0141519822095304</v>
      </c>
    </row>
    <row r="886" spans="1:26">
      <c r="A886" s="11">
        <v>43657</v>
      </c>
      <c r="B886" s="1">
        <v>-0.02657460933372791</v>
      </c>
      <c r="C886" s="1">
        <v>0.01901794867633888</v>
      </c>
      <c r="D886" s="1">
        <v>0.004992965600962407</v>
      </c>
      <c r="E886" s="1">
        <v>-0.03111421599668573</v>
      </c>
      <c r="F886" s="1">
        <v>0.006622245016573602</v>
      </c>
      <c r="G886" s="1">
        <v>0.001723344664753101</v>
      </c>
      <c r="H886" s="1">
        <v>-0.00438455508097324</v>
      </c>
      <c r="I886" s="1">
        <v>0.002798467098000135</v>
      </c>
      <c r="J886" s="1">
        <v>0.01262727144377607</v>
      </c>
      <c r="K886" s="1">
        <v>0</v>
      </c>
      <c r="L886" s="1">
        <v>0.009555992274557834</v>
      </c>
      <c r="M886" s="1">
        <v>-0.0003854673309553469</v>
      </c>
      <c r="N886" s="1">
        <v>0.005306237085481502</v>
      </c>
      <c r="O886" s="1">
        <v>0.00216363870052394</v>
      </c>
      <c r="P886" s="1">
        <v>0.003989690749655272</v>
      </c>
      <c r="Q886" s="1">
        <v>0.0006781679297063192</v>
      </c>
      <c r="R886" s="1">
        <v>0.00382900914340345</v>
      </c>
      <c r="S886" s="1">
        <v>-0.003766263005017034</v>
      </c>
      <c r="T886" s="1">
        <v>0.01674178259363002</v>
      </c>
      <c r="U886" s="1">
        <v>-0.008886288788647501</v>
      </c>
      <c r="V886" s="1">
        <v>0.007222423004817458</v>
      </c>
      <c r="W886" s="1">
        <v>-0.003271553416429263</v>
      </c>
      <c r="X886" s="1">
        <v>0.001907765298015063</v>
      </c>
      <c r="Y886" s="1">
        <v>-0.001403250199510597</v>
      </c>
      <c r="Z886" s="1">
        <v>0.01236775150016434</v>
      </c>
    </row>
    <row r="887" spans="1:26">
      <c r="A887" s="11">
        <v>43658</v>
      </c>
      <c r="B887" s="1">
        <v>0.006357822637747423</v>
      </c>
      <c r="C887" s="1">
        <v>0.01763230786966585</v>
      </c>
      <c r="D887" s="1">
        <v>-0.01066302243489781</v>
      </c>
      <c r="E887" s="1">
        <v>-0.005838553322421558</v>
      </c>
      <c r="F887" s="1">
        <v>0.01270409373240566</v>
      </c>
      <c r="G887" s="1">
        <v>-0.006538085390540682</v>
      </c>
      <c r="H887" s="1">
        <v>0.001223336323113333</v>
      </c>
      <c r="I887" s="1">
        <v>0.0254868213783801</v>
      </c>
      <c r="J887" s="1">
        <v>0.01822528769062992</v>
      </c>
      <c r="K887" s="1">
        <v>0.005081146161200367</v>
      </c>
      <c r="L887" s="1">
        <v>0.01051717665711061</v>
      </c>
      <c r="M887" s="1">
        <v>0.01292437301151583</v>
      </c>
      <c r="N887" s="1">
        <v>0.004871992599360553</v>
      </c>
      <c r="O887" s="1">
        <v>0.008830983701134443</v>
      </c>
      <c r="P887" s="1">
        <v>0.003612674772215163</v>
      </c>
      <c r="Q887" s="1">
        <v>-0.006097656763926818</v>
      </c>
      <c r="R887" s="1">
        <v>0.01907295841960588</v>
      </c>
      <c r="S887" s="1">
        <v>0.0002008797938297668</v>
      </c>
      <c r="T887" s="1">
        <v>0.00973811829913962</v>
      </c>
      <c r="U887" s="1">
        <v>0.00567872710461037</v>
      </c>
      <c r="V887" s="1">
        <v>0.01225816737187713</v>
      </c>
      <c r="W887" s="1">
        <v>-0.01559765020224635</v>
      </c>
      <c r="X887" s="1">
        <v>0.02075385856599854</v>
      </c>
      <c r="Y887" s="1">
        <v>0.004743601056350411</v>
      </c>
      <c r="Z887" s="1">
        <v>0.0117799057203829</v>
      </c>
    </row>
    <row r="888" spans="1:26">
      <c r="A888" s="11">
        <v>43661</v>
      </c>
      <c r="B888" s="1">
        <v>-0.02081031381937426</v>
      </c>
      <c r="C888" s="1">
        <v>-0.01018267269324535</v>
      </c>
      <c r="D888" s="1">
        <v>0.004409011358250892</v>
      </c>
      <c r="E888" s="1">
        <v>-0.001807316899907652</v>
      </c>
      <c r="F888" s="1">
        <v>0.001792103482579854</v>
      </c>
      <c r="G888" s="1">
        <v>0.004156569110897124</v>
      </c>
      <c r="H888" s="1">
        <v>0.004887793745030677</v>
      </c>
      <c r="I888" s="1">
        <v>0.003809412805352963</v>
      </c>
      <c r="J888" s="1">
        <v>0.005652633292357878</v>
      </c>
      <c r="K888" s="1">
        <v>0.006740151739091704</v>
      </c>
      <c r="L888" s="1">
        <v>-0.01214268222324599</v>
      </c>
      <c r="M888" s="1">
        <v>-0.00476117581871971</v>
      </c>
      <c r="N888" s="1">
        <v>0.0008079268014671293</v>
      </c>
      <c r="O888" s="1">
        <v>0.002042739601618937</v>
      </c>
      <c r="P888" s="1">
        <v>0</v>
      </c>
      <c r="Q888" s="1">
        <v>0.00272655892803364</v>
      </c>
      <c r="R888" s="1">
        <v>-0.008734176073973865</v>
      </c>
      <c r="S888" s="1">
        <v>0.003820340827196622</v>
      </c>
      <c r="T888" s="1">
        <v>0.008813457559690541</v>
      </c>
      <c r="U888" s="1">
        <v>0.001783006537529275</v>
      </c>
      <c r="V888" s="1">
        <v>-0.008339828261471949</v>
      </c>
      <c r="W888" s="1">
        <v>-0.007252498397722462</v>
      </c>
      <c r="X888" s="1">
        <v>-0.003357436514355272</v>
      </c>
      <c r="Y888" s="1">
        <v>0.006819286514902823</v>
      </c>
      <c r="Z888" s="1">
        <v>-0.02177650929241592</v>
      </c>
    </row>
    <row r="889" spans="1:26">
      <c r="A889" s="11">
        <v>43662</v>
      </c>
      <c r="B889" s="1">
        <v>-0.04212531836357147</v>
      </c>
      <c r="C889" s="1">
        <v>0.003152638537889274</v>
      </c>
      <c r="D889" s="1">
        <v>0.0007317325081888093</v>
      </c>
      <c r="E889" s="1">
        <v>0.005884272594276707</v>
      </c>
      <c r="F889" s="1">
        <v>0.008274097476628439</v>
      </c>
      <c r="G889" s="1">
        <v>-0.003104643323150746</v>
      </c>
      <c r="H889" s="1">
        <v>0.004134079332306806</v>
      </c>
      <c r="I889" s="1">
        <v>0.0009036238432056365</v>
      </c>
      <c r="J889" s="1">
        <v>-0.001873620209479232</v>
      </c>
      <c r="K889" s="1">
        <v>0.005739120885351667</v>
      </c>
      <c r="L889" s="1">
        <v>0.01071155175330984</v>
      </c>
      <c r="M889" s="1">
        <v>0.01951792738815739</v>
      </c>
      <c r="N889" s="1">
        <v>-0.002624232950787397</v>
      </c>
      <c r="O889" s="1">
        <v>-0.004174031289365554</v>
      </c>
      <c r="P889" s="1">
        <v>-0.01310306258578209</v>
      </c>
      <c r="Q889" s="1">
        <v>-0.00951729490675679</v>
      </c>
      <c r="R889" s="1">
        <v>0.01496486160701771</v>
      </c>
      <c r="S889" s="1">
        <v>-0.002603947636782178</v>
      </c>
      <c r="T889" s="1">
        <v>-0.01335826736441836</v>
      </c>
      <c r="U889" s="1">
        <v>-0.003856415726687934</v>
      </c>
      <c r="V889" s="1">
        <v>0.01739651406536491</v>
      </c>
      <c r="W889" s="1">
        <v>-0.009071165764341083</v>
      </c>
      <c r="X889" s="1">
        <v>0.01122963655705655</v>
      </c>
      <c r="Y889" s="1">
        <v>-0.002952488109849161</v>
      </c>
      <c r="Z889" s="1">
        <v>0.002644660390097586</v>
      </c>
    </row>
    <row r="890" spans="1:26">
      <c r="A890" s="11">
        <v>43663</v>
      </c>
      <c r="B890" s="1">
        <v>-0.03011074465506891</v>
      </c>
      <c r="C890" s="1">
        <v>0.01866297714948484</v>
      </c>
      <c r="D890" s="1">
        <v>0.00706732945895916</v>
      </c>
      <c r="E890" s="1">
        <v>-0.007199310927301528</v>
      </c>
      <c r="F890" s="1">
        <v>-0.0146375159627038</v>
      </c>
      <c r="G890" s="1">
        <v>0.003806435309157585</v>
      </c>
      <c r="H890" s="1">
        <v>0.001453022733186815</v>
      </c>
      <c r="I890" s="1">
        <v>-0.0184773969436961</v>
      </c>
      <c r="J890" s="1">
        <v>-0.006100579822448493</v>
      </c>
      <c r="K890" s="1">
        <v>-0.0237755167695326</v>
      </c>
      <c r="L890" s="1">
        <v>-0.009816011246621792</v>
      </c>
      <c r="M890" s="1">
        <v>-0.01839356772550182</v>
      </c>
      <c r="N890" s="1">
        <v>0.000809872321950289</v>
      </c>
      <c r="O890" s="1">
        <v>-0.01393902054941487</v>
      </c>
      <c r="P890" s="1">
        <v>-0.005908762226110698</v>
      </c>
      <c r="Q890" s="1">
        <v>0.004118033210827488</v>
      </c>
      <c r="R890" s="1">
        <v>-0.03348460698059641</v>
      </c>
      <c r="S890" s="1">
        <v>-0.001044281801997227</v>
      </c>
      <c r="T890" s="1">
        <v>-0.02286434462023801</v>
      </c>
      <c r="U890" s="1">
        <v>-0.009529898897630451</v>
      </c>
      <c r="V890" s="1">
        <v>-0.005095762296485118</v>
      </c>
      <c r="W890" s="1">
        <v>0.002760080955126032</v>
      </c>
      <c r="X890" s="1">
        <v>-0.09531738225412456</v>
      </c>
      <c r="Y890" s="1">
        <v>-0.003309587874483544</v>
      </c>
      <c r="Z890" s="1">
        <v>-0.01340949694928728</v>
      </c>
    </row>
    <row r="891" spans="1:26">
      <c r="A891" s="11">
        <v>43664</v>
      </c>
      <c r="B891" s="1">
        <v>-0.0379902318525045</v>
      </c>
      <c r="C891" s="1">
        <v>-0.02275929562901546</v>
      </c>
      <c r="D891" s="1">
        <v>0.00520251524446036</v>
      </c>
      <c r="E891" s="1">
        <v>-0.001813278286964537</v>
      </c>
      <c r="F891" s="1">
        <v>0.002925819628563309</v>
      </c>
      <c r="G891" s="1">
        <v>0.008272777809751108</v>
      </c>
      <c r="H891" s="1">
        <v>0.007980694427167645</v>
      </c>
      <c r="I891" s="1">
        <v>0.0009811720754935305</v>
      </c>
      <c r="J891" s="1">
        <v>0.00944306192025457</v>
      </c>
      <c r="K891" s="1">
        <v>0.002679059454552934</v>
      </c>
      <c r="L891" s="1">
        <v>0.005965673760239598</v>
      </c>
      <c r="M891" s="1">
        <v>0.002676855677441692</v>
      </c>
      <c r="N891" s="1">
        <v>0.02184020318053093</v>
      </c>
      <c r="O891" s="1">
        <v>0.003954283622036314</v>
      </c>
      <c r="P891" s="1">
        <v>0.001100719114583315</v>
      </c>
      <c r="Q891" s="1">
        <v>0.01127812690707608</v>
      </c>
      <c r="R891" s="1">
        <v>-0.01511289871076005</v>
      </c>
      <c r="S891" s="1">
        <v>-0.004703973496108627</v>
      </c>
      <c r="T891" s="1">
        <v>0.001838615456190462</v>
      </c>
      <c r="U891" s="1">
        <v>-0.005110856617957404</v>
      </c>
      <c r="V891" s="1">
        <v>0.007284171641749104</v>
      </c>
      <c r="W891" s="1">
        <v>0.02344962293085273</v>
      </c>
      <c r="X891" s="1">
        <v>-0.0006139049188471635</v>
      </c>
      <c r="Y891" s="1">
        <v>-0.0001746571220651028</v>
      </c>
      <c r="Z891" s="1">
        <v>0.01470618076280727</v>
      </c>
    </row>
    <row r="892" spans="1:26">
      <c r="A892" s="11">
        <v>43665</v>
      </c>
      <c r="B892" s="1">
        <v>0.03133028631988388</v>
      </c>
      <c r="C892" s="1">
        <v>0.04500014455223922</v>
      </c>
      <c r="D892" s="1">
        <v>0.0002407347549306937</v>
      </c>
      <c r="E892" s="1">
        <v>-0.01634469523896553</v>
      </c>
      <c r="F892" s="1">
        <v>-0.0112207542652577</v>
      </c>
      <c r="G892" s="1">
        <v>-0.02085461036867087</v>
      </c>
      <c r="H892" s="1">
        <v>-0.009837142656099807</v>
      </c>
      <c r="I892" s="1">
        <v>0.014518507417427</v>
      </c>
      <c r="J892" s="1">
        <v>0.0004678636855168783</v>
      </c>
      <c r="K892" s="1">
        <v>0.003643005384697862</v>
      </c>
      <c r="L892" s="1">
        <v>-0.009854611850157458</v>
      </c>
      <c r="M892" s="1">
        <v>-0.008008887498615502</v>
      </c>
      <c r="N892" s="1">
        <v>0</v>
      </c>
      <c r="O892" s="1">
        <v>-0.009452580140751454</v>
      </c>
      <c r="P892" s="1">
        <v>0.00146621073500186</v>
      </c>
      <c r="Q892" s="1">
        <v>-0.01317993044025367</v>
      </c>
      <c r="R892" s="1">
        <v>0.003619445886208439</v>
      </c>
      <c r="S892" s="1">
        <v>-0.01401739448022021</v>
      </c>
      <c r="T892" s="1">
        <v>-0.002381343546305037</v>
      </c>
      <c r="U892" s="1">
        <v>-0.009066153408698763</v>
      </c>
      <c r="V892" s="1">
        <v>-0.005536660311339148</v>
      </c>
      <c r="W892" s="1">
        <v>-0.01331137443193531</v>
      </c>
      <c r="X892" s="1">
        <v>0.005936667404540685</v>
      </c>
      <c r="Y892" s="1">
        <v>-0.0108369112077612</v>
      </c>
      <c r="Z892" s="1">
        <v>0.01229681667425586</v>
      </c>
    </row>
    <row r="893" spans="1:26">
      <c r="A893" s="11">
        <v>43668</v>
      </c>
      <c r="B893" s="1">
        <v>-0.007074377804491938</v>
      </c>
      <c r="C893" s="1">
        <v>-0.01044084309941828</v>
      </c>
      <c r="D893" s="1">
        <v>-0.0049336667029658</v>
      </c>
      <c r="E893" s="1">
        <v>-0.01292416300791333</v>
      </c>
      <c r="F893" s="1">
        <v>-0.004766197118049709</v>
      </c>
      <c r="G893" s="1">
        <v>0.001396812700736882</v>
      </c>
      <c r="H893" s="1">
        <v>-0.00314970238720369</v>
      </c>
      <c r="I893" s="1">
        <v>-0.002837608754061693</v>
      </c>
      <c r="J893" s="1">
        <v>0.002337297969126295</v>
      </c>
      <c r="K893" s="1">
        <v>-0.007744153751121474</v>
      </c>
      <c r="L893" s="1">
        <v>0.006429458657737808</v>
      </c>
      <c r="M893" s="1">
        <v>0.01268710722136279</v>
      </c>
      <c r="N893" s="1">
        <v>-0.01701982198446939</v>
      </c>
      <c r="O893" s="1">
        <v>0.003777446220804892</v>
      </c>
      <c r="P893" s="1">
        <v>0.01324843946377952</v>
      </c>
      <c r="Q893" s="1">
        <v>-0.002054909586211573</v>
      </c>
      <c r="R893" s="1">
        <v>-0.002452368382653058</v>
      </c>
      <c r="S893" s="1">
        <v>-0.006022494006249657</v>
      </c>
      <c r="T893" s="1">
        <v>-0.004402345836089561</v>
      </c>
      <c r="U893" s="1">
        <v>-0.02012815780986288</v>
      </c>
      <c r="V893" s="1">
        <v>-0.008976135114053818</v>
      </c>
      <c r="W893" s="1">
        <v>0.006590000580895872</v>
      </c>
      <c r="X893" s="1">
        <v>0.01302418459303967</v>
      </c>
      <c r="Y893" s="1">
        <v>-0.01926174752219001</v>
      </c>
      <c r="Z893" s="1">
        <v>-0.01887222790218412</v>
      </c>
    </row>
    <row r="894" spans="1:26">
      <c r="A894" s="11">
        <v>43669</v>
      </c>
      <c r="B894" s="1">
        <v>0.01886030160256746</v>
      </c>
      <c r="C894" s="1">
        <v>-0.0009373215999917139</v>
      </c>
      <c r="D894" s="1">
        <v>0.007377038727859331</v>
      </c>
      <c r="E894" s="1">
        <v>0.006546692018769784</v>
      </c>
      <c r="F894" s="1">
        <v>0.01071840228972265</v>
      </c>
      <c r="G894" s="1">
        <v>0.0003484721698709947</v>
      </c>
      <c r="H894" s="1">
        <v>0.008021371053415161</v>
      </c>
      <c r="I894" s="1">
        <v>0.01943792135722755</v>
      </c>
      <c r="J894" s="1">
        <v>0.008861760897448168</v>
      </c>
      <c r="K894" s="1">
        <v>0.001463502416918283</v>
      </c>
      <c r="L894" s="1">
        <v>0.01829001334054547</v>
      </c>
      <c r="M894" s="1">
        <v>0.02733495962180821</v>
      </c>
      <c r="N894" s="1">
        <v>0.007449210388141614</v>
      </c>
      <c r="O894" s="1">
        <v>0.004852316497561571</v>
      </c>
      <c r="P894" s="1">
        <v>0.006212043620740682</v>
      </c>
      <c r="Q894" s="1">
        <v>0.002745189701560014</v>
      </c>
      <c r="R894" s="1">
        <v>0.001012080103490298</v>
      </c>
      <c r="S894" s="1">
        <v>0.006883290730857361</v>
      </c>
      <c r="T894" s="1">
        <v>0.07840048720705539</v>
      </c>
      <c r="U894" s="1">
        <v>-0.001244925719136369</v>
      </c>
      <c r="V894" s="1">
        <v>0.01513392322217966</v>
      </c>
      <c r="W894" s="1">
        <v>0.006478693700781024</v>
      </c>
      <c r="X894" s="1">
        <v>0.02551217605669631</v>
      </c>
      <c r="Y894" s="1">
        <v>-0.0003604479785945802</v>
      </c>
      <c r="Z894" s="1">
        <v>-0.05306178351033519</v>
      </c>
    </row>
    <row r="895" spans="1:26">
      <c r="A895" s="11">
        <v>43670</v>
      </c>
      <c r="B895" s="1">
        <v>0.01974464494850148</v>
      </c>
      <c r="C895" s="1">
        <v>-0.03120057579639646</v>
      </c>
      <c r="D895" s="1">
        <v>0.007562804176724836</v>
      </c>
      <c r="E895" s="1">
        <v>0.004181089371778857</v>
      </c>
      <c r="F895" s="1">
        <v>0.01240989136210713</v>
      </c>
      <c r="G895" s="1">
        <v>-0.009062321953820396</v>
      </c>
      <c r="H895" s="1">
        <v>-0.02290824503451883</v>
      </c>
      <c r="I895" s="1">
        <v>-0.006949837630624067</v>
      </c>
      <c r="J895" s="1">
        <v>-0.002773706694403355</v>
      </c>
      <c r="K895" s="1">
        <v>0.00828041695345072</v>
      </c>
      <c r="L895" s="1">
        <v>0.004038952248362815</v>
      </c>
      <c r="M895" s="1">
        <v>0.01108670454474026</v>
      </c>
      <c r="N895" s="1">
        <v>-0.005196156824430975</v>
      </c>
      <c r="O895" s="1">
        <v>0.006011748967996722</v>
      </c>
      <c r="P895" s="1">
        <v>0.01026684948351897</v>
      </c>
      <c r="Q895" s="1">
        <v>0.008213684073050898</v>
      </c>
      <c r="R895" s="1">
        <v>0.04203389794324863</v>
      </c>
      <c r="S895" s="1">
        <v>-0.008473662036160401</v>
      </c>
      <c r="T895" s="1">
        <v>0.02223466118732476</v>
      </c>
      <c r="U895" s="1">
        <v>0.03583630716341712</v>
      </c>
      <c r="V895" s="1">
        <v>0.00621187145264912</v>
      </c>
      <c r="W895" s="1">
        <v>-0.01791430276270733</v>
      </c>
      <c r="X895" s="1">
        <v>0.0207639622079645</v>
      </c>
      <c r="Y895" s="1">
        <v>0.008832361464955474</v>
      </c>
      <c r="Z895" s="1">
        <v>0.01587649023670945</v>
      </c>
    </row>
    <row r="896" spans="1:26">
      <c r="A896" s="11">
        <v>43671</v>
      </c>
      <c r="B896" s="1">
        <v>-0.02460671583284091</v>
      </c>
      <c r="C896" s="1">
        <v>-0.0369089910625463</v>
      </c>
      <c r="D896" s="1">
        <v>0.01465524778481364</v>
      </c>
      <c r="E896" s="1">
        <v>0.05019684134330493</v>
      </c>
      <c r="F896" s="1">
        <v>-0.005794590004218336</v>
      </c>
      <c r="G896" s="1">
        <v>0.004220734749048383</v>
      </c>
      <c r="H896" s="1">
        <v>-0.002961207935600729</v>
      </c>
      <c r="I896" s="1">
        <v>-0.001615203451437952</v>
      </c>
      <c r="J896" s="1">
        <v>-0.01112660492467454</v>
      </c>
      <c r="K896" s="1">
        <v>-0.006763478197178041</v>
      </c>
      <c r="L896" s="1">
        <v>-0.009586162261222331</v>
      </c>
      <c r="M896" s="1">
        <v>0.003471925090288153</v>
      </c>
      <c r="N896" s="1">
        <v>-0.003816420886340599</v>
      </c>
      <c r="O896" s="1">
        <v>-0.003330578938302242</v>
      </c>
      <c r="P896" s="1">
        <v>-0.003766353270561518</v>
      </c>
      <c r="Q896" s="1">
        <v>-0.002375949682993594</v>
      </c>
      <c r="R896" s="1">
        <v>-0.006515125782020958</v>
      </c>
      <c r="S896" s="1">
        <v>-0.0004545171115101221</v>
      </c>
      <c r="T896" s="1">
        <v>0.01630282595177768</v>
      </c>
      <c r="U896" s="1">
        <v>0.01714832662238108</v>
      </c>
      <c r="V896" s="1">
        <v>-0.01257151926341382</v>
      </c>
      <c r="W896" s="1">
        <v>0.007733197874487452</v>
      </c>
      <c r="X896" s="1">
        <v>-0.02533093231063321</v>
      </c>
      <c r="Y896" s="1">
        <v>0.006967622886031144</v>
      </c>
      <c r="Z896" s="1">
        <v>0.01700744878978022</v>
      </c>
    </row>
    <row r="897" spans="1:26">
      <c r="A897" s="11">
        <v>43672</v>
      </c>
      <c r="B897" s="1">
        <v>-0.01033916425569958</v>
      </c>
      <c r="C897" s="1">
        <v>-0.008876952860005338</v>
      </c>
      <c r="D897" s="1">
        <v>-0.0001177319069909366</v>
      </c>
      <c r="E897" s="1">
        <v>-0.0006611103106608507</v>
      </c>
      <c r="F897" s="1">
        <v>0.0004479916067816614</v>
      </c>
      <c r="G897" s="1">
        <v>0.008756620778934465</v>
      </c>
      <c r="H897" s="1">
        <v>0.01386108455464408</v>
      </c>
      <c r="I897" s="1">
        <v>0.02084961462917212</v>
      </c>
      <c r="J897" s="1">
        <v>0.008907577625266949</v>
      </c>
      <c r="K897" s="1">
        <v>0.001945749673671893</v>
      </c>
      <c r="L897" s="1">
        <v>0.00440738794439044</v>
      </c>
      <c r="M897" s="1">
        <v>-0.03023121329368794</v>
      </c>
      <c r="N897" s="1">
        <v>0.005444772013572408</v>
      </c>
      <c r="O897" s="1">
        <v>0.006978475134184592</v>
      </c>
      <c r="P897" s="1">
        <v>0.008203090929214785</v>
      </c>
      <c r="Q897" s="1">
        <v>0.003742609453719181</v>
      </c>
      <c r="R897" s="1">
        <v>0</v>
      </c>
      <c r="S897" s="1">
        <v>-0.01102852002427235</v>
      </c>
      <c r="T897" s="1">
        <v>0.005890594453141107</v>
      </c>
      <c r="U897" s="1">
        <v>0.01005627286060506</v>
      </c>
      <c r="V897" s="1">
        <v>-0.01034463590000967</v>
      </c>
      <c r="W897" s="1">
        <v>-0.01163082953726091</v>
      </c>
      <c r="X897" s="1">
        <v>-0.01476689806991482</v>
      </c>
      <c r="Y897" s="1">
        <v>0.01277539443070608</v>
      </c>
      <c r="Z897" s="1">
        <v>0.02056525364810691</v>
      </c>
    </row>
    <row r="898" spans="1:26">
      <c r="A898" s="11">
        <v>43675</v>
      </c>
      <c r="B898" s="1">
        <v>-0.02507290536496853</v>
      </c>
      <c r="C898" s="1">
        <v>-0.01388404686873379</v>
      </c>
      <c r="D898" s="1">
        <v>0.009630081364356835</v>
      </c>
      <c r="E898" s="1">
        <v>0.0004408469362802148</v>
      </c>
      <c r="F898" s="1">
        <v>-0.008962189877911864</v>
      </c>
      <c r="G898" s="1">
        <v>-0.001388890800586129</v>
      </c>
      <c r="H898" s="1">
        <v>0.009277453966318072</v>
      </c>
      <c r="I898" s="1">
        <v>-0.000762871164260992</v>
      </c>
      <c r="J898" s="1">
        <v>-0.0009292947478213298</v>
      </c>
      <c r="K898" s="1">
        <v>-0.007038722494760452</v>
      </c>
      <c r="L898" s="1">
        <v>-0.003183676869626173</v>
      </c>
      <c r="M898" s="1">
        <v>-0.006948311649861649</v>
      </c>
      <c r="N898" s="1">
        <v>0.009025075996351717</v>
      </c>
      <c r="O898" s="1">
        <v>0.006637351981614303</v>
      </c>
      <c r="P898" s="1">
        <v>-0.002193315410505936</v>
      </c>
      <c r="Q898" s="1">
        <v>0.01050861448482521</v>
      </c>
      <c r="R898" s="1">
        <v>-0.002232176919482409</v>
      </c>
      <c r="S898" s="1">
        <v>0.01386629811955786</v>
      </c>
      <c r="T898" s="1">
        <v>-0.004216204150555014</v>
      </c>
      <c r="U898" s="1">
        <v>0.005563510581078068</v>
      </c>
      <c r="V898" s="1">
        <v>0.00195289910777352</v>
      </c>
      <c r="W898" s="1">
        <v>0.005953409634260609</v>
      </c>
      <c r="X898" s="1">
        <v>-0.003597042327580291</v>
      </c>
      <c r="Y898" s="1">
        <v>0.005080574264296533</v>
      </c>
      <c r="Z898" s="1">
        <v>-0.01129331252743171</v>
      </c>
    </row>
    <row r="899" spans="1:26">
      <c r="A899" s="11">
        <v>43676</v>
      </c>
      <c r="B899" s="1">
        <v>0.0330046552646388</v>
      </c>
      <c r="C899" s="1">
        <v>0.02131030580182891</v>
      </c>
      <c r="D899" s="1">
        <v>0.002209999852210931</v>
      </c>
      <c r="E899" s="1">
        <v>-0.01828603291758635</v>
      </c>
      <c r="F899" s="1">
        <v>-0.003391679053658669</v>
      </c>
      <c r="G899" s="1">
        <v>0.002781645002326583</v>
      </c>
      <c r="H899" s="1">
        <v>0.007740606355353563</v>
      </c>
      <c r="I899" s="1">
        <v>-0.001350961540840356</v>
      </c>
      <c r="J899" s="1">
        <v>0.001860894372266442</v>
      </c>
      <c r="K899" s="1">
        <v>0.008799685151449799</v>
      </c>
      <c r="L899" s="1">
        <v>-0.002244287041857973</v>
      </c>
      <c r="M899" s="1">
        <v>-0.006240546716938522</v>
      </c>
      <c r="N899" s="1">
        <v>-0.03597698728627785</v>
      </c>
      <c r="O899" s="1">
        <v>-0.02598657716333674</v>
      </c>
      <c r="P899" s="1">
        <v>-0.004821815859417211</v>
      </c>
      <c r="Q899" s="1">
        <v>-0.001013357571163276</v>
      </c>
      <c r="R899" s="1">
        <v>-0.007551445676868385</v>
      </c>
      <c r="S899" s="1">
        <v>0.001442086885607541</v>
      </c>
      <c r="T899" s="1">
        <v>0.00956565251090602</v>
      </c>
      <c r="U899" s="1">
        <v>-0.004659464849198769</v>
      </c>
      <c r="V899" s="1">
        <v>-0.004012121898114951</v>
      </c>
      <c r="W899" s="1">
        <v>-0.017340711109608</v>
      </c>
      <c r="X899" s="1">
        <v>0.009626946555962412</v>
      </c>
      <c r="Y899" s="1">
        <v>-0.01289897906435</v>
      </c>
      <c r="Z899" s="1">
        <v>0.01858875054849385</v>
      </c>
    </row>
    <row r="900" spans="1:26">
      <c r="A900" s="11">
        <v>43677</v>
      </c>
      <c r="B900" s="1">
        <v>0.01327786174891199</v>
      </c>
      <c r="C900" s="1">
        <v>-0.01807403883470837</v>
      </c>
      <c r="D900" s="1">
        <v>-0.02541763934695274</v>
      </c>
      <c r="E900" s="1">
        <v>-0.003366058937705696</v>
      </c>
      <c r="F900" s="1">
        <v>-0.02064381287553341</v>
      </c>
      <c r="G900" s="1">
        <v>0.005894801082501733</v>
      </c>
      <c r="H900" s="1">
        <v>-0.007681149599943926</v>
      </c>
      <c r="I900" s="1">
        <v>-0.02576036666807702</v>
      </c>
      <c r="J900" s="1">
        <v>-0.02321308576542003</v>
      </c>
      <c r="K900" s="1">
        <v>0.02834977697148777</v>
      </c>
      <c r="L900" s="1">
        <v>0.003547135758139586</v>
      </c>
      <c r="M900" s="1">
        <v>-0.01941005584056255</v>
      </c>
      <c r="N900" s="1">
        <v>-0.02948459319564467</v>
      </c>
      <c r="O900" s="1">
        <v>-0.01642623793111198</v>
      </c>
      <c r="P900" s="1">
        <v>-0.02907008443969894</v>
      </c>
      <c r="Q900" s="1">
        <v>0.003719007996345614</v>
      </c>
      <c r="R900" s="1">
        <v>-0.011695169035848</v>
      </c>
      <c r="S900" s="1">
        <v>-0.001398649170358257</v>
      </c>
      <c r="T900" s="1">
        <v>-0.003844387899971546</v>
      </c>
      <c r="U900" s="1">
        <v>-0.00380338874432784</v>
      </c>
      <c r="V900" s="1">
        <v>-0.005525394977773268</v>
      </c>
      <c r="W900" s="1">
        <v>-0.02194308781170107</v>
      </c>
      <c r="X900" s="1">
        <v>-0.02065954731886555</v>
      </c>
      <c r="Y900" s="1">
        <v>-0.02401533908408049</v>
      </c>
      <c r="Z900" s="1">
        <v>-0.009014945740923208</v>
      </c>
    </row>
    <row r="901" spans="1:26">
      <c r="A901" s="11">
        <v>43678</v>
      </c>
      <c r="B901" s="1">
        <v>-0.01228485504712451</v>
      </c>
      <c r="C901" s="1">
        <v>-0.02019450193440064</v>
      </c>
      <c r="D901" s="1">
        <v>0.01321906441352638</v>
      </c>
      <c r="E901" s="1">
        <v>0.01778857070084716</v>
      </c>
      <c r="F901" s="1">
        <v>-0.006717697724167082</v>
      </c>
      <c r="G901" s="1">
        <v>0.002757351463605007</v>
      </c>
      <c r="H901" s="1">
        <v>0.01862630614498784</v>
      </c>
      <c r="I901" s="1">
        <v>-0.0268032957626374</v>
      </c>
      <c r="J901" s="1">
        <v>-0.002376061786789951</v>
      </c>
      <c r="K901" s="1">
        <v>-0.01013183326259259</v>
      </c>
      <c r="L901" s="1">
        <v>-0.0263793310548448</v>
      </c>
      <c r="M901" s="1">
        <v>-0.01106155058610092</v>
      </c>
      <c r="N901" s="1">
        <v>0.01720860084106968</v>
      </c>
      <c r="O901" s="1">
        <v>-0.001923089618060869</v>
      </c>
      <c r="P901" s="1">
        <v>0.01313544723576721</v>
      </c>
      <c r="Q901" s="1">
        <v>0.01178814310807663</v>
      </c>
      <c r="R901" s="1">
        <v>-0.02851459312119475</v>
      </c>
      <c r="S901" s="1">
        <v>0.01487070346566055</v>
      </c>
      <c r="T901" s="1">
        <v>-0.0001753068083282239</v>
      </c>
      <c r="U901" s="1">
        <v>0.002056087282223507</v>
      </c>
      <c r="V901" s="1">
        <v>-0.04374973048030562</v>
      </c>
      <c r="W901" s="1">
        <v>0.0004679993141389893</v>
      </c>
      <c r="X901" s="1">
        <v>-0.02616630544407583</v>
      </c>
      <c r="Y901" s="1">
        <v>-0.0001812318110617772</v>
      </c>
      <c r="Z901" s="1">
        <v>-0.04725968677380132</v>
      </c>
    </row>
    <row r="902" spans="1:26">
      <c r="A902" s="11">
        <v>43679</v>
      </c>
      <c r="B902" s="1">
        <v>0.002902064524073156</v>
      </c>
      <c r="C902" s="1">
        <v>0.01576469667521252</v>
      </c>
      <c r="D902" s="1">
        <v>-0.004466540161934041</v>
      </c>
      <c r="E902" s="1">
        <v>0.01747800193455396</v>
      </c>
      <c r="F902" s="1">
        <v>-0.00536423503675143</v>
      </c>
      <c r="G902" s="1">
        <v>0.008250510531751409</v>
      </c>
      <c r="H902" s="1">
        <v>0.005461378514583393</v>
      </c>
      <c r="I902" s="1">
        <v>-0.01556992855121286</v>
      </c>
      <c r="J902" s="1">
        <v>-0.04049551030090459</v>
      </c>
      <c r="K902" s="1">
        <v>-0.001904317863185567</v>
      </c>
      <c r="L902" s="1">
        <v>-8.857727939814986E-05</v>
      </c>
      <c r="M902" s="1">
        <v>-0.006671889308560885</v>
      </c>
      <c r="N902" s="1">
        <v>0.00104441012580625</v>
      </c>
      <c r="O902" s="1">
        <v>0.003245004779565575</v>
      </c>
      <c r="P902" s="1">
        <v>-0.008401826247077304</v>
      </c>
      <c r="Q902" s="1">
        <v>-0.01098498007805859</v>
      </c>
      <c r="R902" s="1">
        <v>-0.01350191678416224</v>
      </c>
      <c r="S902" s="1">
        <v>0.01286669021726761</v>
      </c>
      <c r="T902" s="1">
        <v>-0.004835013746673056</v>
      </c>
      <c r="U902" s="1">
        <v>0.001465262352005281</v>
      </c>
      <c r="V902" s="1">
        <v>-0.01331405775997785</v>
      </c>
      <c r="W902" s="1">
        <v>-0.0107630936503964</v>
      </c>
      <c r="X902" s="1">
        <v>-0.02041236880291553</v>
      </c>
      <c r="Y902" s="1">
        <v>0.00597213930163476</v>
      </c>
      <c r="Z902" s="1">
        <v>-0.009082629781017926</v>
      </c>
    </row>
    <row r="903" spans="1:26">
      <c r="A903" s="11">
        <v>43682</v>
      </c>
      <c r="B903" s="1">
        <v>-0.0388587722744107</v>
      </c>
      <c r="C903" s="1">
        <v>-0.02503247465073966</v>
      </c>
      <c r="D903" s="1">
        <v>-0.03293957857764596</v>
      </c>
      <c r="E903" s="1">
        <v>-0.01326396317355238</v>
      </c>
      <c r="F903" s="1">
        <v>-0.0243843127523643</v>
      </c>
      <c r="G903" s="1">
        <v>-0.02659412290594287</v>
      </c>
      <c r="H903" s="1">
        <v>-0.02668873730648114</v>
      </c>
      <c r="I903" s="1">
        <v>-0.04814096626332709</v>
      </c>
      <c r="J903" s="1">
        <v>-0.04865977339915417</v>
      </c>
      <c r="K903" s="1">
        <v>-0.01264013733969105</v>
      </c>
      <c r="L903" s="1">
        <v>-0.02975286705719637</v>
      </c>
      <c r="M903" s="1">
        <v>-0.03279336053730963</v>
      </c>
      <c r="N903" s="1">
        <v>-0.02670568352244973</v>
      </c>
      <c r="O903" s="1">
        <v>-0.03234621553277273</v>
      </c>
      <c r="P903" s="1">
        <v>-0.03425878452557696</v>
      </c>
      <c r="Q903" s="1">
        <v>-0.05385420964107768</v>
      </c>
      <c r="R903" s="1">
        <v>-0.04150515153610546</v>
      </c>
      <c r="S903" s="1">
        <v>-0.01518807320435944</v>
      </c>
      <c r="T903" s="1">
        <v>-0.02960020591780299</v>
      </c>
      <c r="U903" s="1">
        <v>-0.01990047291154562</v>
      </c>
      <c r="V903" s="1">
        <v>-0.008954675084236419</v>
      </c>
      <c r="W903" s="1">
        <v>-0.02314209164097081</v>
      </c>
      <c r="X903" s="1">
        <v>-0.008079995822159569</v>
      </c>
      <c r="Y903" s="1">
        <v>-0.006655695368333769</v>
      </c>
      <c r="Z903" s="1">
        <v>-0.0321971524343897</v>
      </c>
    </row>
    <row r="904" spans="1:26">
      <c r="A904" s="11">
        <v>43683</v>
      </c>
      <c r="B904" s="1">
        <v>-0.01419364730826056</v>
      </c>
      <c r="C904" s="1">
        <v>0.004198703401496973</v>
      </c>
      <c r="D904" s="1">
        <v>0.01831258053157403</v>
      </c>
      <c r="E904" s="1">
        <v>0.006831456478141318</v>
      </c>
      <c r="F904" s="1">
        <v>0.01105478283554939</v>
      </c>
      <c r="G904" s="1">
        <v>0.01085828163987057</v>
      </c>
      <c r="H904" s="1">
        <v>0.001213849940528977</v>
      </c>
      <c r="I904" s="1">
        <v>0.01138612834383723</v>
      </c>
      <c r="J904" s="1">
        <v>0.004697756241205386</v>
      </c>
      <c r="K904" s="1">
        <v>0.01135248697554037</v>
      </c>
      <c r="L904" s="1">
        <v>0.007848830738824919</v>
      </c>
      <c r="M904" s="1">
        <v>0.01531860127633</v>
      </c>
      <c r="N904" s="1">
        <v>-0.0105037386644018</v>
      </c>
      <c r="O904" s="1">
        <v>0.02016120501429497</v>
      </c>
      <c r="P904" s="1">
        <v>0.0187584184685845</v>
      </c>
      <c r="Q904" s="1">
        <v>-0.0003557254298106605</v>
      </c>
      <c r="R904" s="1">
        <v>0.01707297910909267</v>
      </c>
      <c r="S904" s="1">
        <v>0.01761973408876472</v>
      </c>
      <c r="T904" s="1">
        <v>0.007086111782748095</v>
      </c>
      <c r="U904" s="1">
        <v>0.01403399102431946</v>
      </c>
      <c r="V904" s="1">
        <v>0.02450791683110465</v>
      </c>
      <c r="W904" s="1">
        <v>0.02793698110158682</v>
      </c>
      <c r="X904" s="1">
        <v>0.01779202493850951</v>
      </c>
      <c r="Y904" s="1">
        <v>-0.0030789806068513</v>
      </c>
      <c r="Z904" s="1">
        <v>0.0203981471582475</v>
      </c>
    </row>
    <row r="905" spans="1:26">
      <c r="A905" s="11">
        <v>43684</v>
      </c>
      <c r="B905" s="1">
        <v>-0.04057617586723228</v>
      </c>
      <c r="C905" s="1">
        <v>-0.003218503558933938</v>
      </c>
      <c r="D905" s="1">
        <v>0.00491553786421095</v>
      </c>
      <c r="E905" s="1">
        <v>0.01203766558315267</v>
      </c>
      <c r="F905" s="1">
        <v>-0.008081539872494492</v>
      </c>
      <c r="G905" s="1">
        <v>-0.02771998275777787</v>
      </c>
      <c r="H905" s="1">
        <v>0.007513124763983026</v>
      </c>
      <c r="I905" s="1">
        <v>-0.01007983318754446</v>
      </c>
      <c r="J905" s="1">
        <v>-0.008311994583366622</v>
      </c>
      <c r="K905" s="1">
        <v>0.0002392699330118209</v>
      </c>
      <c r="L905" s="1">
        <v>-0.02173340533909385</v>
      </c>
      <c r="M905" s="1">
        <v>0.004425811248067513</v>
      </c>
      <c r="N905" s="1">
        <v>0.001516338449001786</v>
      </c>
      <c r="O905" s="1">
        <v>-0.00624602039071398</v>
      </c>
      <c r="P905" s="1">
        <v>0.004380241545198782</v>
      </c>
      <c r="Q905" s="1">
        <v>-0.01672581311929389</v>
      </c>
      <c r="R905" s="1">
        <v>-0.004120223886134422</v>
      </c>
      <c r="S905" s="1">
        <v>0.01655476498009323</v>
      </c>
      <c r="T905" s="1">
        <v>0.02830395786979212</v>
      </c>
      <c r="U905" s="1">
        <v>0.002944871669066096</v>
      </c>
      <c r="V905" s="1">
        <v>0.002899600407469949</v>
      </c>
      <c r="W905" s="1">
        <v>-0.004239713589005434</v>
      </c>
      <c r="X905" s="1">
        <v>-0.008003254813709226</v>
      </c>
      <c r="Y905" s="1">
        <v>0.0007266852558078796</v>
      </c>
      <c r="Z905" s="1">
        <v>-0.01665876626198826</v>
      </c>
    </row>
    <row r="906" spans="1:26">
      <c r="A906" s="11">
        <v>43685</v>
      </c>
      <c r="B906" s="1">
        <v>0.02091865832153994</v>
      </c>
      <c r="C906" s="1">
        <v>0.02133141482961132</v>
      </c>
      <c r="D906" s="1">
        <v>0.02290650634531999</v>
      </c>
      <c r="E906" s="1">
        <v>0.02270731447745811</v>
      </c>
      <c r="F906" s="1">
        <v>0.02228592016452402</v>
      </c>
      <c r="G906" s="1">
        <v>-0.008196856180687329</v>
      </c>
      <c r="H906" s="1">
        <v>0.01106572888393331</v>
      </c>
      <c r="I906" s="1">
        <v>0.02525771444454161</v>
      </c>
      <c r="J906" s="1">
        <v>0.02304897287111163</v>
      </c>
      <c r="K906" s="1">
        <v>0.0171915313864317</v>
      </c>
      <c r="L906" s="1">
        <v>0.01693998940217711</v>
      </c>
      <c r="M906" s="1">
        <v>0.01121549535300725</v>
      </c>
      <c r="N906" s="1">
        <v>0.005840354060616226</v>
      </c>
      <c r="O906" s="1">
        <v>0.02689328768277677</v>
      </c>
      <c r="P906" s="1">
        <v>0.02668478176162892</v>
      </c>
      <c r="Q906" s="1">
        <v>0.04234490240325695</v>
      </c>
      <c r="R906" s="1">
        <v>0.01900062109445111</v>
      </c>
      <c r="S906" s="1">
        <v>0.00700157664544987</v>
      </c>
      <c r="T906" s="1">
        <v>0.02011741368559794</v>
      </c>
      <c r="U906" s="1">
        <v>0.01409270789179695</v>
      </c>
      <c r="V906" s="1">
        <v>0.009516913384003178</v>
      </c>
      <c r="W906" s="1">
        <v>0.02077966582708757</v>
      </c>
      <c r="X906" s="1">
        <v>0.02441613917817231</v>
      </c>
      <c r="Y906" s="1">
        <v>0.01325110791547979</v>
      </c>
      <c r="Z906" s="1">
        <v>0.01960336207825231</v>
      </c>
    </row>
    <row r="907" spans="1:26">
      <c r="A907" s="11">
        <v>43686</v>
      </c>
      <c r="B907" s="1">
        <v>-0.02138102056555713</v>
      </c>
      <c r="C907" s="1">
        <v>0.003567690505648757</v>
      </c>
      <c r="D907" s="1">
        <v>0.002682157258064422</v>
      </c>
      <c r="E907" s="1">
        <v>0.0006347949790972418</v>
      </c>
      <c r="F907" s="1">
        <v>0.006329658530471738</v>
      </c>
      <c r="G907" s="1">
        <v>-0.007545698619985997</v>
      </c>
      <c r="H907" s="1">
        <v>-0.005710176406773848</v>
      </c>
      <c r="I907" s="1">
        <v>-0.001418740874807978</v>
      </c>
      <c r="J907" s="1">
        <v>-0.01280101026026559</v>
      </c>
      <c r="K907" s="1">
        <v>-0.006807197415760524</v>
      </c>
      <c r="L907" s="1">
        <v>-0.001092475847998653</v>
      </c>
      <c r="M907" s="1">
        <v>-0.0007921860050078555</v>
      </c>
      <c r="N907" s="1">
        <v>-0.007311693827800392</v>
      </c>
      <c r="O907" s="1">
        <v>-0.003813074693070795</v>
      </c>
      <c r="P907" s="1">
        <v>-0.008495223166070764</v>
      </c>
      <c r="Q907" s="1">
        <v>-0.007985833321948688</v>
      </c>
      <c r="R907" s="1">
        <v>-0.01939852536669973</v>
      </c>
      <c r="S907" s="1">
        <v>0.004101779307644993</v>
      </c>
      <c r="T907" s="1">
        <v>-0.006783869194961989</v>
      </c>
      <c r="U907" s="1">
        <v>0</v>
      </c>
      <c r="V907" s="1">
        <v>-0.01658698683985149</v>
      </c>
      <c r="W907" s="1">
        <v>-0.01472379624456444</v>
      </c>
      <c r="X907" s="1">
        <v>-0.03067349175673939</v>
      </c>
      <c r="Y907" s="1">
        <v>-0.0007166610153566122</v>
      </c>
      <c r="Z907" s="1">
        <v>-0.006646638551474626</v>
      </c>
    </row>
    <row r="908" spans="1:26">
      <c r="A908" s="11">
        <v>43689</v>
      </c>
      <c r="B908" s="1">
        <v>-0.01911690256125487</v>
      </c>
      <c r="C908" s="1">
        <v>-0.01365716691839813</v>
      </c>
      <c r="D908" s="1">
        <v>-0.004303678631316199</v>
      </c>
      <c r="E908" s="1">
        <v>-0.01711795783109726</v>
      </c>
      <c r="F908" s="1">
        <v>-0.010948212284973</v>
      </c>
      <c r="G908" s="1">
        <v>0.005068628300197275</v>
      </c>
      <c r="H908" s="1">
        <v>0.007657432519313057</v>
      </c>
      <c r="I908" s="1">
        <v>-0.050309928843567</v>
      </c>
      <c r="J908" s="1">
        <v>-0.01970933524622354</v>
      </c>
      <c r="K908" s="1">
        <v>-0.01087257712954459</v>
      </c>
      <c r="L908" s="1">
        <v>-0.01877170243536919</v>
      </c>
      <c r="M908" s="1">
        <v>-0.00792864007498606</v>
      </c>
      <c r="N908" s="1">
        <v>-0.003899787224410312</v>
      </c>
      <c r="O908" s="1">
        <v>-0.01631745154169584</v>
      </c>
      <c r="P908" s="1">
        <v>-0.01394240676814651</v>
      </c>
      <c r="Q908" s="1">
        <v>0.002799983407008044</v>
      </c>
      <c r="R908" s="1">
        <v>-0.006593864115200354</v>
      </c>
      <c r="S908" s="1">
        <v>0.006379908382550203</v>
      </c>
      <c r="T908" s="1">
        <v>-0.007753555380344279</v>
      </c>
      <c r="U908" s="1">
        <v>-0.001737122666179758</v>
      </c>
      <c r="V908" s="1">
        <v>-0.004611183122190443</v>
      </c>
      <c r="W908" s="1">
        <v>-0.01581231015634288</v>
      </c>
      <c r="X908" s="1">
        <v>-0.0295062266961883</v>
      </c>
      <c r="Y908" s="1">
        <v>-0.001613413758047022</v>
      </c>
      <c r="Z908" s="1">
        <v>-0.01959354569934391</v>
      </c>
    </row>
    <row r="909" spans="1:26">
      <c r="A909" s="11">
        <v>43690</v>
      </c>
      <c r="B909" s="1">
        <v>0.01716941345853695</v>
      </c>
      <c r="C909" s="1">
        <v>-0.0002403006104062522</v>
      </c>
      <c r="D909" s="1">
        <v>0.03014014822593358</v>
      </c>
      <c r="E909" s="1">
        <v>-0.0004297169385718558</v>
      </c>
      <c r="F909" s="1">
        <v>0.02355153773154828</v>
      </c>
      <c r="G909" s="1">
        <v>0.008645545486930972</v>
      </c>
      <c r="H909" s="1">
        <v>0.003561820182659048</v>
      </c>
      <c r="I909" s="1">
        <v>0.0008160116097759573</v>
      </c>
      <c r="J909" s="1">
        <v>0.03386217567799688</v>
      </c>
      <c r="K909" s="1">
        <v>0.02437286154929774</v>
      </c>
      <c r="L909" s="1">
        <v>0.01541619267313554</v>
      </c>
      <c r="M909" s="1">
        <v>-0.002597322175437289</v>
      </c>
      <c r="N909" s="1">
        <v>0.01739912183042991</v>
      </c>
      <c r="O909" s="1">
        <v>0.01597388585439252</v>
      </c>
      <c r="P909" s="1">
        <v>0.02069370459896014</v>
      </c>
      <c r="Q909" s="1">
        <v>0.002094291519015412</v>
      </c>
      <c r="R909" s="1">
        <v>0.02916510622754664</v>
      </c>
      <c r="S909" s="1">
        <v>-0.001584686587925099</v>
      </c>
      <c r="T909" s="1">
        <v>0.01962264779732092</v>
      </c>
      <c r="U909" s="1">
        <v>0.01102064605839392</v>
      </c>
      <c r="V909" s="1">
        <v>0.02694113635364892</v>
      </c>
      <c r="W909" s="1">
        <v>0.01165439800616963</v>
      </c>
      <c r="X909" s="1">
        <v>0</v>
      </c>
      <c r="Y909" s="1">
        <v>0.01221024407487104</v>
      </c>
      <c r="Z909" s="1">
        <v>0.005118358934623535</v>
      </c>
    </row>
    <row r="910" spans="1:26">
      <c r="A910" s="11">
        <v>43691</v>
      </c>
      <c r="B910" s="1">
        <v>-0.08394163403085142</v>
      </c>
      <c r="C910" s="1">
        <v>-0.03737298971208669</v>
      </c>
      <c r="D910" s="1">
        <v>-0.02653685413350826</v>
      </c>
      <c r="E910" s="1">
        <v>-0.01828370090359444</v>
      </c>
      <c r="F910" s="1">
        <v>-0.02508071116717547</v>
      </c>
      <c r="G910" s="1">
        <v>-0.007650038312651097</v>
      </c>
      <c r="H910" s="1">
        <v>-0.01893035180257963</v>
      </c>
      <c r="I910" s="1">
        <v>-0.02717935408593009</v>
      </c>
      <c r="J910" s="1">
        <v>-0.01330600217242917</v>
      </c>
      <c r="K910" s="1">
        <v>-0.0317238768628394</v>
      </c>
      <c r="L910" s="1">
        <v>-0.04152171400727722</v>
      </c>
      <c r="M910" s="1">
        <v>-0.02323739000841696</v>
      </c>
      <c r="N910" s="1">
        <v>-0.01945271460944153</v>
      </c>
      <c r="O910" s="1">
        <v>-0.03114317338494532</v>
      </c>
      <c r="P910" s="1">
        <v>-0.03011452975488793</v>
      </c>
      <c r="Q910" s="1">
        <v>-0.0006965825007378967</v>
      </c>
      <c r="R910" s="1">
        <v>-0.04522130988637973</v>
      </c>
      <c r="S910" s="1">
        <v>-0.01022164025531802</v>
      </c>
      <c r="T910" s="1">
        <v>-0.02013872504108538</v>
      </c>
      <c r="U910" s="1">
        <v>-0.0220882244255074</v>
      </c>
      <c r="V910" s="1">
        <v>-0.02789658450306709</v>
      </c>
      <c r="W910" s="1">
        <v>-0.02067825480984919</v>
      </c>
      <c r="X910" s="1">
        <v>-0.04868881044744977</v>
      </c>
      <c r="Y910" s="1">
        <v>-0.01153077678637893</v>
      </c>
      <c r="Z910" s="1">
        <v>-0.03056250714446995</v>
      </c>
    </row>
    <row r="911" spans="1:26">
      <c r="A911" s="11">
        <v>43692</v>
      </c>
      <c r="B911" s="1">
        <v>-0.007469625588891637</v>
      </c>
      <c r="C911" s="1">
        <v>0.02365637177930213</v>
      </c>
      <c r="D911" s="1">
        <v>-0.0006986814263412189</v>
      </c>
      <c r="E911" s="1">
        <v>0.002410259401108616</v>
      </c>
      <c r="F911" s="1">
        <v>-0.0004723821810802553</v>
      </c>
      <c r="G911" s="1">
        <v>0.002545501510877513</v>
      </c>
      <c r="H911" s="1">
        <v>0.01688364907639639</v>
      </c>
      <c r="I911" s="1">
        <v>0.003771802367488197</v>
      </c>
      <c r="J911" s="1">
        <v>-0.03371347016254811</v>
      </c>
      <c r="K911" s="1">
        <v>0.0007231857206975167</v>
      </c>
      <c r="L911" s="1">
        <v>0.003816708087079457</v>
      </c>
      <c r="M911" s="1">
        <v>-0.0112796282740546</v>
      </c>
      <c r="N911" s="1">
        <v>-0.008284197315949204</v>
      </c>
      <c r="O911" s="1">
        <v>0.005513765890587052</v>
      </c>
      <c r="P911" s="1">
        <v>-0.002238962070210571</v>
      </c>
      <c r="Q911" s="1">
        <v>0.01185082609590027</v>
      </c>
      <c r="R911" s="1">
        <v>0.005683362327118413</v>
      </c>
      <c r="S911" s="1">
        <v>0.01685957042305564</v>
      </c>
      <c r="T911" s="1">
        <v>0.01180629298756108</v>
      </c>
      <c r="U911" s="1">
        <v>0.007333536286278752</v>
      </c>
      <c r="V911" s="1">
        <v>0.00818181135710172</v>
      </c>
      <c r="W911" s="1">
        <v>0.01421292457154122</v>
      </c>
      <c r="X911" s="1">
        <v>0.004168234635752777</v>
      </c>
      <c r="Y911" s="1">
        <v>0.01040905802398862</v>
      </c>
      <c r="Z911" s="1">
        <v>-0.01134928730673401</v>
      </c>
    </row>
    <row r="912" spans="1:26">
      <c r="A912" s="11">
        <v>43693</v>
      </c>
      <c r="B912" s="1">
        <v>0.04565950759656201</v>
      </c>
      <c r="C912" s="1">
        <v>0.007469537093739653</v>
      </c>
      <c r="D912" s="1">
        <v>0.01387276457571307</v>
      </c>
      <c r="E912" s="1">
        <v>0.02688518964767272</v>
      </c>
      <c r="F912" s="1">
        <v>0.01959881651968565</v>
      </c>
      <c r="G912" s="1">
        <v>0.01088131803648928</v>
      </c>
      <c r="H912" s="1">
        <v>0.01138537711476739</v>
      </c>
      <c r="I912" s="1">
        <v>0.03841068376168577</v>
      </c>
      <c r="J912" s="1">
        <v>0.02415427076220222</v>
      </c>
      <c r="K912" s="1">
        <v>0.01901757288329531</v>
      </c>
      <c r="L912" s="1">
        <v>0.02395457100760212</v>
      </c>
      <c r="M912" s="1">
        <v>0.03277330154805158</v>
      </c>
      <c r="N912" s="1">
        <v>0.02176278979549129</v>
      </c>
      <c r="O912" s="1">
        <v>0.01158677031007516</v>
      </c>
      <c r="P912" s="1">
        <v>0.0183274153867985</v>
      </c>
      <c r="Q912" s="1">
        <v>0.01343437148254845</v>
      </c>
      <c r="R912" s="1">
        <v>0.01224524756284606</v>
      </c>
      <c r="S912" s="1">
        <v>-0.004500759175657953</v>
      </c>
      <c r="T912" s="1">
        <v>0.01901183167997389</v>
      </c>
      <c r="U912" s="1">
        <v>0.01834619823829553</v>
      </c>
      <c r="V912" s="1">
        <v>0.01998554747811387</v>
      </c>
      <c r="W912" s="1">
        <v>0.01039104207711072</v>
      </c>
      <c r="X912" s="1">
        <v>0.02306282784567815</v>
      </c>
      <c r="Y912" s="1">
        <v>0.00621673943646428</v>
      </c>
      <c r="Z912" s="1">
        <v>0.02551030434829493</v>
      </c>
    </row>
    <row r="913" spans="1:26">
      <c r="A913" s="11">
        <v>43696</v>
      </c>
      <c r="B913" s="1">
        <v>0.05086384857556503</v>
      </c>
      <c r="C913" s="1">
        <v>0.0100771943568907</v>
      </c>
      <c r="D913" s="1">
        <v>0.01034842105807132</v>
      </c>
      <c r="E913" s="1">
        <v>0.01021741938427501</v>
      </c>
      <c r="F913" s="1">
        <v>0.0189902681387375</v>
      </c>
      <c r="G913" s="1">
        <v>0.00861145094261917</v>
      </c>
      <c r="H913" s="1">
        <v>0.01289869308194769</v>
      </c>
      <c r="I913" s="1">
        <v>0.02117518536035123</v>
      </c>
      <c r="J913" s="1">
        <v>0.006813528514395095</v>
      </c>
      <c r="K913" s="1">
        <v>0.007323330660863547</v>
      </c>
      <c r="L913" s="1">
        <v>0.009004850323134139</v>
      </c>
      <c r="M913" s="1">
        <v>0.01707171769577775</v>
      </c>
      <c r="N913" s="1">
        <v>0.004733504257039112</v>
      </c>
      <c r="O913" s="1">
        <v>0.00848833701703966</v>
      </c>
      <c r="P913" s="1">
        <v>0.01674833733133552</v>
      </c>
      <c r="Q913" s="1">
        <v>0.007137928821479234</v>
      </c>
      <c r="R913" s="1">
        <v>0.00620325124444765</v>
      </c>
      <c r="S913" s="1">
        <v>0.008810677912944653</v>
      </c>
      <c r="T913" s="1">
        <v>-0.003112768370347019</v>
      </c>
      <c r="U913" s="1">
        <v>0.01172416242053242</v>
      </c>
      <c r="V913" s="1">
        <v>0.02814411402192785</v>
      </c>
      <c r="W913" s="1">
        <v>0.01220351046583468</v>
      </c>
      <c r="X913" s="1">
        <v>0.01893595918724733</v>
      </c>
      <c r="Y913" s="1">
        <v>0.006178028459185247</v>
      </c>
      <c r="Z913" s="1">
        <v>0.01691557662555199</v>
      </c>
    </row>
    <row r="914" spans="1:26">
      <c r="A914" s="11">
        <v>43697</v>
      </c>
      <c r="B914" s="1">
        <v>-0.006849382336310494</v>
      </c>
      <c r="C914" s="1">
        <v>-0.006081854422559596</v>
      </c>
      <c r="D914" s="1">
        <v>-0.01024242809944131</v>
      </c>
      <c r="E914" s="1">
        <v>0.003581917450187877</v>
      </c>
      <c r="F914" s="1">
        <v>-0.001363514355383844</v>
      </c>
      <c r="G914" s="1">
        <v>-0.009960805370009096</v>
      </c>
      <c r="H914" s="1">
        <v>-0.002547072191531274</v>
      </c>
      <c r="I914" s="1">
        <v>-0.001902759166633516</v>
      </c>
      <c r="J914" s="1">
        <v>-0.01561698573754244</v>
      </c>
      <c r="K914" s="1">
        <v>-0.006331843289230199</v>
      </c>
      <c r="L914" s="1">
        <v>-0.01269714366130537</v>
      </c>
      <c r="M914" s="1">
        <v>-0.008719498941255233</v>
      </c>
      <c r="N914" s="1">
        <v>-0.01434696932390767</v>
      </c>
      <c r="O914" s="1">
        <v>-0.01419736368490931</v>
      </c>
      <c r="P914" s="1">
        <v>-0.008308447462860524</v>
      </c>
      <c r="Q914" s="1">
        <v>-0.01046227136401978</v>
      </c>
      <c r="R914" s="1">
        <v>-0.007706373523150956</v>
      </c>
      <c r="S914" s="1">
        <v>-0.001991998384239024</v>
      </c>
      <c r="T914" s="1">
        <v>-0.00840189705802219</v>
      </c>
      <c r="U914" s="1">
        <v>-0.01130590205671278</v>
      </c>
      <c r="V914" s="1">
        <v>-0.004539386824524927</v>
      </c>
      <c r="W914" s="1">
        <v>-0.01191365381478848</v>
      </c>
      <c r="X914" s="1">
        <v>-0.009734730717163464</v>
      </c>
      <c r="Y914" s="1">
        <v>-0.01280678344948905</v>
      </c>
      <c r="Z914" s="1">
        <v>-0.009784972686505133</v>
      </c>
    </row>
    <row r="915" spans="1:26">
      <c r="A915" s="11">
        <v>43698</v>
      </c>
      <c r="B915" s="1">
        <v>-0.0009197667371403373</v>
      </c>
      <c r="C915" s="1">
        <v>0.02483788309339618</v>
      </c>
      <c r="D915" s="1">
        <v>0.003909142912341679</v>
      </c>
      <c r="E915" s="1">
        <v>0.002939397947407718</v>
      </c>
      <c r="F915" s="1">
        <v>0.003868773614428278</v>
      </c>
      <c r="G915" s="1">
        <v>0.003233873030865642</v>
      </c>
      <c r="H915" s="1">
        <v>0.004410480263248751</v>
      </c>
      <c r="I915" s="1">
        <v>0.01814578706293513</v>
      </c>
      <c r="J915" s="1">
        <v>0.002644222455808753</v>
      </c>
      <c r="K915" s="1">
        <v>0.01250866388915961</v>
      </c>
      <c r="L915" s="1">
        <v>0.002795962890648873</v>
      </c>
      <c r="M915" s="1">
        <v>0.01139520887047163</v>
      </c>
      <c r="N915" s="1">
        <v>0.004779343265238101</v>
      </c>
      <c r="O915" s="1">
        <v>0.006069593080453739</v>
      </c>
      <c r="P915" s="1">
        <v>0.01114666285822641</v>
      </c>
      <c r="Q915" s="1">
        <v>0.01159602296293705</v>
      </c>
      <c r="R915" s="1">
        <v>0.01025121782681437</v>
      </c>
      <c r="S915" s="1">
        <v>0.001995974361943098</v>
      </c>
      <c r="T915" s="1">
        <v>0.006984618256889563</v>
      </c>
      <c r="U915" s="1">
        <v>0.005145816764414723</v>
      </c>
      <c r="V915" s="1">
        <v>0.2042558792957101</v>
      </c>
      <c r="W915" s="1">
        <v>0.007531207169998666</v>
      </c>
      <c r="X915" s="1">
        <v>0.007149636218287014</v>
      </c>
      <c r="Y915" s="1">
        <v>0.005687236250796923</v>
      </c>
      <c r="Z915" s="1">
        <v>0.01111658173478669</v>
      </c>
    </row>
    <row r="916" spans="1:26">
      <c r="A916" s="11">
        <v>43699</v>
      </c>
      <c r="B916" s="1">
        <v>-0.01242517580421798</v>
      </c>
      <c r="C916" s="1">
        <v>0.04241314517235728</v>
      </c>
      <c r="D916" s="1">
        <v>-0.001145358235289051</v>
      </c>
      <c r="E916" s="1">
        <v>0.001883984634876157</v>
      </c>
      <c r="F916" s="1">
        <v>-0.007707840844602742</v>
      </c>
      <c r="G916" s="1">
        <v>0.00358177510300961</v>
      </c>
      <c r="H916" s="1">
        <v>0.009475378057896888</v>
      </c>
      <c r="I916" s="1">
        <v>0.003293527118179096</v>
      </c>
      <c r="J916" s="1">
        <v>-0.001582088081894861</v>
      </c>
      <c r="K916" s="1">
        <v>-0.01794866657933869</v>
      </c>
      <c r="L916" s="1">
        <v>0.01031479067963081</v>
      </c>
      <c r="M916" s="1">
        <v>0.01185991180732771</v>
      </c>
      <c r="N916" s="1">
        <v>0.007351505410321924</v>
      </c>
      <c r="O916" s="1">
        <v>0.003783015059141137</v>
      </c>
      <c r="P916" s="1">
        <v>-0.007277360371691244</v>
      </c>
      <c r="Q916" s="1">
        <v>-0.0006741903669318372</v>
      </c>
      <c r="R916" s="1">
        <v>-0.009224991500946911</v>
      </c>
      <c r="S916" s="1">
        <v>0.003179273303772545</v>
      </c>
      <c r="T916" s="1">
        <v>-0.00788386838244326</v>
      </c>
      <c r="U916" s="1">
        <v>0.006541336405796683</v>
      </c>
      <c r="V916" s="1">
        <v>0.0322330405178135</v>
      </c>
      <c r="W916" s="1">
        <v>-0.0003592019498895871</v>
      </c>
      <c r="X916" s="1">
        <v>-0.004880235724206816</v>
      </c>
      <c r="Y916" s="1">
        <v>0.003357140108314116</v>
      </c>
      <c r="Z916" s="1">
        <v>0.005130808475227067</v>
      </c>
    </row>
    <row r="917" spans="1:26">
      <c r="A917" s="11">
        <v>43700</v>
      </c>
      <c r="B917" s="1">
        <v>-0.03588054369119198</v>
      </c>
      <c r="C917" s="1">
        <v>0.004514517314928579</v>
      </c>
      <c r="D917" s="1">
        <v>-0.02499714323176849</v>
      </c>
      <c r="E917" s="1">
        <v>-0.02674493886093121</v>
      </c>
      <c r="F917" s="1">
        <v>-0.03061471919481695</v>
      </c>
      <c r="G917" s="1">
        <v>-0.02141337411553546</v>
      </c>
      <c r="H917" s="1">
        <v>-0.02289377635042211</v>
      </c>
      <c r="I917" s="1">
        <v>-0.05374275318235355</v>
      </c>
      <c r="J917" s="1">
        <v>-0.05916549982333774</v>
      </c>
      <c r="K917" s="1">
        <v>-0.01993822815035018</v>
      </c>
      <c r="L917" s="1">
        <v>-0.02483443568458898</v>
      </c>
      <c r="M917" s="1">
        <v>-0.01230679684351388</v>
      </c>
      <c r="N917" s="1">
        <v>-0.003863722368317224</v>
      </c>
      <c r="O917" s="1">
        <v>-0.02556788156771306</v>
      </c>
      <c r="P917" s="1">
        <v>-0.03186221740007122</v>
      </c>
      <c r="Q917" s="1">
        <v>-0.02091772469003961</v>
      </c>
      <c r="R917" s="1">
        <v>-0.02963961802050252</v>
      </c>
      <c r="S917" s="1">
        <v>-0.009126096251492744</v>
      </c>
      <c r="T917" s="1">
        <v>-0.02082142866449443</v>
      </c>
      <c r="U917" s="1">
        <v>-0.01610601978293535</v>
      </c>
      <c r="V917" s="1">
        <v>-0.02661758543281967</v>
      </c>
      <c r="W917" s="1">
        <v>-0.03167158397522363</v>
      </c>
      <c r="X917" s="1">
        <v>-0.03990218607061136</v>
      </c>
      <c r="Y917" s="1">
        <v>-0.01514634579798646</v>
      </c>
      <c r="Z917" s="1">
        <v>-0.02698109765246293</v>
      </c>
    </row>
    <row r="918" spans="1:26">
      <c r="A918" s="11">
        <v>43703</v>
      </c>
      <c r="B918" s="1">
        <v>0.01498284859140364</v>
      </c>
      <c r="C918" s="1">
        <v>0.008510983389934834</v>
      </c>
      <c r="D918" s="1">
        <v>0.008702816164100957</v>
      </c>
      <c r="E918" s="1">
        <v>0.03284673228112966</v>
      </c>
      <c r="F918" s="1">
        <v>0.02168275153871346</v>
      </c>
      <c r="G918" s="1">
        <v>0.005834903523271429</v>
      </c>
      <c r="H918" s="1">
        <v>-0.0004687230387675489</v>
      </c>
      <c r="I918" s="1">
        <v>0.02577848045126552</v>
      </c>
      <c r="J918" s="1">
        <v>0.001684313745944577</v>
      </c>
      <c r="K918" s="1">
        <v>0.007265583911596485</v>
      </c>
      <c r="L918" s="1">
        <v>0.008017459241471681</v>
      </c>
      <c r="M918" s="1">
        <v>0.002571087711468634</v>
      </c>
      <c r="N918" s="1">
        <v>0.01529848614516904</v>
      </c>
      <c r="O918" s="1">
        <v>0.01379862658760334</v>
      </c>
      <c r="P918" s="1">
        <v>0.01544357438363031</v>
      </c>
      <c r="Q918" s="1">
        <v>0.01378365506355661</v>
      </c>
      <c r="R918" s="1">
        <v>0.01055474284316582</v>
      </c>
      <c r="S918" s="1">
        <v>0.006898182981173617</v>
      </c>
      <c r="T918" s="1">
        <v>0.001677920602629612</v>
      </c>
      <c r="U918" s="1">
        <v>0.003159251952184805</v>
      </c>
      <c r="V918" s="1">
        <v>0.01236840676163986</v>
      </c>
      <c r="W918" s="1">
        <v>0.005791772983571697</v>
      </c>
      <c r="X918" s="1">
        <v>0.005572229928781924</v>
      </c>
      <c r="Y918" s="1">
        <v>0.01412775373242203</v>
      </c>
      <c r="Z918" s="1">
        <v>0.004246883943320734</v>
      </c>
    </row>
    <row r="919" spans="1:26">
      <c r="A919" s="11">
        <v>43704</v>
      </c>
      <c r="B919" s="1">
        <v>-0.001904795733484232</v>
      </c>
      <c r="C919" s="1">
        <v>-0.01200421549381459</v>
      </c>
      <c r="D919" s="1">
        <v>0.007228622819020813</v>
      </c>
      <c r="E919" s="1">
        <v>-0.0037413416368276</v>
      </c>
      <c r="F919" s="1">
        <v>0.005767321350295118</v>
      </c>
      <c r="G919" s="1">
        <v>-0.01087729178111363</v>
      </c>
      <c r="H919" s="1">
        <v>-0.0142991260376415</v>
      </c>
      <c r="I919" s="1">
        <v>-0.004707863338346607</v>
      </c>
      <c r="J919" s="1">
        <v>-0.006166057399487612</v>
      </c>
      <c r="K919" s="1">
        <v>0.009617956542694595</v>
      </c>
      <c r="L919" s="1">
        <v>-0.01057368966258732</v>
      </c>
      <c r="M919" s="1">
        <v>-0.003945724921180394</v>
      </c>
      <c r="N919" s="1">
        <v>-0.03968581841631669</v>
      </c>
      <c r="O919" s="1">
        <v>0.005980986041062231</v>
      </c>
      <c r="P919" s="1">
        <v>0.002140802865170377</v>
      </c>
      <c r="Q919" s="1">
        <v>-0.006118271302128941</v>
      </c>
      <c r="R919" s="1">
        <v>0.003798212954768898</v>
      </c>
      <c r="S919" s="1">
        <v>0.003597486230769498</v>
      </c>
      <c r="T919" s="1">
        <v>0.003758607307517536</v>
      </c>
      <c r="U919" s="1">
        <v>-0.006012220025736204</v>
      </c>
      <c r="V919" s="1">
        <v>-0.0006681465941683618</v>
      </c>
      <c r="W919" s="1">
        <v>0.007418797779610076</v>
      </c>
      <c r="X919" s="1">
        <v>-0.01246788699136381</v>
      </c>
      <c r="Y919" s="1">
        <v>0.008287530533245269</v>
      </c>
      <c r="Z919" s="1">
        <v>-0.01766186796668623</v>
      </c>
    </row>
    <row r="920" spans="1:26">
      <c r="A920" s="11">
        <v>43705</v>
      </c>
      <c r="B920" s="1">
        <v>0.03196572640620143</v>
      </c>
      <c r="C920" s="1">
        <v>0.01477175926675489</v>
      </c>
      <c r="D920" s="1">
        <v>0.006250900432207551</v>
      </c>
      <c r="E920" s="1">
        <v>0.01523058517428577</v>
      </c>
      <c r="F920" s="1">
        <v>0.003898942307230424</v>
      </c>
      <c r="G920" s="1">
        <v>0.001099775434316053</v>
      </c>
      <c r="H920" s="1">
        <v>-0.001902269451418026</v>
      </c>
      <c r="I920" s="1">
        <v>0.0174553550281844</v>
      </c>
      <c r="J920" s="1">
        <v>0.003384317097623102</v>
      </c>
      <c r="K920" s="1">
        <v>0.01309798581100519</v>
      </c>
      <c r="L920" s="1">
        <v>0.01002468789805588</v>
      </c>
      <c r="M920" s="1">
        <v>0.01327002237405317</v>
      </c>
      <c r="N920" s="1">
        <v>0.01325965421998521</v>
      </c>
      <c r="O920" s="1">
        <v>0.001844701648470615</v>
      </c>
      <c r="P920" s="1">
        <v>-0.001325504835029245</v>
      </c>
      <c r="Q920" s="1">
        <v>-0.004787776217306416</v>
      </c>
      <c r="R920" s="1">
        <v>0.007251898441426041</v>
      </c>
      <c r="S920" s="1">
        <v>-0.001106075787366878</v>
      </c>
      <c r="T920" s="1">
        <v>0.01416432121310307</v>
      </c>
      <c r="U920" s="1">
        <v>0.006912585328489484</v>
      </c>
      <c r="V920" s="1">
        <v>0.01623684995346419</v>
      </c>
      <c r="W920" s="1">
        <v>0.01146897335311947</v>
      </c>
      <c r="X920" s="1">
        <v>0.01472957407823938</v>
      </c>
      <c r="Y920" s="1">
        <v>0.01346608050634734</v>
      </c>
      <c r="Z920" s="1">
        <v>0.01342122387731304</v>
      </c>
    </row>
    <row r="921" spans="1:26">
      <c r="A921" s="11">
        <v>43706</v>
      </c>
      <c r="B921" s="1">
        <v>0.01895512049645709</v>
      </c>
      <c r="C921" s="1">
        <v>0.0076949998713296</v>
      </c>
      <c r="D921" s="1">
        <v>0.009110849530990173</v>
      </c>
      <c r="E921" s="1">
        <v>-0.008014511638026356</v>
      </c>
      <c r="F921" s="1">
        <v>0.009138620104827577</v>
      </c>
      <c r="G921" s="1">
        <v>0.01135124195141035</v>
      </c>
      <c r="H921" s="1">
        <v>0.0319271336232374</v>
      </c>
      <c r="I921" s="1">
        <v>0.02461996995040683</v>
      </c>
      <c r="J921" s="1">
        <v>0.01686346628650481</v>
      </c>
      <c r="K921" s="1">
        <v>0.001880696184990427</v>
      </c>
      <c r="L921" s="1">
        <v>0.02265917872487422</v>
      </c>
      <c r="M921" s="1">
        <v>0.02228299358500663</v>
      </c>
      <c r="N921" s="1">
        <v>-0.0348962426571926</v>
      </c>
      <c r="O921" s="1">
        <v>0.01493791708903291</v>
      </c>
      <c r="P921" s="1">
        <v>0.0188844397359238</v>
      </c>
      <c r="Q921" s="1">
        <v>0.01168352355732605</v>
      </c>
      <c r="R921" s="1">
        <v>0.02332141096648277</v>
      </c>
      <c r="S921" s="1">
        <v>0.001145450774052481</v>
      </c>
      <c r="T921" s="1">
        <v>0.003806790181741793</v>
      </c>
      <c r="U921" s="1">
        <v>0.005434666149900069</v>
      </c>
      <c r="V921" s="1">
        <v>0.01437977974709925</v>
      </c>
      <c r="W921" s="1">
        <v>0.03517324307101544</v>
      </c>
      <c r="X921" s="1">
        <v>0.02741948159471597</v>
      </c>
      <c r="Y921" s="1">
        <v>-0.0001725553389595458</v>
      </c>
      <c r="Z921" s="1">
        <v>0.01874047665497791</v>
      </c>
    </row>
    <row r="922" spans="1:26">
      <c r="A922" s="11">
        <v>43707</v>
      </c>
      <c r="B922" s="1">
        <v>-0.02132498291445417</v>
      </c>
      <c r="C922" s="1">
        <v>0.003721757807638504</v>
      </c>
      <c r="D922" s="1">
        <v>0.005142712615129774</v>
      </c>
      <c r="E922" s="1">
        <v>-0.00414392544290787</v>
      </c>
      <c r="F922" s="1">
        <v>0.002037794786939884</v>
      </c>
      <c r="G922" s="1">
        <v>0.002534358306676587</v>
      </c>
      <c r="H922" s="1">
        <v>0.03902105209363294</v>
      </c>
      <c r="I922" s="1">
        <v>-0.01003336415249168</v>
      </c>
      <c r="J922" s="1">
        <v>0.01105584773435675</v>
      </c>
      <c r="K922" s="1">
        <v>0.001642313253181538</v>
      </c>
      <c r="L922" s="1">
        <v>0.005859837789794042</v>
      </c>
      <c r="M922" s="1">
        <v>0.0003824660595377338</v>
      </c>
      <c r="N922" s="1">
        <v>-0.01152566270577093</v>
      </c>
      <c r="O922" s="1">
        <v>0.006955589836648013</v>
      </c>
      <c r="P922" s="1">
        <v>-0.001882415639064994</v>
      </c>
      <c r="Q922" s="1">
        <v>0.003736530740568567</v>
      </c>
      <c r="R922" s="1">
        <v>0.002753014617362659</v>
      </c>
      <c r="S922" s="1">
        <v>0.009533087549826291</v>
      </c>
      <c r="T922" s="1">
        <v>0.003945473903508301</v>
      </c>
      <c r="U922" s="1">
        <v>0.003129591907887086</v>
      </c>
      <c r="V922" s="1">
        <v>-0.008246177394388154</v>
      </c>
      <c r="W922" s="1">
        <v>0.004513856825004714</v>
      </c>
      <c r="X922" s="1">
        <v>0.009194936098625872</v>
      </c>
      <c r="Y922" s="1">
        <v>0.003797069418083998</v>
      </c>
      <c r="Z922" s="1">
        <v>0.007849148873912082</v>
      </c>
    </row>
    <row r="923" spans="1:26">
      <c r="A923" s="11">
        <v>43711</v>
      </c>
      <c r="B923" s="1">
        <v>-0.007417524132810049</v>
      </c>
      <c r="C923" s="1">
        <v>-0.02655929327196627</v>
      </c>
      <c r="D923" s="1">
        <v>-0.001933047545519706</v>
      </c>
      <c r="E923" s="1">
        <v>-0.0006239712351459037</v>
      </c>
      <c r="F923" s="1">
        <v>-0.008585685970853185</v>
      </c>
      <c r="G923" s="1">
        <v>0.02166857305547509</v>
      </c>
      <c r="H923" s="1">
        <v>0.009556107169539585</v>
      </c>
      <c r="I923" s="1">
        <v>-0.02640192953742782</v>
      </c>
      <c r="J923" s="1">
        <v>-0.007654460022679443</v>
      </c>
      <c r="K923" s="1">
        <v>-0.01592861203302409</v>
      </c>
      <c r="L923" s="1">
        <v>-0.01183352145821603</v>
      </c>
      <c r="M923" s="1">
        <v>-0.01796631282352712</v>
      </c>
      <c r="N923" s="1">
        <v>0.006858894903585933</v>
      </c>
      <c r="O923" s="1">
        <v>-0.01091210128612863</v>
      </c>
      <c r="P923" s="1">
        <v>-0.01320199609623207</v>
      </c>
      <c r="Q923" s="1">
        <v>0.01725873109380682</v>
      </c>
      <c r="R923" s="1">
        <v>-0.02013420635809016</v>
      </c>
      <c r="S923" s="1">
        <v>-0.009783253570977424</v>
      </c>
      <c r="T923" s="1">
        <v>0.0008165158930175664</v>
      </c>
      <c r="U923" s="1">
        <v>0.003403186430023686</v>
      </c>
      <c r="V923" s="1">
        <v>-0.003083010806470554</v>
      </c>
      <c r="W923" s="1">
        <v>-0.01229702573806923</v>
      </c>
      <c r="X923" s="1">
        <v>-0.03022205120470822</v>
      </c>
      <c r="Y923" s="1">
        <v>-0.002063383413592912</v>
      </c>
      <c r="Z923" s="1">
        <v>-0.0316380066074039</v>
      </c>
    </row>
    <row r="924" spans="1:26">
      <c r="A924" s="11">
        <v>43712</v>
      </c>
      <c r="B924" s="1">
        <v>0.02942543476460324</v>
      </c>
      <c r="C924" s="1">
        <v>0.005953321159860803</v>
      </c>
      <c r="D924" s="1">
        <v>-0.00318951838321524</v>
      </c>
      <c r="E924" s="1">
        <v>0.001665276405089511</v>
      </c>
      <c r="F924" s="1">
        <v>0.03737418444514318</v>
      </c>
      <c r="G924" s="1">
        <v>-0.004949080361229763</v>
      </c>
      <c r="H924" s="1">
        <v>-0.007924427869615114</v>
      </c>
      <c r="I924" s="1">
        <v>0.005966879589971885</v>
      </c>
      <c r="J924" s="1">
        <v>0.01157001523306067</v>
      </c>
      <c r="K924" s="1">
        <v>0.009283536468615683</v>
      </c>
      <c r="L924" s="1">
        <v>0.01206729689972263</v>
      </c>
      <c r="M924" s="1">
        <v>0.01401311859143117</v>
      </c>
      <c r="N924" s="1">
        <v>0.005903623348830322</v>
      </c>
      <c r="O924" s="1">
        <v>0.0118420280031033</v>
      </c>
      <c r="P924" s="1">
        <v>0.01168786335952299</v>
      </c>
      <c r="Q924" s="1">
        <v>0.004990141029645789</v>
      </c>
      <c r="R924" s="1">
        <v>0.0189914299047802</v>
      </c>
      <c r="S924" s="1">
        <v>0.007324242774357392</v>
      </c>
      <c r="T924" s="1">
        <v>0.01420741140526149</v>
      </c>
      <c r="U924" s="1">
        <v>0.009609677273096473</v>
      </c>
      <c r="V924" s="1">
        <v>0.006091190451874118</v>
      </c>
      <c r="W924" s="1">
        <v>0.008359059355577569</v>
      </c>
      <c r="X924" s="1">
        <v>0.01856075608910546</v>
      </c>
      <c r="Y924" s="1">
        <v>0.002412323546228556</v>
      </c>
      <c r="Z924" s="1">
        <v>0.005529014108305308</v>
      </c>
    </row>
    <row r="925" spans="1:26">
      <c r="A925" s="11">
        <v>43713</v>
      </c>
      <c r="B925" s="1">
        <v>0.02858443228803265</v>
      </c>
      <c r="C925" s="1">
        <v>0.01057412789124124</v>
      </c>
      <c r="D925" s="1">
        <v>0.004685735871974739</v>
      </c>
      <c r="E925" s="1">
        <v>0.008104974212253646</v>
      </c>
      <c r="F925" s="1">
        <v>0.01955227321335284</v>
      </c>
      <c r="G925" s="1">
        <v>-0.005683591075927419</v>
      </c>
      <c r="H925" s="1">
        <v>-0.009984685249450842</v>
      </c>
      <c r="I925" s="1">
        <v>0.03018780803050047</v>
      </c>
      <c r="J925" s="1">
        <v>0.02995649319104365</v>
      </c>
      <c r="K925" s="1">
        <v>0.01061311646808516</v>
      </c>
      <c r="L925" s="1">
        <v>0.02275428306061755</v>
      </c>
      <c r="M925" s="1">
        <v>0.008061495023955034</v>
      </c>
      <c r="N925" s="1">
        <v>-0.01015809702708026</v>
      </c>
      <c r="O925" s="1">
        <v>0.01080319112498196</v>
      </c>
      <c r="P925" s="1">
        <v>0.01758310844398592</v>
      </c>
      <c r="Q925" s="1">
        <v>-0.01787483091757136</v>
      </c>
      <c r="R925" s="1">
        <v>0.04185774251467955</v>
      </c>
      <c r="S925" s="1">
        <v>-0.022001943310058</v>
      </c>
      <c r="T925" s="1">
        <v>-0.0002802898722138458</v>
      </c>
      <c r="U925" s="1">
        <v>0.004759390124208451</v>
      </c>
      <c r="V925" s="1">
        <v>0.01099097329026888</v>
      </c>
      <c r="W925" s="1">
        <v>0.02840169613636667</v>
      </c>
      <c r="X925" s="1">
        <v>0.04139472966981983</v>
      </c>
      <c r="Y925" s="1">
        <v>0.007047093638537172</v>
      </c>
      <c r="Z925" s="1">
        <v>0.02824307754244959</v>
      </c>
    </row>
    <row r="926" spans="1:26">
      <c r="A926" s="11">
        <v>43714</v>
      </c>
      <c r="B926" s="1">
        <v>-0.01411551848109172</v>
      </c>
      <c r="C926" s="1">
        <v>0.007493752135578013</v>
      </c>
      <c r="D926" s="1">
        <v>0.02127162550861206</v>
      </c>
      <c r="E926" s="1">
        <v>-0.004947217406736981</v>
      </c>
      <c r="F926" s="1">
        <v>-0.001293031279277823</v>
      </c>
      <c r="G926" s="1">
        <v>0.01822077458204174</v>
      </c>
      <c r="H926" s="1">
        <v>0.008068173343787288</v>
      </c>
      <c r="I926" s="1">
        <v>0.001407268902300141</v>
      </c>
      <c r="J926" s="1">
        <v>0.01004765233393723</v>
      </c>
      <c r="K926" s="1">
        <v>-0.0007002616003713991</v>
      </c>
      <c r="L926" s="1">
        <v>0.002135655046009211</v>
      </c>
      <c r="M926" s="1">
        <v>-0.007235378848857055</v>
      </c>
      <c r="N926" s="1">
        <v>0</v>
      </c>
      <c r="O926" s="1">
        <v>-0.001385488885048303</v>
      </c>
      <c r="P926" s="1">
        <v>-0.00678293563145993</v>
      </c>
      <c r="Q926" s="1">
        <v>-0.01145939318098188</v>
      </c>
      <c r="R926" s="1">
        <v>0.00205275534884608</v>
      </c>
      <c r="S926" s="1">
        <v>-0.002942726570798526</v>
      </c>
      <c r="T926" s="1">
        <v>0.0004113468286326416</v>
      </c>
      <c r="U926" s="1">
        <v>0.01003102726907956</v>
      </c>
      <c r="V926" s="1">
        <v>0.01206947326502927</v>
      </c>
      <c r="W926" s="1">
        <v>0.003502690363399674</v>
      </c>
      <c r="X926" s="1">
        <v>0.004104499364594671</v>
      </c>
      <c r="Y926" s="1">
        <v>0.008021704919774608</v>
      </c>
      <c r="Z926" s="1">
        <v>-0.004861479132233781</v>
      </c>
    </row>
    <row r="927" spans="1:26">
      <c r="A927" s="11">
        <v>43717</v>
      </c>
      <c r="B927" s="1">
        <v>0.05816585866248558</v>
      </c>
      <c r="C927" s="1">
        <v>-0.01162538373523192</v>
      </c>
      <c r="D927" s="1">
        <v>-0.02873694013332728</v>
      </c>
      <c r="E927" s="1">
        <v>-0.003729147203848426</v>
      </c>
      <c r="F927" s="1">
        <v>0.001510346129237616</v>
      </c>
      <c r="G927" s="1">
        <v>0.009824580156009732</v>
      </c>
      <c r="H927" s="1">
        <v>-0.008670843191487032</v>
      </c>
      <c r="I927" s="1">
        <v>0.01175536112433639</v>
      </c>
      <c r="J927" s="1">
        <v>-0.004711929096624212</v>
      </c>
      <c r="K927" s="1">
        <v>0.001634642690946597</v>
      </c>
      <c r="L927" s="1">
        <v>0.02477567468810871</v>
      </c>
      <c r="M927" s="1">
        <v>0.01802841775025499</v>
      </c>
      <c r="N927" s="1">
        <v>0.004333138336516607</v>
      </c>
      <c r="O927" s="1">
        <v>-0.01030591165216987</v>
      </c>
      <c r="P927" s="1">
        <v>-0.0113589977361801</v>
      </c>
      <c r="Q927" s="1">
        <v>-0.01431982702935453</v>
      </c>
      <c r="R927" s="1">
        <v>0.03116768113244284</v>
      </c>
      <c r="S927" s="1">
        <v>-0.01044656536406863</v>
      </c>
      <c r="T927" s="1">
        <v>-0.02189828704813046</v>
      </c>
      <c r="U927" s="1">
        <v>0.01489626525258281</v>
      </c>
      <c r="V927" s="1">
        <v>-0.01729641461377851</v>
      </c>
      <c r="W927" s="1">
        <v>-0.01026931019716792</v>
      </c>
      <c r="X927" s="1">
        <v>0.03162664722207231</v>
      </c>
      <c r="Y927" s="1">
        <v>-0.006772683426521042</v>
      </c>
      <c r="Z927" s="1">
        <v>0.03492922500188467</v>
      </c>
    </row>
    <row r="928" spans="1:26">
      <c r="A928" s="11">
        <v>43718</v>
      </c>
      <c r="B928" s="1">
        <v>0.002113959748464955</v>
      </c>
      <c r="C928" s="1">
        <v>0.02985120870603297</v>
      </c>
      <c r="D928" s="1">
        <v>-0.0147934937852674</v>
      </c>
      <c r="E928" s="1">
        <v>0.009773258232656401</v>
      </c>
      <c r="F928" s="1">
        <v>0.0006463764347655054</v>
      </c>
      <c r="G928" s="1">
        <v>0.01841545797958011</v>
      </c>
      <c r="H928" s="1">
        <v>0.02915524090106048</v>
      </c>
      <c r="I928" s="1">
        <v>0.0358677085400243</v>
      </c>
      <c r="J928" s="1">
        <v>0.007426902303214078</v>
      </c>
      <c r="K928" s="1">
        <v>0.00186534916619352</v>
      </c>
      <c r="L928" s="1">
        <v>0.01273834909234872</v>
      </c>
      <c r="M928" s="1">
        <v>0.005651898254163346</v>
      </c>
      <c r="N928" s="1">
        <v>0.004541371371617586</v>
      </c>
      <c r="O928" s="1">
        <v>-0.0179236647885852</v>
      </c>
      <c r="P928" s="1">
        <v>-0.01047109020219417</v>
      </c>
      <c r="Q928" s="1">
        <v>0.00207537350955711</v>
      </c>
      <c r="R928" s="1">
        <v>0.02043405795279196</v>
      </c>
      <c r="S928" s="1">
        <v>-0.01887682995206375</v>
      </c>
      <c r="T928" s="1">
        <v>-0.002485599331336186</v>
      </c>
      <c r="U928" s="1">
        <v>0.02147328679166605</v>
      </c>
      <c r="V928" s="1">
        <v>0.008152087121144236</v>
      </c>
      <c r="W928" s="1">
        <v>-0.008629360050316004</v>
      </c>
      <c r="X928" s="1">
        <v>0.04754964806420259</v>
      </c>
      <c r="Y928" s="1">
        <v>0.01789978905465284</v>
      </c>
      <c r="Z928" s="1">
        <v>0.03044614031075943</v>
      </c>
    </row>
    <row r="929" spans="1:26">
      <c r="A929" s="11">
        <v>43719</v>
      </c>
      <c r="B929" s="1">
        <v>0.0122362605635522</v>
      </c>
      <c r="C929" s="1">
        <v>0.03640153310958283</v>
      </c>
      <c r="D929" s="1">
        <v>0.009312099437173593</v>
      </c>
      <c r="E929" s="1">
        <v>0.01400321841605434</v>
      </c>
      <c r="F929" s="1">
        <v>-0.001076526587930449</v>
      </c>
      <c r="G929" s="1">
        <v>0.03752970325601779</v>
      </c>
      <c r="H929" s="1">
        <v>0.0167788460962679</v>
      </c>
      <c r="I929" s="1">
        <v>0.006766795200477738</v>
      </c>
      <c r="J929" s="1">
        <v>0.003686398406413049</v>
      </c>
      <c r="K929" s="1">
        <v>0.026762725469895</v>
      </c>
      <c r="L929" s="1">
        <v>0.002738212993943501</v>
      </c>
      <c r="M929" s="1">
        <v>0.02491563919634521</v>
      </c>
      <c r="N929" s="1">
        <v>0.01084973013793178</v>
      </c>
      <c r="O929" s="1">
        <v>0.006627629109314137</v>
      </c>
      <c r="P929" s="1">
        <v>0.0002939530985608396</v>
      </c>
      <c r="Q929" s="1">
        <v>0.005868225983965747</v>
      </c>
      <c r="R929" s="1">
        <v>0.005701582614048517</v>
      </c>
      <c r="S929" s="1">
        <v>0.006814574010415964</v>
      </c>
      <c r="T929" s="1">
        <v>0.01086774326240536</v>
      </c>
      <c r="U929" s="1">
        <v>0.03086734138361069</v>
      </c>
      <c r="V929" s="1">
        <v>0.001286271733227373</v>
      </c>
      <c r="W929" s="1">
        <v>0.01879109530913792</v>
      </c>
      <c r="X929" s="1">
        <v>0.01891287868656355</v>
      </c>
      <c r="Y929" s="1">
        <v>0.007034084738799296</v>
      </c>
      <c r="Z929" s="1">
        <v>0.01122292986725304</v>
      </c>
    </row>
    <row r="930" spans="1:26">
      <c r="A930" s="11">
        <v>43720</v>
      </c>
      <c r="B930" s="1">
        <v>-0.006252476836363985</v>
      </c>
      <c r="C930" s="1">
        <v>-0.01908908762329464</v>
      </c>
      <c r="D930" s="1">
        <v>0.01280106473869358</v>
      </c>
      <c r="E930" s="1">
        <v>0.007514113999896432</v>
      </c>
      <c r="F930" s="1">
        <v>0.01228461851007068</v>
      </c>
      <c r="G930" s="1">
        <v>-0.0174284551639915</v>
      </c>
      <c r="H930" s="1">
        <v>0.01050171593166249</v>
      </c>
      <c r="I930" s="1">
        <v>-0.01144428001259323</v>
      </c>
      <c r="J930" s="1">
        <v>-0.01626447727794378</v>
      </c>
      <c r="K930" s="1">
        <v>0.004080228374509831</v>
      </c>
      <c r="L930" s="1">
        <v>0.006143684035067931</v>
      </c>
      <c r="M930" s="1">
        <v>0.004935004856297498</v>
      </c>
      <c r="N930" s="1">
        <v>-0.005814154315090359</v>
      </c>
      <c r="O930" s="1">
        <v>0.009622177067215576</v>
      </c>
      <c r="P930" s="1">
        <v>0.01028491778855112</v>
      </c>
      <c r="Q930" s="1">
        <v>-0.0010296198055183</v>
      </c>
      <c r="R930" s="1">
        <v>-0.01562528596417667</v>
      </c>
      <c r="S930" s="1">
        <v>-0.0004404846034627985</v>
      </c>
      <c r="T930" s="1">
        <v>0.0218996806968228</v>
      </c>
      <c r="U930" s="1">
        <v>-0.009292860630526811</v>
      </c>
      <c r="V930" s="1">
        <v>-0.0002753482867415835</v>
      </c>
      <c r="W930" s="1">
        <v>0.000101817640069779</v>
      </c>
      <c r="X930" s="1">
        <v>-0.005277599555317147</v>
      </c>
      <c r="Y930" s="1">
        <v>0.004988980534727405</v>
      </c>
      <c r="Z930" s="1">
        <v>0.01087213962530709</v>
      </c>
    </row>
    <row r="931" spans="1:26">
      <c r="A931" s="11">
        <v>43721</v>
      </c>
      <c r="B931" s="1">
        <v>0.02097284887643736</v>
      </c>
      <c r="C931" s="1">
        <v>0.0109947896616589</v>
      </c>
      <c r="D931" s="1">
        <v>-0.01013417068279476</v>
      </c>
      <c r="E931" s="1">
        <v>-0.00362821892607279</v>
      </c>
      <c r="F931" s="1">
        <v>-0.001916528794600136</v>
      </c>
      <c r="G931" s="1">
        <v>-0.001003692693163583</v>
      </c>
      <c r="H931" s="1">
        <v>-0.01845189559209603</v>
      </c>
      <c r="I931" s="1">
        <v>0.01323044432546627</v>
      </c>
      <c r="J931" s="1">
        <v>0.01759996321373114</v>
      </c>
      <c r="K931" s="1">
        <v>0</v>
      </c>
      <c r="L931" s="1">
        <v>0.01967632016619691</v>
      </c>
      <c r="M931" s="1">
        <v>0.01473276722611394</v>
      </c>
      <c r="N931" s="1">
        <v>-0.03690962491150385</v>
      </c>
      <c r="O931" s="1">
        <v>0.001605042604268858</v>
      </c>
      <c r="P931" s="1">
        <v>-0.001454021439559083</v>
      </c>
      <c r="Q931" s="1">
        <v>-0.002404455350685786</v>
      </c>
      <c r="R931" s="1">
        <v>0.004776133709433195</v>
      </c>
      <c r="S931" s="1">
        <v>-0.02456114345521265</v>
      </c>
      <c r="T931" s="1">
        <v>0.004768399636889686</v>
      </c>
      <c r="U931" s="1">
        <v>-0.01224570850701057</v>
      </c>
      <c r="V931" s="1">
        <v>-0.008720491181506751</v>
      </c>
      <c r="W931" s="1">
        <v>0.009085112358306002</v>
      </c>
      <c r="X931" s="1">
        <v>0.01002177364258783</v>
      </c>
      <c r="Y931" s="1">
        <v>-0.007777457543091337</v>
      </c>
      <c r="Z931" s="1">
        <v>0.003136565768371957</v>
      </c>
    </row>
    <row r="932" spans="1:26">
      <c r="A932" s="11">
        <v>43724</v>
      </c>
      <c r="B932" s="1">
        <v>0.1688580741083898</v>
      </c>
      <c r="C932" s="1">
        <v>-0.002396288423977877</v>
      </c>
      <c r="D932" s="1">
        <v>-0.0001150428777698664</v>
      </c>
      <c r="E932" s="1">
        <v>0.0008093765113459384</v>
      </c>
      <c r="F932" s="1">
        <v>-0.0130117587130717</v>
      </c>
      <c r="G932" s="1">
        <v>0.01641532387597366</v>
      </c>
      <c r="H932" s="1">
        <v>0.009939658167307019</v>
      </c>
      <c r="I932" s="1">
        <v>-0.005017556303514525</v>
      </c>
      <c r="J932" s="1">
        <v>-0.0110064481070381</v>
      </c>
      <c r="K932" s="1">
        <v>-0.007493532030625971</v>
      </c>
      <c r="L932" s="1">
        <v>-0.008899726229984473</v>
      </c>
      <c r="M932" s="1">
        <v>0.0003585404792201263</v>
      </c>
      <c r="N932" s="1">
        <v>-0.01428224726597382</v>
      </c>
      <c r="O932" s="1">
        <v>0.001903057363942251</v>
      </c>
      <c r="P932" s="1">
        <v>-0.007209552799267716</v>
      </c>
      <c r="Q932" s="1">
        <v>0</v>
      </c>
      <c r="R932" s="1">
        <v>-0.008108485130777443</v>
      </c>
      <c r="S932" s="1">
        <v>0.01601957752463501</v>
      </c>
      <c r="T932" s="1">
        <v>-0.02590798645895964</v>
      </c>
      <c r="U932" s="1">
        <v>-0.01582690869818948</v>
      </c>
      <c r="V932" s="1">
        <v>-0.009537447941119659</v>
      </c>
      <c r="W932" s="1">
        <v>-0.007160519357992445</v>
      </c>
      <c r="X932" s="1">
        <v>0.0233462901018473</v>
      </c>
      <c r="Y932" s="1">
        <v>-0.007671744747407283</v>
      </c>
      <c r="Z932" s="1">
        <v>0.009158037505135219</v>
      </c>
    </row>
    <row r="933" spans="1:26">
      <c r="A933" s="11">
        <v>43725</v>
      </c>
      <c r="B933" s="1">
        <v>-0.08541301836100057</v>
      </c>
      <c r="C933" s="1">
        <v>0.01412178139415232</v>
      </c>
      <c r="D933" s="1">
        <v>0.007477853929716893</v>
      </c>
      <c r="E933" s="1">
        <v>0.00545793232041869</v>
      </c>
      <c r="F933" s="1">
        <v>0.008645070912605579</v>
      </c>
      <c r="G933" s="1">
        <v>-0.01417280657062392</v>
      </c>
      <c r="H933" s="1">
        <v>-0.001069699466507812</v>
      </c>
      <c r="I933" s="1">
        <v>-0.003645357704371577</v>
      </c>
      <c r="J933" s="1">
        <v>0</v>
      </c>
      <c r="K933" s="1">
        <v>0.003431822168759258</v>
      </c>
      <c r="L933" s="1">
        <v>-0.004951257451176305</v>
      </c>
      <c r="M933" s="1">
        <v>-0.0014332729881541</v>
      </c>
      <c r="N933" s="1">
        <v>-0.002414547362677322</v>
      </c>
      <c r="O933" s="1">
        <v>0.01429583655733824</v>
      </c>
      <c r="P933" s="1">
        <v>0.007775055117795304</v>
      </c>
      <c r="Q933" s="1">
        <v>0.01342941290671695</v>
      </c>
      <c r="R933" s="1">
        <v>-0.0008453871213869313</v>
      </c>
      <c r="S933" s="1">
        <v>0.0140691232164456</v>
      </c>
      <c r="T933" s="1">
        <v>0.01901415768101655</v>
      </c>
      <c r="U933" s="1">
        <v>-0.004020329716797111</v>
      </c>
      <c r="V933" s="1">
        <v>0.00299146281537821</v>
      </c>
      <c r="W933" s="1">
        <v>-0.008871541818304407</v>
      </c>
      <c r="X933" s="1">
        <v>0.004562486346925132</v>
      </c>
      <c r="Y933" s="1">
        <v>0.006218609684366827</v>
      </c>
      <c r="Z933" s="1">
        <v>-0.0141654585683294</v>
      </c>
    </row>
    <row r="934" spans="1:26">
      <c r="A934" s="11">
        <v>43726</v>
      </c>
      <c r="B934" s="1">
        <v>-0.02267478062698902</v>
      </c>
      <c r="C934" s="1">
        <v>0.005752188847258921</v>
      </c>
      <c r="D934" s="1">
        <v>-0.00148433230495626</v>
      </c>
      <c r="E934" s="1">
        <v>0.002412085434196687</v>
      </c>
      <c r="F934" s="1">
        <v>0.005785156468744113</v>
      </c>
      <c r="G934" s="1">
        <v>0.002005911795589954</v>
      </c>
      <c r="H934" s="1">
        <v>-0.002356030102653173</v>
      </c>
      <c r="I934" s="1">
        <v>0.008476200965514824</v>
      </c>
      <c r="J934" s="1">
        <v>-0.008478828377711967</v>
      </c>
      <c r="K934" s="1">
        <v>0.005699908641221718</v>
      </c>
      <c r="L934" s="1">
        <v>0.01003600493126378</v>
      </c>
      <c r="M934" s="1">
        <v>0.008971658554654427</v>
      </c>
      <c r="N934" s="1">
        <v>-0.01137750770189538</v>
      </c>
      <c r="O934" s="1">
        <v>0.001576799312237309</v>
      </c>
      <c r="P934" s="1">
        <v>0.008224612607671045</v>
      </c>
      <c r="Q934" s="1">
        <v>0.001359326204621869</v>
      </c>
      <c r="R934" s="1">
        <v>-0.001974965036169118</v>
      </c>
      <c r="S934" s="1">
        <v>-0.001435152567669795</v>
      </c>
      <c r="T934" s="1">
        <v>0.009897441740126744</v>
      </c>
      <c r="U934" s="1">
        <v>-0.01076466599460091</v>
      </c>
      <c r="V934" s="1">
        <v>-0.002889742843216414</v>
      </c>
      <c r="W934" s="1">
        <v>0.007686935704812381</v>
      </c>
      <c r="X934" s="1">
        <v>-0.01040866268500329</v>
      </c>
      <c r="Y934" s="1">
        <v>0.001001938744805475</v>
      </c>
      <c r="Z934" s="1">
        <v>0.01212408609841575</v>
      </c>
    </row>
    <row r="935" spans="1:26">
      <c r="A935" s="11">
        <v>43727</v>
      </c>
      <c r="B935" s="1">
        <v>0.0129768012145417</v>
      </c>
      <c r="C935" s="1">
        <v>-0.005098224263852424</v>
      </c>
      <c r="D935" s="1">
        <v>0.0002287437864512132</v>
      </c>
      <c r="E935" s="1">
        <v>0.004212102331339729</v>
      </c>
      <c r="F935" s="1">
        <v>-0.005538844374931573</v>
      </c>
      <c r="G935" s="1">
        <v>0.002335943388467765</v>
      </c>
      <c r="H935" s="1">
        <v>0.0006440028574676848</v>
      </c>
      <c r="I935" s="1">
        <v>-0.005683924605682344</v>
      </c>
      <c r="J935" s="1">
        <v>0.002137849827734017</v>
      </c>
      <c r="K935" s="1">
        <v>-0.001813442500134821</v>
      </c>
      <c r="L935" s="1">
        <v>-0.003172873011613508</v>
      </c>
      <c r="M935" s="1">
        <v>-0.02045170441289124</v>
      </c>
      <c r="N935" s="1">
        <v>-0.01762994481726388</v>
      </c>
      <c r="O935" s="1">
        <v>0.006101259267754289</v>
      </c>
      <c r="P935" s="1">
        <v>0.01840874877724485</v>
      </c>
      <c r="Q935" s="1">
        <v>-0.0010180903568624</v>
      </c>
      <c r="R935" s="1">
        <v>-0.005653611750266574</v>
      </c>
      <c r="S935" s="1">
        <v>-0.0003195624964196231</v>
      </c>
      <c r="T935" s="1">
        <v>0.01278463348928316</v>
      </c>
      <c r="U935" s="1">
        <v>0.01060956604247743</v>
      </c>
      <c r="V935" s="1">
        <v>0.008413856524597252</v>
      </c>
      <c r="W935" s="1">
        <v>0.0009832965062819277</v>
      </c>
      <c r="X935" s="1">
        <v>-0.01644660224611638</v>
      </c>
      <c r="Y935" s="1">
        <v>0.0008342717701648183</v>
      </c>
      <c r="Z935" s="1">
        <v>-0.01109172937873137</v>
      </c>
    </row>
    <row r="936" spans="1:26">
      <c r="A936" s="11">
        <v>43728</v>
      </c>
      <c r="B936" s="1">
        <v>0.001552555730213179</v>
      </c>
      <c r="C936" s="1">
        <v>-0.0131359694320542</v>
      </c>
      <c r="D936" s="1">
        <v>-0.0006861729980033315</v>
      </c>
      <c r="E936" s="1">
        <v>0.009985926765314623</v>
      </c>
      <c r="F936" s="1">
        <v>-0.006855353243225726</v>
      </c>
      <c r="G936" s="1">
        <v>0.009653499632735985</v>
      </c>
      <c r="H936" s="1">
        <v>0.003218263503350416</v>
      </c>
      <c r="I936" s="1">
        <v>-0.00224990653138879</v>
      </c>
      <c r="J936" s="1">
        <v>-0.01493354825178106</v>
      </c>
      <c r="K936" s="1">
        <v>-0.00272570265957528</v>
      </c>
      <c r="L936" s="1">
        <v>-0.004020807424015893</v>
      </c>
      <c r="M936" s="1">
        <v>-0.01071184039341855</v>
      </c>
      <c r="N936" s="1">
        <v>0.01719835564946859</v>
      </c>
      <c r="O936" s="1">
        <v>-0.01310656341300798</v>
      </c>
      <c r="P936" s="1">
        <v>-0.01155433426724461</v>
      </c>
      <c r="Q936" s="1">
        <v>0.00135894588305252</v>
      </c>
      <c r="R936" s="1">
        <v>-0.0004265598019909111</v>
      </c>
      <c r="S936" s="1">
        <v>-0.01034395948911782</v>
      </c>
      <c r="T936" s="1">
        <v>0.001382339218547246</v>
      </c>
      <c r="U936" s="1">
        <v>0.02045771744044278</v>
      </c>
      <c r="V936" s="1">
        <v>-0.01112461521099029</v>
      </c>
      <c r="W936" s="1">
        <v>0.003658091234558736</v>
      </c>
      <c r="X936" s="1">
        <v>-0.009721934157154499</v>
      </c>
      <c r="Y936" s="1">
        <v>0.005168458459763769</v>
      </c>
      <c r="Z936" s="1">
        <v>-0.001570204829769328</v>
      </c>
    </row>
    <row r="937" spans="1:26">
      <c r="A937" s="11">
        <v>43731</v>
      </c>
      <c r="B937" s="1">
        <v>0.01472885473084129</v>
      </c>
      <c r="C937" s="1">
        <v>-0.006220587417809953</v>
      </c>
      <c r="D937" s="1">
        <v>-0.006407166272544118</v>
      </c>
      <c r="E937" s="1">
        <v>-0.0009884407948440588</v>
      </c>
      <c r="F937" s="1">
        <v>-0.003019717943777422</v>
      </c>
      <c r="G937" s="1">
        <v>0.002308064918919772</v>
      </c>
      <c r="H937" s="1">
        <v>-0.002138804421470852</v>
      </c>
      <c r="I937" s="1">
        <v>0.006948345256039268</v>
      </c>
      <c r="J937" s="1">
        <v>0.002706970643907791</v>
      </c>
      <c r="K937" s="1">
        <v>0.007515420757289837</v>
      </c>
      <c r="L937" s="1">
        <v>-0.0001683518884205704</v>
      </c>
      <c r="M937" s="1">
        <v>-0.0001833168179241618</v>
      </c>
      <c r="N937" s="1">
        <v>0.001715354245168221</v>
      </c>
      <c r="O937" s="1">
        <v>0.002180494082591355</v>
      </c>
      <c r="P937" s="1">
        <v>-0.002151466400023061</v>
      </c>
      <c r="Q937" s="1">
        <v>0.004748879227392866</v>
      </c>
      <c r="R937" s="1">
        <v>0.0008530653939771149</v>
      </c>
      <c r="S937" s="1">
        <v>-0.009483222875409925</v>
      </c>
      <c r="T937" s="1">
        <v>-0.01614774177984712</v>
      </c>
      <c r="U937" s="1">
        <v>-0.008177381145950235</v>
      </c>
      <c r="V937" s="1">
        <v>0.01978043803898921</v>
      </c>
      <c r="W937" s="1">
        <v>-0.01984283324157332</v>
      </c>
      <c r="X937" s="1">
        <v>-0.003730609707428001</v>
      </c>
      <c r="Y937" s="1">
        <v>-0.001327053422268798</v>
      </c>
      <c r="Z937" s="1">
        <v>-0.004717914238740684</v>
      </c>
    </row>
    <row r="938" spans="1:26">
      <c r="A938" s="11">
        <v>43732</v>
      </c>
      <c r="B938" s="1">
        <v>-0.03055777743439647</v>
      </c>
      <c r="C938" s="1">
        <v>0.01225369857031722</v>
      </c>
      <c r="D938" s="1">
        <v>-0.004491322484995952</v>
      </c>
      <c r="E938" s="1">
        <v>-0.01009527861789727</v>
      </c>
      <c r="F938" s="1">
        <v>-0.01103443661873038</v>
      </c>
      <c r="G938" s="1">
        <v>0.001644788909267225</v>
      </c>
      <c r="H938" s="1">
        <v>-0.0109298154503451</v>
      </c>
      <c r="I938" s="1">
        <v>0.004539722701112137</v>
      </c>
      <c r="J938" s="1">
        <v>-0.01997812761886486</v>
      </c>
      <c r="K938" s="1">
        <v>-0.01763099068904628</v>
      </c>
      <c r="L938" s="1">
        <v>-0.01303820419807922</v>
      </c>
      <c r="M938" s="1">
        <v>0.00458875351357646</v>
      </c>
      <c r="N938" s="1">
        <v>-0.003669258322093083</v>
      </c>
      <c r="O938" s="1">
        <v>-0.005834730253523213</v>
      </c>
      <c r="P938" s="1">
        <v>-0.01264914266040773</v>
      </c>
      <c r="Q938" s="1">
        <v>0.01147857504908756</v>
      </c>
      <c r="R938" s="1">
        <v>-0.03111661644891717</v>
      </c>
      <c r="S938" s="1">
        <v>0.009533211476727255</v>
      </c>
      <c r="T938" s="1">
        <v>0.001569130379758255</v>
      </c>
      <c r="U938" s="1">
        <v>-0.005850797041564659</v>
      </c>
      <c r="V938" s="1">
        <v>-0.01222647569923907</v>
      </c>
      <c r="W938" s="1">
        <v>-0.01821314974421284</v>
      </c>
      <c r="X938" s="1">
        <v>-0.002956302674854361</v>
      </c>
      <c r="Y938" s="1">
        <v>0.004982826410637076</v>
      </c>
      <c r="Z938" s="1">
        <v>-0.01196364819802798</v>
      </c>
    </row>
    <row r="939" spans="1:26">
      <c r="A939" s="11">
        <v>43733</v>
      </c>
      <c r="B939" s="1">
        <v>0.005516432231744695</v>
      </c>
      <c r="C939" s="1">
        <v>0.01192194605564767</v>
      </c>
      <c r="D939" s="1">
        <v>0.004048759029777749</v>
      </c>
      <c r="E939" s="1">
        <v>-0.003399377334204368</v>
      </c>
      <c r="F939" s="1">
        <v>0.002625557124825706</v>
      </c>
      <c r="G939" s="1">
        <v>0.005254590718314578</v>
      </c>
      <c r="H939" s="1">
        <v>0.008883955042380709</v>
      </c>
      <c r="I939" s="1">
        <v>-0.004639610646709036</v>
      </c>
      <c r="J939" s="1">
        <v>0.01432490855516311</v>
      </c>
      <c r="K939" s="1">
        <v>0.005522500691875321</v>
      </c>
      <c r="L939" s="1">
        <v>0.005710508993177044</v>
      </c>
      <c r="M939" s="1">
        <v>0.001644298447699644</v>
      </c>
      <c r="N939" s="1">
        <v>-0.004173904191083322</v>
      </c>
      <c r="O939" s="1">
        <v>-0.001392655292717593</v>
      </c>
      <c r="P939" s="1">
        <v>0.01441257766543025</v>
      </c>
      <c r="Q939" s="1">
        <v>0.003671837914469123</v>
      </c>
      <c r="R939" s="1">
        <v>0.003226401279345703</v>
      </c>
      <c r="S939" s="1">
        <v>-0.007223711432302382</v>
      </c>
      <c r="T939" s="1">
        <v>0.00376028237995496</v>
      </c>
      <c r="U939" s="1">
        <v>0</v>
      </c>
      <c r="V939" s="1">
        <v>-0.006049499723294383</v>
      </c>
      <c r="W939" s="1">
        <v>-0.009924524276973656</v>
      </c>
      <c r="X939" s="1">
        <v>0.008697209180127174</v>
      </c>
      <c r="Y939" s="1">
        <v>-0.003966402547602721</v>
      </c>
      <c r="Z939" s="1">
        <v>0.01370799302252501</v>
      </c>
    </row>
    <row r="940" spans="1:26">
      <c r="A940" s="11">
        <v>43734</v>
      </c>
      <c r="B940" s="1">
        <v>-0.009796363809813746</v>
      </c>
      <c r="C940" s="1">
        <v>0.001786656031695033</v>
      </c>
      <c r="D940" s="1">
        <v>0.01071451699602988</v>
      </c>
      <c r="E940" s="1">
        <v>0.002608456074062016</v>
      </c>
      <c r="F940" s="1">
        <v>-0.02029257887849301</v>
      </c>
      <c r="G940" s="1">
        <v>-0.01600775722439018</v>
      </c>
      <c r="H940" s="1">
        <v>0.003006780709001511</v>
      </c>
      <c r="I940" s="1">
        <v>0.007385196092520641</v>
      </c>
      <c r="J940" s="1">
        <v>0.0005433053526184839</v>
      </c>
      <c r="K940" s="1">
        <v>-0.002517278087037056</v>
      </c>
      <c r="L940" s="1">
        <v>-0.008220361019525058</v>
      </c>
      <c r="M940" s="1">
        <v>-0.004377852235616819</v>
      </c>
      <c r="N940" s="1">
        <v>0.002465552427301398</v>
      </c>
      <c r="O940" s="1">
        <v>-0.001195332637658808</v>
      </c>
      <c r="P940" s="1">
        <v>0.001291946937835409</v>
      </c>
      <c r="Q940" s="1">
        <v>0.01629487697263365</v>
      </c>
      <c r="R940" s="1">
        <v>0.005115973605376967</v>
      </c>
      <c r="S940" s="1">
        <v>0.001910754940548154</v>
      </c>
      <c r="T940" s="1">
        <v>0.006996906755955212</v>
      </c>
      <c r="U940" s="1">
        <v>0</v>
      </c>
      <c r="V940" s="1">
        <v>-0.004774992024369817</v>
      </c>
      <c r="W940" s="1">
        <v>0.01600992696323811</v>
      </c>
      <c r="X940" s="1">
        <v>-0.01273764456395199</v>
      </c>
      <c r="Y940" s="1">
        <v>0.002820806029171452</v>
      </c>
      <c r="Z940" s="1">
        <v>-0.009240376943198347</v>
      </c>
    </row>
    <row r="941" spans="1:26">
      <c r="A941" s="11">
        <v>43735</v>
      </c>
      <c r="B941" s="1">
        <v>0.01701620599670783</v>
      </c>
      <c r="C941" s="1">
        <v>-0.01041644884756066</v>
      </c>
      <c r="D941" s="1">
        <v>-0.02051760855527485</v>
      </c>
      <c r="E941" s="1">
        <v>0.005003056108541681</v>
      </c>
      <c r="F941" s="1">
        <v>-0.002004552731811216</v>
      </c>
      <c r="G941" s="1">
        <v>-0.003984081755622593</v>
      </c>
      <c r="H941" s="1">
        <v>0.00364011517331253</v>
      </c>
      <c r="I941" s="1">
        <v>0.003682131829593649</v>
      </c>
      <c r="J941" s="1">
        <v>0.005971846807877323</v>
      </c>
      <c r="K941" s="1">
        <v>0.001835376968979396</v>
      </c>
      <c r="L941" s="1">
        <v>0.005895717110012688</v>
      </c>
      <c r="M941" s="1">
        <v>-0.004397332112929808</v>
      </c>
      <c r="N941" s="1">
        <v>-0.01303476426588002</v>
      </c>
      <c r="O941" s="1">
        <v>-0.005086350446627308</v>
      </c>
      <c r="P941" s="1">
        <v>-0.01297118041370127</v>
      </c>
      <c r="Q941" s="1">
        <v>-0.01734267453679961</v>
      </c>
      <c r="R941" s="1">
        <v>0.003635758548331536</v>
      </c>
      <c r="S941" s="1">
        <v>-0.005923761671590144</v>
      </c>
      <c r="T941" s="1">
        <v>-0.007422118048611148</v>
      </c>
      <c r="U941" s="1">
        <v>0.001337418674128843</v>
      </c>
      <c r="V941" s="1">
        <v>-0.001599300656000224</v>
      </c>
      <c r="W941" s="1">
        <v>0.001917462591807473</v>
      </c>
      <c r="X941" s="1">
        <v>-0.02342186028581505</v>
      </c>
      <c r="Y941" s="1">
        <v>-0.002316437994110743</v>
      </c>
      <c r="Z941" s="1">
        <v>0.009098906647953653</v>
      </c>
    </row>
    <row r="942" spans="1:26">
      <c r="A942" s="11">
        <v>43738</v>
      </c>
      <c r="B942" s="1">
        <v>-0.003891029798108736</v>
      </c>
      <c r="C942" s="1">
        <v>-0.006242521068438034</v>
      </c>
      <c r="D942" s="1">
        <v>0.01792127461221815</v>
      </c>
      <c r="E942" s="1">
        <v>0.009757013971583905</v>
      </c>
      <c r="F942" s="1">
        <v>0.006025737103205087</v>
      </c>
      <c r="G942" s="1">
        <v>0.005999988768531805</v>
      </c>
      <c r="H942" s="1">
        <v>0.001067052582240491</v>
      </c>
      <c r="I942" s="1">
        <v>0.01455576397459768</v>
      </c>
      <c r="J942" s="1">
        <v>0.0210469133328004</v>
      </c>
      <c r="K942" s="1">
        <v>0.005037613538947605</v>
      </c>
      <c r="L942" s="1">
        <v>-0.0002545509782505562</v>
      </c>
      <c r="M942" s="1">
        <v>-0.006072853916358478</v>
      </c>
      <c r="N942" s="1">
        <v>0.0191874794106901</v>
      </c>
      <c r="O942" s="1">
        <v>0.002907200057946202</v>
      </c>
      <c r="P942" s="1">
        <v>0.009438376147337113</v>
      </c>
      <c r="Q942" s="1">
        <v>-0.003662799109353743</v>
      </c>
      <c r="R942" s="1">
        <v>0.01449077698848078</v>
      </c>
      <c r="S942" s="1">
        <v>0.001061138778766013</v>
      </c>
      <c r="T942" s="1">
        <v>0.01027005427867755</v>
      </c>
      <c r="U942" s="1">
        <v>0.01095394760457458</v>
      </c>
      <c r="V942" s="1">
        <v>0.00744443610171297</v>
      </c>
      <c r="W942" s="1">
        <v>0.0134652637811814</v>
      </c>
      <c r="X942" s="1">
        <v>-0.004878171632802353</v>
      </c>
      <c r="Y942" s="1">
        <v>0.0009946994742586757</v>
      </c>
      <c r="Z942" s="1">
        <v>0.003607071859874633</v>
      </c>
    </row>
    <row r="943" spans="1:26">
      <c r="A943" s="11">
        <v>43739</v>
      </c>
      <c r="B943" s="1">
        <v>-0.05195309665003145</v>
      </c>
      <c r="C943" s="1">
        <v>-0.01453456191876445</v>
      </c>
      <c r="D943" s="1">
        <v>-0.01783432383888983</v>
      </c>
      <c r="E943" s="1">
        <v>-0.001183370185898092</v>
      </c>
      <c r="F943" s="1">
        <v>-0.007800323921882124</v>
      </c>
      <c r="G943" s="1">
        <v>-0.009609100918194446</v>
      </c>
      <c r="H943" s="1">
        <v>-0.002131510934256009</v>
      </c>
      <c r="I943" s="1">
        <v>-0.01885230498481238</v>
      </c>
      <c r="J943" s="1">
        <v>-0.01744195481695465</v>
      </c>
      <c r="K943" s="1">
        <v>-0.02141695098809682</v>
      </c>
      <c r="L943" s="1">
        <v>-0.01818352434079262</v>
      </c>
      <c r="M943" s="1">
        <v>-0.01184948324367541</v>
      </c>
      <c r="N943" s="1">
        <v>0.006356745130901231</v>
      </c>
      <c r="O943" s="1">
        <v>-0.01749127794920424</v>
      </c>
      <c r="P943" s="1">
        <v>-0.0140974975366146</v>
      </c>
      <c r="Q943" s="1">
        <v>-0.006350633110836834</v>
      </c>
      <c r="R943" s="1">
        <v>-0.03528085285159122</v>
      </c>
      <c r="S943" s="1">
        <v>-0.02058943776093047</v>
      </c>
      <c r="T943" s="1">
        <v>-0.009111014652315563</v>
      </c>
      <c r="U943" s="1">
        <v>-0.01136376596684652</v>
      </c>
      <c r="V943" s="1">
        <v>-0.009073089390482347</v>
      </c>
      <c r="W943" s="1">
        <v>-0.01328635944654211</v>
      </c>
      <c r="X943" s="1">
        <v>-0.02165020665466855</v>
      </c>
      <c r="Y943" s="1">
        <v>-0.008448952239816676</v>
      </c>
      <c r="Z943" s="1">
        <v>-0.03481594478034222</v>
      </c>
    </row>
    <row r="944" spans="1:26">
      <c r="A944" s="11">
        <v>43740</v>
      </c>
      <c r="B944" s="1">
        <v>-0.04408750885498636</v>
      </c>
      <c r="C944" s="1">
        <v>-0.0202166653064314</v>
      </c>
      <c r="D944" s="1">
        <v>-0.01955566973427192</v>
      </c>
      <c r="E944" s="1">
        <v>-0.02843036060746651</v>
      </c>
      <c r="F944" s="1">
        <v>-0.01055698004983219</v>
      </c>
      <c r="G944" s="1">
        <v>-0.02576128866976757</v>
      </c>
      <c r="H944" s="1">
        <v>-0.01409661364976578</v>
      </c>
      <c r="I944" s="1">
        <v>-0.01359503329062939</v>
      </c>
      <c r="J944" s="1">
        <v>0</v>
      </c>
      <c r="K944" s="1">
        <v>-0.02537801834711884</v>
      </c>
      <c r="L944" s="1">
        <v>-0.01990479608479756</v>
      </c>
      <c r="M944" s="1">
        <v>-0.02492030640916421</v>
      </c>
      <c r="N944" s="1">
        <v>-0.02308039548357599</v>
      </c>
      <c r="O944" s="1">
        <v>-0.02258412485894146</v>
      </c>
      <c r="P944" s="1">
        <v>-0.01765524232072702</v>
      </c>
      <c r="Q944" s="1">
        <v>-0.01076334267634182</v>
      </c>
      <c r="R944" s="1">
        <v>-0.01954373669242904</v>
      </c>
      <c r="S944" s="1">
        <v>0.008575338652021758</v>
      </c>
      <c r="T944" s="1">
        <v>-0.007065939679576472</v>
      </c>
      <c r="U944" s="1">
        <v>-0.008821148554832625</v>
      </c>
      <c r="V944" s="1">
        <v>-0.00736267695252546</v>
      </c>
      <c r="W944" s="1">
        <v>-0.02738349246981009</v>
      </c>
      <c r="X944" s="1">
        <v>-0.02505218032666112</v>
      </c>
      <c r="Y944" s="1">
        <v>-0.01570574800409708</v>
      </c>
      <c r="Z944" s="1">
        <v>-0.01652326466492848</v>
      </c>
    </row>
    <row r="945" spans="1:26">
      <c r="A945" s="11">
        <v>43741</v>
      </c>
      <c r="B945" s="1">
        <v>0.007327863505671495</v>
      </c>
      <c r="C945" s="1">
        <v>0.01282127146733991</v>
      </c>
      <c r="D945" s="1">
        <v>0.01199117913329717</v>
      </c>
      <c r="E945" s="1">
        <v>0.01536909216138271</v>
      </c>
      <c r="F945" s="1">
        <v>0.0002268573139621033</v>
      </c>
      <c r="G945" s="1">
        <v>-0.007554677577323199</v>
      </c>
      <c r="H945" s="1">
        <v>0.01321492064780605</v>
      </c>
      <c r="I945" s="1">
        <v>0.009678247530996886</v>
      </c>
      <c r="J945" s="1">
        <v>-0.01022020655128875</v>
      </c>
      <c r="K945" s="1">
        <v>0.004060589484169208</v>
      </c>
      <c r="L945" s="1">
        <v>-0.001424083987474178</v>
      </c>
      <c r="M945" s="1">
        <v>0.004227341045905497</v>
      </c>
      <c r="N945" s="1">
        <v>0.0149215071437685</v>
      </c>
      <c r="O945" s="1">
        <v>0.004787789105763496</v>
      </c>
      <c r="P945" s="1">
        <v>0.01210529179659181</v>
      </c>
      <c r="Q945" s="1">
        <v>-0.001360331902711676</v>
      </c>
      <c r="R945" s="1">
        <v>0.01162812389651746</v>
      </c>
      <c r="S945" s="1">
        <v>0.0147762409862493</v>
      </c>
      <c r="T945" s="1">
        <v>0.004029272131166328</v>
      </c>
      <c r="U945" s="1">
        <v>0.002966478040519194</v>
      </c>
      <c r="V945" s="1">
        <v>0.01388358313123605</v>
      </c>
      <c r="W945" s="1">
        <v>0.01209153170007937</v>
      </c>
      <c r="X945" s="1">
        <v>0.01199132455169827</v>
      </c>
      <c r="Y945" s="1">
        <v>0.001697433043814867</v>
      </c>
      <c r="Z945" s="1">
        <v>0.01017524554651561</v>
      </c>
    </row>
    <row r="946" spans="1:26">
      <c r="A946" s="11">
        <v>43742</v>
      </c>
      <c r="B946" s="1">
        <v>-0.05177594639973582</v>
      </c>
      <c r="C946" s="1">
        <v>0.009756206055971717</v>
      </c>
      <c r="D946" s="1">
        <v>0.01642421607236622</v>
      </c>
      <c r="E946" s="1">
        <v>0.02421785028210932</v>
      </c>
      <c r="F946" s="1">
        <v>0.01475263401263183</v>
      </c>
      <c r="G946" s="1">
        <v>0.01211054869477901</v>
      </c>
      <c r="H946" s="1">
        <v>0.01218741740969898</v>
      </c>
      <c r="I946" s="1">
        <v>0.01735125370968427</v>
      </c>
      <c r="J946" s="1">
        <v>-0.09565237822172845</v>
      </c>
      <c r="K946" s="1">
        <v>0.009755083539644049</v>
      </c>
      <c r="L946" s="1">
        <v>0.02165962859488935</v>
      </c>
      <c r="M946" s="1">
        <v>0.0101415863173504</v>
      </c>
      <c r="N946" s="1">
        <v>0.02058320597457719</v>
      </c>
      <c r="O946" s="1">
        <v>0.01885251235268526</v>
      </c>
      <c r="P946" s="1">
        <v>0.01350200178280248</v>
      </c>
      <c r="Q946" s="1">
        <v>0.008852731684775961</v>
      </c>
      <c r="R946" s="1">
        <v>0.01268827869296918</v>
      </c>
      <c r="S946" s="1">
        <v>0.003904825348227448</v>
      </c>
      <c r="T946" s="1">
        <v>0.01040179456339141</v>
      </c>
      <c r="U946" s="1">
        <v>0.008604568419554592</v>
      </c>
      <c r="V946" s="1">
        <v>0.02326000563354547</v>
      </c>
      <c r="W946" s="1">
        <v>0.0331905529717853</v>
      </c>
      <c r="X946" s="1">
        <v>0.00613628010267897</v>
      </c>
      <c r="Y946" s="1">
        <v>0.01508194060549961</v>
      </c>
      <c r="Z946" s="1">
        <v>0.01194644549376966</v>
      </c>
    </row>
    <row r="947" spans="1:26">
      <c r="A947" s="11">
        <v>43745</v>
      </c>
      <c r="B947" s="1">
        <v>-0.0342962178691727</v>
      </c>
      <c r="C947" s="1">
        <v>0.002235862080415263</v>
      </c>
      <c r="D947" s="1">
        <v>-0.009810481217183864</v>
      </c>
      <c r="E947" s="1">
        <v>0.002561577962701511</v>
      </c>
      <c r="F947" s="1">
        <v>-0.002683656719334571</v>
      </c>
      <c r="G947" s="1">
        <v>-0.01435876590010465</v>
      </c>
      <c r="H947" s="1">
        <v>-0.007182018631665565</v>
      </c>
      <c r="I947" s="1">
        <v>-0.006798105439794533</v>
      </c>
      <c r="J947" s="1">
        <v>0.009615259708627422</v>
      </c>
      <c r="K947" s="1">
        <v>-0.004712414099414142</v>
      </c>
      <c r="L947" s="1">
        <v>-0.00218088427333829</v>
      </c>
      <c r="M947" s="1">
        <v>0.004735894773607141</v>
      </c>
      <c r="N947" s="1">
        <v>0.01248487198902759</v>
      </c>
      <c r="O947" s="1">
        <v>-0.007422007066293035</v>
      </c>
      <c r="P947" s="1">
        <v>-0.007240403580889843</v>
      </c>
      <c r="Q947" s="1">
        <v>-0.01012479441070802</v>
      </c>
      <c r="R947" s="1">
        <v>-0.001621415034990692</v>
      </c>
      <c r="S947" s="1">
        <v>-0.0008103065360227646</v>
      </c>
      <c r="T947" s="1">
        <v>0.0008017610336681358</v>
      </c>
      <c r="U947" s="1">
        <v>0.00399900228458594</v>
      </c>
      <c r="V947" s="1">
        <v>-0.01054074683661099</v>
      </c>
      <c r="W947" s="1">
        <v>-0.01074190789996565</v>
      </c>
      <c r="X947" s="1">
        <v>0.0008413219534206817</v>
      </c>
      <c r="Y947" s="1">
        <v>0.00584311262122994</v>
      </c>
      <c r="Z947" s="1">
        <v>0.005555501517337191</v>
      </c>
    </row>
    <row r="948" spans="1:26">
      <c r="A948" s="11">
        <v>43746</v>
      </c>
      <c r="B948" s="1">
        <v>-0.05373814888186346</v>
      </c>
      <c r="C948" s="1">
        <v>-0.006480064534947982</v>
      </c>
      <c r="D948" s="1">
        <v>-0.009092483172740917</v>
      </c>
      <c r="E948" s="1">
        <v>-0.01021983797365766</v>
      </c>
      <c r="F948" s="1">
        <v>-0.01076518241971514</v>
      </c>
      <c r="G948" s="1">
        <v>-0.02254602723630539</v>
      </c>
      <c r="H948" s="1">
        <v>-0.004893801447049761</v>
      </c>
      <c r="I948" s="1">
        <v>-0.009486685027516151</v>
      </c>
      <c r="J948" s="1">
        <v>-0.02976195132321513</v>
      </c>
      <c r="K948" s="1">
        <v>-0.02201682900319513</v>
      </c>
      <c r="L948" s="1">
        <v>-0.02229613011500309</v>
      </c>
      <c r="M948" s="1">
        <v>-0.000188801655458315</v>
      </c>
      <c r="N948" s="1">
        <v>-0.004030909917743575</v>
      </c>
      <c r="O948" s="1">
        <v>-0.02437768472734936</v>
      </c>
      <c r="P948" s="1">
        <v>-0.01057453817129872</v>
      </c>
      <c r="Q948" s="1">
        <v>-0.01704742092034905</v>
      </c>
      <c r="R948" s="1">
        <v>-0.01727447154376216</v>
      </c>
      <c r="S948" s="1">
        <v>0.0008109636651811858</v>
      </c>
      <c r="T948" s="1">
        <v>-0.006081033975345873</v>
      </c>
      <c r="U948" s="1">
        <v>-0.004779731999004055</v>
      </c>
      <c r="V948" s="1">
        <v>0.00528045078936179</v>
      </c>
      <c r="W948" s="1">
        <v>-0.05958661538211685</v>
      </c>
      <c r="X948" s="1">
        <v>-0.02626605666306037</v>
      </c>
      <c r="Y948" s="1">
        <v>-0.008796784873394414</v>
      </c>
      <c r="Z948" s="1">
        <v>-0.02831483780756838</v>
      </c>
    </row>
    <row r="949" spans="1:26">
      <c r="A949" s="11">
        <v>43747</v>
      </c>
      <c r="B949" s="1">
        <v>0.01382706446374038</v>
      </c>
      <c r="C949" s="1">
        <v>0.002298828184486901</v>
      </c>
      <c r="D949" s="1">
        <v>0.02223307811946018</v>
      </c>
      <c r="E949" s="1">
        <v>0.009332547801700342</v>
      </c>
      <c r="F949" s="1">
        <v>0.00612109410125683</v>
      </c>
      <c r="G949" s="1">
        <v>-0.001419753192581585</v>
      </c>
      <c r="H949" s="1">
        <v>0.008832528608692769</v>
      </c>
      <c r="I949" s="1">
        <v>0.008850037951100065</v>
      </c>
      <c r="J949" s="1">
        <v>0.006135069635221591</v>
      </c>
      <c r="K949" s="1">
        <v>0.0070197180445426</v>
      </c>
      <c r="L949" s="1">
        <v>0.007243656330164994</v>
      </c>
      <c r="M949" s="1">
        <v>0.008674442586671827</v>
      </c>
      <c r="N949" s="1">
        <v>0.01095213875375056</v>
      </c>
      <c r="O949" s="1">
        <v>0.003884563897224469</v>
      </c>
      <c r="P949" s="1">
        <v>0.01894299518607045</v>
      </c>
      <c r="Q949" s="1">
        <v>0.007284254866953166</v>
      </c>
      <c r="R949" s="1">
        <v>0.004957788042381228</v>
      </c>
      <c r="S949" s="1">
        <v>0.002066053936354839</v>
      </c>
      <c r="T949" s="1">
        <v>0.01780419296472546</v>
      </c>
      <c r="U949" s="1">
        <v>0.006663060921415997</v>
      </c>
      <c r="V949" s="1">
        <v>0.0169553287190336</v>
      </c>
      <c r="W949" s="1">
        <v>0.01684272283690502</v>
      </c>
      <c r="X949" s="1">
        <v>0.009063381891040168</v>
      </c>
      <c r="Y949" s="1">
        <v>0.001946096952018417</v>
      </c>
      <c r="Z949" s="1">
        <v>0.004975333304193086</v>
      </c>
    </row>
    <row r="950" spans="1:26">
      <c r="A950" s="11">
        <v>43748</v>
      </c>
      <c r="B950" s="1">
        <v>-0.004870783745582918</v>
      </c>
      <c r="C950" s="1">
        <v>-0.01056109475347178</v>
      </c>
      <c r="D950" s="1">
        <v>0.008170269066085867</v>
      </c>
      <c r="E950" s="1">
        <v>-0.0009837320502767977</v>
      </c>
      <c r="F950" s="1">
        <v>0.002704059512128376</v>
      </c>
      <c r="G950" s="1">
        <v>0.0007109678914631878</v>
      </c>
      <c r="H950" s="1">
        <v>0.01046322464192073</v>
      </c>
      <c r="I950" s="1">
        <v>0.008231760222359386</v>
      </c>
      <c r="J950" s="1">
        <v>-0.02256118497838155</v>
      </c>
      <c r="K950" s="1">
        <v>0.004567211378404323</v>
      </c>
      <c r="L950" s="1">
        <v>0.01402815244531475</v>
      </c>
      <c r="M950" s="1">
        <v>0.003364911338877397</v>
      </c>
      <c r="N950" s="1">
        <v>0.01224685496302103</v>
      </c>
      <c r="O950" s="1">
        <v>0.01119117428889327</v>
      </c>
      <c r="P950" s="1">
        <v>0.00622130096538287</v>
      </c>
      <c r="Q950" s="1">
        <v>-0.001033247828295947</v>
      </c>
      <c r="R950" s="1">
        <v>0.006428158091685177</v>
      </c>
      <c r="S950" s="1">
        <v>-0.002546893028509412</v>
      </c>
      <c r="T950" s="1">
        <v>0.005471021376860064</v>
      </c>
      <c r="U950" s="1">
        <v>0.009986708775866049</v>
      </c>
      <c r="V950" s="1">
        <v>0.001902658847640071</v>
      </c>
      <c r="W950" s="1">
        <v>0.01500849269938276</v>
      </c>
      <c r="X950" s="1">
        <v>0.01497006776476351</v>
      </c>
      <c r="Y950" s="1">
        <v>0.01030030168510732</v>
      </c>
      <c r="Z950" s="1">
        <v>0.01862322871022259</v>
      </c>
    </row>
    <row r="951" spans="1:26">
      <c r="A951" s="11">
        <v>43749</v>
      </c>
      <c r="B951" s="1">
        <v>0.04845793515907837</v>
      </c>
      <c r="C951" s="1">
        <v>0.0105661224733371</v>
      </c>
      <c r="D951" s="1">
        <v>0.004794199922437015</v>
      </c>
      <c r="E951" s="1">
        <v>0.01634499055489136</v>
      </c>
      <c r="F951" s="1">
        <v>0.02359531935619397</v>
      </c>
      <c r="G951" s="1">
        <v>0.003906356924893606</v>
      </c>
      <c r="H951" s="1">
        <v>-0.009509709133642463</v>
      </c>
      <c r="I951" s="1">
        <v>0.01877236176298824</v>
      </c>
      <c r="J951" s="1">
        <v>0.01310062939533974</v>
      </c>
      <c r="K951" s="1">
        <v>0.02225443871481558</v>
      </c>
      <c r="L951" s="1">
        <v>0.01689871634220474</v>
      </c>
      <c r="M951" s="1">
        <v>0.004658321650622854</v>
      </c>
      <c r="N951" s="1">
        <v>-0.009539549656443991</v>
      </c>
      <c r="O951" s="1">
        <v>0.008936645830646572</v>
      </c>
      <c r="P951" s="1">
        <v>0.004169021774319104</v>
      </c>
      <c r="Q951" s="1">
        <v>0.004481294021200455</v>
      </c>
      <c r="R951" s="1">
        <v>0.02644090427147683</v>
      </c>
      <c r="S951" s="1">
        <v>-0.002999716565476152</v>
      </c>
      <c r="T951" s="1">
        <v>-0.01555393417321405</v>
      </c>
      <c r="U951" s="1">
        <v>0.004275840199393866</v>
      </c>
      <c r="V951" s="1">
        <v>0.0113957784607297</v>
      </c>
      <c r="W951" s="1">
        <v>0.010617634514692</v>
      </c>
      <c r="X951" s="1">
        <v>0.029498621461993</v>
      </c>
      <c r="Y951" s="1">
        <v>0.00167137864737632</v>
      </c>
      <c r="Z951" s="1">
        <v>0.02036549170450241</v>
      </c>
    </row>
    <row r="952" spans="1:26">
      <c r="A952" s="11">
        <v>43752</v>
      </c>
      <c r="B952" s="1">
        <v>0.02427659405145244</v>
      </c>
      <c r="C952" s="1">
        <v>-0.004641134060185181</v>
      </c>
      <c r="D952" s="1">
        <v>-0.009428849285902485</v>
      </c>
      <c r="E952" s="1">
        <v>-0.0009689613318490942</v>
      </c>
      <c r="F952" s="1">
        <v>-0.00702528102867872</v>
      </c>
      <c r="G952" s="1">
        <v>-0.01344185849447299</v>
      </c>
      <c r="H952" s="1">
        <v>-0.0008532845689754875</v>
      </c>
      <c r="I952" s="1">
        <v>-0.01181636236988493</v>
      </c>
      <c r="J952" s="1">
        <v>0.01847313142068896</v>
      </c>
      <c r="K952" s="1">
        <v>-0.01123601267757912</v>
      </c>
      <c r="L952" s="1">
        <v>0.002669299883244269</v>
      </c>
      <c r="M952" s="1">
        <v>0.002039897045890138</v>
      </c>
      <c r="N952" s="1">
        <v>0.003523515041652603</v>
      </c>
      <c r="O952" s="1">
        <v>0.0003092133708610945</v>
      </c>
      <c r="P952" s="1">
        <v>-0.0009303480870413994</v>
      </c>
      <c r="Q952" s="1">
        <v>-0.02059017319858314</v>
      </c>
      <c r="R952" s="1">
        <v>0.005499485912994428</v>
      </c>
      <c r="S952" s="1">
        <v>-0.002561494269254894</v>
      </c>
      <c r="T952" s="1">
        <v>0.0006181120653649952</v>
      </c>
      <c r="U952" s="1">
        <v>-0.002927150818589408</v>
      </c>
      <c r="V952" s="1">
        <v>-0.006080700856464172</v>
      </c>
      <c r="W952" s="1">
        <v>0.00215044708971468</v>
      </c>
      <c r="X952" s="1">
        <v>0.01412188366654532</v>
      </c>
      <c r="Y952" s="1">
        <v>-0.005506167464918499</v>
      </c>
      <c r="Z952" s="1">
        <v>0.001360894318882311</v>
      </c>
    </row>
    <row r="953" spans="1:26">
      <c r="A953" s="11">
        <v>43753</v>
      </c>
      <c r="B953" s="1">
        <v>0.01093890741704651</v>
      </c>
      <c r="C953" s="1">
        <v>-0.00594886040371656</v>
      </c>
      <c r="D953" s="1">
        <v>0.00619238848253123</v>
      </c>
      <c r="E953" s="1">
        <v>0.005236711231923374</v>
      </c>
      <c r="F953" s="1">
        <v>0.009728227555024782</v>
      </c>
      <c r="G953" s="1">
        <v>0.01039800531472546</v>
      </c>
      <c r="H953" s="1">
        <v>-0.00469776136274469</v>
      </c>
      <c r="I953" s="1">
        <v>0.02196147374965207</v>
      </c>
      <c r="J953" s="1">
        <v>0.01632372347879452</v>
      </c>
      <c r="K953" s="1">
        <v>-0.0009471734274442145</v>
      </c>
      <c r="L953" s="1">
        <v>0.03014155218240688</v>
      </c>
      <c r="M953" s="1">
        <v>0.002406196519499915</v>
      </c>
      <c r="N953" s="1">
        <v>0.01662020592616509</v>
      </c>
      <c r="O953" s="1">
        <v>0.005765948147359978</v>
      </c>
      <c r="P953" s="1">
        <v>0.01447545404553252</v>
      </c>
      <c r="Q953" s="1">
        <v>-0.01401572510339066</v>
      </c>
      <c r="R953" s="1">
        <v>0.0125218516990615</v>
      </c>
      <c r="S953" s="1">
        <v>-0.009945615085575565</v>
      </c>
      <c r="T953" s="1">
        <v>0.01551726320540037</v>
      </c>
      <c r="U953" s="1">
        <v>0.0114757999033297</v>
      </c>
      <c r="V953" s="1">
        <v>0.006657548097238175</v>
      </c>
      <c r="W953" s="1">
        <v>0.006226995455819617</v>
      </c>
      <c r="X953" s="1">
        <v>0.02179632773892193</v>
      </c>
      <c r="Y953" s="1">
        <v>0.01593960462214539</v>
      </c>
      <c r="Z953" s="1">
        <v>0.01381668199872244</v>
      </c>
    </row>
    <row r="954" spans="1:26">
      <c r="A954" s="11">
        <v>43754</v>
      </c>
      <c r="B954" s="1">
        <v>-0.01893600096310977</v>
      </c>
      <c r="C954" s="1">
        <v>0.00396267134624706</v>
      </c>
      <c r="D954" s="1">
        <v>-0.008206032594400003</v>
      </c>
      <c r="E954" s="1">
        <v>-0.006173798076714809</v>
      </c>
      <c r="F954" s="1">
        <v>-0.001532759042365273</v>
      </c>
      <c r="G954" s="1">
        <v>0.01561376358013655</v>
      </c>
      <c r="H954" s="1">
        <v>0.01201442705789368</v>
      </c>
      <c r="I954" s="1">
        <v>-0.009151747050588299</v>
      </c>
      <c r="J954" s="1">
        <v>0.01368256347527885</v>
      </c>
      <c r="K954" s="1">
        <v>-0.004739422607791366</v>
      </c>
      <c r="L954" s="1">
        <v>-0.002334050792452413</v>
      </c>
      <c r="M954" s="1">
        <v>-0.009047454029669333</v>
      </c>
      <c r="N954" s="1">
        <v>0.001841945153299607</v>
      </c>
      <c r="O954" s="1">
        <v>0.005323593871798815</v>
      </c>
      <c r="P954" s="1">
        <v>-0.008194057660443788</v>
      </c>
      <c r="Q954" s="1">
        <v>-0.00604097138772175</v>
      </c>
      <c r="R954" s="1">
        <v>-0.003980144743938707</v>
      </c>
      <c r="S954" s="1">
        <v>-0.003458353087777422</v>
      </c>
      <c r="T954" s="1">
        <v>0.009572610471587861</v>
      </c>
      <c r="U954" s="1">
        <v>-0.002902330915726337</v>
      </c>
      <c r="V954" s="1">
        <v>0.00268129449289578</v>
      </c>
      <c r="W954" s="1">
        <v>-0.0190894662223603</v>
      </c>
      <c r="X954" s="1">
        <v>-0.003160337036746785</v>
      </c>
      <c r="Y954" s="1">
        <v>-0.004294208293376678</v>
      </c>
      <c r="Z954" s="1">
        <v>-0.002234097459264506</v>
      </c>
    </row>
    <row r="955" spans="1:26">
      <c r="A955" s="11">
        <v>43755</v>
      </c>
      <c r="B955" s="1">
        <v>0.01654419786413119</v>
      </c>
      <c r="C955" s="1">
        <v>-0.009048587874907144</v>
      </c>
      <c r="D955" s="1">
        <v>0.009538488272755608</v>
      </c>
      <c r="E955" s="1">
        <v>0.0176665783525034</v>
      </c>
      <c r="F955" s="1">
        <v>0.007237049880743252</v>
      </c>
      <c r="G955" s="1">
        <v>0.003144527807170006</v>
      </c>
      <c r="H955" s="1">
        <v>0.01674794816346559</v>
      </c>
      <c r="I955" s="1">
        <v>0.006313276646660926</v>
      </c>
      <c r="J955" s="1">
        <v>-0.004694882716225091</v>
      </c>
      <c r="K955" s="1">
        <v>0.01380973419706977</v>
      </c>
      <c r="L955" s="1">
        <v>0.005598288045590705</v>
      </c>
      <c r="M955" s="1">
        <v>0.003540524061185657</v>
      </c>
      <c r="N955" s="1">
        <v>0.0176973142613599</v>
      </c>
      <c r="O955" s="1">
        <v>0.002545679637493858</v>
      </c>
      <c r="P955" s="1">
        <v>-0.00512775468880744</v>
      </c>
      <c r="Q955" s="1">
        <v>-0.0007150976262224606</v>
      </c>
      <c r="R955" s="1">
        <v>0.01013279133388556</v>
      </c>
      <c r="S955" s="1">
        <v>-0.005618754119236069</v>
      </c>
      <c r="T955" s="1">
        <v>-0.006557213699232678</v>
      </c>
      <c r="U955" s="1">
        <v>0.0005294056596258923</v>
      </c>
      <c r="V955" s="1">
        <v>0.009269874896360886</v>
      </c>
      <c r="W955" s="1">
        <v>0.003671495485397358</v>
      </c>
      <c r="X955" s="1">
        <v>-0.05389354324176776</v>
      </c>
      <c r="Y955" s="1">
        <v>0.001990576254512266</v>
      </c>
      <c r="Z955" s="1">
        <v>-0.01388265685027312</v>
      </c>
    </row>
    <row r="956" spans="1:26">
      <c r="A956" s="11">
        <v>43756</v>
      </c>
      <c r="B956" s="1">
        <v>0.01446669556799129</v>
      </c>
      <c r="C956" s="1">
        <v>-0.06790231191519602</v>
      </c>
      <c r="D956" s="1">
        <v>0.001593438843577655</v>
      </c>
      <c r="E956" s="1">
        <v>0.01163633788329332</v>
      </c>
      <c r="F956" s="1">
        <v>-0.007837874235608111</v>
      </c>
      <c r="G956" s="1">
        <v>-0.002438059385113878</v>
      </c>
      <c r="H956" s="1">
        <v>-0.008340260889705076</v>
      </c>
      <c r="I956" s="1">
        <v>0.01034085650121552</v>
      </c>
      <c r="J956" s="1">
        <v>-0.006485715198154995</v>
      </c>
      <c r="K956" s="1">
        <v>-0.01714421017471135</v>
      </c>
      <c r="L956" s="1">
        <v>0.001744770411230778</v>
      </c>
      <c r="M956" s="1">
        <v>-0.007055599773375443</v>
      </c>
      <c r="N956" s="1">
        <v>0.001129172370436748</v>
      </c>
      <c r="O956" s="1">
        <v>0.006094585933219321</v>
      </c>
      <c r="P956" s="1">
        <v>-0.01632185398213226</v>
      </c>
      <c r="Q956" s="1">
        <v>0.001073027776063551</v>
      </c>
      <c r="R956" s="1">
        <v>0.01780147725083991</v>
      </c>
      <c r="S956" s="1">
        <v>0.003572931051788908</v>
      </c>
      <c r="T956" s="1">
        <v>0.0005706910263485465</v>
      </c>
      <c r="U956" s="1">
        <v>0.01745532701153096</v>
      </c>
      <c r="V956" s="1">
        <v>-0.003709192635886094</v>
      </c>
      <c r="W956" s="1">
        <v>-0.0006037872380560971</v>
      </c>
      <c r="X956" s="1">
        <v>-0.03643946722610136</v>
      </c>
      <c r="Y956" s="1">
        <v>0.01059410170419839</v>
      </c>
      <c r="Z956" s="1">
        <v>0.01544064698691816</v>
      </c>
    </row>
    <row r="957" spans="1:26">
      <c r="A957" s="11">
        <v>43759</v>
      </c>
      <c r="B957" s="1">
        <v>0.02613765025646386</v>
      </c>
      <c r="C957" s="1">
        <v>-0.03761623796688629</v>
      </c>
      <c r="D957" s="1">
        <v>0.005227731363487864</v>
      </c>
      <c r="E957" s="1">
        <v>0.003205988627171141</v>
      </c>
      <c r="F957" s="1">
        <v>0.01119121740370432</v>
      </c>
      <c r="G957" s="1">
        <v>0.003491811209960671</v>
      </c>
      <c r="H957" s="1">
        <v>0.00693858744844178</v>
      </c>
      <c r="I957" s="1">
        <v>0.0006324019499734934</v>
      </c>
      <c r="J957" s="1">
        <v>0.008901965114757715</v>
      </c>
      <c r="K957" s="1">
        <v>0.01290354260325843</v>
      </c>
      <c r="L957" s="1">
        <v>0.02480106289620432</v>
      </c>
      <c r="M957" s="1">
        <v>-0.004674557963188497</v>
      </c>
      <c r="N957" s="1">
        <v>0.02774629514629079</v>
      </c>
      <c r="O957" s="1">
        <v>0.006966002270062166</v>
      </c>
      <c r="P957" s="1">
        <v>0.007422837809446747</v>
      </c>
      <c r="Q957" s="1">
        <v>0.002502076703943201</v>
      </c>
      <c r="R957" s="1">
        <v>0.01332582088318235</v>
      </c>
      <c r="S957" s="1">
        <v>0.00927360668277788</v>
      </c>
      <c r="T957" s="1">
        <v>-0.01863199835718055</v>
      </c>
      <c r="U957" s="1">
        <v>-0.006238704494506919</v>
      </c>
      <c r="V957" s="1">
        <v>0.007712061408719828</v>
      </c>
      <c r="W957" s="1">
        <v>0.007533058453558672</v>
      </c>
      <c r="X957" s="1">
        <v>0.02608102053527328</v>
      </c>
      <c r="Y957" s="1">
        <v>-0.004914120042938785</v>
      </c>
      <c r="Z957" s="1">
        <v>0.02124333769629683</v>
      </c>
    </row>
    <row r="958" spans="1:26">
      <c r="A958" s="11">
        <v>43760</v>
      </c>
      <c r="B958" s="1">
        <v>0.007905246348959727</v>
      </c>
      <c r="C958" s="1">
        <v>0.01794235925683152</v>
      </c>
      <c r="D958" s="1">
        <v>-0.01594131801511245</v>
      </c>
      <c r="E958" s="1">
        <v>0.02293212056670613</v>
      </c>
      <c r="F958" s="1">
        <v>-0.006727290747807091</v>
      </c>
      <c r="G958" s="1">
        <v>0.01913713114474369</v>
      </c>
      <c r="H958" s="1">
        <v>-0.004593781103079064</v>
      </c>
      <c r="I958" s="1">
        <v>0.006435475391857404</v>
      </c>
      <c r="J958" s="1">
        <v>0.007058822169495826</v>
      </c>
      <c r="K958" s="1">
        <v>0.00707695634440153</v>
      </c>
      <c r="L958" s="1">
        <v>0.01003645683920817</v>
      </c>
      <c r="M958" s="1">
        <v>-0.005823627811087362</v>
      </c>
      <c r="N958" s="1">
        <v>0.01712018445086194</v>
      </c>
      <c r="O958" s="1">
        <v>-0.006917812770598331</v>
      </c>
      <c r="P958" s="1">
        <v>-0.01488118229811719</v>
      </c>
      <c r="Q958" s="1">
        <v>0.007843041327867173</v>
      </c>
      <c r="R958" s="1">
        <v>0.04616462106139396</v>
      </c>
      <c r="S958" s="1">
        <v>-0.01333128315780241</v>
      </c>
      <c r="T958" s="1">
        <v>0.02994124502342399</v>
      </c>
      <c r="U958" s="1">
        <v>-0.001569310699674586</v>
      </c>
      <c r="V958" s="1">
        <v>-0.004310288399592466</v>
      </c>
      <c r="W958" s="1">
        <v>-0.008993317476150064</v>
      </c>
      <c r="X958" s="1">
        <v>-0.01207363184144483</v>
      </c>
      <c r="Y958" s="1">
        <v>0.0003296221354498474</v>
      </c>
      <c r="Z958" s="1">
        <v>0.05276950204263264</v>
      </c>
    </row>
    <row r="959" spans="1:26">
      <c r="A959" s="11">
        <v>43761</v>
      </c>
      <c r="B959" s="1">
        <v>0.02570805348450311</v>
      </c>
      <c r="C959" s="1">
        <v>0.0103857387318016</v>
      </c>
      <c r="D959" s="1">
        <v>0.01045517941694052</v>
      </c>
      <c r="E959" s="1">
        <v>0.006431584006789448</v>
      </c>
      <c r="F959" s="1">
        <v>-0.001092528711010288</v>
      </c>
      <c r="G959" s="1">
        <v>0.01058366105810293</v>
      </c>
      <c r="H959" s="1">
        <v>0.002727024957765778</v>
      </c>
      <c r="I959" s="1">
        <v>-0.000856336627719001</v>
      </c>
      <c r="J959" s="1">
        <v>0</v>
      </c>
      <c r="K959" s="1">
        <v>-0.007496076142742614</v>
      </c>
      <c r="L959" s="1">
        <v>0.002644428610194982</v>
      </c>
      <c r="M959" s="1">
        <v>0.0060468127434119</v>
      </c>
      <c r="N959" s="1">
        <v>0.008847861075527597</v>
      </c>
      <c r="O959" s="1">
        <v>-0.0006059305310605057</v>
      </c>
      <c r="P959" s="1">
        <v>0.006380033416786057</v>
      </c>
      <c r="Q959" s="1">
        <v>-0.004244715512492614</v>
      </c>
      <c r="R959" s="1">
        <v>-0.01649895738744223</v>
      </c>
      <c r="S959" s="1">
        <v>-0.0004987922768940889</v>
      </c>
      <c r="T959" s="1">
        <v>-0.005327318503379863</v>
      </c>
      <c r="U959" s="1">
        <v>-0.01126524197682366</v>
      </c>
      <c r="V959" s="1">
        <v>-0.01616750672097889</v>
      </c>
      <c r="W959" s="1">
        <v>0.05672778305342874</v>
      </c>
      <c r="X959" s="1">
        <v>0.003216266576371529</v>
      </c>
      <c r="Y959" s="1">
        <v>0.001809863920850585</v>
      </c>
      <c r="Z959" s="1">
        <v>-0.002912103184628756</v>
      </c>
    </row>
    <row r="960" spans="1:26">
      <c r="A960" s="11">
        <v>43762</v>
      </c>
      <c r="B960" s="1">
        <v>-0.01316931127170284</v>
      </c>
      <c r="C960" s="1">
        <v>0.01189417764864209</v>
      </c>
      <c r="D960" s="1">
        <v>-0.1008527366738329</v>
      </c>
      <c r="E960" s="1">
        <v>-0.007303174961521774</v>
      </c>
      <c r="F960" s="1">
        <v>-0.01924782042475959</v>
      </c>
      <c r="G960" s="1">
        <v>0.01891879901764137</v>
      </c>
      <c r="H960" s="1">
        <v>-0.01506267859912414</v>
      </c>
      <c r="I960" s="1">
        <v>-0.01651406216756535</v>
      </c>
      <c r="J960" s="1">
        <v>0</v>
      </c>
      <c r="K960" s="1">
        <v>-0.001652131918224886</v>
      </c>
      <c r="L960" s="1">
        <v>-0.0007194184232849343</v>
      </c>
      <c r="M960" s="1">
        <v>0.05728770099577374</v>
      </c>
      <c r="N960" s="1">
        <v>0.004491647802943532</v>
      </c>
      <c r="O960" s="1">
        <v>-0.002929505163583923</v>
      </c>
      <c r="P960" s="1">
        <v>0.01967311547022321</v>
      </c>
      <c r="Q960" s="1">
        <v>0.001776355458587897</v>
      </c>
      <c r="R960" s="1">
        <v>0.002529719306888278</v>
      </c>
      <c r="S960" s="1">
        <v>0.00395126705454163</v>
      </c>
      <c r="T960" s="1">
        <v>0.01805395302348489</v>
      </c>
      <c r="U960" s="1">
        <v>-0.02437740231236418</v>
      </c>
      <c r="V960" s="1">
        <v>-0.009967573553001485</v>
      </c>
      <c r="W960" s="1">
        <v>-0.01175353234389442</v>
      </c>
      <c r="X960" s="1">
        <v>-0.000854822741475858</v>
      </c>
      <c r="Y960" s="1">
        <v>-0.004927841884959983</v>
      </c>
      <c r="Z960" s="1">
        <v>-0.008969166017172459</v>
      </c>
    </row>
    <row r="961" spans="1:26">
      <c r="A961" s="11">
        <v>43763</v>
      </c>
      <c r="B961" s="1">
        <v>-0.0499353600653285</v>
      </c>
      <c r="C961" s="1">
        <v>-0.01369892723088484</v>
      </c>
      <c r="D961" s="1">
        <v>-0.02276145038875321</v>
      </c>
      <c r="E961" s="1">
        <v>0.01121936535440016</v>
      </c>
      <c r="F961" s="1">
        <v>0.01806454941365976</v>
      </c>
      <c r="G961" s="1">
        <v>-0.02055680839685181</v>
      </c>
      <c r="H961" s="1">
        <v>-0.01316896814029656</v>
      </c>
      <c r="I961" s="1">
        <v>0.00581013608760661</v>
      </c>
      <c r="J961" s="1">
        <v>0.01226631692400937</v>
      </c>
      <c r="K961" s="1">
        <v>0.0061464970725984</v>
      </c>
      <c r="L961" s="1">
        <v>0.007998165071424701</v>
      </c>
      <c r="M961" s="1">
        <v>0.007994314308420458</v>
      </c>
      <c r="N961" s="1">
        <v>-0.003407111470259294</v>
      </c>
      <c r="O961" s="1">
        <v>-0.01144845314479614</v>
      </c>
      <c r="P961" s="1">
        <v>0.005645467559492579</v>
      </c>
      <c r="Q961" s="1">
        <v>-0.005673866626148549</v>
      </c>
      <c r="R961" s="1">
        <v>0.02124826618304021</v>
      </c>
      <c r="S961" s="1">
        <v>-0.03053408352741493</v>
      </c>
      <c r="T961" s="1">
        <v>0.001533101766843847</v>
      </c>
      <c r="U961" s="1">
        <v>0.002444435033861714</v>
      </c>
      <c r="V961" s="1">
        <v>-0.01115661594192019</v>
      </c>
      <c r="W961" s="1">
        <v>0.01104122410272312</v>
      </c>
      <c r="X961" s="1">
        <v>0.01090884965921068</v>
      </c>
      <c r="Y961" s="1">
        <v>-0.003466506841691808</v>
      </c>
      <c r="Z961" s="1">
        <v>0.009261285883289228</v>
      </c>
    </row>
    <row r="962" spans="1:26">
      <c r="A962" s="11">
        <v>43766</v>
      </c>
      <c r="B962" s="1">
        <v>-0.01540547741878795</v>
      </c>
      <c r="C962" s="1">
        <v>0.003089738531649067</v>
      </c>
      <c r="D962" s="1">
        <v>0.00737560485838995</v>
      </c>
      <c r="E962" s="1">
        <v>0.01109506926953507</v>
      </c>
      <c r="F962" s="1">
        <v>-0.004600400055591036</v>
      </c>
      <c r="G962" s="1">
        <v>-0.01354115315233673</v>
      </c>
      <c r="H962" s="1">
        <v>0.002152302771843528</v>
      </c>
      <c r="I962" s="1">
        <v>0.001386207103681647</v>
      </c>
      <c r="J962" s="1">
        <v>0.01731094782230125</v>
      </c>
      <c r="K962" s="1">
        <v>0.002584396721523552</v>
      </c>
      <c r="L962" s="1">
        <v>0.003808735206513925</v>
      </c>
      <c r="M962" s="1">
        <v>0.01586175045601235</v>
      </c>
      <c r="N962" s="1">
        <v>-0.01730751410744746</v>
      </c>
      <c r="O962" s="1">
        <v>0.003074644425303141</v>
      </c>
      <c r="P962" s="1">
        <v>0.02458638420827652</v>
      </c>
      <c r="Q962" s="1">
        <v>-0.02104122059682279</v>
      </c>
      <c r="R962" s="1">
        <v>0.007932680837823503</v>
      </c>
      <c r="S962" s="1">
        <v>-0.005982641325838256</v>
      </c>
      <c r="T962" s="1">
        <v>0.005757194501722074</v>
      </c>
      <c r="U962" s="1">
        <v>0.04280674982522759</v>
      </c>
      <c r="V962" s="1">
        <v>0.006420659250765404</v>
      </c>
      <c r="W962" s="1">
        <v>0.01085376857704956</v>
      </c>
      <c r="X962" s="1">
        <v>-0.004866471867742583</v>
      </c>
      <c r="Y962" s="1">
        <v>-0.00314696183737484</v>
      </c>
      <c r="Z962" s="1">
        <v>0.01772688204080941</v>
      </c>
    </row>
    <row r="963" spans="1:26">
      <c r="A963" s="11">
        <v>43767</v>
      </c>
      <c r="B963" s="1">
        <v>0.01472606252131281</v>
      </c>
      <c r="C963" s="1">
        <v>0.02361536327934699</v>
      </c>
      <c r="D963" s="1">
        <v>0.0001284608430862644</v>
      </c>
      <c r="E963" s="1">
        <v>0.003237959553197056</v>
      </c>
      <c r="F963" s="1">
        <v>-0.001980571629089822</v>
      </c>
      <c r="G963" s="1">
        <v>-0.003431738452601252</v>
      </c>
      <c r="H963" s="1">
        <v>-0.001503429472159534</v>
      </c>
      <c r="I963" s="1">
        <v>0.004384385523294343</v>
      </c>
      <c r="J963" s="1">
        <v>-0.001701400961542698</v>
      </c>
      <c r="K963" s="1">
        <v>0.01617093987253537</v>
      </c>
      <c r="L963" s="1">
        <v>-0.0006323445462267374</v>
      </c>
      <c r="M963" s="1">
        <v>-0.007459972697660078</v>
      </c>
      <c r="N963" s="1">
        <v>0.008480092133481998</v>
      </c>
      <c r="O963" s="1">
        <v>0.04311816054687356</v>
      </c>
      <c r="P963" s="1">
        <v>-0.009432378162161137</v>
      </c>
      <c r="Q963" s="1">
        <v>-0.00510024601896153</v>
      </c>
      <c r="R963" s="1">
        <v>-0.002451294061083464</v>
      </c>
      <c r="S963" s="1">
        <v>0.009028412482536163</v>
      </c>
      <c r="T963" s="1">
        <v>0.005827704780627219</v>
      </c>
      <c r="U963" s="1">
        <v>-0.01117168720189909</v>
      </c>
      <c r="V963" s="1">
        <v>-0.01430886780127316</v>
      </c>
      <c r="W963" s="1">
        <v>-0.006502151241228327</v>
      </c>
      <c r="X963" s="1">
        <v>0.001701002690724485</v>
      </c>
      <c r="Y963" s="1">
        <v>0.0001658563706332661</v>
      </c>
      <c r="Z963" s="1">
        <v>0.01188510981335122</v>
      </c>
    </row>
    <row r="964" spans="1:26">
      <c r="A964" s="11">
        <v>43768</v>
      </c>
      <c r="B964" s="1">
        <v>-0.03129245292602534</v>
      </c>
      <c r="C964" s="1">
        <v>-0.008225188176422482</v>
      </c>
      <c r="D964" s="1">
        <v>-0.01258677052056167</v>
      </c>
      <c r="E964" s="1">
        <v>0.01972383517148257</v>
      </c>
      <c r="F964" s="1">
        <v>-0.01455356256381157</v>
      </c>
      <c r="G964" s="1">
        <v>0.001377628958706412</v>
      </c>
      <c r="H964" s="1">
        <v>-0.004732117600226293</v>
      </c>
      <c r="I964" s="1">
        <v>-0.00166568493490471</v>
      </c>
      <c r="J964" s="1">
        <v>0.001136340005434722</v>
      </c>
      <c r="K964" s="1">
        <v>-0.003459522625288036</v>
      </c>
      <c r="L964" s="1">
        <v>-0.005536840730904546</v>
      </c>
      <c r="M964" s="1">
        <v>-0.002971657558196616</v>
      </c>
      <c r="N964" s="1">
        <v>-0.009055456688724761</v>
      </c>
      <c r="O964" s="1">
        <v>0.01410511362447986</v>
      </c>
      <c r="P964" s="1">
        <v>0.01246198580788338</v>
      </c>
      <c r="Q964" s="1">
        <v>0.01475467224552851</v>
      </c>
      <c r="R964" s="1">
        <v>-0.01099359360859653</v>
      </c>
      <c r="S964" s="1">
        <v>-0.04874304018582376</v>
      </c>
      <c r="T964" s="1">
        <v>0.007943578303541088</v>
      </c>
      <c r="U964" s="1">
        <v>0.003678814812573927</v>
      </c>
      <c r="V964" s="1">
        <v>-0.002034188381912494</v>
      </c>
      <c r="W964" s="1">
        <v>0.01312291713810709</v>
      </c>
      <c r="X964" s="1">
        <v>-0.009127619052597846</v>
      </c>
      <c r="Y964" s="1">
        <v>0.01046709182850836</v>
      </c>
      <c r="Z964" s="1">
        <v>-0.003240276456380919</v>
      </c>
    </row>
    <row r="965" spans="1:26">
      <c r="A965" s="11">
        <v>43769</v>
      </c>
      <c r="B965" s="1">
        <v>0.01404485425771829</v>
      </c>
      <c r="C965" s="1">
        <v>-0.01777139935047234</v>
      </c>
      <c r="D965" s="1">
        <v>-0.002341918273735755</v>
      </c>
      <c r="E965" s="1">
        <v>0.008791824713817231</v>
      </c>
      <c r="F965" s="1">
        <v>0.002908910996232361</v>
      </c>
      <c r="G965" s="1">
        <v>-0.0003437945441900903</v>
      </c>
      <c r="H965" s="1">
        <v>0.000864563506353111</v>
      </c>
      <c r="I965" s="1">
        <v>0.001840887462330132</v>
      </c>
      <c r="J965" s="1">
        <v>-0.01418854575143125</v>
      </c>
      <c r="K965" s="1">
        <v>0.00277722597633101</v>
      </c>
      <c r="L965" s="1">
        <v>-0.006442408852963988</v>
      </c>
      <c r="M965" s="1">
        <v>-0.01595352257710847</v>
      </c>
      <c r="N965" s="1">
        <v>-0.02545709237261495</v>
      </c>
      <c r="O965" s="1">
        <v>0.0008693594756057355</v>
      </c>
      <c r="P965" s="1">
        <v>-0.008574362556084458</v>
      </c>
      <c r="Q965" s="1">
        <v>0.0192656234688009</v>
      </c>
      <c r="R965" s="1">
        <v>-0.005361398717729893</v>
      </c>
      <c r="S965" s="1">
        <v>-0.001791814779157797</v>
      </c>
      <c r="T965" s="1">
        <v>-0.02372769485154058</v>
      </c>
      <c r="U965" s="1">
        <v>0.007591162555916409</v>
      </c>
      <c r="V965" s="1">
        <v>-0.009450593420906372</v>
      </c>
      <c r="W965" s="1">
        <v>0.0003974740923233799</v>
      </c>
      <c r="X965" s="1">
        <v>-0.01263946067237887</v>
      </c>
      <c r="Y965" s="1">
        <v>-0.005754742685575631</v>
      </c>
      <c r="Z965" s="1">
        <v>-0.01523792645660638</v>
      </c>
    </row>
    <row r="966" spans="1:26">
      <c r="A966" s="11">
        <v>43770</v>
      </c>
      <c r="B966" s="1">
        <v>0.09926129631861991</v>
      </c>
      <c r="C966" s="1">
        <v>0.0155335371295906</v>
      </c>
      <c r="D966" s="1">
        <v>0.01577626578806801</v>
      </c>
      <c r="E966" s="1">
        <v>-0.003660311857109022</v>
      </c>
      <c r="F966" s="1">
        <v>-0.001561827651803571</v>
      </c>
      <c r="G966" s="1">
        <v>-0.001720040231126485</v>
      </c>
      <c r="H966" s="1">
        <v>0.004966062508974689</v>
      </c>
      <c r="I966" s="1">
        <v>0.01131299682888609</v>
      </c>
      <c r="J966" s="1">
        <v>0.02360385170105306</v>
      </c>
      <c r="K966" s="1">
        <v>0.0113081903811163</v>
      </c>
      <c r="L966" s="1">
        <v>0.02305496082579594</v>
      </c>
      <c r="M966" s="1">
        <v>0.002316023385238175</v>
      </c>
      <c r="N966" s="1">
        <v>0.006027824095608425</v>
      </c>
      <c r="O966" s="1">
        <v>0.006273024650460535</v>
      </c>
      <c r="P966" s="1">
        <v>0.002441447147706111</v>
      </c>
      <c r="Q966" s="1">
        <v>-0.01390875737613606</v>
      </c>
      <c r="R966" s="1">
        <v>0.02616377067198616</v>
      </c>
      <c r="S966" s="1">
        <v>-0.01615344599755375</v>
      </c>
      <c r="T966" s="1">
        <v>0.01278983541612377</v>
      </c>
      <c r="U966" s="1">
        <v>0.01195114588944612</v>
      </c>
      <c r="V966" s="1">
        <v>0.008511695334826541</v>
      </c>
      <c r="W966" s="1">
        <v>0.00536459216751628</v>
      </c>
      <c r="X966" s="1">
        <v>0.02408357117839643</v>
      </c>
      <c r="Y966" s="1">
        <v>-0.001653875606720367</v>
      </c>
      <c r="Z966" s="1">
        <v>0.01815551857094766</v>
      </c>
    </row>
    <row r="967" spans="1:26">
      <c r="A967" s="11">
        <v>43773</v>
      </c>
      <c r="B967" s="1">
        <v>0.02981950474631656</v>
      </c>
      <c r="C967" s="1">
        <v>0.01709197572923693</v>
      </c>
      <c r="D967" s="1">
        <v>-0.00102678482013896</v>
      </c>
      <c r="E967" s="1">
        <v>-0.009097276133477772</v>
      </c>
      <c r="F967" s="1">
        <v>-0.01921764496544653</v>
      </c>
      <c r="G967" s="1">
        <v>-0.003790672128173855</v>
      </c>
      <c r="H967" s="1">
        <v>-0.004297207805851855</v>
      </c>
      <c r="I967" s="1">
        <v>0.01697784671797686</v>
      </c>
      <c r="J967" s="1">
        <v>0.01237340584304203</v>
      </c>
      <c r="K967" s="1">
        <v>0.01460525271141844</v>
      </c>
      <c r="L967" s="1">
        <v>0.007981190571767716</v>
      </c>
      <c r="M967" s="1">
        <v>0.01279769285388377</v>
      </c>
      <c r="N967" s="1">
        <v>0.01198421508439917</v>
      </c>
      <c r="O967" s="1">
        <v>-0.01515283443249793</v>
      </c>
      <c r="P967" s="1">
        <v>0.005774745627332933</v>
      </c>
      <c r="Q967" s="1">
        <v>-0.0122964417113659</v>
      </c>
      <c r="R967" s="1">
        <v>0.01601494045683793</v>
      </c>
      <c r="S967" s="1">
        <v>-0.01432111926724555</v>
      </c>
      <c r="T967" s="1">
        <v>-0.01490588057795894</v>
      </c>
      <c r="U967" s="1">
        <v>-0.001540301265108179</v>
      </c>
      <c r="V967" s="1">
        <v>0.008810990393247842</v>
      </c>
      <c r="W967" s="1">
        <v>-0.009321526755841525</v>
      </c>
      <c r="X967" s="1">
        <v>0.02055089471597116</v>
      </c>
      <c r="Y967" s="1">
        <v>-0.008282422978363679</v>
      </c>
      <c r="Z967" s="1">
        <v>0.01742688403269499</v>
      </c>
    </row>
    <row r="968" spans="1:26">
      <c r="A968" s="11">
        <v>43774</v>
      </c>
      <c r="B968" s="1">
        <v>-0.02283849511996394</v>
      </c>
      <c r="C968" s="1">
        <v>0.02050761298100756</v>
      </c>
      <c r="D968" s="1">
        <v>-0.004497063915066435</v>
      </c>
      <c r="E968" s="1">
        <v>-0.004413851186912954</v>
      </c>
      <c r="F968" s="1">
        <v>0.00888590990260596</v>
      </c>
      <c r="G968" s="1">
        <v>-0.00588015296699862</v>
      </c>
      <c r="H968" s="1">
        <v>0.003237082649087286</v>
      </c>
      <c r="I968" s="1">
        <v>-0.001005165072658132</v>
      </c>
      <c r="J968" s="1">
        <v>0.02222258460943483</v>
      </c>
      <c r="K968" s="1">
        <v>-0.01282034477657701</v>
      </c>
      <c r="L968" s="1">
        <v>0.002173447888812019</v>
      </c>
      <c r="M968" s="1">
        <v>0.01579501352653856</v>
      </c>
      <c r="N968" s="1">
        <v>0.01425431931139931</v>
      </c>
      <c r="O968" s="1">
        <v>-0.009640843361288676</v>
      </c>
      <c r="P968" s="1">
        <v>-0.0006223872142087084</v>
      </c>
      <c r="Q968" s="1">
        <v>-0.01354785521142321</v>
      </c>
      <c r="R968" s="1">
        <v>0.0046662815421179</v>
      </c>
      <c r="S968" s="1">
        <v>-0.003932785160734475</v>
      </c>
      <c r="T968" s="1">
        <v>-0.01066540364524227</v>
      </c>
      <c r="U968" s="1">
        <v>0.007199778272242385</v>
      </c>
      <c r="V968" s="1">
        <v>0.01185996174068826</v>
      </c>
      <c r="W968" s="1">
        <v>-0.02706363597729888</v>
      </c>
      <c r="X968" s="1">
        <v>-0.01806106712286804</v>
      </c>
      <c r="Y968" s="1">
        <v>-0.006179678496882612</v>
      </c>
      <c r="Z968" s="1">
        <v>0.009958093109002641</v>
      </c>
    </row>
    <row r="969" spans="1:26">
      <c r="A969" s="11">
        <v>43775</v>
      </c>
      <c r="B969" s="1">
        <v>-0.0141901763339547</v>
      </c>
      <c r="C969" s="1">
        <v>-0.01144321702468432</v>
      </c>
      <c r="D969" s="1">
        <v>0.01148683608784618</v>
      </c>
      <c r="E969" s="1">
        <v>0.01010788176568367</v>
      </c>
      <c r="F969" s="1">
        <v>-0.001355419154124293</v>
      </c>
      <c r="G969" s="1">
        <v>0.001043585095427124</v>
      </c>
      <c r="H969" s="1">
        <v>0.002366058800113091</v>
      </c>
      <c r="I969" s="1">
        <v>-0.01648773929850178</v>
      </c>
      <c r="J969" s="1">
        <v>0.06358656252375838</v>
      </c>
      <c r="K969" s="1">
        <v>0.007746560988544093</v>
      </c>
      <c r="L969" s="1">
        <v>0.001549075692474755</v>
      </c>
      <c r="M969" s="1">
        <v>-0.000345666166158054</v>
      </c>
      <c r="N969" s="1">
        <v>-0.007351203975625054</v>
      </c>
      <c r="O969" s="1">
        <v>0.01720741581556462</v>
      </c>
      <c r="P969" s="1">
        <v>-0.00276889909273037</v>
      </c>
      <c r="Q969" s="1">
        <v>0.005567506905237884</v>
      </c>
      <c r="R969" s="1">
        <v>0.0001252455879541259</v>
      </c>
      <c r="S969" s="1">
        <v>-0.003623591246298297</v>
      </c>
      <c r="T969" s="1">
        <v>0.01828591437118177</v>
      </c>
      <c r="U969" s="1">
        <v>0.00204230195366506</v>
      </c>
      <c r="V969" s="1">
        <v>0.004088479466098915</v>
      </c>
      <c r="W969" s="1">
        <v>0.006629361122541644</v>
      </c>
      <c r="X969" s="1">
        <v>-0.007822626814230849</v>
      </c>
      <c r="Y969" s="1">
        <v>0.01058790350539796</v>
      </c>
      <c r="Z969" s="1">
        <v>-0.006704900741828945</v>
      </c>
    </row>
    <row r="970" spans="1:26">
      <c r="A970" s="11">
        <v>43776</v>
      </c>
      <c r="B970" s="1">
        <v>0.01947488141380371</v>
      </c>
      <c r="C970" s="1">
        <v>0.01469602844301487</v>
      </c>
      <c r="D970" s="1">
        <v>-0.004721184761388053</v>
      </c>
      <c r="E970" s="1">
        <v>0.01088529937069938</v>
      </c>
      <c r="F970" s="1">
        <v>0.01085503937060905</v>
      </c>
      <c r="G970" s="1">
        <v>0.007994563869836657</v>
      </c>
      <c r="H970" s="1">
        <v>-0.003862719220675492</v>
      </c>
      <c r="I970" s="1">
        <v>0.01091075517316842</v>
      </c>
      <c r="J970" s="1">
        <v>-0.009197688421668015</v>
      </c>
      <c r="K970" s="1">
        <v>-0.04386122720376029</v>
      </c>
      <c r="L970" s="1">
        <v>0.005413944083543898</v>
      </c>
      <c r="M970" s="1">
        <v>0.006567613759768109</v>
      </c>
      <c r="N970" s="1">
        <v>0.001524800770203116</v>
      </c>
      <c r="O970" s="1">
        <v>-0.002513168125828802</v>
      </c>
      <c r="P970" s="1">
        <v>0.001388124623695308</v>
      </c>
      <c r="Q970" s="1">
        <v>-0.01513488518067396</v>
      </c>
      <c r="R970" s="1">
        <v>0.002384443806656922</v>
      </c>
      <c r="S970" s="1">
        <v>-9.319674261187849E-05</v>
      </c>
      <c r="T970" s="1">
        <v>-0.01004804663239511</v>
      </c>
      <c r="U970" s="1">
        <v>0.004331135475615699</v>
      </c>
      <c r="V970" s="1">
        <v>0.0007238626327203956</v>
      </c>
      <c r="W970" s="1">
        <v>-0.003496348086225343</v>
      </c>
      <c r="X970" s="1">
        <v>0.004261856198431779</v>
      </c>
      <c r="Y970" s="1">
        <v>0.006652629556059386</v>
      </c>
      <c r="Z970" s="1">
        <v>0.01330163902044235</v>
      </c>
    </row>
    <row r="971" spans="1:26">
      <c r="A971" s="11">
        <v>43777</v>
      </c>
      <c r="B971" s="1">
        <v>0.01453496320663894</v>
      </c>
      <c r="C971" s="1">
        <v>-0.01765972153309303</v>
      </c>
      <c r="D971" s="1">
        <v>0.006538794741376197</v>
      </c>
      <c r="E971" s="1">
        <v>0.007641425472747043</v>
      </c>
      <c r="F971" s="1">
        <v>0.01096180924937085</v>
      </c>
      <c r="G971" s="1">
        <v>-0.007586175997341349</v>
      </c>
      <c r="H971" s="1">
        <v>-0.00366222848558273</v>
      </c>
      <c r="I971" s="1">
        <v>0.002642387910879673</v>
      </c>
      <c r="J971" s="1">
        <v>0.006704792216555511</v>
      </c>
      <c r="K971" s="1">
        <v>0.00543864204282074</v>
      </c>
      <c r="L971" s="1">
        <v>0.002922895412413862</v>
      </c>
      <c r="M971" s="1">
        <v>-0.001030229304699426</v>
      </c>
      <c r="N971" s="1">
        <v>0.00935190396594443</v>
      </c>
      <c r="O971" s="1">
        <v>0.001162744308321972</v>
      </c>
      <c r="P971" s="1">
        <v>0.01178422204044027</v>
      </c>
      <c r="Q971" s="1">
        <v>-0.01011989322393292</v>
      </c>
      <c r="R971" s="1">
        <v>0.006536973062191365</v>
      </c>
      <c r="S971" s="1">
        <v>-0.01454757579636079</v>
      </c>
      <c r="T971" s="1">
        <v>0.02087944551677712</v>
      </c>
      <c r="U971" s="1">
        <v>-0.001014624322768221</v>
      </c>
      <c r="V971" s="1">
        <v>-0.003978615443497313</v>
      </c>
      <c r="W971" s="1">
        <v>0.003781214620639961</v>
      </c>
      <c r="X971" s="1">
        <v>-0.01103334440761095</v>
      </c>
      <c r="Y971" s="1">
        <v>-0.01949461431637134</v>
      </c>
      <c r="Z971" s="1">
        <v>0.0005877448897610993</v>
      </c>
    </row>
    <row r="972" spans="1:26">
      <c r="A972" s="11">
        <v>43780</v>
      </c>
      <c r="B972" s="1">
        <v>-0.02374145081971923</v>
      </c>
      <c r="C972" s="1">
        <v>0.04547007392809688</v>
      </c>
      <c r="D972" s="1">
        <v>0.004458002458671118</v>
      </c>
      <c r="E972" s="1">
        <v>0.002240435898988258</v>
      </c>
      <c r="F972" s="1">
        <v>0.00132801541284433</v>
      </c>
      <c r="G972" s="1">
        <v>-0.03752591303868091</v>
      </c>
      <c r="H972" s="1">
        <v>-0.003892165329910879</v>
      </c>
      <c r="I972" s="1">
        <v>0.008073460507332486</v>
      </c>
      <c r="J972" s="1">
        <v>0.006147223811269864</v>
      </c>
      <c r="K972" s="1">
        <v>-0.006585212989967393</v>
      </c>
      <c r="L972" s="1">
        <v>-0.003528022185062873</v>
      </c>
      <c r="M972" s="1">
        <v>0.001375175574223286</v>
      </c>
      <c r="N972" s="1">
        <v>0</v>
      </c>
      <c r="O972" s="1">
        <v>0.000968269177508585</v>
      </c>
      <c r="P972" s="1">
        <v>0.001027958446286226</v>
      </c>
      <c r="Q972" s="1">
        <v>-0.01211649240142465</v>
      </c>
      <c r="R972" s="1">
        <v>-0.001873517320911344</v>
      </c>
      <c r="S972" s="1">
        <v>0.000568068404952049</v>
      </c>
      <c r="T972" s="1">
        <v>-0.003336774640579798</v>
      </c>
      <c r="U972" s="1">
        <v>-0.0002539137077157694</v>
      </c>
      <c r="V972" s="1">
        <v>0.002723566363926011</v>
      </c>
      <c r="W972" s="1">
        <v>-0.003801168109282438</v>
      </c>
      <c r="X972" s="1">
        <v>-0.009654678992367272</v>
      </c>
      <c r="Y972" s="1">
        <v>0.004380938799762424</v>
      </c>
      <c r="Z972" s="1">
        <v>-0.001762104371772266</v>
      </c>
    </row>
    <row r="973" spans="1:26">
      <c r="A973" s="11">
        <v>43781</v>
      </c>
      <c r="B973" s="1">
        <v>-0.00209621728407805</v>
      </c>
      <c r="C973" s="1">
        <v>-0.01111840237267536</v>
      </c>
      <c r="D973" s="1">
        <v>0.01572403708174641</v>
      </c>
      <c r="E973" s="1">
        <v>0.004127101618121465</v>
      </c>
      <c r="F973" s="1">
        <v>-0.0004422309856583206</v>
      </c>
      <c r="G973" s="1">
        <v>0.008664048842137007</v>
      </c>
      <c r="H973" s="1">
        <v>0.006729000652717865</v>
      </c>
      <c r="I973" s="1">
        <v>-0.01896567163343776</v>
      </c>
      <c r="J973" s="1">
        <v>-0.005600887036927849</v>
      </c>
      <c r="K973" s="1">
        <v>0.007575520250383327</v>
      </c>
      <c r="L973" s="1">
        <v>-0.005849812415556044</v>
      </c>
      <c r="M973" s="1">
        <v>-0.007037530551309512</v>
      </c>
      <c r="N973" s="1">
        <v>0.01271267336660475</v>
      </c>
      <c r="O973" s="1">
        <v>0.007155882103703881</v>
      </c>
      <c r="P973" s="1">
        <v>0.006570023477935338</v>
      </c>
      <c r="Q973" s="1">
        <v>0</v>
      </c>
      <c r="R973" s="1">
        <v>-0.006130898995998058</v>
      </c>
      <c r="S973" s="1">
        <v>-0.01087667349237564</v>
      </c>
      <c r="T973" s="1">
        <v>0.01351387598994847</v>
      </c>
      <c r="U973" s="1">
        <v>-0.005079970127858324</v>
      </c>
      <c r="V973" s="1">
        <v>-0.01901301350694495</v>
      </c>
      <c r="W973" s="1">
        <v>0.008312494795221559</v>
      </c>
      <c r="X973" s="1">
        <v>0.005415852092200746</v>
      </c>
      <c r="Y973" s="1">
        <v>-0.004865008738425769</v>
      </c>
      <c r="Z973" s="1">
        <v>-0.005100193849620793</v>
      </c>
    </row>
    <row r="974" spans="1:26">
      <c r="A974" s="11">
        <v>43782</v>
      </c>
      <c r="B974" s="1">
        <v>-0.0210086781795179</v>
      </c>
      <c r="C974" s="1">
        <v>-0.001047161788019002</v>
      </c>
      <c r="D974" s="1">
        <v>0.009737194343067745</v>
      </c>
      <c r="E974" s="1">
        <v>0.006850658381897912</v>
      </c>
      <c r="F974" s="1">
        <v>-0.0006630363023625296</v>
      </c>
      <c r="G974" s="1">
        <v>0.005368734253395235</v>
      </c>
      <c r="H974" s="1">
        <v>0.02134557424387884</v>
      </c>
      <c r="I974" s="1">
        <v>-0.004081482462585106</v>
      </c>
      <c r="J974" s="1">
        <v>0</v>
      </c>
      <c r="K974" s="1">
        <v>-0.0166821917842066</v>
      </c>
      <c r="L974" s="1">
        <v>-0.005264651277733123</v>
      </c>
      <c r="M974" s="1">
        <v>-0.004494327078505056</v>
      </c>
      <c r="N974" s="1">
        <v>-0.003616948273354237</v>
      </c>
      <c r="O974" s="1">
        <v>0.008065252864444483</v>
      </c>
      <c r="P974" s="1">
        <v>0.001631922928219121</v>
      </c>
      <c r="Q974" s="1">
        <v>0.01188199482854957</v>
      </c>
      <c r="R974" s="1">
        <v>-0.003651090781581323</v>
      </c>
      <c r="S974" s="1">
        <v>0.01200021966755549</v>
      </c>
      <c r="T974" s="1">
        <v>0.00425706281084115</v>
      </c>
      <c r="U974" s="1">
        <v>-0.0002554791238954524</v>
      </c>
      <c r="V974" s="1">
        <v>0.002122741771560355</v>
      </c>
      <c r="W974" s="1">
        <v>0.0136839741600705</v>
      </c>
      <c r="X974" s="1">
        <v>-0.003447537343622686</v>
      </c>
      <c r="Y974" s="1">
        <v>0.00151710658953097</v>
      </c>
      <c r="Z974" s="1">
        <v>-0.01488688591155196</v>
      </c>
    </row>
    <row r="975" spans="1:26">
      <c r="A975" s="11">
        <v>43783</v>
      </c>
      <c r="B975" s="1">
        <v>0.005579535843057926</v>
      </c>
      <c r="C975" s="1">
        <v>0.01362762737076828</v>
      </c>
      <c r="D975" s="1">
        <v>-0.001730437971143028</v>
      </c>
      <c r="E975" s="1">
        <v>-0.0047627050168223</v>
      </c>
      <c r="F975" s="1">
        <v>0.005531091784646724</v>
      </c>
      <c r="G975" s="1">
        <v>-0.04983989335809047</v>
      </c>
      <c r="H975" s="1">
        <v>-0.006332973987447477</v>
      </c>
      <c r="I975" s="1">
        <v>-0.007343476160911799</v>
      </c>
      <c r="J975" s="1">
        <v>0.03072190235329009</v>
      </c>
      <c r="K975" s="1">
        <v>0.01075262062474946</v>
      </c>
      <c r="L975" s="1">
        <v>0.0009341152755810711</v>
      </c>
      <c r="M975" s="1">
        <v>0.0006946682900783596</v>
      </c>
      <c r="N975" s="1">
        <v>-0.004270956167132911</v>
      </c>
      <c r="O975" s="1">
        <v>0.003333411700831457</v>
      </c>
      <c r="P975" s="1">
        <v>0.005091587996014058</v>
      </c>
      <c r="Q975" s="1">
        <v>-0.003030315058226596</v>
      </c>
      <c r="R975" s="1">
        <v>0.004928035796647912</v>
      </c>
      <c r="S975" s="1">
        <v>0.005999255343432264</v>
      </c>
      <c r="T975" s="1">
        <v>0.00822259597992292</v>
      </c>
      <c r="U975" s="1">
        <v>-0.005362552993815606</v>
      </c>
      <c r="V975" s="1">
        <v>0.02330078325358631</v>
      </c>
      <c r="W975" s="1">
        <v>0.002733145035496598</v>
      </c>
      <c r="X975" s="1">
        <v>0.001946099289835912</v>
      </c>
      <c r="Y975" s="1">
        <v>-0.001178226570519247</v>
      </c>
      <c r="Z975" s="1">
        <v>-0.002619352001101971</v>
      </c>
    </row>
    <row r="976" spans="1:26">
      <c r="A976" s="11">
        <v>43784</v>
      </c>
      <c r="B976" s="1">
        <v>0.02048686914591391</v>
      </c>
      <c r="C976" s="1">
        <v>0.01153925010999202</v>
      </c>
      <c r="D976" s="1">
        <v>0.008669857342166409</v>
      </c>
      <c r="E976" s="1">
        <v>0.001367321385595588</v>
      </c>
      <c r="F976" s="1">
        <v>-0.01958235736477842</v>
      </c>
      <c r="G976" s="1">
        <v>-0.04533536475962485</v>
      </c>
      <c r="H976" s="1">
        <v>0.004461419592783233</v>
      </c>
      <c r="I976" s="1">
        <v>0.0005733156892007152</v>
      </c>
      <c r="J976" s="1">
        <v>0.002484109235889376</v>
      </c>
      <c r="K976" s="1">
        <v>0.002128039972015605</v>
      </c>
      <c r="L976" s="1">
        <v>0.007231519080481474</v>
      </c>
      <c r="M976" s="1">
        <v>0.002776090721694935</v>
      </c>
      <c r="N976" s="1">
        <v>0.02873711154360392</v>
      </c>
      <c r="O976" s="1">
        <v>0.001519035127697466</v>
      </c>
      <c r="P976" s="1">
        <v>0.01290013150023595</v>
      </c>
      <c r="Q976" s="1">
        <v>0.006838933002669911</v>
      </c>
      <c r="R976" s="1">
        <v>0.008675701111870326</v>
      </c>
      <c r="S976" s="1">
        <v>0.001221279323685431</v>
      </c>
      <c r="T976" s="1">
        <v>-0.001145586876675875</v>
      </c>
      <c r="U976" s="1">
        <v>0.01412066001180423</v>
      </c>
      <c r="V976" s="1">
        <v>0.01889999000018139</v>
      </c>
      <c r="W976" s="1">
        <v>0.01984453395592811</v>
      </c>
      <c r="X976" s="1">
        <v>0.01553722609892594</v>
      </c>
      <c r="Y976" s="1">
        <v>0.002864796332178399</v>
      </c>
      <c r="Z976" s="1">
        <v>0.001010096310967823</v>
      </c>
    </row>
    <row r="977" spans="1:26">
      <c r="A977" s="11">
        <v>43787</v>
      </c>
      <c r="B977" s="1">
        <v>-0.03889617649124</v>
      </c>
      <c r="C977" s="1">
        <v>-0.005972904003377799</v>
      </c>
      <c r="D977" s="1">
        <v>-0.003929433018987849</v>
      </c>
      <c r="E977" s="1">
        <v>-0.01604368432003089</v>
      </c>
      <c r="F977" s="1">
        <v>0.001122418854408558</v>
      </c>
      <c r="G977" s="1">
        <v>-0.01255886884859247</v>
      </c>
      <c r="H977" s="1">
        <v>0.01607401582103707</v>
      </c>
      <c r="I977" s="1">
        <v>0.002464585047120327</v>
      </c>
      <c r="J977" s="1">
        <v>-0.008424190622349559</v>
      </c>
      <c r="K977" s="1">
        <v>0.003302186842149224</v>
      </c>
      <c r="L977" s="1">
        <v>0.008415014102206131</v>
      </c>
      <c r="M977" s="1">
        <v>-0.0001729936555717737</v>
      </c>
      <c r="N977" s="1">
        <v>0.007712993407893221</v>
      </c>
      <c r="O977" s="1">
        <v>0.007014203598348479</v>
      </c>
      <c r="P977" s="1">
        <v>0.002467095118852347</v>
      </c>
      <c r="Q977" s="1">
        <v>-0.009433999568269291</v>
      </c>
      <c r="R977" s="1">
        <v>-0.002368216381575361</v>
      </c>
      <c r="S977" s="1">
        <v>0.001547744688177533</v>
      </c>
      <c r="T977" s="1">
        <v>-0.01128640247069701</v>
      </c>
      <c r="U977" s="1">
        <v>0.003291154077044167</v>
      </c>
      <c r="V977" s="1">
        <v>-0.01104120058134783</v>
      </c>
      <c r="W977" s="1">
        <v>-0.01896941257990881</v>
      </c>
      <c r="X977" s="1">
        <v>-0.01126227859925844</v>
      </c>
      <c r="Y977" s="1">
        <v>-0.001176151905920797</v>
      </c>
      <c r="Z977" s="1">
        <v>-0.004843608549367051</v>
      </c>
    </row>
    <row r="978" spans="1:26">
      <c r="A978" s="11">
        <v>43788</v>
      </c>
      <c r="B978" s="1">
        <v>-0.02654459038661605</v>
      </c>
      <c r="C978" s="1">
        <v>-0.006658323681511535</v>
      </c>
      <c r="D978" s="1">
        <v>0.006780007231157459</v>
      </c>
      <c r="E978" s="1">
        <v>-0.02029489602108314</v>
      </c>
      <c r="F978" s="1">
        <v>0.004483083831085866</v>
      </c>
      <c r="G978" s="1">
        <v>0.007154201078592548</v>
      </c>
      <c r="H978" s="1">
        <v>0.002498541958060096</v>
      </c>
      <c r="I978" s="1">
        <v>-0.00720365319290972</v>
      </c>
      <c r="J978" s="1">
        <v>0.004997643391162265</v>
      </c>
      <c r="K978" s="1">
        <v>0.008935094156511392</v>
      </c>
      <c r="L978" s="1">
        <v>-0.0003063636618446663</v>
      </c>
      <c r="M978" s="1">
        <v>-0.003980484040185472</v>
      </c>
      <c r="N978" s="1">
        <v>-0.02916856535696344</v>
      </c>
      <c r="O978" s="1">
        <v>0.008847914797357248</v>
      </c>
      <c r="P978" s="1">
        <v>0.0003326699363739305</v>
      </c>
      <c r="Q978" s="1">
        <v>-0.0079999412102576</v>
      </c>
      <c r="R978" s="1">
        <v>-0.007497173860582906</v>
      </c>
      <c r="S978" s="1">
        <v>0.0009365920034856146</v>
      </c>
      <c r="T978" s="1">
        <v>-0.003207673658760846</v>
      </c>
      <c r="U978" s="1">
        <v>-0.04113027679760151</v>
      </c>
      <c r="V978" s="1">
        <v>-0.004042957110754863</v>
      </c>
      <c r="W978" s="1">
        <v>0.01804052955890367</v>
      </c>
      <c r="X978" s="1">
        <v>0.001934223019685266</v>
      </c>
      <c r="Y978" s="1">
        <v>0.00100942580055885</v>
      </c>
      <c r="Z978" s="1">
        <v>-0.0002027587645492268</v>
      </c>
    </row>
    <row r="979" spans="1:26">
      <c r="A979" s="11">
        <v>43789</v>
      </c>
      <c r="B979" s="1">
        <v>0.02235124967317481</v>
      </c>
      <c r="C979" s="1">
        <v>0.01065394288737109</v>
      </c>
      <c r="D979" s="1">
        <v>0.004040503418266228</v>
      </c>
      <c r="E979" s="1">
        <v>-0.001239064975507187</v>
      </c>
      <c r="F979" s="1">
        <v>-0.01316688142295508</v>
      </c>
      <c r="G979" s="1">
        <v>-0.02402973192758717</v>
      </c>
      <c r="H979" s="1">
        <v>0.002491491069419816</v>
      </c>
      <c r="I979" s="1">
        <v>-0.009098805115412167</v>
      </c>
      <c r="J979" s="1">
        <v>-0.02038768643004663</v>
      </c>
      <c r="K979" s="1">
        <v>-0.01165230104686188</v>
      </c>
      <c r="L979" s="1">
        <v>-0.007274923256261445</v>
      </c>
      <c r="M979" s="1">
        <v>-0.0125108290142103</v>
      </c>
      <c r="N979" s="1">
        <v>0.03238888074168655</v>
      </c>
      <c r="O979" s="1">
        <v>-0.0001865499033741891</v>
      </c>
      <c r="P979" s="1">
        <v>-0.00173476830910535</v>
      </c>
      <c r="Q979" s="1">
        <v>0.0007680521756006087</v>
      </c>
      <c r="R979" s="1">
        <v>-0.007302089359243591</v>
      </c>
      <c r="S979" s="1">
        <v>-0.001169429362650964</v>
      </c>
      <c r="T979" s="1">
        <v>-0.0140019988348592</v>
      </c>
      <c r="U979" s="1">
        <v>-0.02157904837176305</v>
      </c>
      <c r="V979" s="1">
        <v>0.1405499616395478</v>
      </c>
      <c r="W979" s="1">
        <v>0.002969677722981734</v>
      </c>
      <c r="X979" s="1">
        <v>-0.01351317553805942</v>
      </c>
      <c r="Y979" s="1">
        <v>-0.0003364520580472208</v>
      </c>
      <c r="Z979" s="1">
        <v>-0.008316352248996184</v>
      </c>
    </row>
    <row r="980" spans="1:26">
      <c r="A980" s="11">
        <v>43790</v>
      </c>
      <c r="B980" s="1">
        <v>0.01530377579934328</v>
      </c>
      <c r="C980" s="1">
        <v>-0.01205147054806888</v>
      </c>
      <c r="D980" s="1">
        <v>0.003048882740447123</v>
      </c>
      <c r="E980" s="1">
        <v>0.00779982722679895</v>
      </c>
      <c r="F980" s="1">
        <v>0.003166151379823567</v>
      </c>
      <c r="G980" s="1">
        <v>0.003680804693110051</v>
      </c>
      <c r="H980" s="1">
        <v>-0.02982605269569227</v>
      </c>
      <c r="I980" s="1">
        <v>0.02301417032638153</v>
      </c>
      <c r="J980" s="1">
        <v>-0.002538454148318658</v>
      </c>
      <c r="K980" s="1">
        <v>-0.004244420429256546</v>
      </c>
      <c r="L980" s="1">
        <v>0.002314253804576838</v>
      </c>
      <c r="M980" s="1">
        <v>-0.004223160047692409</v>
      </c>
      <c r="N980" s="1">
        <v>0.00763685166688699</v>
      </c>
      <c r="O980" s="1">
        <v>-0.000373328827457331</v>
      </c>
      <c r="P980" s="1">
        <v>-0.0009358540067749832</v>
      </c>
      <c r="Q980" s="1">
        <v>0.006139793179853692</v>
      </c>
      <c r="R980" s="1">
        <v>0.01192123853520766</v>
      </c>
      <c r="S980" s="1">
        <v>-0.01241301107667891</v>
      </c>
      <c r="T980" s="1">
        <v>-0.01295077343583739</v>
      </c>
      <c r="U980" s="1">
        <v>0.01129626373791814</v>
      </c>
      <c r="V980" s="1">
        <v>0.009649829983789049</v>
      </c>
      <c r="W980" s="1">
        <v>-0.006572840550076897</v>
      </c>
      <c r="X980" s="1">
        <v>0.005001107824453621</v>
      </c>
      <c r="Y980" s="1">
        <v>0.002185966934641348</v>
      </c>
      <c r="Z980" s="1">
        <v>0.005113692118680957</v>
      </c>
    </row>
    <row r="981" spans="1:26">
      <c r="A981" s="11">
        <v>43791</v>
      </c>
      <c r="B981" s="1">
        <v>0.00818264325472251</v>
      </c>
      <c r="C981" s="1">
        <v>0.01337194100743377</v>
      </c>
      <c r="D981" s="1">
        <v>-0.002796437699573384</v>
      </c>
      <c r="E981" s="1">
        <v>-0.007036144722132209</v>
      </c>
      <c r="F981" s="1">
        <v>0.009919131481760601</v>
      </c>
      <c r="G981" s="1">
        <v>0.008557605313484373</v>
      </c>
      <c r="H981" s="1">
        <v>-0.0002135371319581525</v>
      </c>
      <c r="I981" s="1">
        <v>-0.003692620960561666</v>
      </c>
      <c r="J981" s="1">
        <v>0.01475846533861347</v>
      </c>
      <c r="K981" s="1">
        <v>0.01112972036250759</v>
      </c>
      <c r="L981" s="1">
        <v>0.006618810894982063</v>
      </c>
      <c r="M981" s="1">
        <v>0.007421873844561055</v>
      </c>
      <c r="N981" s="1">
        <v>0.003686914999575741</v>
      </c>
      <c r="O981" s="1">
        <v>0.007561615883276307</v>
      </c>
      <c r="P981" s="1">
        <v>0.0007359253731424875</v>
      </c>
      <c r="Q981" s="1">
        <v>0.005339274256894067</v>
      </c>
      <c r="R981" s="1">
        <v>0.00814663745485289</v>
      </c>
      <c r="S981" s="1">
        <v>-0.008632180727874195</v>
      </c>
      <c r="T981" s="1">
        <v>0.01102762169541882</v>
      </c>
      <c r="U981" s="1">
        <v>0.003989330736018593</v>
      </c>
      <c r="V981" s="1">
        <v>-0.004935623383493848</v>
      </c>
      <c r="W981" s="1">
        <v>0.008057570635781275</v>
      </c>
      <c r="X981" s="1">
        <v>0.001297963670671143</v>
      </c>
      <c r="Y981" s="1">
        <v>0.002348451920484829</v>
      </c>
      <c r="Z981" s="1">
        <v>0.01668675884465887</v>
      </c>
    </row>
    <row r="982" spans="1:26">
      <c r="A982" s="11">
        <v>43794</v>
      </c>
      <c r="B982" s="1">
        <v>0.005980131500455954</v>
      </c>
      <c r="C982" s="1">
        <v>0.004820396258265358</v>
      </c>
      <c r="D982" s="1">
        <v>0.0002440697720007545</v>
      </c>
      <c r="E982" s="1">
        <v>-0.00496021968341398</v>
      </c>
      <c r="F982" s="1">
        <v>-0.03236611805264755</v>
      </c>
      <c r="G982" s="1">
        <v>0.002020074263287874</v>
      </c>
      <c r="H982" s="1">
        <v>-0.0006406423281175577</v>
      </c>
      <c r="I982" s="1">
        <v>0.007013170074896991</v>
      </c>
      <c r="J982" s="1">
        <v>0.01053125234440166</v>
      </c>
      <c r="K982" s="1">
        <v>-0.001873836740498902</v>
      </c>
      <c r="L982" s="1">
        <v>0.005352196385838059</v>
      </c>
      <c r="M982" s="1">
        <v>0.009647322108207401</v>
      </c>
      <c r="N982" s="1">
        <v>0.005306271289504672</v>
      </c>
      <c r="O982" s="1">
        <v>0.0006485853582567369</v>
      </c>
      <c r="P982" s="1">
        <v>0.0109631921944191</v>
      </c>
      <c r="Q982" s="1">
        <v>0.007207738704000155</v>
      </c>
      <c r="R982" s="1">
        <v>0.01342603779473706</v>
      </c>
      <c r="S982" s="1">
        <v>-0.002918354714457116</v>
      </c>
      <c r="T982" s="1">
        <v>0.009011610053914598</v>
      </c>
      <c r="U982" s="1">
        <v>-0.01298005327838514</v>
      </c>
      <c r="V982" s="1">
        <v>-0.01440704095683576</v>
      </c>
      <c r="W982" s="1">
        <v>0.009195024822333142</v>
      </c>
      <c r="X982" s="1">
        <v>0.008211055523737576</v>
      </c>
      <c r="Y982" s="1">
        <v>-0.00619237116869753</v>
      </c>
      <c r="Z982" s="1">
        <v>0.004203496716972399</v>
      </c>
    </row>
    <row r="983" spans="1:26">
      <c r="A983" s="11">
        <v>43795</v>
      </c>
      <c r="B983" s="1">
        <v>-0.0280253232492027</v>
      </c>
      <c r="C983" s="1">
        <v>0.001018395875932665</v>
      </c>
      <c r="D983" s="1">
        <v>-0.0003658051522725803</v>
      </c>
      <c r="E983" s="1">
        <v>0.009969803388004461</v>
      </c>
      <c r="F983" s="1">
        <v>0.004613387986433626</v>
      </c>
      <c r="G983" s="1">
        <v>-0.01250007590021796</v>
      </c>
      <c r="H983" s="1">
        <v>0.006409894383072379</v>
      </c>
      <c r="I983" s="1">
        <v>0.0002265825810414679</v>
      </c>
      <c r="J983" s="1">
        <v>-0.00446640976795365</v>
      </c>
      <c r="K983" s="1">
        <v>0.007743098195381215</v>
      </c>
      <c r="L983" s="1">
        <v>0.001368785524160865</v>
      </c>
      <c r="M983" s="1">
        <v>0.0005212000615057999</v>
      </c>
      <c r="N983" s="1">
        <v>-0.0008121071152970005</v>
      </c>
      <c r="O983" s="1">
        <v>0.001666834191002664</v>
      </c>
      <c r="P983" s="1">
        <v>0.005289813102182128</v>
      </c>
      <c r="Q983" s="1">
        <v>-0.003389754795776523</v>
      </c>
      <c r="R983" s="1">
        <v>0.003189320394455075</v>
      </c>
      <c r="S983" s="1">
        <v>0.01775350400815334</v>
      </c>
      <c r="T983" s="1">
        <v>0.01236150567139793</v>
      </c>
      <c r="U983" s="1">
        <v>0.00375715807554533</v>
      </c>
      <c r="V983" s="1">
        <v>0.01357937724474767</v>
      </c>
      <c r="W983" s="1">
        <v>0.00917572840060199</v>
      </c>
      <c r="X983" s="1">
        <v>0.007286731460338425</v>
      </c>
      <c r="Y983" s="1">
        <v>0.008588789050013812</v>
      </c>
      <c r="Z983" s="1">
        <v>-0.01016535046428468</v>
      </c>
    </row>
    <row r="984" spans="1:26">
      <c r="A984" s="11">
        <v>43796</v>
      </c>
      <c r="B984" s="1">
        <v>0.01441679298539378</v>
      </c>
      <c r="C984" s="1">
        <v>-0.0147519636860578</v>
      </c>
      <c r="D984" s="1">
        <v>0.005487298100165683</v>
      </c>
      <c r="E984" s="1">
        <v>0.01533575023082268</v>
      </c>
      <c r="F984" s="1">
        <v>0.01997732282330045</v>
      </c>
      <c r="G984" s="1">
        <v>0.007349959901856495</v>
      </c>
      <c r="H984" s="1">
        <v>-0.0008490127121334456</v>
      </c>
      <c r="I984" s="1">
        <v>-0.04296640871915569</v>
      </c>
      <c r="J984" s="1">
        <v>-0.01345958915062995</v>
      </c>
      <c r="K984" s="1">
        <v>0.003725043362263314</v>
      </c>
      <c r="L984" s="1">
        <v>0.002962098822933523</v>
      </c>
      <c r="M984" s="1">
        <v>0.00277838250412521</v>
      </c>
      <c r="N984" s="1">
        <v>0.01076771540845933</v>
      </c>
      <c r="O984" s="1">
        <v>0.001571292481623576</v>
      </c>
      <c r="P984" s="1">
        <v>0.00190799234547856</v>
      </c>
      <c r="Q984" s="1">
        <v>0.002645873379878427</v>
      </c>
      <c r="R984" s="1">
        <v>0.004646708813352385</v>
      </c>
      <c r="S984" s="1">
        <v>4.673577587022137E-05</v>
      </c>
      <c r="T984" s="1">
        <v>-0.003950632701632317</v>
      </c>
      <c r="U984" s="1">
        <v>0.00695222511291016</v>
      </c>
      <c r="V984" s="1">
        <v>-0.007802082578226344</v>
      </c>
      <c r="W984" s="1">
        <v>0.006285068074429745</v>
      </c>
      <c r="X984" s="1">
        <v>-0.00574480430731783</v>
      </c>
      <c r="Y984" s="1">
        <v>0.003506349877341775</v>
      </c>
      <c r="Z984" s="1">
        <v>0.008256062762306948</v>
      </c>
    </row>
    <row r="985" spans="1:26">
      <c r="A985" s="11">
        <v>43798</v>
      </c>
      <c r="B985" s="1">
        <v>-0.04048222774007071</v>
      </c>
      <c r="C985" s="1">
        <v>-0.004945649576055589</v>
      </c>
      <c r="D985" s="1">
        <v>-0.005942363972903708</v>
      </c>
      <c r="E985" s="1">
        <v>-0.01145824805788553</v>
      </c>
      <c r="F985" s="1">
        <v>-0.006078485892637819</v>
      </c>
      <c r="G985" s="1">
        <v>-0.004458982686424973</v>
      </c>
      <c r="H985" s="1">
        <v>-0.01041219376931168</v>
      </c>
      <c r="I985" s="1">
        <v>-0.005974281483080546</v>
      </c>
      <c r="J985" s="1">
        <v>0.01465381190131154</v>
      </c>
      <c r="K985" s="1">
        <v>-0.006494887189678056</v>
      </c>
      <c r="L985" s="1">
        <v>-0.002271877371580078</v>
      </c>
      <c r="M985" s="1">
        <v>-0.001904972391704507</v>
      </c>
      <c r="N985" s="1">
        <v>-0.001004756802763351</v>
      </c>
      <c r="O985" s="1">
        <v>-0.002584206033970915</v>
      </c>
      <c r="P985" s="1">
        <v>-0.006170797926992377</v>
      </c>
      <c r="Q985" s="1">
        <v>-0.003015734603146525</v>
      </c>
      <c r="R985" s="1">
        <v>-0.009615551753231477</v>
      </c>
      <c r="S985" s="1">
        <v>-0.006788415542378523</v>
      </c>
      <c r="T985" s="1">
        <v>-0.002958202051685177</v>
      </c>
      <c r="U985" s="1">
        <v>-0.007434927662487323</v>
      </c>
      <c r="V985" s="1">
        <v>-0.007068893889006111</v>
      </c>
      <c r="W985" s="1">
        <v>-0.004660573054573791</v>
      </c>
      <c r="X985" s="1">
        <v>-0.01048555982289678</v>
      </c>
      <c r="Y985" s="1">
        <v>0.002329305015408289</v>
      </c>
      <c r="Z985" s="1">
        <v>-0.005791997636021007</v>
      </c>
    </row>
    <row r="986" spans="1:26">
      <c r="A986" s="11">
        <v>43801</v>
      </c>
      <c r="B986" s="1">
        <v>-0.1229803126980614</v>
      </c>
      <c r="C986" s="1">
        <v>-0.03003986077150456</v>
      </c>
      <c r="D986" s="1">
        <v>-0.001341835057781071</v>
      </c>
      <c r="E986" s="1">
        <v>0.008254341543361798</v>
      </c>
      <c r="F986" s="1">
        <v>-0.01177807047390012</v>
      </c>
      <c r="G986" s="1">
        <v>-0.006921741531276004</v>
      </c>
      <c r="H986" s="1">
        <v>0.01223973681786639</v>
      </c>
      <c r="I986" s="1">
        <v>-0.01642347604078487</v>
      </c>
      <c r="J986" s="1">
        <v>-0.01245024915789328</v>
      </c>
      <c r="K986" s="1">
        <v>-0.01307499994373351</v>
      </c>
      <c r="L986" s="1">
        <v>-0.002201035686934638</v>
      </c>
      <c r="M986" s="1">
        <v>-0.01596104403462462</v>
      </c>
      <c r="N986" s="1">
        <v>0.01810849865493958</v>
      </c>
      <c r="O986" s="1">
        <v>-0.01054861941220053</v>
      </c>
      <c r="P986" s="1">
        <v>-0.012089176021984</v>
      </c>
      <c r="Q986" s="1">
        <v>-0.01020806998831569</v>
      </c>
      <c r="R986" s="1">
        <v>-0.008233985859214088</v>
      </c>
      <c r="S986" s="1">
        <v>-0.007831560712349583</v>
      </c>
      <c r="T986" s="1">
        <v>-0.01423366051823238</v>
      </c>
      <c r="U986" s="1">
        <v>-0.001605423142907236</v>
      </c>
      <c r="V986" s="1">
        <v>-0.008239611395366442</v>
      </c>
      <c r="W986" s="1">
        <v>-0.002898352320534259</v>
      </c>
      <c r="X986" s="1">
        <v>-0.004325617160661488</v>
      </c>
      <c r="Y986" s="1">
        <v>-0.00464806491574099</v>
      </c>
      <c r="Z986" s="1">
        <v>-0.005624799541103287</v>
      </c>
    </row>
    <row r="987" spans="1:26">
      <c r="A987" s="11">
        <v>43802</v>
      </c>
      <c r="B987" s="1">
        <v>-0.05936543215108725</v>
      </c>
      <c r="C987" s="1">
        <v>-0.008727968965838495</v>
      </c>
      <c r="D987" s="1">
        <v>-0.01038365298710908</v>
      </c>
      <c r="E987" s="1">
        <v>0.005922350020194811</v>
      </c>
      <c r="F987" s="1">
        <v>0.0004580823371711507</v>
      </c>
      <c r="G987" s="1">
        <v>0.0004099221363098593</v>
      </c>
      <c r="H987" s="1">
        <v>0.009333631105132856</v>
      </c>
      <c r="I987" s="1">
        <v>-0.01082967215105834</v>
      </c>
      <c r="J987" s="1">
        <v>-0.0100856458013503</v>
      </c>
      <c r="K987" s="1">
        <v>-0.01135563231547032</v>
      </c>
      <c r="L987" s="1">
        <v>-0.01285457175826255</v>
      </c>
      <c r="M987" s="1">
        <v>-0.01392814627936345</v>
      </c>
      <c r="N987" s="1">
        <v>-0.009881441630768206</v>
      </c>
      <c r="O987" s="1">
        <v>-0.008416927243664607</v>
      </c>
      <c r="P987" s="1">
        <v>-0.001605149108111159</v>
      </c>
      <c r="Q987" s="1">
        <v>0.008785277310331185</v>
      </c>
      <c r="R987" s="1">
        <v>-0.007558808784735249</v>
      </c>
      <c r="S987" s="1">
        <v>0.01392107012946386</v>
      </c>
      <c r="T987" s="1">
        <v>0.005358375800440296</v>
      </c>
      <c r="U987" s="1">
        <v>0.00616312516404105</v>
      </c>
      <c r="V987" s="1">
        <v>0.0004839880735851843</v>
      </c>
      <c r="W987" s="1">
        <v>-0.0004791478301696683</v>
      </c>
      <c r="X987" s="1">
        <v>-0.01629007261744941</v>
      </c>
      <c r="Y987" s="1">
        <v>0.003001921263485086</v>
      </c>
      <c r="Z987" s="1">
        <v>-0.01878786891969897</v>
      </c>
    </row>
    <row r="988" spans="1:26">
      <c r="A988" s="11">
        <v>43803</v>
      </c>
      <c r="B988" s="1">
        <v>0.01741020747874833</v>
      </c>
      <c r="C988" s="1">
        <v>-0.009202507480781219</v>
      </c>
      <c r="D988" s="1">
        <v>0.01752861138103956</v>
      </c>
      <c r="E988" s="1">
        <v>0.01991327111899577</v>
      </c>
      <c r="F988" s="1">
        <v>-0.003207155277152207</v>
      </c>
      <c r="G988" s="1">
        <v>0.0131147516456791</v>
      </c>
      <c r="H988" s="1">
        <v>0.01870568994656319</v>
      </c>
      <c r="I988" s="1">
        <v>0.01082576000965063</v>
      </c>
      <c r="J988" s="1">
        <v>0.0208864689679551</v>
      </c>
      <c r="K988" s="1">
        <v>0.008136149735603171</v>
      </c>
      <c r="L988" s="1">
        <v>0.01972581141132901</v>
      </c>
      <c r="M988" s="1">
        <v>-0.002681873828026982</v>
      </c>
      <c r="N988" s="1">
        <v>0.0001997701105020955</v>
      </c>
      <c r="O988" s="1">
        <v>0.01028018148462162</v>
      </c>
      <c r="P988" s="1">
        <v>0.003617202394253338</v>
      </c>
      <c r="Q988" s="1">
        <v>0.003407994562069527</v>
      </c>
      <c r="R988" s="1">
        <v>-0.00312153598298115</v>
      </c>
      <c r="S988" s="1">
        <v>0.004765570390989904</v>
      </c>
      <c r="T988" s="1">
        <v>-0.01142036251975131</v>
      </c>
      <c r="U988" s="1">
        <v>0.01464712821866931</v>
      </c>
      <c r="V988" s="1">
        <v>0.003869587048966228</v>
      </c>
      <c r="W988" s="1">
        <v>0.008788919232789238</v>
      </c>
      <c r="X988" s="1">
        <v>-0.005519972824539976</v>
      </c>
      <c r="Y988" s="1">
        <v>0.006485180924388878</v>
      </c>
      <c r="Z988" s="1">
        <v>0.01111766540780712</v>
      </c>
    </row>
    <row r="989" spans="1:26">
      <c r="A989" s="11">
        <v>43804</v>
      </c>
      <c r="B989" s="1">
        <v>-0.006417059307298079</v>
      </c>
      <c r="C989" s="1">
        <v>-0.009058554994415768</v>
      </c>
      <c r="D989" s="1">
        <v>0.003284305127655651</v>
      </c>
      <c r="E989" s="1">
        <v>0.009847081562571303</v>
      </c>
      <c r="F989" s="1">
        <v>0.01218110637528835</v>
      </c>
      <c r="G989" s="1">
        <v>0.002831980044430527</v>
      </c>
      <c r="H989" s="1">
        <v>-0.01733043173025939</v>
      </c>
      <c r="I989" s="1">
        <v>-0.004174755833256993</v>
      </c>
      <c r="J989" s="1">
        <v>0.01397225760645182</v>
      </c>
      <c r="K989" s="1">
        <v>-0.009019717514753056</v>
      </c>
      <c r="L989" s="1">
        <v>0.005440459261716324</v>
      </c>
      <c r="M989" s="1">
        <v>-0.004481884382522394</v>
      </c>
      <c r="N989" s="1">
        <v>0.001197399304485813</v>
      </c>
      <c r="O989" s="1">
        <v>0.002333857655971716</v>
      </c>
      <c r="P989" s="1">
        <v>0.0005334747586467348</v>
      </c>
      <c r="Q989" s="1">
        <v>0.005660399740961664</v>
      </c>
      <c r="R989" s="1">
        <v>0.00338182632748163</v>
      </c>
      <c r="S989" s="1">
        <v>0.002395239352606771</v>
      </c>
      <c r="T989" s="1">
        <v>0.002082488929622706</v>
      </c>
      <c r="U989" s="1">
        <v>0.002362102184897408</v>
      </c>
      <c r="V989" s="1">
        <v>0.001285087144464736</v>
      </c>
      <c r="W989" s="1">
        <v>0.001140462741156201</v>
      </c>
      <c r="X989" s="1">
        <v>-0.00155393556737915</v>
      </c>
      <c r="Y989" s="1">
        <v>0.00479097186528632</v>
      </c>
      <c r="Z989" s="1">
        <v>0.0038691810987177</v>
      </c>
    </row>
    <row r="990" spans="1:26">
      <c r="A990" s="11">
        <v>43805</v>
      </c>
      <c r="B990" s="1">
        <v>0.07588783193897664</v>
      </c>
      <c r="C990" s="1">
        <v>0.02432886241305354</v>
      </c>
      <c r="D990" s="1">
        <v>0.008365794876130428</v>
      </c>
      <c r="E990" s="1">
        <v>0.007902105997865894</v>
      </c>
      <c r="F990" s="1">
        <v>0.004541897661722416</v>
      </c>
      <c r="G990" s="1">
        <v>0.009277734908816671</v>
      </c>
      <c r="H990" s="1">
        <v>0.002519319939785269</v>
      </c>
      <c r="I990" s="1">
        <v>0.00382784627472077</v>
      </c>
      <c r="J990" s="1">
        <v>0.008858083000738093</v>
      </c>
      <c r="K990" s="1">
        <v>0.00814362826366688</v>
      </c>
      <c r="L990" s="1">
        <v>0.01488056457575326</v>
      </c>
      <c r="M990" s="1">
        <v>0.007383288405153454</v>
      </c>
      <c r="N990" s="1">
        <v>0.004783542088716786</v>
      </c>
      <c r="O990" s="1">
        <v>0.008195897803282781</v>
      </c>
      <c r="P990" s="1">
        <v>0.01213868212138336</v>
      </c>
      <c r="Q990" s="1">
        <v>0.005628450591678158</v>
      </c>
      <c r="R990" s="1">
        <v>0.01260772511597463</v>
      </c>
      <c r="S990" s="1">
        <v>0.001826967068056851</v>
      </c>
      <c r="T990" s="1">
        <v>0.01055048805403436</v>
      </c>
      <c r="U990" s="1">
        <v>0.0002623491217743634</v>
      </c>
      <c r="V990" s="1">
        <v>0.002807142500216964</v>
      </c>
      <c r="W990" s="1">
        <v>0.01303803458018349</v>
      </c>
      <c r="X990" s="1">
        <v>0.004447006992041258</v>
      </c>
      <c r="Y990" s="1">
        <v>0.00608333596956312</v>
      </c>
      <c r="Z990" s="1">
        <v>0.008316449561800443</v>
      </c>
    </row>
    <row r="991" spans="1:26">
      <c r="A991" s="11">
        <v>43808</v>
      </c>
      <c r="B991" s="1">
        <v>0.03201608801093658</v>
      </c>
      <c r="C991" s="1">
        <v>-0.008133553478716693</v>
      </c>
      <c r="D991" s="1">
        <v>-0.01947806047069933</v>
      </c>
      <c r="E991" s="1">
        <v>0.02218497998449376</v>
      </c>
      <c r="F991" s="1">
        <v>-0.007911738451551575</v>
      </c>
      <c r="G991" s="1">
        <v>0.0007995654915995409</v>
      </c>
      <c r="H991" s="1">
        <v>0.01026173488870441</v>
      </c>
      <c r="I991" s="1">
        <v>0.01628227083016731</v>
      </c>
      <c r="J991" s="1">
        <v>-0.001463683941084759</v>
      </c>
      <c r="K991" s="1">
        <v>-0.002138449121577568</v>
      </c>
      <c r="L991" s="1">
        <v>-0.004665315046183616</v>
      </c>
      <c r="M991" s="1">
        <v>-0.008401687923049628</v>
      </c>
      <c r="N991" s="1">
        <v>0.002381002581105962</v>
      </c>
      <c r="O991" s="1">
        <v>0.000831452938367061</v>
      </c>
      <c r="P991" s="1">
        <v>-0.00256960779883586</v>
      </c>
      <c r="Q991" s="1">
        <v>-0.002984997700669401</v>
      </c>
      <c r="R991" s="1">
        <v>-0.0006165426825123221</v>
      </c>
      <c r="S991" s="1">
        <v>-0.002291395901102389</v>
      </c>
      <c r="T991" s="1">
        <v>-0.003404971286655734</v>
      </c>
      <c r="U991" s="1">
        <v>-0.004189054077574528</v>
      </c>
      <c r="V991" s="1">
        <v>0.01135713705102348</v>
      </c>
      <c r="W991" s="1">
        <v>-0.01152714402751343</v>
      </c>
      <c r="X991" s="1">
        <v>-0.01682515699095333</v>
      </c>
      <c r="Y991" s="1">
        <v>-0.002941763086410476</v>
      </c>
      <c r="Z991" s="1">
        <v>-0.001005636098128093</v>
      </c>
    </row>
    <row r="992" spans="1:26">
      <c r="A992" s="11">
        <v>43809</v>
      </c>
      <c r="B992" s="1">
        <v>0.01454249568507016</v>
      </c>
      <c r="C992" s="1">
        <v>-0.009424510475262049</v>
      </c>
      <c r="D992" s="1">
        <v>0.009074093091509416</v>
      </c>
      <c r="E992" s="1">
        <v>0.01321800589936872</v>
      </c>
      <c r="F992" s="1">
        <v>-0.02551829007594908</v>
      </c>
      <c r="G992" s="1">
        <v>-0.003195068960276326</v>
      </c>
      <c r="H992" s="1">
        <v>0.003109791618673752</v>
      </c>
      <c r="I992" s="1">
        <v>0.01191214422791465</v>
      </c>
      <c r="J992" s="1">
        <v>-0.004631723474882832</v>
      </c>
      <c r="K992" s="1">
        <v>0.002143031886232105</v>
      </c>
      <c r="L992" s="1">
        <v>0.0006696945000277399</v>
      </c>
      <c r="M992" s="1">
        <v>-0.006872993264611438</v>
      </c>
      <c r="N992" s="1">
        <v>-0.009499764503791197</v>
      </c>
      <c r="O992" s="1">
        <v>0.00332281229007747</v>
      </c>
      <c r="P992" s="1">
        <v>-0.001519494588810621</v>
      </c>
      <c r="Q992" s="1">
        <v>0.01047899388253715</v>
      </c>
      <c r="R992" s="1">
        <v>0.00160360241862012</v>
      </c>
      <c r="S992" s="1">
        <v>-0.009420763846338609</v>
      </c>
      <c r="T992" s="1">
        <v>-0.009920897137266294</v>
      </c>
      <c r="U992" s="1">
        <v>0.0005259264724521984</v>
      </c>
      <c r="V992" s="1">
        <v>-0.005377424366480477</v>
      </c>
      <c r="W992" s="1">
        <v>0.002086234908655005</v>
      </c>
      <c r="X992" s="1">
        <v>-0.006079669983548697</v>
      </c>
      <c r="Y992" s="1">
        <v>0.003606230082917161</v>
      </c>
      <c r="Z992" s="1">
        <v>0.005033918351925237</v>
      </c>
    </row>
    <row r="993" spans="1:26">
      <c r="A993" s="11">
        <v>43810</v>
      </c>
      <c r="B993" s="1">
        <v>0.01672205912939995</v>
      </c>
      <c r="C993" s="1">
        <v>0.006036234348420155</v>
      </c>
      <c r="D993" s="1">
        <v>0.008749456796415922</v>
      </c>
      <c r="E993" s="1">
        <v>0.005153936192996866</v>
      </c>
      <c r="F993" s="1">
        <v>-0.0163669846334128</v>
      </c>
      <c r="G993" s="1">
        <v>0.006009693720800513</v>
      </c>
      <c r="H993" s="1">
        <v>-0.008473253616048448</v>
      </c>
      <c r="I993" s="1">
        <v>-0.001177556788315326</v>
      </c>
      <c r="J993" s="1">
        <v>-0.006435272914704249</v>
      </c>
      <c r="K993" s="1">
        <v>0.01449288035521867</v>
      </c>
      <c r="L993" s="1">
        <v>-0.002379323703490588</v>
      </c>
      <c r="M993" s="1">
        <v>-0.01657237598539563</v>
      </c>
      <c r="N993" s="1">
        <v>0.004995046965671657</v>
      </c>
      <c r="O993" s="1">
        <v>0.002484032621962617</v>
      </c>
      <c r="P993" s="1">
        <v>0.003771504445461371</v>
      </c>
      <c r="Q993" s="1">
        <v>-0.004074002040176383</v>
      </c>
      <c r="R993" s="1">
        <v>0.002463019753494278</v>
      </c>
      <c r="S993" s="1">
        <v>-0.006765758530890342</v>
      </c>
      <c r="T993" s="1">
        <v>0.008128397728685899</v>
      </c>
      <c r="U993" s="1">
        <v>0.002890024645884726</v>
      </c>
      <c r="V993" s="1">
        <v>0.0002385498797570218</v>
      </c>
      <c r="W993" s="1">
        <v>0.003121709499082748</v>
      </c>
      <c r="X993" s="1">
        <v>-0.004304485016207504</v>
      </c>
      <c r="Y993" s="1">
        <v>-0.002449606282669214</v>
      </c>
      <c r="Z993" s="1">
        <v>-0.001402152857827299</v>
      </c>
    </row>
    <row r="994" spans="1:26">
      <c r="A994" s="11">
        <v>43811</v>
      </c>
      <c r="B994" s="1">
        <v>0.03571414521212612</v>
      </c>
      <c r="C994" s="1">
        <v>-0.01059997712474936</v>
      </c>
      <c r="D994" s="1">
        <v>0.006023239033820627</v>
      </c>
      <c r="E994" s="1">
        <v>0.02451525440423974</v>
      </c>
      <c r="F994" s="1">
        <v>0.0223440377175701</v>
      </c>
      <c r="G994" s="1">
        <v>-0.01154905458709687</v>
      </c>
      <c r="H994" s="1">
        <v>-0.005627069714169264</v>
      </c>
      <c r="I994" s="1">
        <v>0.02427812469362656</v>
      </c>
      <c r="J994" s="1">
        <v>0.01793702466720837</v>
      </c>
      <c r="K994" s="1">
        <v>-0.01615936632076809</v>
      </c>
      <c r="L994" s="1">
        <v>0.0286186197669831</v>
      </c>
      <c r="M994" s="1">
        <v>0.009073934506727221</v>
      </c>
      <c r="N994" s="1">
        <v>-0.007355908051149385</v>
      </c>
      <c r="O994" s="1">
        <v>0.01202163263706546</v>
      </c>
      <c r="P994" s="1">
        <v>0.01015143193174972</v>
      </c>
      <c r="Q994" s="1">
        <v>-0.008181600552011559</v>
      </c>
      <c r="R994" s="1">
        <v>0.01904177340775504</v>
      </c>
      <c r="S994" s="1">
        <v>-0.01765121012499682</v>
      </c>
      <c r="T994" s="1">
        <v>0.002293389803684542</v>
      </c>
      <c r="U994" s="1">
        <v>0.004715855636140409</v>
      </c>
      <c r="V994" s="1">
        <v>0.01367233181861671</v>
      </c>
      <c r="W994" s="1">
        <v>0.004024699240162466</v>
      </c>
      <c r="X994" s="1">
        <v>0.01092641687371554</v>
      </c>
      <c r="Y994" s="1">
        <v>0.00147311430145769</v>
      </c>
      <c r="Z994" s="1">
        <v>0.03952621217994445</v>
      </c>
    </row>
    <row r="995" spans="1:26">
      <c r="A995" s="11">
        <v>43812</v>
      </c>
      <c r="B995" s="1">
        <v>-0.03130664882854151</v>
      </c>
      <c r="C995" s="1">
        <v>-0.01334143844949143</v>
      </c>
      <c r="D995" s="1">
        <v>0.005388356192027821</v>
      </c>
      <c r="E995" s="1">
        <v>-0.001876688574893537</v>
      </c>
      <c r="F995" s="1">
        <v>0.01325300634666449</v>
      </c>
      <c r="G995" s="1">
        <v>0.04512441786635613</v>
      </c>
      <c r="H995" s="1">
        <v>0.003143817353223222</v>
      </c>
      <c r="I995" s="1">
        <v>-0.007594058793578551</v>
      </c>
      <c r="J995" s="1">
        <v>-0.003915556341207105</v>
      </c>
      <c r="K995" s="1">
        <v>-0.0313774768666204</v>
      </c>
      <c r="L995" s="1">
        <v>-0.008766995227504237</v>
      </c>
      <c r="M995" s="1">
        <v>-0.006239567836191728</v>
      </c>
      <c r="N995" s="1">
        <v>0.004606282759181068</v>
      </c>
      <c r="O995" s="1">
        <v>0.002357364281168062</v>
      </c>
      <c r="P995" s="1">
        <v>0.00841854016510557</v>
      </c>
      <c r="Q995" s="1">
        <v>0.007874047388408467</v>
      </c>
      <c r="R995" s="1">
        <v>-0.01133235818593625</v>
      </c>
      <c r="S995" s="1">
        <v>0.005777148713557168</v>
      </c>
      <c r="T995" s="1">
        <v>-0.007940128266463731</v>
      </c>
      <c r="U995" s="1">
        <v>-0.002346703985966925</v>
      </c>
      <c r="V995" s="1">
        <v>-0.002352473887943352</v>
      </c>
      <c r="W995" s="1">
        <v>0.003569185692601895</v>
      </c>
      <c r="X995" s="1">
        <v>-0.021616814533018</v>
      </c>
      <c r="Y995" s="1">
        <v>-0.005885173307437319</v>
      </c>
      <c r="Z995" s="1">
        <v>-0.01273875677623248</v>
      </c>
    </row>
    <row r="996" spans="1:26">
      <c r="A996" s="11">
        <v>43815</v>
      </c>
      <c r="B996" s="1">
        <v>0.03372358434917921</v>
      </c>
      <c r="C996" s="1">
        <v>-0.04293621752754473</v>
      </c>
      <c r="D996" s="1">
        <v>-0.001190710512231852</v>
      </c>
      <c r="E996" s="1">
        <v>-0.005014068790553106</v>
      </c>
      <c r="F996" s="1">
        <v>-0.001147658480529778</v>
      </c>
      <c r="G996" s="1">
        <v>0.01580597999257294</v>
      </c>
      <c r="H996" s="1">
        <v>0.002089551589295358</v>
      </c>
      <c r="I996" s="1">
        <v>0.00202900872875289</v>
      </c>
      <c r="J996" s="1">
        <v>0.008353489280450654</v>
      </c>
      <c r="K996" s="1">
        <v>0.00395663625726006</v>
      </c>
      <c r="L996" s="1">
        <v>0.003873934591241524</v>
      </c>
      <c r="M996" s="1">
        <v>0.003693252238821332</v>
      </c>
      <c r="N996" s="1">
        <v>0.008772046853659621</v>
      </c>
      <c r="O996" s="1">
        <v>0.01004163397030333</v>
      </c>
      <c r="P996" s="1">
        <v>0.006470822481736027</v>
      </c>
      <c r="Q996" s="1">
        <v>0.01078855629290221</v>
      </c>
      <c r="R996" s="1">
        <v>0.009877119601807482</v>
      </c>
      <c r="S996" s="1">
        <v>0.00365110246561029</v>
      </c>
      <c r="T996" s="1">
        <v>0.01272230186018009</v>
      </c>
      <c r="U996" s="1">
        <v>0.00862496051325512</v>
      </c>
      <c r="V996" s="1">
        <v>-0.009904179662050261</v>
      </c>
      <c r="W996" s="1">
        <v>0.003590259761115711</v>
      </c>
      <c r="X996" s="1">
        <v>0.01449927870979351</v>
      </c>
      <c r="Y996" s="1">
        <v>0.006906883585065859</v>
      </c>
      <c r="Z996" s="1">
        <v>0.0007817660822695416</v>
      </c>
    </row>
    <row r="997" spans="1:26">
      <c r="A997" s="11">
        <v>43816</v>
      </c>
      <c r="B997" s="1">
        <v>0.01812410314210511</v>
      </c>
      <c r="C997" s="1">
        <v>0</v>
      </c>
      <c r="D997" s="1">
        <v>-0.007274074345971604</v>
      </c>
      <c r="E997" s="1">
        <v>0.009606171108611505</v>
      </c>
      <c r="F997" s="1">
        <v>-0.003216109537262701</v>
      </c>
      <c r="G997" s="1">
        <v>0.002277104124131846</v>
      </c>
      <c r="H997" s="1">
        <v>-0.004170078746670636</v>
      </c>
      <c r="I997" s="1">
        <v>0.005727336404821592</v>
      </c>
      <c r="J997" s="1">
        <v>-0.007310076505575247</v>
      </c>
      <c r="K997" s="1">
        <v>0.001970360611063926</v>
      </c>
      <c r="L997" s="1">
        <v>0.006115848928865519</v>
      </c>
      <c r="M997" s="1">
        <v>-0.003127858787413618</v>
      </c>
      <c r="N997" s="1">
        <v>0.004545290702559379</v>
      </c>
      <c r="O997" s="1">
        <v>0.00358284914075413</v>
      </c>
      <c r="P997" s="1">
        <v>-0.005400715450779581</v>
      </c>
      <c r="Q997" s="1">
        <v>0.003312578295950441</v>
      </c>
      <c r="R997" s="1">
        <v>-0.00808973788601941</v>
      </c>
      <c r="S997" s="1">
        <v>-0.004559230076995213</v>
      </c>
      <c r="T997" s="1">
        <v>-0.002364075913906194</v>
      </c>
      <c r="U997" s="1">
        <v>-0.002331798796233575</v>
      </c>
      <c r="V997" s="1">
        <v>0.01921263771617654</v>
      </c>
      <c r="W997" s="1">
        <v>-0.005195084707890985</v>
      </c>
      <c r="X997" s="1">
        <v>0.008167212235303811</v>
      </c>
      <c r="Y997" s="1">
        <v>0.004246150092130918</v>
      </c>
      <c r="Z997" s="1">
        <v>0.006251305049665978</v>
      </c>
    </row>
    <row r="998" spans="1:26">
      <c r="A998" s="11">
        <v>43817</v>
      </c>
      <c r="B998" s="1">
        <v>0.01201643866128399</v>
      </c>
      <c r="C998" s="1">
        <v>0.01125381990827612</v>
      </c>
      <c r="D998" s="1">
        <v>0.004924920880470696</v>
      </c>
      <c r="E998" s="1">
        <v>-0.01497424255313751</v>
      </c>
      <c r="F998" s="1">
        <v>-0.004609364166770047</v>
      </c>
      <c r="G998" s="1">
        <v>0.01666030679271691</v>
      </c>
      <c r="H998" s="1">
        <v>0.009631521092567041</v>
      </c>
      <c r="I998" s="1">
        <v>-0.00707549308678046</v>
      </c>
      <c r="J998" s="1">
        <v>-0.001963545210196593</v>
      </c>
      <c r="K998" s="1">
        <v>-0.001966485924655648</v>
      </c>
      <c r="L998" s="1">
        <v>-0.001013046040207022</v>
      </c>
      <c r="M998" s="1">
        <v>-0.0107048570340198</v>
      </c>
      <c r="N998" s="1">
        <v>0.01042736965594315</v>
      </c>
      <c r="O998" s="1">
        <v>-0.004640709730855286</v>
      </c>
      <c r="P998" s="1">
        <v>-0.002068806315065785</v>
      </c>
      <c r="Q998" s="1">
        <v>0.01063825326119194</v>
      </c>
      <c r="R998" s="1">
        <v>0.005721446325858359</v>
      </c>
      <c r="S998" s="1">
        <v>0.0144711530779067</v>
      </c>
      <c r="T998" s="1">
        <v>-0.009565428101837803</v>
      </c>
      <c r="U998" s="1">
        <v>0.006233424973451918</v>
      </c>
      <c r="V998" s="1">
        <v>-0.002336786082040021</v>
      </c>
      <c r="W998" s="1">
        <v>-0.0005941336951461595</v>
      </c>
      <c r="X998" s="1">
        <v>-0.01395123964281231</v>
      </c>
      <c r="Y998" s="1">
        <v>-0.0102455242586571</v>
      </c>
      <c r="Z998" s="1">
        <v>-0.003106141367711812</v>
      </c>
    </row>
    <row r="999" spans="1:26">
      <c r="A999" s="11">
        <v>43818</v>
      </c>
      <c r="B999" s="1">
        <v>-0.001319560761982141</v>
      </c>
      <c r="C999" s="1">
        <v>0.008527861232566991</v>
      </c>
      <c r="D999" s="1">
        <v>-0.01721246018703226</v>
      </c>
      <c r="E999" s="1">
        <v>-0.004750651443637621</v>
      </c>
      <c r="F999" s="1">
        <v>0.01041897983719875</v>
      </c>
      <c r="G999" s="1">
        <v>-0.002606979948968524</v>
      </c>
      <c r="H999" s="1">
        <v>0</v>
      </c>
      <c r="I999" s="1">
        <v>0.0008692293678265184</v>
      </c>
      <c r="J999" s="1">
        <v>-0.001476050342031021</v>
      </c>
      <c r="K999" s="1">
        <v>0.003940828475984981</v>
      </c>
      <c r="L999" s="1">
        <v>-0.004998471482196676</v>
      </c>
      <c r="M999" s="1">
        <v>0.008955271966279765</v>
      </c>
      <c r="N999" s="1">
        <v>-0.0110982802206856</v>
      </c>
      <c r="O999" s="1">
        <v>0.006096843738111035</v>
      </c>
      <c r="P999" s="1">
        <v>0.008680850207875235</v>
      </c>
      <c r="Q999" s="1">
        <v>0.002178040175315088</v>
      </c>
      <c r="R999" s="1">
        <v>-0.007844007355313654</v>
      </c>
      <c r="S999" s="1">
        <v>0.009173167442416696</v>
      </c>
      <c r="T999" s="1">
        <v>0.009151425330843566</v>
      </c>
      <c r="U999" s="1">
        <v>0.004904577261436893</v>
      </c>
      <c r="V999" s="1">
        <v>0.004840707776033071</v>
      </c>
      <c r="W999" s="1">
        <v>0.01142089760033649</v>
      </c>
      <c r="X999" s="1">
        <v>0.01939693952805599</v>
      </c>
      <c r="Y999" s="1">
        <v>-0.0009859664571152393</v>
      </c>
      <c r="Z999" s="1">
        <v>0.002726225315889064</v>
      </c>
    </row>
    <row r="1000" spans="1:26">
      <c r="A1000" s="11">
        <v>43819</v>
      </c>
      <c r="B1000" s="1">
        <v>-0.003963016232256256</v>
      </c>
      <c r="C1000" s="1">
        <v>-0.01649174901663764</v>
      </c>
      <c r="D1000" s="1">
        <v>0.003283591610679037</v>
      </c>
      <c r="E1000" s="1">
        <v>0.01050119426482943</v>
      </c>
      <c r="F1000" s="1">
        <v>0.01031143031252912</v>
      </c>
      <c r="G1000" s="1">
        <v>-0.00186720266527074</v>
      </c>
      <c r="H1000" s="1">
        <v>0.01970145471717677</v>
      </c>
      <c r="I1000" s="1">
        <v>0.01093990469303363</v>
      </c>
      <c r="J1000" s="1">
        <v>0.01280822747682642</v>
      </c>
      <c r="K1000" s="1">
        <v>0.01128571515563892</v>
      </c>
      <c r="L1000" s="1">
        <v>-0.0008006701033771435</v>
      </c>
      <c r="M1000" s="1">
        <v>0.01017001338884271</v>
      </c>
      <c r="N1000" s="1">
        <v>0.006694031052842941</v>
      </c>
      <c r="O1000" s="1">
        <v>0.0009802215675234205</v>
      </c>
      <c r="P1000" s="1">
        <v>0.01091773085356795</v>
      </c>
      <c r="Q1000" s="1">
        <v>0.005432835285335669</v>
      </c>
      <c r="R1000" s="1">
        <v>0.006023350949425854</v>
      </c>
      <c r="S1000" s="1">
        <v>0.006567483825292486</v>
      </c>
      <c r="T1000" s="1">
        <v>0.005416540159832728</v>
      </c>
      <c r="U1000" s="1">
        <v>0.005651288741952643</v>
      </c>
      <c r="V1000" s="1">
        <v>0.003496428102742533</v>
      </c>
      <c r="W1000" s="1">
        <v>0.01073425500295366</v>
      </c>
      <c r="X1000" s="1">
        <v>0.01186530899452065</v>
      </c>
      <c r="Y1000" s="1">
        <v>0.02088803957335261</v>
      </c>
      <c r="Z1000" s="1">
        <v>0.002719185913901301</v>
      </c>
    </row>
    <row r="1001" spans="1:26">
      <c r="A1001" s="11">
        <v>43822</v>
      </c>
      <c r="B1001" s="1">
        <v>0.1728560032608886</v>
      </c>
      <c r="C1001" s="1">
        <v>0.02911589724582764</v>
      </c>
      <c r="D1001" s="1">
        <v>0.02460913794896991</v>
      </c>
      <c r="E1001" s="1">
        <v>-0.004723644558671358</v>
      </c>
      <c r="F1001" s="1">
        <v>0.0002269893743978013</v>
      </c>
      <c r="G1001" s="1">
        <v>0</v>
      </c>
      <c r="H1001" s="1">
        <v>-0.001220409039236259</v>
      </c>
      <c r="I1001" s="1">
        <v>0.002290485888957194</v>
      </c>
      <c r="J1001" s="1">
        <v>0</v>
      </c>
      <c r="K1001" s="1">
        <v>-0.0002424452168886537</v>
      </c>
      <c r="L1001" s="1">
        <v>-0.0002914525954781366</v>
      </c>
      <c r="M1001" s="1">
        <v>0.01134905128070041</v>
      </c>
      <c r="N1001" s="1">
        <v>0.008214458871920405</v>
      </c>
      <c r="O1001" s="1">
        <v>-0.009259262075608898</v>
      </c>
      <c r="P1001" s="1">
        <v>0</v>
      </c>
      <c r="Q1001" s="1">
        <v>-0.01116710429542489</v>
      </c>
      <c r="R1001" s="1">
        <v>-0.007733553676262162</v>
      </c>
      <c r="S1001" s="1">
        <v>-0.006004780047279779</v>
      </c>
      <c r="T1001" s="1">
        <v>0.00392415898413967</v>
      </c>
      <c r="U1001" s="1">
        <v>-0.002043549426098745</v>
      </c>
      <c r="V1001" s="1">
        <v>-0.006271713389379152</v>
      </c>
      <c r="W1001" s="1">
        <v>0.004040470343358749</v>
      </c>
      <c r="X1001" s="1">
        <v>0.008185660895128954</v>
      </c>
      <c r="Y1001" s="1">
        <v>-0.01079428624411638</v>
      </c>
      <c r="Z1001" s="1">
        <v>-0.005617085902294483</v>
      </c>
    </row>
    <row r="1002" spans="1:26">
      <c r="A1002" s="11">
        <v>43823</v>
      </c>
      <c r="B1002" s="1">
        <v>-0.01356955741416643</v>
      </c>
      <c r="C1002" s="1">
        <v>-0.01347952269940778</v>
      </c>
      <c r="D1002" s="1">
        <v>0.002011721597263261</v>
      </c>
      <c r="E1002" s="1">
        <v>-0.0007909842322582072</v>
      </c>
      <c r="F1002" s="1">
        <v>0.009750335707062741</v>
      </c>
      <c r="G1002" s="1">
        <v>0.001122536880428182</v>
      </c>
      <c r="H1002" s="1">
        <v>0.002443295638974163</v>
      </c>
      <c r="I1002" s="1">
        <v>-0.003141981360617607</v>
      </c>
      <c r="J1002" s="1">
        <v>0.001459242077719081</v>
      </c>
      <c r="K1002" s="1">
        <v>-0.002184121090970104</v>
      </c>
      <c r="L1002" s="1">
        <v>0.002769307409625776</v>
      </c>
      <c r="M1002" s="1">
        <v>-0.005610998832079939</v>
      </c>
      <c r="N1002" s="1">
        <v>-0.00847957972267277</v>
      </c>
      <c r="O1002" s="1">
        <v>0.002606117849178746</v>
      </c>
      <c r="P1002" s="1">
        <v>-0.0001908945164984521</v>
      </c>
      <c r="Q1002" s="1">
        <v>-0.0007289472663652985</v>
      </c>
      <c r="R1002" s="1">
        <v>-0.0007541432231290557</v>
      </c>
      <c r="S1002" s="1">
        <v>-0.001759651262985273</v>
      </c>
      <c r="T1002" s="1">
        <v>-0.003634364869457007</v>
      </c>
      <c r="U1002" s="1">
        <v>-0.002815519227118757</v>
      </c>
      <c r="V1002" s="1">
        <v>0.001636124037834641</v>
      </c>
      <c r="W1002" s="1">
        <v>-0.004664040518579604</v>
      </c>
      <c r="X1002" s="1">
        <v>-0.01163037632275776</v>
      </c>
      <c r="Y1002" s="1">
        <v>-0.001954406852958335</v>
      </c>
      <c r="Z1002" s="1">
        <v>0.00370111905423598</v>
      </c>
    </row>
    <row r="1003" spans="1:26">
      <c r="A1003" s="11">
        <v>43825</v>
      </c>
      <c r="B1003" s="1">
        <v>0.003821029034805967</v>
      </c>
      <c r="C1003" s="1">
        <v>-0.009249202052583838</v>
      </c>
      <c r="D1003" s="1">
        <v>-0.004251007953164687</v>
      </c>
      <c r="E1003" s="1">
        <v>0.01266624015562967</v>
      </c>
      <c r="F1003" s="1">
        <v>0.009881265617150969</v>
      </c>
      <c r="G1003" s="1">
        <v>0.005605112094142051</v>
      </c>
      <c r="H1003" s="1">
        <v>-0.004265673236617307</v>
      </c>
      <c r="I1003" s="1">
        <v>0.001719244689520449</v>
      </c>
      <c r="J1003" s="1">
        <v>0.004856382433286344</v>
      </c>
      <c r="K1003" s="1">
        <v>-0.0002433525209065701</v>
      </c>
      <c r="L1003" s="1">
        <v>0.01061243076606178</v>
      </c>
      <c r="M1003" s="1">
        <v>-0.0007280141105214799</v>
      </c>
      <c r="N1003" s="1">
        <v>0.002386896157662521</v>
      </c>
      <c r="O1003" s="1">
        <v>0.002420057455791103</v>
      </c>
      <c r="P1003" s="1">
        <v>0.008196775219174945</v>
      </c>
      <c r="Q1003" s="1">
        <v>-0.002916353275175809</v>
      </c>
      <c r="R1003" s="1">
        <v>0.0002517797902246155</v>
      </c>
      <c r="S1003" s="1">
        <v>0.00714748000973553</v>
      </c>
      <c r="T1003" s="1">
        <v>0.0007912258939049011</v>
      </c>
      <c r="U1003" s="1">
        <v>0.005133430294935293</v>
      </c>
      <c r="V1003" s="1">
        <v>0.002645003401147594</v>
      </c>
      <c r="W1003" s="1">
        <v>-0.002450133467972182</v>
      </c>
      <c r="X1003" s="1">
        <v>0.0002222069643522673</v>
      </c>
      <c r="Y1003" s="1">
        <v>0.0001636158495050832</v>
      </c>
      <c r="Z1003" s="1">
        <v>0.002522678362698372</v>
      </c>
    </row>
    <row r="1004" spans="1:26">
      <c r="A1004" s="11">
        <v>43826</v>
      </c>
      <c r="B1004" s="1">
        <v>-0.00571011410323341</v>
      </c>
      <c r="C1004" s="1">
        <v>0.000666891352074428</v>
      </c>
      <c r="D1004" s="1">
        <v>-0.003320318852569559</v>
      </c>
      <c r="E1004" s="1">
        <v>0.002814230662530504</v>
      </c>
      <c r="F1004" s="1">
        <v>0.002890688353857529</v>
      </c>
      <c r="G1004" s="1">
        <v>0</v>
      </c>
      <c r="H1004" s="1">
        <v>0.00897607714746651</v>
      </c>
      <c r="I1004" s="1">
        <v>0.005778004169266326</v>
      </c>
      <c r="J1004" s="1">
        <v>-0.007733059325904068</v>
      </c>
      <c r="K1004" s="1">
        <v>-0.001216211392411681</v>
      </c>
      <c r="L1004" s="1">
        <v>0.0007190344844341112</v>
      </c>
      <c r="M1004" s="1">
        <v>-0.01056446509569808</v>
      </c>
      <c r="N1004" s="1">
        <v>0</v>
      </c>
      <c r="O1004" s="1">
        <v>0.001698877836433299</v>
      </c>
      <c r="P1004" s="1">
        <v>0.001827534741251968</v>
      </c>
      <c r="Q1004" s="1">
        <v>-0.002193967217100301</v>
      </c>
      <c r="R1004" s="1">
        <v>-0.001257776143247846</v>
      </c>
      <c r="S1004" s="1">
        <v>0.001324583489898723</v>
      </c>
      <c r="T1004" s="1">
        <v>0.0001547590152979339</v>
      </c>
      <c r="U1004" s="1">
        <v>0.002042925947763008</v>
      </c>
      <c r="V1004" s="1">
        <v>0.00248274717429231</v>
      </c>
      <c r="W1004" s="1">
        <v>0.002578772855667433</v>
      </c>
      <c r="X1004" s="1">
        <v>-0.01531632356323709</v>
      </c>
      <c r="Y1004" s="1">
        <v>0.003915643268272317</v>
      </c>
      <c r="Z1004" s="1">
        <v>-0.003097029260885509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1004"/>
  <sheetViews>
    <sheetView showGridLines="0" workbookViewId="0"/>
  </sheetViews>
  <sheetFormatPr defaultRowHeight="15"/>
  <cols>
    <col min="1" max="1" width="10.7109375" style="10" customWidth="1"/>
  </cols>
  <sheetData>
    <row r="1" spans="1:2">
      <c r="A1" s="5" t="s">
        <v>26</v>
      </c>
      <c r="B1" s="5" t="s">
        <v>52</v>
      </c>
    </row>
    <row r="2" spans="1:2">
      <c r="A2" s="11">
        <f>Returns!A2</f>
        <v>0</v>
      </c>
      <c r="B2" s="1">
        <f t="array" ref="B2">MMULT(Returns!B2:Z2,Resume!$B$38:$B$62)</f>
        <v>0</v>
      </c>
    </row>
    <row r="3" spans="1:2">
      <c r="A3" s="11">
        <f>Returns!A3</f>
        <v>0</v>
      </c>
      <c r="B3" s="1">
        <f t="array" ref="B3">MMULT(Returns!B3:Z3,Resume!$B$38:$B$62)</f>
        <v>0</v>
      </c>
    </row>
    <row r="4" spans="1:2">
      <c r="A4" s="11">
        <f>Returns!A4</f>
        <v>0</v>
      </c>
      <c r="B4" s="1">
        <f t="array" ref="B4">MMULT(Returns!B4:Z4,Resume!$B$38:$B$62)</f>
        <v>0</v>
      </c>
    </row>
    <row r="5" spans="1:2">
      <c r="A5" s="11">
        <f>Returns!A5</f>
        <v>0</v>
      </c>
      <c r="B5" s="1">
        <f t="array" ref="B5">MMULT(Returns!B5:Z5,Resume!$B$38:$B$62)</f>
        <v>0</v>
      </c>
    </row>
    <row r="6" spans="1:2">
      <c r="A6" s="11">
        <f>Returns!A6</f>
        <v>0</v>
      </c>
      <c r="B6" s="1">
        <f t="array" ref="B6">MMULT(Returns!B6:Z6,Resume!$B$38:$B$62)</f>
        <v>0</v>
      </c>
    </row>
    <row r="7" spans="1:2">
      <c r="A7" s="11">
        <f>Returns!A7</f>
        <v>0</v>
      </c>
      <c r="B7" s="1">
        <f t="array" ref="B7">MMULT(Returns!B7:Z7,Resume!$B$38:$B$62)</f>
        <v>0</v>
      </c>
    </row>
    <row r="8" spans="1:2">
      <c r="A8" s="11">
        <f>Returns!A8</f>
        <v>0</v>
      </c>
      <c r="B8" s="1">
        <f t="array" ref="B8">MMULT(Returns!B8:Z8,Resume!$B$38:$B$62)</f>
        <v>0</v>
      </c>
    </row>
    <row r="9" spans="1:2">
      <c r="A9" s="11">
        <f>Returns!A9</f>
        <v>0</v>
      </c>
      <c r="B9" s="1">
        <f t="array" ref="B9">MMULT(Returns!B9:Z9,Resume!$B$38:$B$62)</f>
        <v>0</v>
      </c>
    </row>
    <row r="10" spans="1:2">
      <c r="A10" s="11">
        <f>Returns!A10</f>
        <v>0</v>
      </c>
      <c r="B10" s="1">
        <f t="array" ref="B10">MMULT(Returns!B10:Z10,Resume!$B$38:$B$62)</f>
        <v>0</v>
      </c>
    </row>
    <row r="11" spans="1:2">
      <c r="A11" s="11">
        <f>Returns!A11</f>
        <v>0</v>
      </c>
      <c r="B11" s="1">
        <f t="array" ref="B11">MMULT(Returns!B11:Z11,Resume!$B$38:$B$62)</f>
        <v>0</v>
      </c>
    </row>
    <row r="12" spans="1:2">
      <c r="A12" s="11">
        <f>Returns!A12</f>
        <v>0</v>
      </c>
      <c r="B12" s="1">
        <f t="array" ref="B12">MMULT(Returns!B12:Z12,Resume!$B$38:$B$62)</f>
        <v>0</v>
      </c>
    </row>
    <row r="13" spans="1:2">
      <c r="A13" s="11">
        <f>Returns!A13</f>
        <v>0</v>
      </c>
      <c r="B13" s="1">
        <f t="array" ref="B13">MMULT(Returns!B13:Z13,Resume!$B$38:$B$62)</f>
        <v>0</v>
      </c>
    </row>
    <row r="14" spans="1:2">
      <c r="A14" s="11">
        <f>Returns!A14</f>
        <v>0</v>
      </c>
      <c r="B14" s="1">
        <f t="array" ref="B14">MMULT(Returns!B14:Z14,Resume!$B$38:$B$62)</f>
        <v>0</v>
      </c>
    </row>
    <row r="15" spans="1:2">
      <c r="A15" s="11">
        <f>Returns!A15</f>
        <v>0</v>
      </c>
      <c r="B15" s="1">
        <f t="array" ref="B15">MMULT(Returns!B15:Z15,Resume!$B$38:$B$62)</f>
        <v>0</v>
      </c>
    </row>
    <row r="16" spans="1:2">
      <c r="A16" s="11">
        <f>Returns!A16</f>
        <v>0</v>
      </c>
      <c r="B16" s="1">
        <f t="array" ref="B16">MMULT(Returns!B16:Z16,Resume!$B$38:$B$62)</f>
        <v>0</v>
      </c>
    </row>
    <row r="17" spans="1:2">
      <c r="A17" s="11">
        <f>Returns!A17</f>
        <v>0</v>
      </c>
      <c r="B17" s="1">
        <f t="array" ref="B17">MMULT(Returns!B17:Z17,Resume!$B$38:$B$62)</f>
        <v>0</v>
      </c>
    </row>
    <row r="18" spans="1:2">
      <c r="A18" s="11">
        <f>Returns!A18</f>
        <v>0</v>
      </c>
      <c r="B18" s="1">
        <f t="array" ref="B18">MMULT(Returns!B18:Z18,Resume!$B$38:$B$62)</f>
        <v>0</v>
      </c>
    </row>
    <row r="19" spans="1:2">
      <c r="A19" s="11">
        <f>Returns!A19</f>
        <v>0</v>
      </c>
      <c r="B19" s="1">
        <f t="array" ref="B19">MMULT(Returns!B19:Z19,Resume!$B$38:$B$62)</f>
        <v>0</v>
      </c>
    </row>
    <row r="20" spans="1:2">
      <c r="A20" s="11">
        <f>Returns!A20</f>
        <v>0</v>
      </c>
      <c r="B20" s="1">
        <f t="array" ref="B20">MMULT(Returns!B20:Z20,Resume!$B$38:$B$62)</f>
        <v>0</v>
      </c>
    </row>
    <row r="21" spans="1:2">
      <c r="A21" s="11">
        <f>Returns!A21</f>
        <v>0</v>
      </c>
      <c r="B21" s="1">
        <f t="array" ref="B21">MMULT(Returns!B21:Z21,Resume!$B$38:$B$62)</f>
        <v>0</v>
      </c>
    </row>
    <row r="22" spans="1:2">
      <c r="A22" s="11">
        <f>Returns!A22</f>
        <v>0</v>
      </c>
      <c r="B22" s="1">
        <f t="array" ref="B22">MMULT(Returns!B22:Z22,Resume!$B$38:$B$62)</f>
        <v>0</v>
      </c>
    </row>
    <row r="23" spans="1:2">
      <c r="A23" s="11">
        <f>Returns!A23</f>
        <v>0</v>
      </c>
      <c r="B23" s="1">
        <f t="array" ref="B23">MMULT(Returns!B23:Z23,Resume!$B$38:$B$62)</f>
        <v>0</v>
      </c>
    </row>
    <row r="24" spans="1:2">
      <c r="A24" s="11">
        <f>Returns!A24</f>
        <v>0</v>
      </c>
      <c r="B24" s="1">
        <f t="array" ref="B24">MMULT(Returns!B24:Z24,Resume!$B$38:$B$62)</f>
        <v>0</v>
      </c>
    </row>
    <row r="25" spans="1:2">
      <c r="A25" s="11">
        <f>Returns!A25</f>
        <v>0</v>
      </c>
      <c r="B25" s="1">
        <f t="array" ref="B25">MMULT(Returns!B25:Z25,Resume!$B$38:$B$62)</f>
        <v>0</v>
      </c>
    </row>
    <row r="26" spans="1:2">
      <c r="A26" s="11">
        <f>Returns!A26</f>
        <v>0</v>
      </c>
      <c r="B26" s="1">
        <f t="array" ref="B26">MMULT(Returns!B26:Z26,Resume!$B$38:$B$62)</f>
        <v>0</v>
      </c>
    </row>
    <row r="27" spans="1:2">
      <c r="A27" s="11">
        <f>Returns!A27</f>
        <v>0</v>
      </c>
      <c r="B27" s="1">
        <f t="array" ref="B27">MMULT(Returns!B27:Z27,Resume!$B$38:$B$62)</f>
        <v>0</v>
      </c>
    </row>
    <row r="28" spans="1:2">
      <c r="A28" s="11">
        <f>Returns!A28</f>
        <v>0</v>
      </c>
      <c r="B28" s="1">
        <f t="array" ref="B28">MMULT(Returns!B28:Z28,Resume!$B$38:$B$62)</f>
        <v>0</v>
      </c>
    </row>
    <row r="29" spans="1:2">
      <c r="A29" s="11">
        <f>Returns!A29</f>
        <v>0</v>
      </c>
      <c r="B29" s="1">
        <f t="array" ref="B29">MMULT(Returns!B29:Z29,Resume!$B$38:$B$62)</f>
        <v>0</v>
      </c>
    </row>
    <row r="30" spans="1:2">
      <c r="A30" s="11">
        <f>Returns!A30</f>
        <v>0</v>
      </c>
      <c r="B30" s="1">
        <f t="array" ref="B30">MMULT(Returns!B30:Z30,Resume!$B$38:$B$62)</f>
        <v>0</v>
      </c>
    </row>
    <row r="31" spans="1:2">
      <c r="A31" s="11">
        <f>Returns!A31</f>
        <v>0</v>
      </c>
      <c r="B31" s="1">
        <f t="array" ref="B31">MMULT(Returns!B31:Z31,Resume!$B$38:$B$62)</f>
        <v>0</v>
      </c>
    </row>
    <row r="32" spans="1:2">
      <c r="A32" s="11">
        <f>Returns!A32</f>
        <v>0</v>
      </c>
      <c r="B32" s="1">
        <f t="array" ref="B32">MMULT(Returns!B32:Z32,Resume!$B$38:$B$62)</f>
        <v>0</v>
      </c>
    </row>
    <row r="33" spans="1:2">
      <c r="A33" s="11">
        <f>Returns!A33</f>
        <v>0</v>
      </c>
      <c r="B33" s="1">
        <f t="array" ref="B33">MMULT(Returns!B33:Z33,Resume!$B$38:$B$62)</f>
        <v>0</v>
      </c>
    </row>
    <row r="34" spans="1:2">
      <c r="A34" s="11">
        <f>Returns!A34</f>
        <v>0</v>
      </c>
      <c r="B34" s="1">
        <f t="array" ref="B34">MMULT(Returns!B34:Z34,Resume!$B$38:$B$62)</f>
        <v>0</v>
      </c>
    </row>
    <row r="35" spans="1:2">
      <c r="A35" s="11">
        <f>Returns!A35</f>
        <v>0</v>
      </c>
      <c r="B35" s="1">
        <f t="array" ref="B35">MMULT(Returns!B35:Z35,Resume!$B$38:$B$62)</f>
        <v>0</v>
      </c>
    </row>
    <row r="36" spans="1:2">
      <c r="A36" s="11">
        <f>Returns!A36</f>
        <v>0</v>
      </c>
      <c r="B36" s="1">
        <f t="array" ref="B36">MMULT(Returns!B36:Z36,Resume!$B$38:$B$62)</f>
        <v>0</v>
      </c>
    </row>
    <row r="37" spans="1:2">
      <c r="A37" s="11">
        <f>Returns!A37</f>
        <v>0</v>
      </c>
      <c r="B37" s="1">
        <f t="array" ref="B37">MMULT(Returns!B37:Z37,Resume!$B$38:$B$62)</f>
        <v>0</v>
      </c>
    </row>
    <row r="38" spans="1:2">
      <c r="A38" s="11">
        <f>Returns!A38</f>
        <v>0</v>
      </c>
      <c r="B38" s="1">
        <f t="array" ref="B38">MMULT(Returns!B38:Z38,Resume!$B$38:$B$62)</f>
        <v>0</v>
      </c>
    </row>
    <row r="39" spans="1:2">
      <c r="A39" s="11">
        <f>Returns!A39</f>
        <v>0</v>
      </c>
      <c r="B39" s="1">
        <f t="array" ref="B39">MMULT(Returns!B39:Z39,Resume!$B$38:$B$62)</f>
        <v>0</v>
      </c>
    </row>
    <row r="40" spans="1:2">
      <c r="A40" s="11">
        <f>Returns!A40</f>
        <v>0</v>
      </c>
      <c r="B40" s="1">
        <f t="array" ref="B40">MMULT(Returns!B40:Z40,Resume!$B$38:$B$62)</f>
        <v>0</v>
      </c>
    </row>
    <row r="41" spans="1:2">
      <c r="A41" s="11">
        <f>Returns!A41</f>
        <v>0</v>
      </c>
      <c r="B41" s="1">
        <f t="array" ref="B41">MMULT(Returns!B41:Z41,Resume!$B$38:$B$62)</f>
        <v>0</v>
      </c>
    </row>
    <row r="42" spans="1:2">
      <c r="A42" s="11">
        <f>Returns!A42</f>
        <v>0</v>
      </c>
      <c r="B42" s="1">
        <f t="array" ref="B42">MMULT(Returns!B42:Z42,Resume!$B$38:$B$62)</f>
        <v>0</v>
      </c>
    </row>
    <row r="43" spans="1:2">
      <c r="A43" s="11">
        <f>Returns!A43</f>
        <v>0</v>
      </c>
      <c r="B43" s="1">
        <f t="array" ref="B43">MMULT(Returns!B43:Z43,Resume!$B$38:$B$62)</f>
        <v>0</v>
      </c>
    </row>
    <row r="44" spans="1:2">
      <c r="A44" s="11">
        <f>Returns!A44</f>
        <v>0</v>
      </c>
      <c r="B44" s="1">
        <f t="array" ref="B44">MMULT(Returns!B44:Z44,Resume!$B$38:$B$62)</f>
        <v>0</v>
      </c>
    </row>
    <row r="45" spans="1:2">
      <c r="A45" s="11">
        <f>Returns!A45</f>
        <v>0</v>
      </c>
      <c r="B45" s="1">
        <f t="array" ref="B45">MMULT(Returns!B45:Z45,Resume!$B$38:$B$62)</f>
        <v>0</v>
      </c>
    </row>
    <row r="46" spans="1:2">
      <c r="A46" s="11">
        <f>Returns!A46</f>
        <v>0</v>
      </c>
      <c r="B46" s="1">
        <f t="array" ref="B46">MMULT(Returns!B46:Z46,Resume!$B$38:$B$62)</f>
        <v>0</v>
      </c>
    </row>
    <row r="47" spans="1:2">
      <c r="A47" s="11">
        <f>Returns!A47</f>
        <v>0</v>
      </c>
      <c r="B47" s="1">
        <f t="array" ref="B47">MMULT(Returns!B47:Z47,Resume!$B$38:$B$62)</f>
        <v>0</v>
      </c>
    </row>
    <row r="48" spans="1:2">
      <c r="A48" s="11">
        <f>Returns!A48</f>
        <v>0</v>
      </c>
      <c r="B48" s="1">
        <f t="array" ref="B48">MMULT(Returns!B48:Z48,Resume!$B$38:$B$62)</f>
        <v>0</v>
      </c>
    </row>
    <row r="49" spans="1:2">
      <c r="A49" s="11">
        <f>Returns!A49</f>
        <v>0</v>
      </c>
      <c r="B49" s="1">
        <f t="array" ref="B49">MMULT(Returns!B49:Z49,Resume!$B$38:$B$62)</f>
        <v>0</v>
      </c>
    </row>
    <row r="50" spans="1:2">
      <c r="A50" s="11">
        <f>Returns!A50</f>
        <v>0</v>
      </c>
      <c r="B50" s="1">
        <f t="array" ref="B50">MMULT(Returns!B50:Z50,Resume!$B$38:$B$62)</f>
        <v>0</v>
      </c>
    </row>
    <row r="51" spans="1:2">
      <c r="A51" s="11">
        <f>Returns!A51</f>
        <v>0</v>
      </c>
      <c r="B51" s="1">
        <f t="array" ref="B51">MMULT(Returns!B51:Z51,Resume!$B$38:$B$62)</f>
        <v>0</v>
      </c>
    </row>
    <row r="52" spans="1:2">
      <c r="A52" s="11">
        <f>Returns!A52</f>
        <v>0</v>
      </c>
      <c r="B52" s="1">
        <f t="array" ref="B52">MMULT(Returns!B52:Z52,Resume!$B$38:$B$62)</f>
        <v>0</v>
      </c>
    </row>
    <row r="53" spans="1:2">
      <c r="A53" s="11">
        <f>Returns!A53</f>
        <v>0</v>
      </c>
      <c r="B53" s="1">
        <f t="array" ref="B53">MMULT(Returns!B53:Z53,Resume!$B$38:$B$62)</f>
        <v>0</v>
      </c>
    </row>
    <row r="54" spans="1:2">
      <c r="A54" s="11">
        <f>Returns!A54</f>
        <v>0</v>
      </c>
      <c r="B54" s="1">
        <f t="array" ref="B54">MMULT(Returns!B54:Z54,Resume!$B$38:$B$62)</f>
        <v>0</v>
      </c>
    </row>
    <row r="55" spans="1:2">
      <c r="A55" s="11">
        <f>Returns!A55</f>
        <v>0</v>
      </c>
      <c r="B55" s="1">
        <f t="array" ref="B55">MMULT(Returns!B55:Z55,Resume!$B$38:$B$62)</f>
        <v>0</v>
      </c>
    </row>
    <row r="56" spans="1:2">
      <c r="A56" s="11">
        <f>Returns!A56</f>
        <v>0</v>
      </c>
      <c r="B56" s="1">
        <f t="array" ref="B56">MMULT(Returns!B56:Z56,Resume!$B$38:$B$62)</f>
        <v>0</v>
      </c>
    </row>
    <row r="57" spans="1:2">
      <c r="A57" s="11">
        <f>Returns!A57</f>
        <v>0</v>
      </c>
      <c r="B57" s="1">
        <f t="array" ref="B57">MMULT(Returns!B57:Z57,Resume!$B$38:$B$62)</f>
        <v>0</v>
      </c>
    </row>
    <row r="58" spans="1:2">
      <c r="A58" s="11">
        <f>Returns!A58</f>
        <v>0</v>
      </c>
      <c r="B58" s="1">
        <f t="array" ref="B58">MMULT(Returns!B58:Z58,Resume!$B$38:$B$62)</f>
        <v>0</v>
      </c>
    </row>
    <row r="59" spans="1:2">
      <c r="A59" s="11">
        <f>Returns!A59</f>
        <v>0</v>
      </c>
      <c r="B59" s="1">
        <f t="array" ref="B59">MMULT(Returns!B59:Z59,Resume!$B$38:$B$62)</f>
        <v>0</v>
      </c>
    </row>
    <row r="60" spans="1:2">
      <c r="A60" s="11">
        <f>Returns!A60</f>
        <v>0</v>
      </c>
      <c r="B60" s="1">
        <f t="array" ref="B60">MMULT(Returns!B60:Z60,Resume!$B$38:$B$62)</f>
        <v>0</v>
      </c>
    </row>
    <row r="61" spans="1:2">
      <c r="A61" s="11">
        <f>Returns!A61</f>
        <v>0</v>
      </c>
      <c r="B61" s="1">
        <f t="array" ref="B61">MMULT(Returns!B61:Z61,Resume!$B$38:$B$62)</f>
        <v>0</v>
      </c>
    </row>
    <row r="62" spans="1:2">
      <c r="A62" s="11">
        <f>Returns!A62</f>
        <v>0</v>
      </c>
      <c r="B62" s="1">
        <f t="array" ref="B62">MMULT(Returns!B62:Z62,Resume!$B$38:$B$62)</f>
        <v>0</v>
      </c>
    </row>
    <row r="63" spans="1:2">
      <c r="A63" s="11">
        <f>Returns!A63</f>
        <v>0</v>
      </c>
      <c r="B63" s="1">
        <f t="array" ref="B63">MMULT(Returns!B63:Z63,Resume!$B$38:$B$62)</f>
        <v>0</v>
      </c>
    </row>
    <row r="64" spans="1:2">
      <c r="A64" s="11">
        <f>Returns!A64</f>
        <v>0</v>
      </c>
      <c r="B64" s="1">
        <f t="array" ref="B64">MMULT(Returns!B64:Z64,Resume!$B$38:$B$62)</f>
        <v>0</v>
      </c>
    </row>
    <row r="65" spans="1:2">
      <c r="A65" s="11">
        <f>Returns!A65</f>
        <v>0</v>
      </c>
      <c r="B65" s="1">
        <f t="array" ref="B65">MMULT(Returns!B65:Z65,Resume!$B$38:$B$62)</f>
        <v>0</v>
      </c>
    </row>
    <row r="66" spans="1:2">
      <c r="A66" s="11">
        <f>Returns!A66</f>
        <v>0</v>
      </c>
      <c r="B66" s="1">
        <f t="array" ref="B66">MMULT(Returns!B66:Z66,Resume!$B$38:$B$62)</f>
        <v>0</v>
      </c>
    </row>
    <row r="67" spans="1:2">
      <c r="A67" s="11">
        <f>Returns!A67</f>
        <v>0</v>
      </c>
      <c r="B67" s="1">
        <f t="array" ref="B67">MMULT(Returns!B67:Z67,Resume!$B$38:$B$62)</f>
        <v>0</v>
      </c>
    </row>
    <row r="68" spans="1:2">
      <c r="A68" s="11">
        <f>Returns!A68</f>
        <v>0</v>
      </c>
      <c r="B68" s="1">
        <f t="array" ref="B68">MMULT(Returns!B68:Z68,Resume!$B$38:$B$62)</f>
        <v>0</v>
      </c>
    </row>
    <row r="69" spans="1:2">
      <c r="A69" s="11">
        <f>Returns!A69</f>
        <v>0</v>
      </c>
      <c r="B69" s="1">
        <f t="array" ref="B69">MMULT(Returns!B69:Z69,Resume!$B$38:$B$62)</f>
        <v>0</v>
      </c>
    </row>
    <row r="70" spans="1:2">
      <c r="A70" s="11">
        <f>Returns!A70</f>
        <v>0</v>
      </c>
      <c r="B70" s="1">
        <f t="array" ref="B70">MMULT(Returns!B70:Z70,Resume!$B$38:$B$62)</f>
        <v>0</v>
      </c>
    </row>
    <row r="71" spans="1:2">
      <c r="A71" s="11">
        <f>Returns!A71</f>
        <v>0</v>
      </c>
      <c r="B71" s="1">
        <f t="array" ref="B71">MMULT(Returns!B71:Z71,Resume!$B$38:$B$62)</f>
        <v>0</v>
      </c>
    </row>
    <row r="72" spans="1:2">
      <c r="A72" s="11">
        <f>Returns!A72</f>
        <v>0</v>
      </c>
      <c r="B72" s="1">
        <f t="array" ref="B72">MMULT(Returns!B72:Z72,Resume!$B$38:$B$62)</f>
        <v>0</v>
      </c>
    </row>
    <row r="73" spans="1:2">
      <c r="A73" s="11">
        <f>Returns!A73</f>
        <v>0</v>
      </c>
      <c r="B73" s="1">
        <f t="array" ref="B73">MMULT(Returns!B73:Z73,Resume!$B$38:$B$62)</f>
        <v>0</v>
      </c>
    </row>
    <row r="74" spans="1:2">
      <c r="A74" s="11">
        <f>Returns!A74</f>
        <v>0</v>
      </c>
      <c r="B74" s="1">
        <f t="array" ref="B74">MMULT(Returns!B74:Z74,Resume!$B$38:$B$62)</f>
        <v>0</v>
      </c>
    </row>
    <row r="75" spans="1:2">
      <c r="A75" s="11">
        <f>Returns!A75</f>
        <v>0</v>
      </c>
      <c r="B75" s="1">
        <f t="array" ref="B75">MMULT(Returns!B75:Z75,Resume!$B$38:$B$62)</f>
        <v>0</v>
      </c>
    </row>
    <row r="76" spans="1:2">
      <c r="A76" s="11">
        <f>Returns!A76</f>
        <v>0</v>
      </c>
      <c r="B76" s="1">
        <f t="array" ref="B76">MMULT(Returns!B76:Z76,Resume!$B$38:$B$62)</f>
        <v>0</v>
      </c>
    </row>
    <row r="77" spans="1:2">
      <c r="A77" s="11">
        <f>Returns!A77</f>
        <v>0</v>
      </c>
      <c r="B77" s="1">
        <f t="array" ref="B77">MMULT(Returns!B77:Z77,Resume!$B$38:$B$62)</f>
        <v>0</v>
      </c>
    </row>
    <row r="78" spans="1:2">
      <c r="A78" s="11">
        <f>Returns!A78</f>
        <v>0</v>
      </c>
      <c r="B78" s="1">
        <f t="array" ref="B78">MMULT(Returns!B78:Z78,Resume!$B$38:$B$62)</f>
        <v>0</v>
      </c>
    </row>
    <row r="79" spans="1:2">
      <c r="A79" s="11">
        <f>Returns!A79</f>
        <v>0</v>
      </c>
      <c r="B79" s="1">
        <f t="array" ref="B79">MMULT(Returns!B79:Z79,Resume!$B$38:$B$62)</f>
        <v>0</v>
      </c>
    </row>
    <row r="80" spans="1:2">
      <c r="A80" s="11">
        <f>Returns!A80</f>
        <v>0</v>
      </c>
      <c r="B80" s="1">
        <f t="array" ref="B80">MMULT(Returns!B80:Z80,Resume!$B$38:$B$62)</f>
        <v>0</v>
      </c>
    </row>
    <row r="81" spans="1:2">
      <c r="A81" s="11">
        <f>Returns!A81</f>
        <v>0</v>
      </c>
      <c r="B81" s="1">
        <f t="array" ref="B81">MMULT(Returns!B81:Z81,Resume!$B$38:$B$62)</f>
        <v>0</v>
      </c>
    </row>
    <row r="82" spans="1:2">
      <c r="A82" s="11">
        <f>Returns!A82</f>
        <v>0</v>
      </c>
      <c r="B82" s="1">
        <f t="array" ref="B82">MMULT(Returns!B82:Z82,Resume!$B$38:$B$62)</f>
        <v>0</v>
      </c>
    </row>
    <row r="83" spans="1:2">
      <c r="A83" s="11">
        <f>Returns!A83</f>
        <v>0</v>
      </c>
      <c r="B83" s="1">
        <f t="array" ref="B83">MMULT(Returns!B83:Z83,Resume!$B$38:$B$62)</f>
        <v>0</v>
      </c>
    </row>
    <row r="84" spans="1:2">
      <c r="A84" s="11">
        <f>Returns!A84</f>
        <v>0</v>
      </c>
      <c r="B84" s="1">
        <f t="array" ref="B84">MMULT(Returns!B84:Z84,Resume!$B$38:$B$62)</f>
        <v>0</v>
      </c>
    </row>
    <row r="85" spans="1:2">
      <c r="A85" s="11">
        <f>Returns!A85</f>
        <v>0</v>
      </c>
      <c r="B85" s="1">
        <f t="array" ref="B85">MMULT(Returns!B85:Z85,Resume!$B$38:$B$62)</f>
        <v>0</v>
      </c>
    </row>
    <row r="86" spans="1:2">
      <c r="A86" s="11">
        <f>Returns!A86</f>
        <v>0</v>
      </c>
      <c r="B86" s="1">
        <f t="array" ref="B86">MMULT(Returns!B86:Z86,Resume!$B$38:$B$62)</f>
        <v>0</v>
      </c>
    </row>
    <row r="87" spans="1:2">
      <c r="A87" s="11">
        <f>Returns!A87</f>
        <v>0</v>
      </c>
      <c r="B87" s="1">
        <f t="array" ref="B87">MMULT(Returns!B87:Z87,Resume!$B$38:$B$62)</f>
        <v>0</v>
      </c>
    </row>
    <row r="88" spans="1:2">
      <c r="A88" s="11">
        <f>Returns!A88</f>
        <v>0</v>
      </c>
      <c r="B88" s="1">
        <f t="array" ref="B88">MMULT(Returns!B88:Z88,Resume!$B$38:$B$62)</f>
        <v>0</v>
      </c>
    </row>
    <row r="89" spans="1:2">
      <c r="A89" s="11">
        <f>Returns!A89</f>
        <v>0</v>
      </c>
      <c r="B89" s="1">
        <f t="array" ref="B89">MMULT(Returns!B89:Z89,Resume!$B$38:$B$62)</f>
        <v>0</v>
      </c>
    </row>
    <row r="90" spans="1:2">
      <c r="A90" s="11">
        <f>Returns!A90</f>
        <v>0</v>
      </c>
      <c r="B90" s="1">
        <f t="array" ref="B90">MMULT(Returns!B90:Z90,Resume!$B$38:$B$62)</f>
        <v>0</v>
      </c>
    </row>
    <row r="91" spans="1:2">
      <c r="A91" s="11">
        <f>Returns!A91</f>
        <v>0</v>
      </c>
      <c r="B91" s="1">
        <f t="array" ref="B91">MMULT(Returns!B91:Z91,Resume!$B$38:$B$62)</f>
        <v>0</v>
      </c>
    </row>
    <row r="92" spans="1:2">
      <c r="A92" s="11">
        <f>Returns!A92</f>
        <v>0</v>
      </c>
      <c r="B92" s="1">
        <f t="array" ref="B92">MMULT(Returns!B92:Z92,Resume!$B$38:$B$62)</f>
        <v>0</v>
      </c>
    </row>
    <row r="93" spans="1:2">
      <c r="A93" s="11">
        <f>Returns!A93</f>
        <v>0</v>
      </c>
      <c r="B93" s="1">
        <f t="array" ref="B93">MMULT(Returns!B93:Z93,Resume!$B$38:$B$62)</f>
        <v>0</v>
      </c>
    </row>
    <row r="94" spans="1:2">
      <c r="A94" s="11">
        <f>Returns!A94</f>
        <v>0</v>
      </c>
      <c r="B94" s="1">
        <f t="array" ref="B94">MMULT(Returns!B94:Z94,Resume!$B$38:$B$62)</f>
        <v>0</v>
      </c>
    </row>
    <row r="95" spans="1:2">
      <c r="A95" s="11">
        <f>Returns!A95</f>
        <v>0</v>
      </c>
      <c r="B95" s="1">
        <f t="array" ref="B95">MMULT(Returns!B95:Z95,Resume!$B$38:$B$62)</f>
        <v>0</v>
      </c>
    </row>
    <row r="96" spans="1:2">
      <c r="A96" s="11">
        <f>Returns!A96</f>
        <v>0</v>
      </c>
      <c r="B96" s="1">
        <f t="array" ref="B96">MMULT(Returns!B96:Z96,Resume!$B$38:$B$62)</f>
        <v>0</v>
      </c>
    </row>
    <row r="97" spans="1:2">
      <c r="A97" s="11">
        <f>Returns!A97</f>
        <v>0</v>
      </c>
      <c r="B97" s="1">
        <f t="array" ref="B97">MMULT(Returns!B97:Z97,Resume!$B$38:$B$62)</f>
        <v>0</v>
      </c>
    </row>
    <row r="98" spans="1:2">
      <c r="A98" s="11">
        <f>Returns!A98</f>
        <v>0</v>
      </c>
      <c r="B98" s="1">
        <f t="array" ref="B98">MMULT(Returns!B98:Z98,Resume!$B$38:$B$62)</f>
        <v>0</v>
      </c>
    </row>
    <row r="99" spans="1:2">
      <c r="A99" s="11">
        <f>Returns!A99</f>
        <v>0</v>
      </c>
      <c r="B99" s="1">
        <f t="array" ref="B99">MMULT(Returns!B99:Z99,Resume!$B$38:$B$62)</f>
        <v>0</v>
      </c>
    </row>
    <row r="100" spans="1:2">
      <c r="A100" s="11">
        <f>Returns!A100</f>
        <v>0</v>
      </c>
      <c r="B100" s="1">
        <f t="array" ref="B100">MMULT(Returns!B100:Z100,Resume!$B$38:$B$62)</f>
        <v>0</v>
      </c>
    </row>
    <row r="101" spans="1:2">
      <c r="A101" s="11">
        <f>Returns!A101</f>
        <v>0</v>
      </c>
      <c r="B101" s="1">
        <f t="array" ref="B101">MMULT(Returns!B101:Z101,Resume!$B$38:$B$62)</f>
        <v>0</v>
      </c>
    </row>
    <row r="102" spans="1:2">
      <c r="A102" s="11">
        <f>Returns!A102</f>
        <v>0</v>
      </c>
      <c r="B102" s="1">
        <f t="array" ref="B102">MMULT(Returns!B102:Z102,Resume!$B$38:$B$62)</f>
        <v>0</v>
      </c>
    </row>
    <row r="103" spans="1:2">
      <c r="A103" s="11">
        <f>Returns!A103</f>
        <v>0</v>
      </c>
      <c r="B103" s="1">
        <f t="array" ref="B103">MMULT(Returns!B103:Z103,Resume!$B$38:$B$62)</f>
        <v>0</v>
      </c>
    </row>
    <row r="104" spans="1:2">
      <c r="A104" s="11">
        <f>Returns!A104</f>
        <v>0</v>
      </c>
      <c r="B104" s="1">
        <f t="array" ref="B104">MMULT(Returns!B104:Z104,Resume!$B$38:$B$62)</f>
        <v>0</v>
      </c>
    </row>
    <row r="105" spans="1:2">
      <c r="A105" s="11">
        <f>Returns!A105</f>
        <v>0</v>
      </c>
      <c r="B105" s="1">
        <f t="array" ref="B105">MMULT(Returns!B105:Z105,Resume!$B$38:$B$62)</f>
        <v>0</v>
      </c>
    </row>
    <row r="106" spans="1:2">
      <c r="A106" s="11">
        <f>Returns!A106</f>
        <v>0</v>
      </c>
      <c r="B106" s="1">
        <f t="array" ref="B106">MMULT(Returns!B106:Z106,Resume!$B$38:$B$62)</f>
        <v>0</v>
      </c>
    </row>
    <row r="107" spans="1:2">
      <c r="A107" s="11">
        <f>Returns!A107</f>
        <v>0</v>
      </c>
      <c r="B107" s="1">
        <f t="array" ref="B107">MMULT(Returns!B107:Z107,Resume!$B$38:$B$62)</f>
        <v>0</v>
      </c>
    </row>
    <row r="108" spans="1:2">
      <c r="A108" s="11">
        <f>Returns!A108</f>
        <v>0</v>
      </c>
      <c r="B108" s="1">
        <f t="array" ref="B108">MMULT(Returns!B108:Z108,Resume!$B$38:$B$62)</f>
        <v>0</v>
      </c>
    </row>
    <row r="109" spans="1:2">
      <c r="A109" s="11">
        <f>Returns!A109</f>
        <v>0</v>
      </c>
      <c r="B109" s="1">
        <f t="array" ref="B109">MMULT(Returns!B109:Z109,Resume!$B$38:$B$62)</f>
        <v>0</v>
      </c>
    </row>
    <row r="110" spans="1:2">
      <c r="A110" s="11">
        <f>Returns!A110</f>
        <v>0</v>
      </c>
      <c r="B110" s="1">
        <f t="array" ref="B110">MMULT(Returns!B110:Z110,Resume!$B$38:$B$62)</f>
        <v>0</v>
      </c>
    </row>
    <row r="111" spans="1:2">
      <c r="A111" s="11">
        <f>Returns!A111</f>
        <v>0</v>
      </c>
      <c r="B111" s="1">
        <f t="array" ref="B111">MMULT(Returns!B111:Z111,Resume!$B$38:$B$62)</f>
        <v>0</v>
      </c>
    </row>
    <row r="112" spans="1:2">
      <c r="A112" s="11">
        <f>Returns!A112</f>
        <v>0</v>
      </c>
      <c r="B112" s="1">
        <f t="array" ref="B112">MMULT(Returns!B112:Z112,Resume!$B$38:$B$62)</f>
        <v>0</v>
      </c>
    </row>
    <row r="113" spans="1:2">
      <c r="A113" s="11">
        <f>Returns!A113</f>
        <v>0</v>
      </c>
      <c r="B113" s="1">
        <f t="array" ref="B113">MMULT(Returns!B113:Z113,Resume!$B$38:$B$62)</f>
        <v>0</v>
      </c>
    </row>
    <row r="114" spans="1:2">
      <c r="A114" s="11">
        <f>Returns!A114</f>
        <v>0</v>
      </c>
      <c r="B114" s="1">
        <f t="array" ref="B114">MMULT(Returns!B114:Z114,Resume!$B$38:$B$62)</f>
        <v>0</v>
      </c>
    </row>
    <row r="115" spans="1:2">
      <c r="A115" s="11">
        <f>Returns!A115</f>
        <v>0</v>
      </c>
      <c r="B115" s="1">
        <f t="array" ref="B115">MMULT(Returns!B115:Z115,Resume!$B$38:$B$62)</f>
        <v>0</v>
      </c>
    </row>
    <row r="116" spans="1:2">
      <c r="A116" s="11">
        <f>Returns!A116</f>
        <v>0</v>
      </c>
      <c r="B116" s="1">
        <f t="array" ref="B116">MMULT(Returns!B116:Z116,Resume!$B$38:$B$62)</f>
        <v>0</v>
      </c>
    </row>
    <row r="117" spans="1:2">
      <c r="A117" s="11">
        <f>Returns!A117</f>
        <v>0</v>
      </c>
      <c r="B117" s="1">
        <f t="array" ref="B117">MMULT(Returns!B117:Z117,Resume!$B$38:$B$62)</f>
        <v>0</v>
      </c>
    </row>
    <row r="118" spans="1:2">
      <c r="A118" s="11">
        <f>Returns!A118</f>
        <v>0</v>
      </c>
      <c r="B118" s="1">
        <f t="array" ref="B118">MMULT(Returns!B118:Z118,Resume!$B$38:$B$62)</f>
        <v>0</v>
      </c>
    </row>
    <row r="119" spans="1:2">
      <c r="A119" s="11">
        <f>Returns!A119</f>
        <v>0</v>
      </c>
      <c r="B119" s="1">
        <f t="array" ref="B119">MMULT(Returns!B119:Z119,Resume!$B$38:$B$62)</f>
        <v>0</v>
      </c>
    </row>
    <row r="120" spans="1:2">
      <c r="A120" s="11">
        <f>Returns!A120</f>
        <v>0</v>
      </c>
      <c r="B120" s="1">
        <f t="array" ref="B120">MMULT(Returns!B120:Z120,Resume!$B$38:$B$62)</f>
        <v>0</v>
      </c>
    </row>
    <row r="121" spans="1:2">
      <c r="A121" s="11">
        <f>Returns!A121</f>
        <v>0</v>
      </c>
      <c r="B121" s="1">
        <f t="array" ref="B121">MMULT(Returns!B121:Z121,Resume!$B$38:$B$62)</f>
        <v>0</v>
      </c>
    </row>
    <row r="122" spans="1:2">
      <c r="A122" s="11">
        <f>Returns!A122</f>
        <v>0</v>
      </c>
      <c r="B122" s="1">
        <f t="array" ref="B122">MMULT(Returns!B122:Z122,Resume!$B$38:$B$62)</f>
        <v>0</v>
      </c>
    </row>
    <row r="123" spans="1:2">
      <c r="A123" s="11">
        <f>Returns!A123</f>
        <v>0</v>
      </c>
      <c r="B123" s="1">
        <f t="array" ref="B123">MMULT(Returns!B123:Z123,Resume!$B$38:$B$62)</f>
        <v>0</v>
      </c>
    </row>
    <row r="124" spans="1:2">
      <c r="A124" s="11">
        <f>Returns!A124</f>
        <v>0</v>
      </c>
      <c r="B124" s="1">
        <f t="array" ref="B124">MMULT(Returns!B124:Z124,Resume!$B$38:$B$62)</f>
        <v>0</v>
      </c>
    </row>
    <row r="125" spans="1:2">
      <c r="A125" s="11">
        <f>Returns!A125</f>
        <v>0</v>
      </c>
      <c r="B125" s="1">
        <f t="array" ref="B125">MMULT(Returns!B125:Z125,Resume!$B$38:$B$62)</f>
        <v>0</v>
      </c>
    </row>
    <row r="126" spans="1:2">
      <c r="A126" s="11">
        <f>Returns!A126</f>
        <v>0</v>
      </c>
      <c r="B126" s="1">
        <f t="array" ref="B126">MMULT(Returns!B126:Z126,Resume!$B$38:$B$62)</f>
        <v>0</v>
      </c>
    </row>
    <row r="127" spans="1:2">
      <c r="A127" s="11">
        <f>Returns!A127</f>
        <v>0</v>
      </c>
      <c r="B127" s="1">
        <f t="array" ref="B127">MMULT(Returns!B127:Z127,Resume!$B$38:$B$62)</f>
        <v>0</v>
      </c>
    </row>
    <row r="128" spans="1:2">
      <c r="A128" s="11">
        <f>Returns!A128</f>
        <v>0</v>
      </c>
      <c r="B128" s="1">
        <f t="array" ref="B128">MMULT(Returns!B128:Z128,Resume!$B$38:$B$62)</f>
        <v>0</v>
      </c>
    </row>
    <row r="129" spans="1:2">
      <c r="A129" s="11">
        <f>Returns!A129</f>
        <v>0</v>
      </c>
      <c r="B129" s="1">
        <f t="array" ref="B129">MMULT(Returns!B129:Z129,Resume!$B$38:$B$62)</f>
        <v>0</v>
      </c>
    </row>
    <row r="130" spans="1:2">
      <c r="A130" s="11">
        <f>Returns!A130</f>
        <v>0</v>
      </c>
      <c r="B130" s="1">
        <f t="array" ref="B130">MMULT(Returns!B130:Z130,Resume!$B$38:$B$62)</f>
        <v>0</v>
      </c>
    </row>
    <row r="131" spans="1:2">
      <c r="A131" s="11">
        <f>Returns!A131</f>
        <v>0</v>
      </c>
      <c r="B131" s="1">
        <f t="array" ref="B131">MMULT(Returns!B131:Z131,Resume!$B$38:$B$62)</f>
        <v>0</v>
      </c>
    </row>
    <row r="132" spans="1:2">
      <c r="A132" s="11">
        <f>Returns!A132</f>
        <v>0</v>
      </c>
      <c r="B132" s="1">
        <f t="array" ref="B132">MMULT(Returns!B132:Z132,Resume!$B$38:$B$62)</f>
        <v>0</v>
      </c>
    </row>
    <row r="133" spans="1:2">
      <c r="A133" s="11">
        <f>Returns!A133</f>
        <v>0</v>
      </c>
      <c r="B133" s="1">
        <f t="array" ref="B133">MMULT(Returns!B133:Z133,Resume!$B$38:$B$62)</f>
        <v>0</v>
      </c>
    </row>
    <row r="134" spans="1:2">
      <c r="A134" s="11">
        <f>Returns!A134</f>
        <v>0</v>
      </c>
      <c r="B134" s="1">
        <f t="array" ref="B134">MMULT(Returns!B134:Z134,Resume!$B$38:$B$62)</f>
        <v>0</v>
      </c>
    </row>
    <row r="135" spans="1:2">
      <c r="A135" s="11">
        <f>Returns!A135</f>
        <v>0</v>
      </c>
      <c r="B135" s="1">
        <f t="array" ref="B135">MMULT(Returns!B135:Z135,Resume!$B$38:$B$62)</f>
        <v>0</v>
      </c>
    </row>
    <row r="136" spans="1:2">
      <c r="A136" s="11">
        <f>Returns!A136</f>
        <v>0</v>
      </c>
      <c r="B136" s="1">
        <f t="array" ref="B136">MMULT(Returns!B136:Z136,Resume!$B$38:$B$62)</f>
        <v>0</v>
      </c>
    </row>
    <row r="137" spans="1:2">
      <c r="A137" s="11">
        <f>Returns!A137</f>
        <v>0</v>
      </c>
      <c r="B137" s="1">
        <f t="array" ref="B137">MMULT(Returns!B137:Z137,Resume!$B$38:$B$62)</f>
        <v>0</v>
      </c>
    </row>
    <row r="138" spans="1:2">
      <c r="A138" s="11">
        <f>Returns!A138</f>
        <v>0</v>
      </c>
      <c r="B138" s="1">
        <f t="array" ref="B138">MMULT(Returns!B138:Z138,Resume!$B$38:$B$62)</f>
        <v>0</v>
      </c>
    </row>
    <row r="139" spans="1:2">
      <c r="A139" s="11">
        <f>Returns!A139</f>
        <v>0</v>
      </c>
      <c r="B139" s="1">
        <f t="array" ref="B139">MMULT(Returns!B139:Z139,Resume!$B$38:$B$62)</f>
        <v>0</v>
      </c>
    </row>
    <row r="140" spans="1:2">
      <c r="A140" s="11">
        <f>Returns!A140</f>
        <v>0</v>
      </c>
      <c r="B140" s="1">
        <f t="array" ref="B140">MMULT(Returns!B140:Z140,Resume!$B$38:$B$62)</f>
        <v>0</v>
      </c>
    </row>
    <row r="141" spans="1:2">
      <c r="A141" s="11">
        <f>Returns!A141</f>
        <v>0</v>
      </c>
      <c r="B141" s="1">
        <f t="array" ref="B141">MMULT(Returns!B141:Z141,Resume!$B$38:$B$62)</f>
        <v>0</v>
      </c>
    </row>
    <row r="142" spans="1:2">
      <c r="A142" s="11">
        <f>Returns!A142</f>
        <v>0</v>
      </c>
      <c r="B142" s="1">
        <f t="array" ref="B142">MMULT(Returns!B142:Z142,Resume!$B$38:$B$62)</f>
        <v>0</v>
      </c>
    </row>
    <row r="143" spans="1:2">
      <c r="A143" s="11">
        <f>Returns!A143</f>
        <v>0</v>
      </c>
      <c r="B143" s="1">
        <f t="array" ref="B143">MMULT(Returns!B143:Z143,Resume!$B$38:$B$62)</f>
        <v>0</v>
      </c>
    </row>
    <row r="144" spans="1:2">
      <c r="A144" s="11">
        <f>Returns!A144</f>
        <v>0</v>
      </c>
      <c r="B144" s="1">
        <f t="array" ref="B144">MMULT(Returns!B144:Z144,Resume!$B$38:$B$62)</f>
        <v>0</v>
      </c>
    </row>
    <row r="145" spans="1:2">
      <c r="A145" s="11">
        <f>Returns!A145</f>
        <v>0</v>
      </c>
      <c r="B145" s="1">
        <f t="array" ref="B145">MMULT(Returns!B145:Z145,Resume!$B$38:$B$62)</f>
        <v>0</v>
      </c>
    </row>
    <row r="146" spans="1:2">
      <c r="A146" s="11">
        <f>Returns!A146</f>
        <v>0</v>
      </c>
      <c r="B146" s="1">
        <f t="array" ref="B146">MMULT(Returns!B146:Z146,Resume!$B$38:$B$62)</f>
        <v>0</v>
      </c>
    </row>
    <row r="147" spans="1:2">
      <c r="A147" s="11">
        <f>Returns!A147</f>
        <v>0</v>
      </c>
      <c r="B147" s="1">
        <f t="array" ref="B147">MMULT(Returns!B147:Z147,Resume!$B$38:$B$62)</f>
        <v>0</v>
      </c>
    </row>
    <row r="148" spans="1:2">
      <c r="A148" s="11">
        <f>Returns!A148</f>
        <v>0</v>
      </c>
      <c r="B148" s="1">
        <f t="array" ref="B148">MMULT(Returns!B148:Z148,Resume!$B$38:$B$62)</f>
        <v>0</v>
      </c>
    </row>
    <row r="149" spans="1:2">
      <c r="A149" s="11">
        <f>Returns!A149</f>
        <v>0</v>
      </c>
      <c r="B149" s="1">
        <f t="array" ref="B149">MMULT(Returns!B149:Z149,Resume!$B$38:$B$62)</f>
        <v>0</v>
      </c>
    </row>
    <row r="150" spans="1:2">
      <c r="A150" s="11">
        <f>Returns!A150</f>
        <v>0</v>
      </c>
      <c r="B150" s="1">
        <f t="array" ref="B150">MMULT(Returns!B150:Z150,Resume!$B$38:$B$62)</f>
        <v>0</v>
      </c>
    </row>
    <row r="151" spans="1:2">
      <c r="A151" s="11">
        <f>Returns!A151</f>
        <v>0</v>
      </c>
      <c r="B151" s="1">
        <f t="array" ref="B151">MMULT(Returns!B151:Z151,Resume!$B$38:$B$62)</f>
        <v>0</v>
      </c>
    </row>
    <row r="152" spans="1:2">
      <c r="A152" s="11">
        <f>Returns!A152</f>
        <v>0</v>
      </c>
      <c r="B152" s="1">
        <f t="array" ref="B152">MMULT(Returns!B152:Z152,Resume!$B$38:$B$62)</f>
        <v>0</v>
      </c>
    </row>
    <row r="153" spans="1:2">
      <c r="A153" s="11">
        <f>Returns!A153</f>
        <v>0</v>
      </c>
      <c r="B153" s="1">
        <f t="array" ref="B153">MMULT(Returns!B153:Z153,Resume!$B$38:$B$62)</f>
        <v>0</v>
      </c>
    </row>
    <row r="154" spans="1:2">
      <c r="A154" s="11">
        <f>Returns!A154</f>
        <v>0</v>
      </c>
      <c r="B154" s="1">
        <f t="array" ref="B154">MMULT(Returns!B154:Z154,Resume!$B$38:$B$62)</f>
        <v>0</v>
      </c>
    </row>
    <row r="155" spans="1:2">
      <c r="A155" s="11">
        <f>Returns!A155</f>
        <v>0</v>
      </c>
      <c r="B155" s="1">
        <f t="array" ref="B155">MMULT(Returns!B155:Z155,Resume!$B$38:$B$62)</f>
        <v>0</v>
      </c>
    </row>
    <row r="156" spans="1:2">
      <c r="A156" s="11">
        <f>Returns!A156</f>
        <v>0</v>
      </c>
      <c r="B156" s="1">
        <f t="array" ref="B156">MMULT(Returns!B156:Z156,Resume!$B$38:$B$62)</f>
        <v>0</v>
      </c>
    </row>
    <row r="157" spans="1:2">
      <c r="A157" s="11">
        <f>Returns!A157</f>
        <v>0</v>
      </c>
      <c r="B157" s="1">
        <f t="array" ref="B157">MMULT(Returns!B157:Z157,Resume!$B$38:$B$62)</f>
        <v>0</v>
      </c>
    </row>
    <row r="158" spans="1:2">
      <c r="A158" s="11">
        <f>Returns!A158</f>
        <v>0</v>
      </c>
      <c r="B158" s="1">
        <f t="array" ref="B158">MMULT(Returns!B158:Z158,Resume!$B$38:$B$62)</f>
        <v>0</v>
      </c>
    </row>
    <row r="159" spans="1:2">
      <c r="A159" s="11">
        <f>Returns!A159</f>
        <v>0</v>
      </c>
      <c r="B159" s="1">
        <f t="array" ref="B159">MMULT(Returns!B159:Z159,Resume!$B$38:$B$62)</f>
        <v>0</v>
      </c>
    </row>
    <row r="160" spans="1:2">
      <c r="A160" s="11">
        <f>Returns!A160</f>
        <v>0</v>
      </c>
      <c r="B160" s="1">
        <f t="array" ref="B160">MMULT(Returns!B160:Z160,Resume!$B$38:$B$62)</f>
        <v>0</v>
      </c>
    </row>
    <row r="161" spans="1:2">
      <c r="A161" s="11">
        <f>Returns!A161</f>
        <v>0</v>
      </c>
      <c r="B161" s="1">
        <f t="array" ref="B161">MMULT(Returns!B161:Z161,Resume!$B$38:$B$62)</f>
        <v>0</v>
      </c>
    </row>
    <row r="162" spans="1:2">
      <c r="A162" s="11">
        <f>Returns!A162</f>
        <v>0</v>
      </c>
      <c r="B162" s="1">
        <f t="array" ref="B162">MMULT(Returns!B162:Z162,Resume!$B$38:$B$62)</f>
        <v>0</v>
      </c>
    </row>
    <row r="163" spans="1:2">
      <c r="A163" s="11">
        <f>Returns!A163</f>
        <v>0</v>
      </c>
      <c r="B163" s="1">
        <f t="array" ref="B163">MMULT(Returns!B163:Z163,Resume!$B$38:$B$62)</f>
        <v>0</v>
      </c>
    </row>
    <row r="164" spans="1:2">
      <c r="A164" s="11">
        <f>Returns!A164</f>
        <v>0</v>
      </c>
      <c r="B164" s="1">
        <f t="array" ref="B164">MMULT(Returns!B164:Z164,Resume!$B$38:$B$62)</f>
        <v>0</v>
      </c>
    </row>
    <row r="165" spans="1:2">
      <c r="A165" s="11">
        <f>Returns!A165</f>
        <v>0</v>
      </c>
      <c r="B165" s="1">
        <f t="array" ref="B165">MMULT(Returns!B165:Z165,Resume!$B$38:$B$62)</f>
        <v>0</v>
      </c>
    </row>
    <row r="166" spans="1:2">
      <c r="A166" s="11">
        <f>Returns!A166</f>
        <v>0</v>
      </c>
      <c r="B166" s="1">
        <f t="array" ref="B166">MMULT(Returns!B166:Z166,Resume!$B$38:$B$62)</f>
        <v>0</v>
      </c>
    </row>
    <row r="167" spans="1:2">
      <c r="A167" s="11">
        <f>Returns!A167</f>
        <v>0</v>
      </c>
      <c r="B167" s="1">
        <f t="array" ref="B167">MMULT(Returns!B167:Z167,Resume!$B$38:$B$62)</f>
        <v>0</v>
      </c>
    </row>
    <row r="168" spans="1:2">
      <c r="A168" s="11">
        <f>Returns!A168</f>
        <v>0</v>
      </c>
      <c r="B168" s="1">
        <f t="array" ref="B168">MMULT(Returns!B168:Z168,Resume!$B$38:$B$62)</f>
        <v>0</v>
      </c>
    </row>
    <row r="169" spans="1:2">
      <c r="A169" s="11">
        <f>Returns!A169</f>
        <v>0</v>
      </c>
      <c r="B169" s="1">
        <f t="array" ref="B169">MMULT(Returns!B169:Z169,Resume!$B$38:$B$62)</f>
        <v>0</v>
      </c>
    </row>
    <row r="170" spans="1:2">
      <c r="A170" s="11">
        <f>Returns!A170</f>
        <v>0</v>
      </c>
      <c r="B170" s="1">
        <f t="array" ref="B170">MMULT(Returns!B170:Z170,Resume!$B$38:$B$62)</f>
        <v>0</v>
      </c>
    </row>
    <row r="171" spans="1:2">
      <c r="A171" s="11">
        <f>Returns!A171</f>
        <v>0</v>
      </c>
      <c r="B171" s="1">
        <f t="array" ref="B171">MMULT(Returns!B171:Z171,Resume!$B$38:$B$62)</f>
        <v>0</v>
      </c>
    </row>
    <row r="172" spans="1:2">
      <c r="A172" s="11">
        <f>Returns!A172</f>
        <v>0</v>
      </c>
      <c r="B172" s="1">
        <f t="array" ref="B172">MMULT(Returns!B172:Z172,Resume!$B$38:$B$62)</f>
        <v>0</v>
      </c>
    </row>
    <row r="173" spans="1:2">
      <c r="A173" s="11">
        <f>Returns!A173</f>
        <v>0</v>
      </c>
      <c r="B173" s="1">
        <f t="array" ref="B173">MMULT(Returns!B173:Z173,Resume!$B$38:$B$62)</f>
        <v>0</v>
      </c>
    </row>
    <row r="174" spans="1:2">
      <c r="A174" s="11">
        <f>Returns!A174</f>
        <v>0</v>
      </c>
      <c r="B174" s="1">
        <f t="array" ref="B174">MMULT(Returns!B174:Z174,Resume!$B$38:$B$62)</f>
        <v>0</v>
      </c>
    </row>
    <row r="175" spans="1:2">
      <c r="A175" s="11">
        <f>Returns!A175</f>
        <v>0</v>
      </c>
      <c r="B175" s="1">
        <f t="array" ref="B175">MMULT(Returns!B175:Z175,Resume!$B$38:$B$62)</f>
        <v>0</v>
      </c>
    </row>
    <row r="176" spans="1:2">
      <c r="A176" s="11">
        <f>Returns!A176</f>
        <v>0</v>
      </c>
      <c r="B176" s="1">
        <f t="array" ref="B176">MMULT(Returns!B176:Z176,Resume!$B$38:$B$62)</f>
        <v>0</v>
      </c>
    </row>
    <row r="177" spans="1:2">
      <c r="A177" s="11">
        <f>Returns!A177</f>
        <v>0</v>
      </c>
      <c r="B177" s="1">
        <f t="array" ref="B177">MMULT(Returns!B177:Z177,Resume!$B$38:$B$62)</f>
        <v>0</v>
      </c>
    </row>
    <row r="178" spans="1:2">
      <c r="A178" s="11">
        <f>Returns!A178</f>
        <v>0</v>
      </c>
      <c r="B178" s="1">
        <f t="array" ref="B178">MMULT(Returns!B178:Z178,Resume!$B$38:$B$62)</f>
        <v>0</v>
      </c>
    </row>
    <row r="179" spans="1:2">
      <c r="A179" s="11">
        <f>Returns!A179</f>
        <v>0</v>
      </c>
      <c r="B179" s="1">
        <f t="array" ref="B179">MMULT(Returns!B179:Z179,Resume!$B$38:$B$62)</f>
        <v>0</v>
      </c>
    </row>
    <row r="180" spans="1:2">
      <c r="A180" s="11">
        <f>Returns!A180</f>
        <v>0</v>
      </c>
      <c r="B180" s="1">
        <f t="array" ref="B180">MMULT(Returns!B180:Z180,Resume!$B$38:$B$62)</f>
        <v>0</v>
      </c>
    </row>
    <row r="181" spans="1:2">
      <c r="A181" s="11">
        <f>Returns!A181</f>
        <v>0</v>
      </c>
      <c r="B181" s="1">
        <f t="array" ref="B181">MMULT(Returns!B181:Z181,Resume!$B$38:$B$62)</f>
        <v>0</v>
      </c>
    </row>
    <row r="182" spans="1:2">
      <c r="A182" s="11">
        <f>Returns!A182</f>
        <v>0</v>
      </c>
      <c r="B182" s="1">
        <f t="array" ref="B182">MMULT(Returns!B182:Z182,Resume!$B$38:$B$62)</f>
        <v>0</v>
      </c>
    </row>
    <row r="183" spans="1:2">
      <c r="A183" s="11">
        <f>Returns!A183</f>
        <v>0</v>
      </c>
      <c r="B183" s="1">
        <f t="array" ref="B183">MMULT(Returns!B183:Z183,Resume!$B$38:$B$62)</f>
        <v>0</v>
      </c>
    </row>
    <row r="184" spans="1:2">
      <c r="A184" s="11">
        <f>Returns!A184</f>
        <v>0</v>
      </c>
      <c r="B184" s="1">
        <f t="array" ref="B184">MMULT(Returns!B184:Z184,Resume!$B$38:$B$62)</f>
        <v>0</v>
      </c>
    </row>
    <row r="185" spans="1:2">
      <c r="A185" s="11">
        <f>Returns!A185</f>
        <v>0</v>
      </c>
      <c r="B185" s="1">
        <f t="array" ref="B185">MMULT(Returns!B185:Z185,Resume!$B$38:$B$62)</f>
        <v>0</v>
      </c>
    </row>
    <row r="186" spans="1:2">
      <c r="A186" s="11">
        <f>Returns!A186</f>
        <v>0</v>
      </c>
      <c r="B186" s="1">
        <f t="array" ref="B186">MMULT(Returns!B186:Z186,Resume!$B$38:$B$62)</f>
        <v>0</v>
      </c>
    </row>
    <row r="187" spans="1:2">
      <c r="A187" s="11">
        <f>Returns!A187</f>
        <v>0</v>
      </c>
      <c r="B187" s="1">
        <f t="array" ref="B187">MMULT(Returns!B187:Z187,Resume!$B$38:$B$62)</f>
        <v>0</v>
      </c>
    </row>
    <row r="188" spans="1:2">
      <c r="A188" s="11">
        <f>Returns!A188</f>
        <v>0</v>
      </c>
      <c r="B188" s="1">
        <f t="array" ref="B188">MMULT(Returns!B188:Z188,Resume!$B$38:$B$62)</f>
        <v>0</v>
      </c>
    </row>
    <row r="189" spans="1:2">
      <c r="A189" s="11">
        <f>Returns!A189</f>
        <v>0</v>
      </c>
      <c r="B189" s="1">
        <f t="array" ref="B189">MMULT(Returns!B189:Z189,Resume!$B$38:$B$62)</f>
        <v>0</v>
      </c>
    </row>
    <row r="190" spans="1:2">
      <c r="A190" s="11">
        <f>Returns!A190</f>
        <v>0</v>
      </c>
      <c r="B190" s="1">
        <f t="array" ref="B190">MMULT(Returns!B190:Z190,Resume!$B$38:$B$62)</f>
        <v>0</v>
      </c>
    </row>
    <row r="191" spans="1:2">
      <c r="A191" s="11">
        <f>Returns!A191</f>
        <v>0</v>
      </c>
      <c r="B191" s="1">
        <f t="array" ref="B191">MMULT(Returns!B191:Z191,Resume!$B$38:$B$62)</f>
        <v>0</v>
      </c>
    </row>
    <row r="192" spans="1:2">
      <c r="A192" s="11">
        <f>Returns!A192</f>
        <v>0</v>
      </c>
      <c r="B192" s="1">
        <f t="array" ref="B192">MMULT(Returns!B192:Z192,Resume!$B$38:$B$62)</f>
        <v>0</v>
      </c>
    </row>
    <row r="193" spans="1:2">
      <c r="A193" s="11">
        <f>Returns!A193</f>
        <v>0</v>
      </c>
      <c r="B193" s="1">
        <f t="array" ref="B193">MMULT(Returns!B193:Z193,Resume!$B$38:$B$62)</f>
        <v>0</v>
      </c>
    </row>
    <row r="194" spans="1:2">
      <c r="A194" s="11">
        <f>Returns!A194</f>
        <v>0</v>
      </c>
      <c r="B194" s="1">
        <f t="array" ref="B194">MMULT(Returns!B194:Z194,Resume!$B$38:$B$62)</f>
        <v>0</v>
      </c>
    </row>
    <row r="195" spans="1:2">
      <c r="A195" s="11">
        <f>Returns!A195</f>
        <v>0</v>
      </c>
      <c r="B195" s="1">
        <f t="array" ref="B195">MMULT(Returns!B195:Z195,Resume!$B$38:$B$62)</f>
        <v>0</v>
      </c>
    </row>
    <row r="196" spans="1:2">
      <c r="A196" s="11">
        <f>Returns!A196</f>
        <v>0</v>
      </c>
      <c r="B196" s="1">
        <f t="array" ref="B196">MMULT(Returns!B196:Z196,Resume!$B$38:$B$62)</f>
        <v>0</v>
      </c>
    </row>
    <row r="197" spans="1:2">
      <c r="A197" s="11">
        <f>Returns!A197</f>
        <v>0</v>
      </c>
      <c r="B197" s="1">
        <f t="array" ref="B197">MMULT(Returns!B197:Z197,Resume!$B$38:$B$62)</f>
        <v>0</v>
      </c>
    </row>
    <row r="198" spans="1:2">
      <c r="A198" s="11">
        <f>Returns!A198</f>
        <v>0</v>
      </c>
      <c r="B198" s="1">
        <f t="array" ref="B198">MMULT(Returns!B198:Z198,Resume!$B$38:$B$62)</f>
        <v>0</v>
      </c>
    </row>
    <row r="199" spans="1:2">
      <c r="A199" s="11">
        <f>Returns!A199</f>
        <v>0</v>
      </c>
      <c r="B199" s="1">
        <f t="array" ref="B199">MMULT(Returns!B199:Z199,Resume!$B$38:$B$62)</f>
        <v>0</v>
      </c>
    </row>
    <row r="200" spans="1:2">
      <c r="A200" s="11">
        <f>Returns!A200</f>
        <v>0</v>
      </c>
      <c r="B200" s="1">
        <f t="array" ref="B200">MMULT(Returns!B200:Z200,Resume!$B$38:$B$62)</f>
        <v>0</v>
      </c>
    </row>
    <row r="201" spans="1:2">
      <c r="A201" s="11">
        <f>Returns!A201</f>
        <v>0</v>
      </c>
      <c r="B201" s="1">
        <f t="array" ref="B201">MMULT(Returns!B201:Z201,Resume!$B$38:$B$62)</f>
        <v>0</v>
      </c>
    </row>
    <row r="202" spans="1:2">
      <c r="A202" s="11">
        <f>Returns!A202</f>
        <v>0</v>
      </c>
      <c r="B202" s="1">
        <f t="array" ref="B202">MMULT(Returns!B202:Z202,Resume!$B$38:$B$62)</f>
        <v>0</v>
      </c>
    </row>
    <row r="203" spans="1:2">
      <c r="A203" s="11">
        <f>Returns!A203</f>
        <v>0</v>
      </c>
      <c r="B203" s="1">
        <f t="array" ref="B203">MMULT(Returns!B203:Z203,Resume!$B$38:$B$62)</f>
        <v>0</v>
      </c>
    </row>
    <row r="204" spans="1:2">
      <c r="A204" s="11">
        <f>Returns!A204</f>
        <v>0</v>
      </c>
      <c r="B204" s="1">
        <f t="array" ref="B204">MMULT(Returns!B204:Z204,Resume!$B$38:$B$62)</f>
        <v>0</v>
      </c>
    </row>
    <row r="205" spans="1:2">
      <c r="A205" s="11">
        <f>Returns!A205</f>
        <v>0</v>
      </c>
      <c r="B205" s="1">
        <f t="array" ref="B205">MMULT(Returns!B205:Z205,Resume!$B$38:$B$62)</f>
        <v>0</v>
      </c>
    </row>
    <row r="206" spans="1:2">
      <c r="A206" s="11">
        <f>Returns!A206</f>
        <v>0</v>
      </c>
      <c r="B206" s="1">
        <f t="array" ref="B206">MMULT(Returns!B206:Z206,Resume!$B$38:$B$62)</f>
        <v>0</v>
      </c>
    </row>
    <row r="207" spans="1:2">
      <c r="A207" s="11">
        <f>Returns!A207</f>
        <v>0</v>
      </c>
      <c r="B207" s="1">
        <f t="array" ref="B207">MMULT(Returns!B207:Z207,Resume!$B$38:$B$62)</f>
        <v>0</v>
      </c>
    </row>
    <row r="208" spans="1:2">
      <c r="A208" s="11">
        <f>Returns!A208</f>
        <v>0</v>
      </c>
      <c r="B208" s="1">
        <f t="array" ref="B208">MMULT(Returns!B208:Z208,Resume!$B$38:$B$62)</f>
        <v>0</v>
      </c>
    </row>
    <row r="209" spans="1:2">
      <c r="A209" s="11">
        <f>Returns!A209</f>
        <v>0</v>
      </c>
      <c r="B209" s="1">
        <f t="array" ref="B209">MMULT(Returns!B209:Z209,Resume!$B$38:$B$62)</f>
        <v>0</v>
      </c>
    </row>
    <row r="210" spans="1:2">
      <c r="A210" s="11">
        <f>Returns!A210</f>
        <v>0</v>
      </c>
      <c r="B210" s="1">
        <f t="array" ref="B210">MMULT(Returns!B210:Z210,Resume!$B$38:$B$62)</f>
        <v>0</v>
      </c>
    </row>
    <row r="211" spans="1:2">
      <c r="A211" s="11">
        <f>Returns!A211</f>
        <v>0</v>
      </c>
      <c r="B211" s="1">
        <f t="array" ref="B211">MMULT(Returns!B211:Z211,Resume!$B$38:$B$62)</f>
        <v>0</v>
      </c>
    </row>
    <row r="212" spans="1:2">
      <c r="A212" s="11">
        <f>Returns!A212</f>
        <v>0</v>
      </c>
      <c r="B212" s="1">
        <f t="array" ref="B212">MMULT(Returns!B212:Z212,Resume!$B$38:$B$62)</f>
        <v>0</v>
      </c>
    </row>
    <row r="213" spans="1:2">
      <c r="A213" s="11">
        <f>Returns!A213</f>
        <v>0</v>
      </c>
      <c r="B213" s="1">
        <f t="array" ref="B213">MMULT(Returns!B213:Z213,Resume!$B$38:$B$62)</f>
        <v>0</v>
      </c>
    </row>
    <row r="214" spans="1:2">
      <c r="A214" s="11">
        <f>Returns!A214</f>
        <v>0</v>
      </c>
      <c r="B214" s="1">
        <f t="array" ref="B214">MMULT(Returns!B214:Z214,Resume!$B$38:$B$62)</f>
        <v>0</v>
      </c>
    </row>
    <row r="215" spans="1:2">
      <c r="A215" s="11">
        <f>Returns!A215</f>
        <v>0</v>
      </c>
      <c r="B215" s="1">
        <f t="array" ref="B215">MMULT(Returns!B215:Z215,Resume!$B$38:$B$62)</f>
        <v>0</v>
      </c>
    </row>
    <row r="216" spans="1:2">
      <c r="A216" s="11">
        <f>Returns!A216</f>
        <v>0</v>
      </c>
      <c r="B216" s="1">
        <f t="array" ref="B216">MMULT(Returns!B216:Z216,Resume!$B$38:$B$62)</f>
        <v>0</v>
      </c>
    </row>
    <row r="217" spans="1:2">
      <c r="A217" s="11">
        <f>Returns!A217</f>
        <v>0</v>
      </c>
      <c r="B217" s="1">
        <f t="array" ref="B217">MMULT(Returns!B217:Z217,Resume!$B$38:$B$62)</f>
        <v>0</v>
      </c>
    </row>
    <row r="218" spans="1:2">
      <c r="A218" s="11">
        <f>Returns!A218</f>
        <v>0</v>
      </c>
      <c r="B218" s="1">
        <f t="array" ref="B218">MMULT(Returns!B218:Z218,Resume!$B$38:$B$62)</f>
        <v>0</v>
      </c>
    </row>
    <row r="219" spans="1:2">
      <c r="A219" s="11">
        <f>Returns!A219</f>
        <v>0</v>
      </c>
      <c r="B219" s="1">
        <f t="array" ref="B219">MMULT(Returns!B219:Z219,Resume!$B$38:$B$62)</f>
        <v>0</v>
      </c>
    </row>
    <row r="220" spans="1:2">
      <c r="A220" s="11">
        <f>Returns!A220</f>
        <v>0</v>
      </c>
      <c r="B220" s="1">
        <f t="array" ref="B220">MMULT(Returns!B220:Z220,Resume!$B$38:$B$62)</f>
        <v>0</v>
      </c>
    </row>
    <row r="221" spans="1:2">
      <c r="A221" s="11">
        <f>Returns!A221</f>
        <v>0</v>
      </c>
      <c r="B221" s="1">
        <f t="array" ref="B221">MMULT(Returns!B221:Z221,Resume!$B$38:$B$62)</f>
        <v>0</v>
      </c>
    </row>
    <row r="222" spans="1:2">
      <c r="A222" s="11">
        <f>Returns!A222</f>
        <v>0</v>
      </c>
      <c r="B222" s="1">
        <f t="array" ref="B222">MMULT(Returns!B222:Z222,Resume!$B$38:$B$62)</f>
        <v>0</v>
      </c>
    </row>
    <row r="223" spans="1:2">
      <c r="A223" s="11">
        <f>Returns!A223</f>
        <v>0</v>
      </c>
      <c r="B223" s="1">
        <f t="array" ref="B223">MMULT(Returns!B223:Z223,Resume!$B$38:$B$62)</f>
        <v>0</v>
      </c>
    </row>
    <row r="224" spans="1:2">
      <c r="A224" s="11">
        <f>Returns!A224</f>
        <v>0</v>
      </c>
      <c r="B224" s="1">
        <f t="array" ref="B224">MMULT(Returns!B224:Z224,Resume!$B$38:$B$62)</f>
        <v>0</v>
      </c>
    </row>
    <row r="225" spans="1:2">
      <c r="A225" s="11">
        <f>Returns!A225</f>
        <v>0</v>
      </c>
      <c r="B225" s="1">
        <f t="array" ref="B225">MMULT(Returns!B225:Z225,Resume!$B$38:$B$62)</f>
        <v>0</v>
      </c>
    </row>
    <row r="226" spans="1:2">
      <c r="A226" s="11">
        <f>Returns!A226</f>
        <v>0</v>
      </c>
      <c r="B226" s="1">
        <f t="array" ref="B226">MMULT(Returns!B226:Z226,Resume!$B$38:$B$62)</f>
        <v>0</v>
      </c>
    </row>
    <row r="227" spans="1:2">
      <c r="A227" s="11">
        <f>Returns!A227</f>
        <v>0</v>
      </c>
      <c r="B227" s="1">
        <f t="array" ref="B227">MMULT(Returns!B227:Z227,Resume!$B$38:$B$62)</f>
        <v>0</v>
      </c>
    </row>
    <row r="228" spans="1:2">
      <c r="A228" s="11">
        <f>Returns!A228</f>
        <v>0</v>
      </c>
      <c r="B228" s="1">
        <f t="array" ref="B228">MMULT(Returns!B228:Z228,Resume!$B$38:$B$62)</f>
        <v>0</v>
      </c>
    </row>
    <row r="229" spans="1:2">
      <c r="A229" s="11">
        <f>Returns!A229</f>
        <v>0</v>
      </c>
      <c r="B229" s="1">
        <f t="array" ref="B229">MMULT(Returns!B229:Z229,Resume!$B$38:$B$62)</f>
        <v>0</v>
      </c>
    </row>
    <row r="230" spans="1:2">
      <c r="A230" s="11">
        <f>Returns!A230</f>
        <v>0</v>
      </c>
      <c r="B230" s="1">
        <f t="array" ref="B230">MMULT(Returns!B230:Z230,Resume!$B$38:$B$62)</f>
        <v>0</v>
      </c>
    </row>
    <row r="231" spans="1:2">
      <c r="A231" s="11">
        <f>Returns!A231</f>
        <v>0</v>
      </c>
      <c r="B231" s="1">
        <f t="array" ref="B231">MMULT(Returns!B231:Z231,Resume!$B$38:$B$62)</f>
        <v>0</v>
      </c>
    </row>
    <row r="232" spans="1:2">
      <c r="A232" s="11">
        <f>Returns!A232</f>
        <v>0</v>
      </c>
      <c r="B232" s="1">
        <f t="array" ref="B232">MMULT(Returns!B232:Z232,Resume!$B$38:$B$62)</f>
        <v>0</v>
      </c>
    </row>
    <row r="233" spans="1:2">
      <c r="A233" s="11">
        <f>Returns!A233</f>
        <v>0</v>
      </c>
      <c r="B233" s="1">
        <f t="array" ref="B233">MMULT(Returns!B233:Z233,Resume!$B$38:$B$62)</f>
        <v>0</v>
      </c>
    </row>
    <row r="234" spans="1:2">
      <c r="A234" s="11">
        <f>Returns!A234</f>
        <v>0</v>
      </c>
      <c r="B234" s="1">
        <f t="array" ref="B234">MMULT(Returns!B234:Z234,Resume!$B$38:$B$62)</f>
        <v>0</v>
      </c>
    </row>
    <row r="235" spans="1:2">
      <c r="A235" s="11">
        <f>Returns!A235</f>
        <v>0</v>
      </c>
      <c r="B235" s="1">
        <f t="array" ref="B235">MMULT(Returns!B235:Z235,Resume!$B$38:$B$62)</f>
        <v>0</v>
      </c>
    </row>
    <row r="236" spans="1:2">
      <c r="A236" s="11">
        <f>Returns!A236</f>
        <v>0</v>
      </c>
      <c r="B236" s="1">
        <f t="array" ref="B236">MMULT(Returns!B236:Z236,Resume!$B$38:$B$62)</f>
        <v>0</v>
      </c>
    </row>
    <row r="237" spans="1:2">
      <c r="A237" s="11">
        <f>Returns!A237</f>
        <v>0</v>
      </c>
      <c r="B237" s="1">
        <f t="array" ref="B237">MMULT(Returns!B237:Z237,Resume!$B$38:$B$62)</f>
        <v>0</v>
      </c>
    </row>
    <row r="238" spans="1:2">
      <c r="A238" s="11">
        <f>Returns!A238</f>
        <v>0</v>
      </c>
      <c r="B238" s="1">
        <f t="array" ref="B238">MMULT(Returns!B238:Z238,Resume!$B$38:$B$62)</f>
        <v>0</v>
      </c>
    </row>
    <row r="239" spans="1:2">
      <c r="A239" s="11">
        <f>Returns!A239</f>
        <v>0</v>
      </c>
      <c r="B239" s="1">
        <f t="array" ref="B239">MMULT(Returns!B239:Z239,Resume!$B$38:$B$62)</f>
        <v>0</v>
      </c>
    </row>
    <row r="240" spans="1:2">
      <c r="A240" s="11">
        <f>Returns!A240</f>
        <v>0</v>
      </c>
      <c r="B240" s="1">
        <f t="array" ref="B240">MMULT(Returns!B240:Z240,Resume!$B$38:$B$62)</f>
        <v>0</v>
      </c>
    </row>
    <row r="241" spans="1:2">
      <c r="A241" s="11">
        <f>Returns!A241</f>
        <v>0</v>
      </c>
      <c r="B241" s="1">
        <f t="array" ref="B241">MMULT(Returns!B241:Z241,Resume!$B$38:$B$62)</f>
        <v>0</v>
      </c>
    </row>
    <row r="242" spans="1:2">
      <c r="A242" s="11">
        <f>Returns!A242</f>
        <v>0</v>
      </c>
      <c r="B242" s="1">
        <f t="array" ref="B242">MMULT(Returns!B242:Z242,Resume!$B$38:$B$62)</f>
        <v>0</v>
      </c>
    </row>
    <row r="243" spans="1:2">
      <c r="A243" s="11">
        <f>Returns!A243</f>
        <v>0</v>
      </c>
      <c r="B243" s="1">
        <f t="array" ref="B243">MMULT(Returns!B243:Z243,Resume!$B$38:$B$62)</f>
        <v>0</v>
      </c>
    </row>
    <row r="244" spans="1:2">
      <c r="A244" s="11">
        <f>Returns!A244</f>
        <v>0</v>
      </c>
      <c r="B244" s="1">
        <f t="array" ref="B244">MMULT(Returns!B244:Z244,Resume!$B$38:$B$62)</f>
        <v>0</v>
      </c>
    </row>
    <row r="245" spans="1:2">
      <c r="A245" s="11">
        <f>Returns!A245</f>
        <v>0</v>
      </c>
      <c r="B245" s="1">
        <f t="array" ref="B245">MMULT(Returns!B245:Z245,Resume!$B$38:$B$62)</f>
        <v>0</v>
      </c>
    </row>
    <row r="246" spans="1:2">
      <c r="A246" s="11">
        <f>Returns!A246</f>
        <v>0</v>
      </c>
      <c r="B246" s="1">
        <f t="array" ref="B246">MMULT(Returns!B246:Z246,Resume!$B$38:$B$62)</f>
        <v>0</v>
      </c>
    </row>
    <row r="247" spans="1:2">
      <c r="A247" s="11">
        <f>Returns!A247</f>
        <v>0</v>
      </c>
      <c r="B247" s="1">
        <f t="array" ref="B247">MMULT(Returns!B247:Z247,Resume!$B$38:$B$62)</f>
        <v>0</v>
      </c>
    </row>
    <row r="248" spans="1:2">
      <c r="A248" s="11">
        <f>Returns!A248</f>
        <v>0</v>
      </c>
      <c r="B248" s="1">
        <f t="array" ref="B248">MMULT(Returns!B248:Z248,Resume!$B$38:$B$62)</f>
        <v>0</v>
      </c>
    </row>
    <row r="249" spans="1:2">
      <c r="A249" s="11">
        <f>Returns!A249</f>
        <v>0</v>
      </c>
      <c r="B249" s="1">
        <f t="array" ref="B249">MMULT(Returns!B249:Z249,Resume!$B$38:$B$62)</f>
        <v>0</v>
      </c>
    </row>
    <row r="250" spans="1:2">
      <c r="A250" s="11">
        <f>Returns!A250</f>
        <v>0</v>
      </c>
      <c r="B250" s="1">
        <f t="array" ref="B250">MMULT(Returns!B250:Z250,Resume!$B$38:$B$62)</f>
        <v>0</v>
      </c>
    </row>
    <row r="251" spans="1:2">
      <c r="A251" s="11">
        <f>Returns!A251</f>
        <v>0</v>
      </c>
      <c r="B251" s="1">
        <f t="array" ref="B251">MMULT(Returns!B251:Z251,Resume!$B$38:$B$62)</f>
        <v>0</v>
      </c>
    </row>
    <row r="252" spans="1:2">
      <c r="A252" s="11">
        <f>Returns!A252</f>
        <v>0</v>
      </c>
      <c r="B252" s="1">
        <f t="array" ref="B252">MMULT(Returns!B252:Z252,Resume!$B$38:$B$62)</f>
        <v>0</v>
      </c>
    </row>
    <row r="253" spans="1:2">
      <c r="A253" s="11">
        <f>Returns!A253</f>
        <v>0</v>
      </c>
      <c r="B253" s="1">
        <f t="array" ref="B253">MMULT(Returns!B253:Z253,Resume!$B$38:$B$62)</f>
        <v>0</v>
      </c>
    </row>
    <row r="254" spans="1:2">
      <c r="A254" s="11">
        <f>Returns!A254</f>
        <v>0</v>
      </c>
      <c r="B254" s="1">
        <f t="array" ref="B254">MMULT(Returns!B254:Z254,Resume!$B$38:$B$62)</f>
        <v>0</v>
      </c>
    </row>
    <row r="255" spans="1:2">
      <c r="A255" s="11">
        <f>Returns!A255</f>
        <v>0</v>
      </c>
      <c r="B255" s="1">
        <f t="array" ref="B255">MMULT(Returns!B255:Z255,Resume!$B$38:$B$62)</f>
        <v>0</v>
      </c>
    </row>
    <row r="256" spans="1:2">
      <c r="A256" s="11">
        <f>Returns!A256</f>
        <v>0</v>
      </c>
      <c r="B256" s="1">
        <f t="array" ref="B256">MMULT(Returns!B256:Z256,Resume!$B$38:$B$62)</f>
        <v>0</v>
      </c>
    </row>
    <row r="257" spans="1:2">
      <c r="A257" s="11">
        <f>Returns!A257</f>
        <v>0</v>
      </c>
      <c r="B257" s="1">
        <f t="array" ref="B257">MMULT(Returns!B257:Z257,Resume!$B$38:$B$62)</f>
        <v>0</v>
      </c>
    </row>
    <row r="258" spans="1:2">
      <c r="A258" s="11">
        <f>Returns!A258</f>
        <v>0</v>
      </c>
      <c r="B258" s="1">
        <f t="array" ref="B258">MMULT(Returns!B258:Z258,Resume!$B$38:$B$62)</f>
        <v>0</v>
      </c>
    </row>
    <row r="259" spans="1:2">
      <c r="A259" s="11">
        <f>Returns!A259</f>
        <v>0</v>
      </c>
      <c r="B259" s="1">
        <f t="array" ref="B259">MMULT(Returns!B259:Z259,Resume!$B$38:$B$62)</f>
        <v>0</v>
      </c>
    </row>
    <row r="260" spans="1:2">
      <c r="A260" s="11">
        <f>Returns!A260</f>
        <v>0</v>
      </c>
      <c r="B260" s="1">
        <f t="array" ref="B260">MMULT(Returns!B260:Z260,Resume!$B$38:$B$62)</f>
        <v>0</v>
      </c>
    </row>
    <row r="261" spans="1:2">
      <c r="A261" s="11">
        <f>Returns!A261</f>
        <v>0</v>
      </c>
      <c r="B261" s="1">
        <f t="array" ref="B261">MMULT(Returns!B261:Z261,Resume!$B$38:$B$62)</f>
        <v>0</v>
      </c>
    </row>
    <row r="262" spans="1:2">
      <c r="A262" s="11">
        <f>Returns!A262</f>
        <v>0</v>
      </c>
      <c r="B262" s="1">
        <f t="array" ref="B262">MMULT(Returns!B262:Z262,Resume!$B$38:$B$62)</f>
        <v>0</v>
      </c>
    </row>
    <row r="263" spans="1:2">
      <c r="A263" s="11">
        <f>Returns!A263</f>
        <v>0</v>
      </c>
      <c r="B263" s="1">
        <f t="array" ref="B263">MMULT(Returns!B263:Z263,Resume!$B$38:$B$62)</f>
        <v>0</v>
      </c>
    </row>
    <row r="264" spans="1:2">
      <c r="A264" s="11">
        <f>Returns!A264</f>
        <v>0</v>
      </c>
      <c r="B264" s="1">
        <f t="array" ref="B264">MMULT(Returns!B264:Z264,Resume!$B$38:$B$62)</f>
        <v>0</v>
      </c>
    </row>
    <row r="265" spans="1:2">
      <c r="A265" s="11">
        <f>Returns!A265</f>
        <v>0</v>
      </c>
      <c r="B265" s="1">
        <f t="array" ref="B265">MMULT(Returns!B265:Z265,Resume!$B$38:$B$62)</f>
        <v>0</v>
      </c>
    </row>
    <row r="266" spans="1:2">
      <c r="A266" s="11">
        <f>Returns!A266</f>
        <v>0</v>
      </c>
      <c r="B266" s="1">
        <f t="array" ref="B266">MMULT(Returns!B266:Z266,Resume!$B$38:$B$62)</f>
        <v>0</v>
      </c>
    </row>
    <row r="267" spans="1:2">
      <c r="A267" s="11">
        <f>Returns!A267</f>
        <v>0</v>
      </c>
      <c r="B267" s="1">
        <f t="array" ref="B267">MMULT(Returns!B267:Z267,Resume!$B$38:$B$62)</f>
        <v>0</v>
      </c>
    </row>
    <row r="268" spans="1:2">
      <c r="A268" s="11">
        <f>Returns!A268</f>
        <v>0</v>
      </c>
      <c r="B268" s="1">
        <f t="array" ref="B268">MMULT(Returns!B268:Z268,Resume!$B$38:$B$62)</f>
        <v>0</v>
      </c>
    </row>
    <row r="269" spans="1:2">
      <c r="A269" s="11">
        <f>Returns!A269</f>
        <v>0</v>
      </c>
      <c r="B269" s="1">
        <f t="array" ref="B269">MMULT(Returns!B269:Z269,Resume!$B$38:$B$62)</f>
        <v>0</v>
      </c>
    </row>
    <row r="270" spans="1:2">
      <c r="A270" s="11">
        <f>Returns!A270</f>
        <v>0</v>
      </c>
      <c r="B270" s="1">
        <f t="array" ref="B270">MMULT(Returns!B270:Z270,Resume!$B$38:$B$62)</f>
        <v>0</v>
      </c>
    </row>
    <row r="271" spans="1:2">
      <c r="A271" s="11">
        <f>Returns!A271</f>
        <v>0</v>
      </c>
      <c r="B271" s="1">
        <f t="array" ref="B271">MMULT(Returns!B271:Z271,Resume!$B$38:$B$62)</f>
        <v>0</v>
      </c>
    </row>
    <row r="272" spans="1:2">
      <c r="A272" s="11">
        <f>Returns!A272</f>
        <v>0</v>
      </c>
      <c r="B272" s="1">
        <f t="array" ref="B272">MMULT(Returns!B272:Z272,Resume!$B$38:$B$62)</f>
        <v>0</v>
      </c>
    </row>
    <row r="273" spans="1:2">
      <c r="A273" s="11">
        <f>Returns!A273</f>
        <v>0</v>
      </c>
      <c r="B273" s="1">
        <f t="array" ref="B273">MMULT(Returns!B273:Z273,Resume!$B$38:$B$62)</f>
        <v>0</v>
      </c>
    </row>
    <row r="274" spans="1:2">
      <c r="A274" s="11">
        <f>Returns!A274</f>
        <v>0</v>
      </c>
      <c r="B274" s="1">
        <f t="array" ref="B274">MMULT(Returns!B274:Z274,Resume!$B$38:$B$62)</f>
        <v>0</v>
      </c>
    </row>
    <row r="275" spans="1:2">
      <c r="A275" s="11">
        <f>Returns!A275</f>
        <v>0</v>
      </c>
      <c r="B275" s="1">
        <f t="array" ref="B275">MMULT(Returns!B275:Z275,Resume!$B$38:$B$62)</f>
        <v>0</v>
      </c>
    </row>
    <row r="276" spans="1:2">
      <c r="A276" s="11">
        <f>Returns!A276</f>
        <v>0</v>
      </c>
      <c r="B276" s="1">
        <f t="array" ref="B276">MMULT(Returns!B276:Z276,Resume!$B$38:$B$62)</f>
        <v>0</v>
      </c>
    </row>
    <row r="277" spans="1:2">
      <c r="A277" s="11">
        <f>Returns!A277</f>
        <v>0</v>
      </c>
      <c r="B277" s="1">
        <f t="array" ref="B277">MMULT(Returns!B277:Z277,Resume!$B$38:$B$62)</f>
        <v>0</v>
      </c>
    </row>
    <row r="278" spans="1:2">
      <c r="A278" s="11">
        <f>Returns!A278</f>
        <v>0</v>
      </c>
      <c r="B278" s="1">
        <f t="array" ref="B278">MMULT(Returns!B278:Z278,Resume!$B$38:$B$62)</f>
        <v>0</v>
      </c>
    </row>
    <row r="279" spans="1:2">
      <c r="A279" s="11">
        <f>Returns!A279</f>
        <v>0</v>
      </c>
      <c r="B279" s="1">
        <f t="array" ref="B279">MMULT(Returns!B279:Z279,Resume!$B$38:$B$62)</f>
        <v>0</v>
      </c>
    </row>
    <row r="280" spans="1:2">
      <c r="A280" s="11">
        <f>Returns!A280</f>
        <v>0</v>
      </c>
      <c r="B280" s="1">
        <f t="array" ref="B280">MMULT(Returns!B280:Z280,Resume!$B$38:$B$62)</f>
        <v>0</v>
      </c>
    </row>
    <row r="281" spans="1:2">
      <c r="A281" s="11">
        <f>Returns!A281</f>
        <v>0</v>
      </c>
      <c r="B281" s="1">
        <f t="array" ref="B281">MMULT(Returns!B281:Z281,Resume!$B$38:$B$62)</f>
        <v>0</v>
      </c>
    </row>
    <row r="282" spans="1:2">
      <c r="A282" s="11">
        <f>Returns!A282</f>
        <v>0</v>
      </c>
      <c r="B282" s="1">
        <f t="array" ref="B282">MMULT(Returns!B282:Z282,Resume!$B$38:$B$62)</f>
        <v>0</v>
      </c>
    </row>
    <row r="283" spans="1:2">
      <c r="A283" s="11">
        <f>Returns!A283</f>
        <v>0</v>
      </c>
      <c r="B283" s="1">
        <f t="array" ref="B283">MMULT(Returns!B283:Z283,Resume!$B$38:$B$62)</f>
        <v>0</v>
      </c>
    </row>
    <row r="284" spans="1:2">
      <c r="A284" s="11">
        <f>Returns!A284</f>
        <v>0</v>
      </c>
      <c r="B284" s="1">
        <f t="array" ref="B284">MMULT(Returns!B284:Z284,Resume!$B$38:$B$62)</f>
        <v>0</v>
      </c>
    </row>
    <row r="285" spans="1:2">
      <c r="A285" s="11">
        <f>Returns!A285</f>
        <v>0</v>
      </c>
      <c r="B285" s="1">
        <f t="array" ref="B285">MMULT(Returns!B285:Z285,Resume!$B$38:$B$62)</f>
        <v>0</v>
      </c>
    </row>
    <row r="286" spans="1:2">
      <c r="A286" s="11">
        <f>Returns!A286</f>
        <v>0</v>
      </c>
      <c r="B286" s="1">
        <f t="array" ref="B286">MMULT(Returns!B286:Z286,Resume!$B$38:$B$62)</f>
        <v>0</v>
      </c>
    </row>
    <row r="287" spans="1:2">
      <c r="A287" s="11">
        <f>Returns!A287</f>
        <v>0</v>
      </c>
      <c r="B287" s="1">
        <f t="array" ref="B287">MMULT(Returns!B287:Z287,Resume!$B$38:$B$62)</f>
        <v>0</v>
      </c>
    </row>
    <row r="288" spans="1:2">
      <c r="A288" s="11">
        <f>Returns!A288</f>
        <v>0</v>
      </c>
      <c r="B288" s="1">
        <f t="array" ref="B288">MMULT(Returns!B288:Z288,Resume!$B$38:$B$62)</f>
        <v>0</v>
      </c>
    </row>
    <row r="289" spans="1:2">
      <c r="A289" s="11">
        <f>Returns!A289</f>
        <v>0</v>
      </c>
      <c r="B289" s="1">
        <f t="array" ref="B289">MMULT(Returns!B289:Z289,Resume!$B$38:$B$62)</f>
        <v>0</v>
      </c>
    </row>
    <row r="290" spans="1:2">
      <c r="A290" s="11">
        <f>Returns!A290</f>
        <v>0</v>
      </c>
      <c r="B290" s="1">
        <f t="array" ref="B290">MMULT(Returns!B290:Z290,Resume!$B$38:$B$62)</f>
        <v>0</v>
      </c>
    </row>
    <row r="291" spans="1:2">
      <c r="A291" s="11">
        <f>Returns!A291</f>
        <v>0</v>
      </c>
      <c r="B291" s="1">
        <f t="array" ref="B291">MMULT(Returns!B291:Z291,Resume!$B$38:$B$62)</f>
        <v>0</v>
      </c>
    </row>
    <row r="292" spans="1:2">
      <c r="A292" s="11">
        <f>Returns!A292</f>
        <v>0</v>
      </c>
      <c r="B292" s="1">
        <f t="array" ref="B292">MMULT(Returns!B292:Z292,Resume!$B$38:$B$62)</f>
        <v>0</v>
      </c>
    </row>
    <row r="293" spans="1:2">
      <c r="A293" s="11">
        <f>Returns!A293</f>
        <v>0</v>
      </c>
      <c r="B293" s="1">
        <f t="array" ref="B293">MMULT(Returns!B293:Z293,Resume!$B$38:$B$62)</f>
        <v>0</v>
      </c>
    </row>
    <row r="294" spans="1:2">
      <c r="A294" s="11">
        <f>Returns!A294</f>
        <v>0</v>
      </c>
      <c r="B294" s="1">
        <f t="array" ref="B294">MMULT(Returns!B294:Z294,Resume!$B$38:$B$62)</f>
        <v>0</v>
      </c>
    </row>
    <row r="295" spans="1:2">
      <c r="A295" s="11">
        <f>Returns!A295</f>
        <v>0</v>
      </c>
      <c r="B295" s="1">
        <f t="array" ref="B295">MMULT(Returns!B295:Z295,Resume!$B$38:$B$62)</f>
        <v>0</v>
      </c>
    </row>
    <row r="296" spans="1:2">
      <c r="A296" s="11">
        <f>Returns!A296</f>
        <v>0</v>
      </c>
      <c r="B296" s="1">
        <f t="array" ref="B296">MMULT(Returns!B296:Z296,Resume!$B$38:$B$62)</f>
        <v>0</v>
      </c>
    </row>
    <row r="297" spans="1:2">
      <c r="A297" s="11">
        <f>Returns!A297</f>
        <v>0</v>
      </c>
      <c r="B297" s="1">
        <f t="array" ref="B297">MMULT(Returns!B297:Z297,Resume!$B$38:$B$62)</f>
        <v>0</v>
      </c>
    </row>
    <row r="298" spans="1:2">
      <c r="A298" s="11">
        <f>Returns!A298</f>
        <v>0</v>
      </c>
      <c r="B298" s="1">
        <f t="array" ref="B298">MMULT(Returns!B298:Z298,Resume!$B$38:$B$62)</f>
        <v>0</v>
      </c>
    </row>
    <row r="299" spans="1:2">
      <c r="A299" s="11">
        <f>Returns!A299</f>
        <v>0</v>
      </c>
      <c r="B299" s="1">
        <f t="array" ref="B299">MMULT(Returns!B299:Z299,Resume!$B$38:$B$62)</f>
        <v>0</v>
      </c>
    </row>
    <row r="300" spans="1:2">
      <c r="A300" s="11">
        <f>Returns!A300</f>
        <v>0</v>
      </c>
      <c r="B300" s="1">
        <f t="array" ref="B300">MMULT(Returns!B300:Z300,Resume!$B$38:$B$62)</f>
        <v>0</v>
      </c>
    </row>
    <row r="301" spans="1:2">
      <c r="A301" s="11">
        <f>Returns!A301</f>
        <v>0</v>
      </c>
      <c r="B301" s="1">
        <f t="array" ref="B301">MMULT(Returns!B301:Z301,Resume!$B$38:$B$62)</f>
        <v>0</v>
      </c>
    </row>
    <row r="302" spans="1:2">
      <c r="A302" s="11">
        <f>Returns!A302</f>
        <v>0</v>
      </c>
      <c r="B302" s="1">
        <f t="array" ref="B302">MMULT(Returns!B302:Z302,Resume!$B$38:$B$62)</f>
        <v>0</v>
      </c>
    </row>
    <row r="303" spans="1:2">
      <c r="A303" s="11">
        <f>Returns!A303</f>
        <v>0</v>
      </c>
      <c r="B303" s="1">
        <f t="array" ref="B303">MMULT(Returns!B303:Z303,Resume!$B$38:$B$62)</f>
        <v>0</v>
      </c>
    </row>
    <row r="304" spans="1:2">
      <c r="A304" s="11">
        <f>Returns!A304</f>
        <v>0</v>
      </c>
      <c r="B304" s="1">
        <f t="array" ref="B304">MMULT(Returns!B304:Z304,Resume!$B$38:$B$62)</f>
        <v>0</v>
      </c>
    </row>
    <row r="305" spans="1:2">
      <c r="A305" s="11">
        <f>Returns!A305</f>
        <v>0</v>
      </c>
      <c r="B305" s="1">
        <f t="array" ref="B305">MMULT(Returns!B305:Z305,Resume!$B$38:$B$62)</f>
        <v>0</v>
      </c>
    </row>
    <row r="306" spans="1:2">
      <c r="A306" s="11">
        <f>Returns!A306</f>
        <v>0</v>
      </c>
      <c r="B306" s="1">
        <f t="array" ref="B306">MMULT(Returns!B306:Z306,Resume!$B$38:$B$62)</f>
        <v>0</v>
      </c>
    </row>
    <row r="307" spans="1:2">
      <c r="A307" s="11">
        <f>Returns!A307</f>
        <v>0</v>
      </c>
      <c r="B307" s="1">
        <f t="array" ref="B307">MMULT(Returns!B307:Z307,Resume!$B$38:$B$62)</f>
        <v>0</v>
      </c>
    </row>
    <row r="308" spans="1:2">
      <c r="A308" s="11">
        <f>Returns!A308</f>
        <v>0</v>
      </c>
      <c r="B308" s="1">
        <f t="array" ref="B308">MMULT(Returns!B308:Z308,Resume!$B$38:$B$62)</f>
        <v>0</v>
      </c>
    </row>
    <row r="309" spans="1:2">
      <c r="A309" s="11">
        <f>Returns!A309</f>
        <v>0</v>
      </c>
      <c r="B309" s="1">
        <f t="array" ref="B309">MMULT(Returns!B309:Z309,Resume!$B$38:$B$62)</f>
        <v>0</v>
      </c>
    </row>
    <row r="310" spans="1:2">
      <c r="A310" s="11">
        <f>Returns!A310</f>
        <v>0</v>
      </c>
      <c r="B310" s="1">
        <f t="array" ref="B310">MMULT(Returns!B310:Z310,Resume!$B$38:$B$62)</f>
        <v>0</v>
      </c>
    </row>
    <row r="311" spans="1:2">
      <c r="A311" s="11">
        <f>Returns!A311</f>
        <v>0</v>
      </c>
      <c r="B311" s="1">
        <f t="array" ref="B311">MMULT(Returns!B311:Z311,Resume!$B$38:$B$62)</f>
        <v>0</v>
      </c>
    </row>
    <row r="312" spans="1:2">
      <c r="A312" s="11">
        <f>Returns!A312</f>
        <v>0</v>
      </c>
      <c r="B312" s="1">
        <f t="array" ref="B312">MMULT(Returns!B312:Z312,Resume!$B$38:$B$62)</f>
        <v>0</v>
      </c>
    </row>
    <row r="313" spans="1:2">
      <c r="A313" s="11">
        <f>Returns!A313</f>
        <v>0</v>
      </c>
      <c r="B313" s="1">
        <f t="array" ref="B313">MMULT(Returns!B313:Z313,Resume!$B$38:$B$62)</f>
        <v>0</v>
      </c>
    </row>
    <row r="314" spans="1:2">
      <c r="A314" s="11">
        <f>Returns!A314</f>
        <v>0</v>
      </c>
      <c r="B314" s="1">
        <f t="array" ref="B314">MMULT(Returns!B314:Z314,Resume!$B$38:$B$62)</f>
        <v>0</v>
      </c>
    </row>
    <row r="315" spans="1:2">
      <c r="A315" s="11">
        <f>Returns!A315</f>
        <v>0</v>
      </c>
      <c r="B315" s="1">
        <f t="array" ref="B315">MMULT(Returns!B315:Z315,Resume!$B$38:$B$62)</f>
        <v>0</v>
      </c>
    </row>
    <row r="316" spans="1:2">
      <c r="A316" s="11">
        <f>Returns!A316</f>
        <v>0</v>
      </c>
      <c r="B316" s="1">
        <f t="array" ref="B316">MMULT(Returns!B316:Z316,Resume!$B$38:$B$62)</f>
        <v>0</v>
      </c>
    </row>
    <row r="317" spans="1:2">
      <c r="A317" s="11">
        <f>Returns!A317</f>
        <v>0</v>
      </c>
      <c r="B317" s="1">
        <f t="array" ref="B317">MMULT(Returns!B317:Z317,Resume!$B$38:$B$62)</f>
        <v>0</v>
      </c>
    </row>
    <row r="318" spans="1:2">
      <c r="A318" s="11">
        <f>Returns!A318</f>
        <v>0</v>
      </c>
      <c r="B318" s="1">
        <f t="array" ref="B318">MMULT(Returns!B318:Z318,Resume!$B$38:$B$62)</f>
        <v>0</v>
      </c>
    </row>
    <row r="319" spans="1:2">
      <c r="A319" s="11">
        <f>Returns!A319</f>
        <v>0</v>
      </c>
      <c r="B319" s="1">
        <f t="array" ref="B319">MMULT(Returns!B319:Z319,Resume!$B$38:$B$62)</f>
        <v>0</v>
      </c>
    </row>
    <row r="320" spans="1:2">
      <c r="A320" s="11">
        <f>Returns!A320</f>
        <v>0</v>
      </c>
      <c r="B320" s="1">
        <f t="array" ref="B320">MMULT(Returns!B320:Z320,Resume!$B$38:$B$62)</f>
        <v>0</v>
      </c>
    </row>
    <row r="321" spans="1:2">
      <c r="A321" s="11">
        <f>Returns!A321</f>
        <v>0</v>
      </c>
      <c r="B321" s="1">
        <f t="array" ref="B321">MMULT(Returns!B321:Z321,Resume!$B$38:$B$62)</f>
        <v>0</v>
      </c>
    </row>
    <row r="322" spans="1:2">
      <c r="A322" s="11">
        <f>Returns!A322</f>
        <v>0</v>
      </c>
      <c r="B322" s="1">
        <f t="array" ref="B322">MMULT(Returns!B322:Z322,Resume!$B$38:$B$62)</f>
        <v>0</v>
      </c>
    </row>
    <row r="323" spans="1:2">
      <c r="A323" s="11">
        <f>Returns!A323</f>
        <v>0</v>
      </c>
      <c r="B323" s="1">
        <f t="array" ref="B323">MMULT(Returns!B323:Z323,Resume!$B$38:$B$62)</f>
        <v>0</v>
      </c>
    </row>
    <row r="324" spans="1:2">
      <c r="A324" s="11">
        <f>Returns!A324</f>
        <v>0</v>
      </c>
      <c r="B324" s="1">
        <f t="array" ref="B324">MMULT(Returns!B324:Z324,Resume!$B$38:$B$62)</f>
        <v>0</v>
      </c>
    </row>
    <row r="325" spans="1:2">
      <c r="A325" s="11">
        <f>Returns!A325</f>
        <v>0</v>
      </c>
      <c r="B325" s="1">
        <f t="array" ref="B325">MMULT(Returns!B325:Z325,Resume!$B$38:$B$62)</f>
        <v>0</v>
      </c>
    </row>
    <row r="326" spans="1:2">
      <c r="A326" s="11">
        <f>Returns!A326</f>
        <v>0</v>
      </c>
      <c r="B326" s="1">
        <f t="array" ref="B326">MMULT(Returns!B326:Z326,Resume!$B$38:$B$62)</f>
        <v>0</v>
      </c>
    </row>
    <row r="327" spans="1:2">
      <c r="A327" s="11">
        <f>Returns!A327</f>
        <v>0</v>
      </c>
      <c r="B327" s="1">
        <f t="array" ref="B327">MMULT(Returns!B327:Z327,Resume!$B$38:$B$62)</f>
        <v>0</v>
      </c>
    </row>
    <row r="328" spans="1:2">
      <c r="A328" s="11">
        <f>Returns!A328</f>
        <v>0</v>
      </c>
      <c r="B328" s="1">
        <f t="array" ref="B328">MMULT(Returns!B328:Z328,Resume!$B$38:$B$62)</f>
        <v>0</v>
      </c>
    </row>
    <row r="329" spans="1:2">
      <c r="A329" s="11">
        <f>Returns!A329</f>
        <v>0</v>
      </c>
      <c r="B329" s="1">
        <f t="array" ref="B329">MMULT(Returns!B329:Z329,Resume!$B$38:$B$62)</f>
        <v>0</v>
      </c>
    </row>
    <row r="330" spans="1:2">
      <c r="A330" s="11">
        <f>Returns!A330</f>
        <v>0</v>
      </c>
      <c r="B330" s="1">
        <f t="array" ref="B330">MMULT(Returns!B330:Z330,Resume!$B$38:$B$62)</f>
        <v>0</v>
      </c>
    </row>
    <row r="331" spans="1:2">
      <c r="A331" s="11">
        <f>Returns!A331</f>
        <v>0</v>
      </c>
      <c r="B331" s="1">
        <f t="array" ref="B331">MMULT(Returns!B331:Z331,Resume!$B$38:$B$62)</f>
        <v>0</v>
      </c>
    </row>
    <row r="332" spans="1:2">
      <c r="A332" s="11">
        <f>Returns!A332</f>
        <v>0</v>
      </c>
      <c r="B332" s="1">
        <f t="array" ref="B332">MMULT(Returns!B332:Z332,Resume!$B$38:$B$62)</f>
        <v>0</v>
      </c>
    </row>
    <row r="333" spans="1:2">
      <c r="A333" s="11">
        <f>Returns!A333</f>
        <v>0</v>
      </c>
      <c r="B333" s="1">
        <f t="array" ref="B333">MMULT(Returns!B333:Z333,Resume!$B$38:$B$62)</f>
        <v>0</v>
      </c>
    </row>
    <row r="334" spans="1:2">
      <c r="A334" s="11">
        <f>Returns!A334</f>
        <v>0</v>
      </c>
      <c r="B334" s="1">
        <f t="array" ref="B334">MMULT(Returns!B334:Z334,Resume!$B$38:$B$62)</f>
        <v>0</v>
      </c>
    </row>
    <row r="335" spans="1:2">
      <c r="A335" s="11">
        <f>Returns!A335</f>
        <v>0</v>
      </c>
      <c r="B335" s="1">
        <f t="array" ref="B335">MMULT(Returns!B335:Z335,Resume!$B$38:$B$62)</f>
        <v>0</v>
      </c>
    </row>
    <row r="336" spans="1:2">
      <c r="A336" s="11">
        <f>Returns!A336</f>
        <v>0</v>
      </c>
      <c r="B336" s="1">
        <f t="array" ref="B336">MMULT(Returns!B336:Z336,Resume!$B$38:$B$62)</f>
        <v>0</v>
      </c>
    </row>
    <row r="337" spans="1:2">
      <c r="A337" s="11">
        <f>Returns!A337</f>
        <v>0</v>
      </c>
      <c r="B337" s="1">
        <f t="array" ref="B337">MMULT(Returns!B337:Z337,Resume!$B$38:$B$62)</f>
        <v>0</v>
      </c>
    </row>
    <row r="338" spans="1:2">
      <c r="A338" s="11">
        <f>Returns!A338</f>
        <v>0</v>
      </c>
      <c r="B338" s="1">
        <f t="array" ref="B338">MMULT(Returns!B338:Z338,Resume!$B$38:$B$62)</f>
        <v>0</v>
      </c>
    </row>
    <row r="339" spans="1:2">
      <c r="A339" s="11">
        <f>Returns!A339</f>
        <v>0</v>
      </c>
      <c r="B339" s="1">
        <f t="array" ref="B339">MMULT(Returns!B339:Z339,Resume!$B$38:$B$62)</f>
        <v>0</v>
      </c>
    </row>
    <row r="340" spans="1:2">
      <c r="A340" s="11">
        <f>Returns!A340</f>
        <v>0</v>
      </c>
      <c r="B340" s="1">
        <f t="array" ref="B340">MMULT(Returns!B340:Z340,Resume!$B$38:$B$62)</f>
        <v>0</v>
      </c>
    </row>
    <row r="341" spans="1:2">
      <c r="A341" s="11">
        <f>Returns!A341</f>
        <v>0</v>
      </c>
      <c r="B341" s="1">
        <f t="array" ref="B341">MMULT(Returns!B341:Z341,Resume!$B$38:$B$62)</f>
        <v>0</v>
      </c>
    </row>
    <row r="342" spans="1:2">
      <c r="A342" s="11">
        <f>Returns!A342</f>
        <v>0</v>
      </c>
      <c r="B342" s="1">
        <f t="array" ref="B342">MMULT(Returns!B342:Z342,Resume!$B$38:$B$62)</f>
        <v>0</v>
      </c>
    </row>
    <row r="343" spans="1:2">
      <c r="A343" s="11">
        <f>Returns!A343</f>
        <v>0</v>
      </c>
      <c r="B343" s="1">
        <f t="array" ref="B343">MMULT(Returns!B343:Z343,Resume!$B$38:$B$62)</f>
        <v>0</v>
      </c>
    </row>
    <row r="344" spans="1:2">
      <c r="A344" s="11">
        <f>Returns!A344</f>
        <v>0</v>
      </c>
      <c r="B344" s="1">
        <f t="array" ref="B344">MMULT(Returns!B344:Z344,Resume!$B$38:$B$62)</f>
        <v>0</v>
      </c>
    </row>
    <row r="345" spans="1:2">
      <c r="A345" s="11">
        <f>Returns!A345</f>
        <v>0</v>
      </c>
      <c r="B345" s="1">
        <f t="array" ref="B345">MMULT(Returns!B345:Z345,Resume!$B$38:$B$62)</f>
        <v>0</v>
      </c>
    </row>
    <row r="346" spans="1:2">
      <c r="A346" s="11">
        <f>Returns!A346</f>
        <v>0</v>
      </c>
      <c r="B346" s="1">
        <f t="array" ref="B346">MMULT(Returns!B346:Z346,Resume!$B$38:$B$62)</f>
        <v>0</v>
      </c>
    </row>
    <row r="347" spans="1:2">
      <c r="A347" s="11">
        <f>Returns!A347</f>
        <v>0</v>
      </c>
      <c r="B347" s="1">
        <f t="array" ref="B347">MMULT(Returns!B347:Z347,Resume!$B$38:$B$62)</f>
        <v>0</v>
      </c>
    </row>
    <row r="348" spans="1:2">
      <c r="A348" s="11">
        <f>Returns!A348</f>
        <v>0</v>
      </c>
      <c r="B348" s="1">
        <f t="array" ref="B348">MMULT(Returns!B348:Z348,Resume!$B$38:$B$62)</f>
        <v>0</v>
      </c>
    </row>
    <row r="349" spans="1:2">
      <c r="A349" s="11">
        <f>Returns!A349</f>
        <v>0</v>
      </c>
      <c r="B349" s="1">
        <f t="array" ref="B349">MMULT(Returns!B349:Z349,Resume!$B$38:$B$62)</f>
        <v>0</v>
      </c>
    </row>
    <row r="350" spans="1:2">
      <c r="A350" s="11">
        <f>Returns!A350</f>
        <v>0</v>
      </c>
      <c r="B350" s="1">
        <f t="array" ref="B350">MMULT(Returns!B350:Z350,Resume!$B$38:$B$62)</f>
        <v>0</v>
      </c>
    </row>
    <row r="351" spans="1:2">
      <c r="A351" s="11">
        <f>Returns!A351</f>
        <v>0</v>
      </c>
      <c r="B351" s="1">
        <f t="array" ref="B351">MMULT(Returns!B351:Z351,Resume!$B$38:$B$62)</f>
        <v>0</v>
      </c>
    </row>
    <row r="352" spans="1:2">
      <c r="A352" s="11">
        <f>Returns!A352</f>
        <v>0</v>
      </c>
      <c r="B352" s="1">
        <f t="array" ref="B352">MMULT(Returns!B352:Z352,Resume!$B$38:$B$62)</f>
        <v>0</v>
      </c>
    </row>
    <row r="353" spans="1:2">
      <c r="A353" s="11">
        <f>Returns!A353</f>
        <v>0</v>
      </c>
      <c r="B353" s="1">
        <f t="array" ref="B353">MMULT(Returns!B353:Z353,Resume!$B$38:$B$62)</f>
        <v>0</v>
      </c>
    </row>
    <row r="354" spans="1:2">
      <c r="A354" s="11">
        <f>Returns!A354</f>
        <v>0</v>
      </c>
      <c r="B354" s="1">
        <f t="array" ref="B354">MMULT(Returns!B354:Z354,Resume!$B$38:$B$62)</f>
        <v>0</v>
      </c>
    </row>
    <row r="355" spans="1:2">
      <c r="A355" s="11">
        <f>Returns!A355</f>
        <v>0</v>
      </c>
      <c r="B355" s="1">
        <f t="array" ref="B355">MMULT(Returns!B355:Z355,Resume!$B$38:$B$62)</f>
        <v>0</v>
      </c>
    </row>
    <row r="356" spans="1:2">
      <c r="A356" s="11">
        <f>Returns!A356</f>
        <v>0</v>
      </c>
      <c r="B356" s="1">
        <f t="array" ref="B356">MMULT(Returns!B356:Z356,Resume!$B$38:$B$62)</f>
        <v>0</v>
      </c>
    </row>
    <row r="357" spans="1:2">
      <c r="A357" s="11">
        <f>Returns!A357</f>
        <v>0</v>
      </c>
      <c r="B357" s="1">
        <f t="array" ref="B357">MMULT(Returns!B357:Z357,Resume!$B$38:$B$62)</f>
        <v>0</v>
      </c>
    </row>
    <row r="358" spans="1:2">
      <c r="A358" s="11">
        <f>Returns!A358</f>
        <v>0</v>
      </c>
      <c r="B358" s="1">
        <f t="array" ref="B358">MMULT(Returns!B358:Z358,Resume!$B$38:$B$62)</f>
        <v>0</v>
      </c>
    </row>
    <row r="359" spans="1:2">
      <c r="A359" s="11">
        <f>Returns!A359</f>
        <v>0</v>
      </c>
      <c r="B359" s="1">
        <f t="array" ref="B359">MMULT(Returns!B359:Z359,Resume!$B$38:$B$62)</f>
        <v>0</v>
      </c>
    </row>
    <row r="360" spans="1:2">
      <c r="A360" s="11">
        <f>Returns!A360</f>
        <v>0</v>
      </c>
      <c r="B360" s="1">
        <f t="array" ref="B360">MMULT(Returns!B360:Z360,Resume!$B$38:$B$62)</f>
        <v>0</v>
      </c>
    </row>
    <row r="361" spans="1:2">
      <c r="A361" s="11">
        <f>Returns!A361</f>
        <v>0</v>
      </c>
      <c r="B361" s="1">
        <f t="array" ref="B361">MMULT(Returns!B361:Z361,Resume!$B$38:$B$62)</f>
        <v>0</v>
      </c>
    </row>
    <row r="362" spans="1:2">
      <c r="A362" s="11">
        <f>Returns!A362</f>
        <v>0</v>
      </c>
      <c r="B362" s="1">
        <f t="array" ref="B362">MMULT(Returns!B362:Z362,Resume!$B$38:$B$62)</f>
        <v>0</v>
      </c>
    </row>
    <row r="363" spans="1:2">
      <c r="A363" s="11">
        <f>Returns!A363</f>
        <v>0</v>
      </c>
      <c r="B363" s="1">
        <f t="array" ref="B363">MMULT(Returns!B363:Z363,Resume!$B$38:$B$62)</f>
        <v>0</v>
      </c>
    </row>
    <row r="364" spans="1:2">
      <c r="A364" s="11">
        <f>Returns!A364</f>
        <v>0</v>
      </c>
      <c r="B364" s="1">
        <f t="array" ref="B364">MMULT(Returns!B364:Z364,Resume!$B$38:$B$62)</f>
        <v>0</v>
      </c>
    </row>
    <row r="365" spans="1:2">
      <c r="A365" s="11">
        <f>Returns!A365</f>
        <v>0</v>
      </c>
      <c r="B365" s="1">
        <f t="array" ref="B365">MMULT(Returns!B365:Z365,Resume!$B$38:$B$62)</f>
        <v>0</v>
      </c>
    </row>
    <row r="366" spans="1:2">
      <c r="A366" s="11">
        <f>Returns!A366</f>
        <v>0</v>
      </c>
      <c r="B366" s="1">
        <f t="array" ref="B366">MMULT(Returns!B366:Z366,Resume!$B$38:$B$62)</f>
        <v>0</v>
      </c>
    </row>
    <row r="367" spans="1:2">
      <c r="A367" s="11">
        <f>Returns!A367</f>
        <v>0</v>
      </c>
      <c r="B367" s="1">
        <f t="array" ref="B367">MMULT(Returns!B367:Z367,Resume!$B$38:$B$62)</f>
        <v>0</v>
      </c>
    </row>
    <row r="368" spans="1:2">
      <c r="A368" s="11">
        <f>Returns!A368</f>
        <v>0</v>
      </c>
      <c r="B368" s="1">
        <f t="array" ref="B368">MMULT(Returns!B368:Z368,Resume!$B$38:$B$62)</f>
        <v>0</v>
      </c>
    </row>
    <row r="369" spans="1:2">
      <c r="A369" s="11">
        <f>Returns!A369</f>
        <v>0</v>
      </c>
      <c r="B369" s="1">
        <f t="array" ref="B369">MMULT(Returns!B369:Z369,Resume!$B$38:$B$62)</f>
        <v>0</v>
      </c>
    </row>
    <row r="370" spans="1:2">
      <c r="A370" s="11">
        <f>Returns!A370</f>
        <v>0</v>
      </c>
      <c r="B370" s="1">
        <f t="array" ref="B370">MMULT(Returns!B370:Z370,Resume!$B$38:$B$62)</f>
        <v>0</v>
      </c>
    </row>
    <row r="371" spans="1:2">
      <c r="A371" s="11">
        <f>Returns!A371</f>
        <v>0</v>
      </c>
      <c r="B371" s="1">
        <f t="array" ref="B371">MMULT(Returns!B371:Z371,Resume!$B$38:$B$62)</f>
        <v>0</v>
      </c>
    </row>
    <row r="372" spans="1:2">
      <c r="A372" s="11">
        <f>Returns!A372</f>
        <v>0</v>
      </c>
      <c r="B372" s="1">
        <f t="array" ref="B372">MMULT(Returns!B372:Z372,Resume!$B$38:$B$62)</f>
        <v>0</v>
      </c>
    </row>
    <row r="373" spans="1:2">
      <c r="A373" s="11">
        <f>Returns!A373</f>
        <v>0</v>
      </c>
      <c r="B373" s="1">
        <f t="array" ref="B373">MMULT(Returns!B373:Z373,Resume!$B$38:$B$62)</f>
        <v>0</v>
      </c>
    </row>
    <row r="374" spans="1:2">
      <c r="A374" s="11">
        <f>Returns!A374</f>
        <v>0</v>
      </c>
      <c r="B374" s="1">
        <f t="array" ref="B374">MMULT(Returns!B374:Z374,Resume!$B$38:$B$62)</f>
        <v>0</v>
      </c>
    </row>
    <row r="375" spans="1:2">
      <c r="A375" s="11">
        <f>Returns!A375</f>
        <v>0</v>
      </c>
      <c r="B375" s="1">
        <f t="array" ref="B375">MMULT(Returns!B375:Z375,Resume!$B$38:$B$62)</f>
        <v>0</v>
      </c>
    </row>
    <row r="376" spans="1:2">
      <c r="A376" s="11">
        <f>Returns!A376</f>
        <v>0</v>
      </c>
      <c r="B376" s="1">
        <f t="array" ref="B376">MMULT(Returns!B376:Z376,Resume!$B$38:$B$62)</f>
        <v>0</v>
      </c>
    </row>
    <row r="377" spans="1:2">
      <c r="A377" s="11">
        <f>Returns!A377</f>
        <v>0</v>
      </c>
      <c r="B377" s="1">
        <f t="array" ref="B377">MMULT(Returns!B377:Z377,Resume!$B$38:$B$62)</f>
        <v>0</v>
      </c>
    </row>
    <row r="378" spans="1:2">
      <c r="A378" s="11">
        <f>Returns!A378</f>
        <v>0</v>
      </c>
      <c r="B378" s="1">
        <f t="array" ref="B378">MMULT(Returns!B378:Z378,Resume!$B$38:$B$62)</f>
        <v>0</v>
      </c>
    </row>
    <row r="379" spans="1:2">
      <c r="A379" s="11">
        <f>Returns!A379</f>
        <v>0</v>
      </c>
      <c r="B379" s="1">
        <f t="array" ref="B379">MMULT(Returns!B379:Z379,Resume!$B$38:$B$62)</f>
        <v>0</v>
      </c>
    </row>
    <row r="380" spans="1:2">
      <c r="A380" s="11">
        <f>Returns!A380</f>
        <v>0</v>
      </c>
      <c r="B380" s="1">
        <f t="array" ref="B380">MMULT(Returns!B380:Z380,Resume!$B$38:$B$62)</f>
        <v>0</v>
      </c>
    </row>
    <row r="381" spans="1:2">
      <c r="A381" s="11">
        <f>Returns!A381</f>
        <v>0</v>
      </c>
      <c r="B381" s="1">
        <f t="array" ref="B381">MMULT(Returns!B381:Z381,Resume!$B$38:$B$62)</f>
        <v>0</v>
      </c>
    </row>
    <row r="382" spans="1:2">
      <c r="A382" s="11">
        <f>Returns!A382</f>
        <v>0</v>
      </c>
      <c r="B382" s="1">
        <f t="array" ref="B382">MMULT(Returns!B382:Z382,Resume!$B$38:$B$62)</f>
        <v>0</v>
      </c>
    </row>
    <row r="383" spans="1:2">
      <c r="A383" s="11">
        <f>Returns!A383</f>
        <v>0</v>
      </c>
      <c r="B383" s="1">
        <f t="array" ref="B383">MMULT(Returns!B383:Z383,Resume!$B$38:$B$62)</f>
        <v>0</v>
      </c>
    </row>
    <row r="384" spans="1:2">
      <c r="A384" s="11">
        <f>Returns!A384</f>
        <v>0</v>
      </c>
      <c r="B384" s="1">
        <f t="array" ref="B384">MMULT(Returns!B384:Z384,Resume!$B$38:$B$62)</f>
        <v>0</v>
      </c>
    </row>
    <row r="385" spans="1:2">
      <c r="A385" s="11">
        <f>Returns!A385</f>
        <v>0</v>
      </c>
      <c r="B385" s="1">
        <f t="array" ref="B385">MMULT(Returns!B385:Z385,Resume!$B$38:$B$62)</f>
        <v>0</v>
      </c>
    </row>
    <row r="386" spans="1:2">
      <c r="A386" s="11">
        <f>Returns!A386</f>
        <v>0</v>
      </c>
      <c r="B386" s="1">
        <f t="array" ref="B386">MMULT(Returns!B386:Z386,Resume!$B$38:$B$62)</f>
        <v>0</v>
      </c>
    </row>
    <row r="387" spans="1:2">
      <c r="A387" s="11">
        <f>Returns!A387</f>
        <v>0</v>
      </c>
      <c r="B387" s="1">
        <f t="array" ref="B387">MMULT(Returns!B387:Z387,Resume!$B$38:$B$62)</f>
        <v>0</v>
      </c>
    </row>
    <row r="388" spans="1:2">
      <c r="A388" s="11">
        <f>Returns!A388</f>
        <v>0</v>
      </c>
      <c r="B388" s="1">
        <f t="array" ref="B388">MMULT(Returns!B388:Z388,Resume!$B$38:$B$62)</f>
        <v>0</v>
      </c>
    </row>
    <row r="389" spans="1:2">
      <c r="A389" s="11">
        <f>Returns!A389</f>
        <v>0</v>
      </c>
      <c r="B389" s="1">
        <f t="array" ref="B389">MMULT(Returns!B389:Z389,Resume!$B$38:$B$62)</f>
        <v>0</v>
      </c>
    </row>
    <row r="390" spans="1:2">
      <c r="A390" s="11">
        <f>Returns!A390</f>
        <v>0</v>
      </c>
      <c r="B390" s="1">
        <f t="array" ref="B390">MMULT(Returns!B390:Z390,Resume!$B$38:$B$62)</f>
        <v>0</v>
      </c>
    </row>
    <row r="391" spans="1:2">
      <c r="A391" s="11">
        <f>Returns!A391</f>
        <v>0</v>
      </c>
      <c r="B391" s="1">
        <f t="array" ref="B391">MMULT(Returns!B391:Z391,Resume!$B$38:$B$62)</f>
        <v>0</v>
      </c>
    </row>
    <row r="392" spans="1:2">
      <c r="A392" s="11">
        <f>Returns!A392</f>
        <v>0</v>
      </c>
      <c r="B392" s="1">
        <f t="array" ref="B392">MMULT(Returns!B392:Z392,Resume!$B$38:$B$62)</f>
        <v>0</v>
      </c>
    </row>
    <row r="393" spans="1:2">
      <c r="A393" s="11">
        <f>Returns!A393</f>
        <v>0</v>
      </c>
      <c r="B393" s="1">
        <f t="array" ref="B393">MMULT(Returns!B393:Z393,Resume!$B$38:$B$62)</f>
        <v>0</v>
      </c>
    </row>
    <row r="394" spans="1:2">
      <c r="A394" s="11">
        <f>Returns!A394</f>
        <v>0</v>
      </c>
      <c r="B394" s="1">
        <f t="array" ref="B394">MMULT(Returns!B394:Z394,Resume!$B$38:$B$62)</f>
        <v>0</v>
      </c>
    </row>
    <row r="395" spans="1:2">
      <c r="A395" s="11">
        <f>Returns!A395</f>
        <v>0</v>
      </c>
      <c r="B395" s="1">
        <f t="array" ref="B395">MMULT(Returns!B395:Z395,Resume!$B$38:$B$62)</f>
        <v>0</v>
      </c>
    </row>
    <row r="396" spans="1:2">
      <c r="A396" s="11">
        <f>Returns!A396</f>
        <v>0</v>
      </c>
      <c r="B396" s="1">
        <f t="array" ref="B396">MMULT(Returns!B396:Z396,Resume!$B$38:$B$62)</f>
        <v>0</v>
      </c>
    </row>
    <row r="397" spans="1:2">
      <c r="A397" s="11">
        <f>Returns!A397</f>
        <v>0</v>
      </c>
      <c r="B397" s="1">
        <f t="array" ref="B397">MMULT(Returns!B397:Z397,Resume!$B$38:$B$62)</f>
        <v>0</v>
      </c>
    </row>
    <row r="398" spans="1:2">
      <c r="A398" s="11">
        <f>Returns!A398</f>
        <v>0</v>
      </c>
      <c r="B398" s="1">
        <f t="array" ref="B398">MMULT(Returns!B398:Z398,Resume!$B$38:$B$62)</f>
        <v>0</v>
      </c>
    </row>
    <row r="399" spans="1:2">
      <c r="A399" s="11">
        <f>Returns!A399</f>
        <v>0</v>
      </c>
      <c r="B399" s="1">
        <f t="array" ref="B399">MMULT(Returns!B399:Z399,Resume!$B$38:$B$62)</f>
        <v>0</v>
      </c>
    </row>
    <row r="400" spans="1:2">
      <c r="A400" s="11">
        <f>Returns!A400</f>
        <v>0</v>
      </c>
      <c r="B400" s="1">
        <f t="array" ref="B400">MMULT(Returns!B400:Z400,Resume!$B$38:$B$62)</f>
        <v>0</v>
      </c>
    </row>
    <row r="401" spans="1:2">
      <c r="A401" s="11">
        <f>Returns!A401</f>
        <v>0</v>
      </c>
      <c r="B401" s="1">
        <f t="array" ref="B401">MMULT(Returns!B401:Z401,Resume!$B$38:$B$62)</f>
        <v>0</v>
      </c>
    </row>
    <row r="402" spans="1:2">
      <c r="A402" s="11">
        <f>Returns!A402</f>
        <v>0</v>
      </c>
      <c r="B402" s="1">
        <f t="array" ref="B402">MMULT(Returns!B402:Z402,Resume!$B$38:$B$62)</f>
        <v>0</v>
      </c>
    </row>
    <row r="403" spans="1:2">
      <c r="A403" s="11">
        <f>Returns!A403</f>
        <v>0</v>
      </c>
      <c r="B403" s="1">
        <f t="array" ref="B403">MMULT(Returns!B403:Z403,Resume!$B$38:$B$62)</f>
        <v>0</v>
      </c>
    </row>
    <row r="404" spans="1:2">
      <c r="A404" s="11">
        <f>Returns!A404</f>
        <v>0</v>
      </c>
      <c r="B404" s="1">
        <f t="array" ref="B404">MMULT(Returns!B404:Z404,Resume!$B$38:$B$62)</f>
        <v>0</v>
      </c>
    </row>
    <row r="405" spans="1:2">
      <c r="A405" s="11">
        <f>Returns!A405</f>
        <v>0</v>
      </c>
      <c r="B405" s="1">
        <f t="array" ref="B405">MMULT(Returns!B405:Z405,Resume!$B$38:$B$62)</f>
        <v>0</v>
      </c>
    </row>
    <row r="406" spans="1:2">
      <c r="A406" s="11">
        <f>Returns!A406</f>
        <v>0</v>
      </c>
      <c r="B406" s="1">
        <f t="array" ref="B406">MMULT(Returns!B406:Z406,Resume!$B$38:$B$62)</f>
        <v>0</v>
      </c>
    </row>
    <row r="407" spans="1:2">
      <c r="A407" s="11">
        <f>Returns!A407</f>
        <v>0</v>
      </c>
      <c r="B407" s="1">
        <f t="array" ref="B407">MMULT(Returns!B407:Z407,Resume!$B$38:$B$62)</f>
        <v>0</v>
      </c>
    </row>
    <row r="408" spans="1:2">
      <c r="A408" s="11">
        <f>Returns!A408</f>
        <v>0</v>
      </c>
      <c r="B408" s="1">
        <f t="array" ref="B408">MMULT(Returns!B408:Z408,Resume!$B$38:$B$62)</f>
        <v>0</v>
      </c>
    </row>
    <row r="409" spans="1:2">
      <c r="A409" s="11">
        <f>Returns!A409</f>
        <v>0</v>
      </c>
      <c r="B409" s="1">
        <f t="array" ref="B409">MMULT(Returns!B409:Z409,Resume!$B$38:$B$62)</f>
        <v>0</v>
      </c>
    </row>
    <row r="410" spans="1:2">
      <c r="A410" s="11">
        <f>Returns!A410</f>
        <v>0</v>
      </c>
      <c r="B410" s="1">
        <f t="array" ref="B410">MMULT(Returns!B410:Z410,Resume!$B$38:$B$62)</f>
        <v>0</v>
      </c>
    </row>
    <row r="411" spans="1:2">
      <c r="A411" s="11">
        <f>Returns!A411</f>
        <v>0</v>
      </c>
      <c r="B411" s="1">
        <f t="array" ref="B411">MMULT(Returns!B411:Z411,Resume!$B$38:$B$62)</f>
        <v>0</v>
      </c>
    </row>
    <row r="412" spans="1:2">
      <c r="A412" s="11">
        <f>Returns!A412</f>
        <v>0</v>
      </c>
      <c r="B412" s="1">
        <f t="array" ref="B412">MMULT(Returns!B412:Z412,Resume!$B$38:$B$62)</f>
        <v>0</v>
      </c>
    </row>
    <row r="413" spans="1:2">
      <c r="A413" s="11">
        <f>Returns!A413</f>
        <v>0</v>
      </c>
      <c r="B413" s="1">
        <f t="array" ref="B413">MMULT(Returns!B413:Z413,Resume!$B$38:$B$62)</f>
        <v>0</v>
      </c>
    </row>
    <row r="414" spans="1:2">
      <c r="A414" s="11">
        <f>Returns!A414</f>
        <v>0</v>
      </c>
      <c r="B414" s="1">
        <f t="array" ref="B414">MMULT(Returns!B414:Z414,Resume!$B$38:$B$62)</f>
        <v>0</v>
      </c>
    </row>
    <row r="415" spans="1:2">
      <c r="A415" s="11">
        <f>Returns!A415</f>
        <v>0</v>
      </c>
      <c r="B415" s="1">
        <f t="array" ref="B415">MMULT(Returns!B415:Z415,Resume!$B$38:$B$62)</f>
        <v>0</v>
      </c>
    </row>
    <row r="416" spans="1:2">
      <c r="A416" s="11">
        <f>Returns!A416</f>
        <v>0</v>
      </c>
      <c r="B416" s="1">
        <f t="array" ref="B416">MMULT(Returns!B416:Z416,Resume!$B$38:$B$62)</f>
        <v>0</v>
      </c>
    </row>
    <row r="417" spans="1:2">
      <c r="A417" s="11">
        <f>Returns!A417</f>
        <v>0</v>
      </c>
      <c r="B417" s="1">
        <f t="array" ref="B417">MMULT(Returns!B417:Z417,Resume!$B$38:$B$62)</f>
        <v>0</v>
      </c>
    </row>
    <row r="418" spans="1:2">
      <c r="A418" s="11">
        <f>Returns!A418</f>
        <v>0</v>
      </c>
      <c r="B418" s="1">
        <f t="array" ref="B418">MMULT(Returns!B418:Z418,Resume!$B$38:$B$62)</f>
        <v>0</v>
      </c>
    </row>
    <row r="419" spans="1:2">
      <c r="A419" s="11">
        <f>Returns!A419</f>
        <v>0</v>
      </c>
      <c r="B419" s="1">
        <f t="array" ref="B419">MMULT(Returns!B419:Z419,Resume!$B$38:$B$62)</f>
        <v>0</v>
      </c>
    </row>
    <row r="420" spans="1:2">
      <c r="A420" s="11">
        <f>Returns!A420</f>
        <v>0</v>
      </c>
      <c r="B420" s="1">
        <f t="array" ref="B420">MMULT(Returns!B420:Z420,Resume!$B$38:$B$62)</f>
        <v>0</v>
      </c>
    </row>
    <row r="421" spans="1:2">
      <c r="A421" s="11">
        <f>Returns!A421</f>
        <v>0</v>
      </c>
      <c r="B421" s="1">
        <f t="array" ref="B421">MMULT(Returns!B421:Z421,Resume!$B$38:$B$62)</f>
        <v>0</v>
      </c>
    </row>
    <row r="422" spans="1:2">
      <c r="A422" s="11">
        <f>Returns!A422</f>
        <v>0</v>
      </c>
      <c r="B422" s="1">
        <f t="array" ref="B422">MMULT(Returns!B422:Z422,Resume!$B$38:$B$62)</f>
        <v>0</v>
      </c>
    </row>
    <row r="423" spans="1:2">
      <c r="A423" s="11">
        <f>Returns!A423</f>
        <v>0</v>
      </c>
      <c r="B423" s="1">
        <f t="array" ref="B423">MMULT(Returns!B423:Z423,Resume!$B$38:$B$62)</f>
        <v>0</v>
      </c>
    </row>
    <row r="424" spans="1:2">
      <c r="A424" s="11">
        <f>Returns!A424</f>
        <v>0</v>
      </c>
      <c r="B424" s="1">
        <f t="array" ref="B424">MMULT(Returns!B424:Z424,Resume!$B$38:$B$62)</f>
        <v>0</v>
      </c>
    </row>
    <row r="425" spans="1:2">
      <c r="A425" s="11">
        <f>Returns!A425</f>
        <v>0</v>
      </c>
      <c r="B425" s="1">
        <f t="array" ref="B425">MMULT(Returns!B425:Z425,Resume!$B$38:$B$62)</f>
        <v>0</v>
      </c>
    </row>
    <row r="426" spans="1:2">
      <c r="A426" s="11">
        <f>Returns!A426</f>
        <v>0</v>
      </c>
      <c r="B426" s="1">
        <f t="array" ref="B426">MMULT(Returns!B426:Z426,Resume!$B$38:$B$62)</f>
        <v>0</v>
      </c>
    </row>
    <row r="427" spans="1:2">
      <c r="A427" s="11">
        <f>Returns!A427</f>
        <v>0</v>
      </c>
      <c r="B427" s="1">
        <f t="array" ref="B427">MMULT(Returns!B427:Z427,Resume!$B$38:$B$62)</f>
        <v>0</v>
      </c>
    </row>
    <row r="428" spans="1:2">
      <c r="A428" s="11">
        <f>Returns!A428</f>
        <v>0</v>
      </c>
      <c r="B428" s="1">
        <f t="array" ref="B428">MMULT(Returns!B428:Z428,Resume!$B$38:$B$62)</f>
        <v>0</v>
      </c>
    </row>
    <row r="429" spans="1:2">
      <c r="A429" s="11">
        <f>Returns!A429</f>
        <v>0</v>
      </c>
      <c r="B429" s="1">
        <f t="array" ref="B429">MMULT(Returns!B429:Z429,Resume!$B$38:$B$62)</f>
        <v>0</v>
      </c>
    </row>
    <row r="430" spans="1:2">
      <c r="A430" s="11">
        <f>Returns!A430</f>
        <v>0</v>
      </c>
      <c r="B430" s="1">
        <f t="array" ref="B430">MMULT(Returns!B430:Z430,Resume!$B$38:$B$62)</f>
        <v>0</v>
      </c>
    </row>
    <row r="431" spans="1:2">
      <c r="A431" s="11">
        <f>Returns!A431</f>
        <v>0</v>
      </c>
      <c r="B431" s="1">
        <f t="array" ref="B431">MMULT(Returns!B431:Z431,Resume!$B$38:$B$62)</f>
        <v>0</v>
      </c>
    </row>
    <row r="432" spans="1:2">
      <c r="A432" s="11">
        <f>Returns!A432</f>
        <v>0</v>
      </c>
      <c r="B432" s="1">
        <f t="array" ref="B432">MMULT(Returns!B432:Z432,Resume!$B$38:$B$62)</f>
        <v>0</v>
      </c>
    </row>
    <row r="433" spans="1:2">
      <c r="A433" s="11">
        <f>Returns!A433</f>
        <v>0</v>
      </c>
      <c r="B433" s="1">
        <f t="array" ref="B433">MMULT(Returns!B433:Z433,Resume!$B$38:$B$62)</f>
        <v>0</v>
      </c>
    </row>
    <row r="434" spans="1:2">
      <c r="A434" s="11">
        <f>Returns!A434</f>
        <v>0</v>
      </c>
      <c r="B434" s="1">
        <f t="array" ref="B434">MMULT(Returns!B434:Z434,Resume!$B$38:$B$62)</f>
        <v>0</v>
      </c>
    </row>
    <row r="435" spans="1:2">
      <c r="A435" s="11">
        <f>Returns!A435</f>
        <v>0</v>
      </c>
      <c r="B435" s="1">
        <f t="array" ref="B435">MMULT(Returns!B435:Z435,Resume!$B$38:$B$62)</f>
        <v>0</v>
      </c>
    </row>
    <row r="436" spans="1:2">
      <c r="A436" s="11">
        <f>Returns!A436</f>
        <v>0</v>
      </c>
      <c r="B436" s="1">
        <f t="array" ref="B436">MMULT(Returns!B436:Z436,Resume!$B$38:$B$62)</f>
        <v>0</v>
      </c>
    </row>
    <row r="437" spans="1:2">
      <c r="A437" s="11">
        <f>Returns!A437</f>
        <v>0</v>
      </c>
      <c r="B437" s="1">
        <f t="array" ref="B437">MMULT(Returns!B437:Z437,Resume!$B$38:$B$62)</f>
        <v>0</v>
      </c>
    </row>
    <row r="438" spans="1:2">
      <c r="A438" s="11">
        <f>Returns!A438</f>
        <v>0</v>
      </c>
      <c r="B438" s="1">
        <f t="array" ref="B438">MMULT(Returns!B438:Z438,Resume!$B$38:$B$62)</f>
        <v>0</v>
      </c>
    </row>
    <row r="439" spans="1:2">
      <c r="A439" s="11">
        <f>Returns!A439</f>
        <v>0</v>
      </c>
      <c r="B439" s="1">
        <f t="array" ref="B439">MMULT(Returns!B439:Z439,Resume!$B$38:$B$62)</f>
        <v>0</v>
      </c>
    </row>
    <row r="440" spans="1:2">
      <c r="A440" s="11">
        <f>Returns!A440</f>
        <v>0</v>
      </c>
      <c r="B440" s="1">
        <f t="array" ref="B440">MMULT(Returns!B440:Z440,Resume!$B$38:$B$62)</f>
        <v>0</v>
      </c>
    </row>
    <row r="441" spans="1:2">
      <c r="A441" s="11">
        <f>Returns!A441</f>
        <v>0</v>
      </c>
      <c r="B441" s="1">
        <f t="array" ref="B441">MMULT(Returns!B441:Z441,Resume!$B$38:$B$62)</f>
        <v>0</v>
      </c>
    </row>
    <row r="442" spans="1:2">
      <c r="A442" s="11">
        <f>Returns!A442</f>
        <v>0</v>
      </c>
      <c r="B442" s="1">
        <f t="array" ref="B442">MMULT(Returns!B442:Z442,Resume!$B$38:$B$62)</f>
        <v>0</v>
      </c>
    </row>
    <row r="443" spans="1:2">
      <c r="A443" s="11">
        <f>Returns!A443</f>
        <v>0</v>
      </c>
      <c r="B443" s="1">
        <f t="array" ref="B443">MMULT(Returns!B443:Z443,Resume!$B$38:$B$62)</f>
        <v>0</v>
      </c>
    </row>
    <row r="444" spans="1:2">
      <c r="A444" s="11">
        <f>Returns!A444</f>
        <v>0</v>
      </c>
      <c r="B444" s="1">
        <f t="array" ref="B444">MMULT(Returns!B444:Z444,Resume!$B$38:$B$62)</f>
        <v>0</v>
      </c>
    </row>
    <row r="445" spans="1:2">
      <c r="A445" s="11">
        <f>Returns!A445</f>
        <v>0</v>
      </c>
      <c r="B445" s="1">
        <f t="array" ref="B445">MMULT(Returns!B445:Z445,Resume!$B$38:$B$62)</f>
        <v>0</v>
      </c>
    </row>
    <row r="446" spans="1:2">
      <c r="A446" s="11">
        <f>Returns!A446</f>
        <v>0</v>
      </c>
      <c r="B446" s="1">
        <f t="array" ref="B446">MMULT(Returns!B446:Z446,Resume!$B$38:$B$62)</f>
        <v>0</v>
      </c>
    </row>
    <row r="447" spans="1:2">
      <c r="A447" s="11">
        <f>Returns!A447</f>
        <v>0</v>
      </c>
      <c r="B447" s="1">
        <f t="array" ref="B447">MMULT(Returns!B447:Z447,Resume!$B$38:$B$62)</f>
        <v>0</v>
      </c>
    </row>
    <row r="448" spans="1:2">
      <c r="A448" s="11">
        <f>Returns!A448</f>
        <v>0</v>
      </c>
      <c r="B448" s="1">
        <f t="array" ref="B448">MMULT(Returns!B448:Z448,Resume!$B$38:$B$62)</f>
        <v>0</v>
      </c>
    </row>
    <row r="449" spans="1:2">
      <c r="A449" s="11">
        <f>Returns!A449</f>
        <v>0</v>
      </c>
      <c r="B449" s="1">
        <f t="array" ref="B449">MMULT(Returns!B449:Z449,Resume!$B$38:$B$62)</f>
        <v>0</v>
      </c>
    </row>
    <row r="450" spans="1:2">
      <c r="A450" s="11">
        <f>Returns!A450</f>
        <v>0</v>
      </c>
      <c r="B450" s="1">
        <f t="array" ref="B450">MMULT(Returns!B450:Z450,Resume!$B$38:$B$62)</f>
        <v>0</v>
      </c>
    </row>
    <row r="451" spans="1:2">
      <c r="A451" s="11">
        <f>Returns!A451</f>
        <v>0</v>
      </c>
      <c r="B451" s="1">
        <f t="array" ref="B451">MMULT(Returns!B451:Z451,Resume!$B$38:$B$62)</f>
        <v>0</v>
      </c>
    </row>
    <row r="452" spans="1:2">
      <c r="A452" s="11">
        <f>Returns!A452</f>
        <v>0</v>
      </c>
      <c r="B452" s="1">
        <f t="array" ref="B452">MMULT(Returns!B452:Z452,Resume!$B$38:$B$62)</f>
        <v>0</v>
      </c>
    </row>
    <row r="453" spans="1:2">
      <c r="A453" s="11">
        <f>Returns!A453</f>
        <v>0</v>
      </c>
      <c r="B453" s="1">
        <f t="array" ref="B453">MMULT(Returns!B453:Z453,Resume!$B$38:$B$62)</f>
        <v>0</v>
      </c>
    </row>
    <row r="454" spans="1:2">
      <c r="A454" s="11">
        <f>Returns!A454</f>
        <v>0</v>
      </c>
      <c r="B454" s="1">
        <f t="array" ref="B454">MMULT(Returns!B454:Z454,Resume!$B$38:$B$62)</f>
        <v>0</v>
      </c>
    </row>
    <row r="455" spans="1:2">
      <c r="A455" s="11">
        <f>Returns!A455</f>
        <v>0</v>
      </c>
      <c r="B455" s="1">
        <f t="array" ref="B455">MMULT(Returns!B455:Z455,Resume!$B$38:$B$62)</f>
        <v>0</v>
      </c>
    </row>
    <row r="456" spans="1:2">
      <c r="A456" s="11">
        <f>Returns!A456</f>
        <v>0</v>
      </c>
      <c r="B456" s="1">
        <f t="array" ref="B456">MMULT(Returns!B456:Z456,Resume!$B$38:$B$62)</f>
        <v>0</v>
      </c>
    </row>
    <row r="457" spans="1:2">
      <c r="A457" s="11">
        <f>Returns!A457</f>
        <v>0</v>
      </c>
      <c r="B457" s="1">
        <f t="array" ref="B457">MMULT(Returns!B457:Z457,Resume!$B$38:$B$62)</f>
        <v>0</v>
      </c>
    </row>
    <row r="458" spans="1:2">
      <c r="A458" s="11">
        <f>Returns!A458</f>
        <v>0</v>
      </c>
      <c r="B458" s="1">
        <f t="array" ref="B458">MMULT(Returns!B458:Z458,Resume!$B$38:$B$62)</f>
        <v>0</v>
      </c>
    </row>
    <row r="459" spans="1:2">
      <c r="A459" s="11">
        <f>Returns!A459</f>
        <v>0</v>
      </c>
      <c r="B459" s="1">
        <f t="array" ref="B459">MMULT(Returns!B459:Z459,Resume!$B$38:$B$62)</f>
        <v>0</v>
      </c>
    </row>
    <row r="460" spans="1:2">
      <c r="A460" s="11">
        <f>Returns!A460</f>
        <v>0</v>
      </c>
      <c r="B460" s="1">
        <f t="array" ref="B460">MMULT(Returns!B460:Z460,Resume!$B$38:$B$62)</f>
        <v>0</v>
      </c>
    </row>
    <row r="461" spans="1:2">
      <c r="A461" s="11">
        <f>Returns!A461</f>
        <v>0</v>
      </c>
      <c r="B461" s="1">
        <f t="array" ref="B461">MMULT(Returns!B461:Z461,Resume!$B$38:$B$62)</f>
        <v>0</v>
      </c>
    </row>
    <row r="462" spans="1:2">
      <c r="A462" s="11">
        <f>Returns!A462</f>
        <v>0</v>
      </c>
      <c r="B462" s="1">
        <f t="array" ref="B462">MMULT(Returns!B462:Z462,Resume!$B$38:$B$62)</f>
        <v>0</v>
      </c>
    </row>
    <row r="463" spans="1:2">
      <c r="A463" s="11">
        <f>Returns!A463</f>
        <v>0</v>
      </c>
      <c r="B463" s="1">
        <f t="array" ref="B463">MMULT(Returns!B463:Z463,Resume!$B$38:$B$62)</f>
        <v>0</v>
      </c>
    </row>
    <row r="464" spans="1:2">
      <c r="A464" s="11">
        <f>Returns!A464</f>
        <v>0</v>
      </c>
      <c r="B464" s="1">
        <f t="array" ref="B464">MMULT(Returns!B464:Z464,Resume!$B$38:$B$62)</f>
        <v>0</v>
      </c>
    </row>
    <row r="465" spans="1:2">
      <c r="A465" s="11">
        <f>Returns!A465</f>
        <v>0</v>
      </c>
      <c r="B465" s="1">
        <f t="array" ref="B465">MMULT(Returns!B465:Z465,Resume!$B$38:$B$62)</f>
        <v>0</v>
      </c>
    </row>
    <row r="466" spans="1:2">
      <c r="A466" s="11">
        <f>Returns!A466</f>
        <v>0</v>
      </c>
      <c r="B466" s="1">
        <f t="array" ref="B466">MMULT(Returns!B466:Z466,Resume!$B$38:$B$62)</f>
        <v>0</v>
      </c>
    </row>
    <row r="467" spans="1:2">
      <c r="A467" s="11">
        <f>Returns!A467</f>
        <v>0</v>
      </c>
      <c r="B467" s="1">
        <f t="array" ref="B467">MMULT(Returns!B467:Z467,Resume!$B$38:$B$62)</f>
        <v>0</v>
      </c>
    </row>
    <row r="468" spans="1:2">
      <c r="A468" s="11">
        <f>Returns!A468</f>
        <v>0</v>
      </c>
      <c r="B468" s="1">
        <f t="array" ref="B468">MMULT(Returns!B468:Z468,Resume!$B$38:$B$62)</f>
        <v>0</v>
      </c>
    </row>
    <row r="469" spans="1:2">
      <c r="A469" s="11">
        <f>Returns!A469</f>
        <v>0</v>
      </c>
      <c r="B469" s="1">
        <f t="array" ref="B469">MMULT(Returns!B469:Z469,Resume!$B$38:$B$62)</f>
        <v>0</v>
      </c>
    </row>
    <row r="470" spans="1:2">
      <c r="A470" s="11">
        <f>Returns!A470</f>
        <v>0</v>
      </c>
      <c r="B470" s="1">
        <f t="array" ref="B470">MMULT(Returns!B470:Z470,Resume!$B$38:$B$62)</f>
        <v>0</v>
      </c>
    </row>
    <row r="471" spans="1:2">
      <c r="A471" s="11">
        <f>Returns!A471</f>
        <v>0</v>
      </c>
      <c r="B471" s="1">
        <f t="array" ref="B471">MMULT(Returns!B471:Z471,Resume!$B$38:$B$62)</f>
        <v>0</v>
      </c>
    </row>
    <row r="472" spans="1:2">
      <c r="A472" s="11">
        <f>Returns!A472</f>
        <v>0</v>
      </c>
      <c r="B472" s="1">
        <f t="array" ref="B472">MMULT(Returns!B472:Z472,Resume!$B$38:$B$62)</f>
        <v>0</v>
      </c>
    </row>
    <row r="473" spans="1:2">
      <c r="A473" s="11">
        <f>Returns!A473</f>
        <v>0</v>
      </c>
      <c r="B473" s="1">
        <f t="array" ref="B473">MMULT(Returns!B473:Z473,Resume!$B$38:$B$62)</f>
        <v>0</v>
      </c>
    </row>
    <row r="474" spans="1:2">
      <c r="A474" s="11">
        <f>Returns!A474</f>
        <v>0</v>
      </c>
      <c r="B474" s="1">
        <f t="array" ref="B474">MMULT(Returns!B474:Z474,Resume!$B$38:$B$62)</f>
        <v>0</v>
      </c>
    </row>
    <row r="475" spans="1:2">
      <c r="A475" s="11">
        <f>Returns!A475</f>
        <v>0</v>
      </c>
      <c r="B475" s="1">
        <f t="array" ref="B475">MMULT(Returns!B475:Z475,Resume!$B$38:$B$62)</f>
        <v>0</v>
      </c>
    </row>
    <row r="476" spans="1:2">
      <c r="A476" s="11">
        <f>Returns!A476</f>
        <v>0</v>
      </c>
      <c r="B476" s="1">
        <f t="array" ref="B476">MMULT(Returns!B476:Z476,Resume!$B$38:$B$62)</f>
        <v>0</v>
      </c>
    </row>
    <row r="477" spans="1:2">
      <c r="A477" s="11">
        <f>Returns!A477</f>
        <v>0</v>
      </c>
      <c r="B477" s="1">
        <f t="array" ref="B477">MMULT(Returns!B477:Z477,Resume!$B$38:$B$62)</f>
        <v>0</v>
      </c>
    </row>
    <row r="478" spans="1:2">
      <c r="A478" s="11">
        <f>Returns!A478</f>
        <v>0</v>
      </c>
      <c r="B478" s="1">
        <f t="array" ref="B478">MMULT(Returns!B478:Z478,Resume!$B$38:$B$62)</f>
        <v>0</v>
      </c>
    </row>
    <row r="479" spans="1:2">
      <c r="A479" s="11">
        <f>Returns!A479</f>
        <v>0</v>
      </c>
      <c r="B479" s="1">
        <f t="array" ref="B479">MMULT(Returns!B479:Z479,Resume!$B$38:$B$62)</f>
        <v>0</v>
      </c>
    </row>
    <row r="480" spans="1:2">
      <c r="A480" s="11">
        <f>Returns!A480</f>
        <v>0</v>
      </c>
      <c r="B480" s="1">
        <f t="array" ref="B480">MMULT(Returns!B480:Z480,Resume!$B$38:$B$62)</f>
        <v>0</v>
      </c>
    </row>
    <row r="481" spans="1:2">
      <c r="A481" s="11">
        <f>Returns!A481</f>
        <v>0</v>
      </c>
      <c r="B481" s="1">
        <f t="array" ref="B481">MMULT(Returns!B481:Z481,Resume!$B$38:$B$62)</f>
        <v>0</v>
      </c>
    </row>
    <row r="482" spans="1:2">
      <c r="A482" s="11">
        <f>Returns!A482</f>
        <v>0</v>
      </c>
      <c r="B482" s="1">
        <f t="array" ref="B482">MMULT(Returns!B482:Z482,Resume!$B$38:$B$62)</f>
        <v>0</v>
      </c>
    </row>
    <row r="483" spans="1:2">
      <c r="A483" s="11">
        <f>Returns!A483</f>
        <v>0</v>
      </c>
      <c r="B483" s="1">
        <f t="array" ref="B483">MMULT(Returns!B483:Z483,Resume!$B$38:$B$62)</f>
        <v>0</v>
      </c>
    </row>
    <row r="484" spans="1:2">
      <c r="A484" s="11">
        <f>Returns!A484</f>
        <v>0</v>
      </c>
      <c r="B484" s="1">
        <f t="array" ref="B484">MMULT(Returns!B484:Z484,Resume!$B$38:$B$62)</f>
        <v>0</v>
      </c>
    </row>
    <row r="485" spans="1:2">
      <c r="A485" s="11">
        <f>Returns!A485</f>
        <v>0</v>
      </c>
      <c r="B485" s="1">
        <f t="array" ref="B485">MMULT(Returns!B485:Z485,Resume!$B$38:$B$62)</f>
        <v>0</v>
      </c>
    </row>
    <row r="486" spans="1:2">
      <c r="A486" s="11">
        <f>Returns!A486</f>
        <v>0</v>
      </c>
      <c r="B486" s="1">
        <f t="array" ref="B486">MMULT(Returns!B486:Z486,Resume!$B$38:$B$62)</f>
        <v>0</v>
      </c>
    </row>
    <row r="487" spans="1:2">
      <c r="A487" s="11">
        <f>Returns!A487</f>
        <v>0</v>
      </c>
      <c r="B487" s="1">
        <f t="array" ref="B487">MMULT(Returns!B487:Z487,Resume!$B$38:$B$62)</f>
        <v>0</v>
      </c>
    </row>
    <row r="488" spans="1:2">
      <c r="A488" s="11">
        <f>Returns!A488</f>
        <v>0</v>
      </c>
      <c r="B488" s="1">
        <f t="array" ref="B488">MMULT(Returns!B488:Z488,Resume!$B$38:$B$62)</f>
        <v>0</v>
      </c>
    </row>
    <row r="489" spans="1:2">
      <c r="A489" s="11">
        <f>Returns!A489</f>
        <v>0</v>
      </c>
      <c r="B489" s="1">
        <f t="array" ref="B489">MMULT(Returns!B489:Z489,Resume!$B$38:$B$62)</f>
        <v>0</v>
      </c>
    </row>
    <row r="490" spans="1:2">
      <c r="A490" s="11">
        <f>Returns!A490</f>
        <v>0</v>
      </c>
      <c r="B490" s="1">
        <f t="array" ref="B490">MMULT(Returns!B490:Z490,Resume!$B$38:$B$62)</f>
        <v>0</v>
      </c>
    </row>
    <row r="491" spans="1:2">
      <c r="A491" s="11">
        <f>Returns!A491</f>
        <v>0</v>
      </c>
      <c r="B491" s="1">
        <f t="array" ref="B491">MMULT(Returns!B491:Z491,Resume!$B$38:$B$62)</f>
        <v>0</v>
      </c>
    </row>
    <row r="492" spans="1:2">
      <c r="A492" s="11">
        <f>Returns!A492</f>
        <v>0</v>
      </c>
      <c r="B492" s="1">
        <f t="array" ref="B492">MMULT(Returns!B492:Z492,Resume!$B$38:$B$62)</f>
        <v>0</v>
      </c>
    </row>
    <row r="493" spans="1:2">
      <c r="A493" s="11">
        <f>Returns!A493</f>
        <v>0</v>
      </c>
      <c r="B493" s="1">
        <f t="array" ref="B493">MMULT(Returns!B493:Z493,Resume!$B$38:$B$62)</f>
        <v>0</v>
      </c>
    </row>
    <row r="494" spans="1:2">
      <c r="A494" s="11">
        <f>Returns!A494</f>
        <v>0</v>
      </c>
      <c r="B494" s="1">
        <f t="array" ref="B494">MMULT(Returns!B494:Z494,Resume!$B$38:$B$62)</f>
        <v>0</v>
      </c>
    </row>
    <row r="495" spans="1:2">
      <c r="A495" s="11">
        <f>Returns!A495</f>
        <v>0</v>
      </c>
      <c r="B495" s="1">
        <f t="array" ref="B495">MMULT(Returns!B495:Z495,Resume!$B$38:$B$62)</f>
        <v>0</v>
      </c>
    </row>
    <row r="496" spans="1:2">
      <c r="A496" s="11">
        <f>Returns!A496</f>
        <v>0</v>
      </c>
      <c r="B496" s="1">
        <f t="array" ref="B496">MMULT(Returns!B496:Z496,Resume!$B$38:$B$62)</f>
        <v>0</v>
      </c>
    </row>
    <row r="497" spans="1:2">
      <c r="A497" s="11">
        <f>Returns!A497</f>
        <v>0</v>
      </c>
      <c r="B497" s="1">
        <f t="array" ref="B497">MMULT(Returns!B497:Z497,Resume!$B$38:$B$62)</f>
        <v>0</v>
      </c>
    </row>
    <row r="498" spans="1:2">
      <c r="A498" s="11">
        <f>Returns!A498</f>
        <v>0</v>
      </c>
      <c r="B498" s="1">
        <f t="array" ref="B498">MMULT(Returns!B498:Z498,Resume!$B$38:$B$62)</f>
        <v>0</v>
      </c>
    </row>
    <row r="499" spans="1:2">
      <c r="A499" s="11">
        <f>Returns!A499</f>
        <v>0</v>
      </c>
      <c r="B499" s="1">
        <f t="array" ref="B499">MMULT(Returns!B499:Z499,Resume!$B$38:$B$62)</f>
        <v>0</v>
      </c>
    </row>
    <row r="500" spans="1:2">
      <c r="A500" s="11">
        <f>Returns!A500</f>
        <v>0</v>
      </c>
      <c r="B500" s="1">
        <f t="array" ref="B500">MMULT(Returns!B500:Z500,Resume!$B$38:$B$62)</f>
        <v>0</v>
      </c>
    </row>
    <row r="501" spans="1:2">
      <c r="A501" s="11">
        <f>Returns!A501</f>
        <v>0</v>
      </c>
      <c r="B501" s="1">
        <f t="array" ref="B501">MMULT(Returns!B501:Z501,Resume!$B$38:$B$62)</f>
        <v>0</v>
      </c>
    </row>
    <row r="502" spans="1:2">
      <c r="A502" s="11">
        <f>Returns!A502</f>
        <v>0</v>
      </c>
      <c r="B502" s="1">
        <f t="array" ref="B502">MMULT(Returns!B502:Z502,Resume!$B$38:$B$62)</f>
        <v>0</v>
      </c>
    </row>
    <row r="503" spans="1:2">
      <c r="A503" s="11">
        <f>Returns!A503</f>
        <v>0</v>
      </c>
      <c r="B503" s="1">
        <f t="array" ref="B503">MMULT(Returns!B503:Z503,Resume!$B$38:$B$62)</f>
        <v>0</v>
      </c>
    </row>
    <row r="504" spans="1:2">
      <c r="A504" s="11">
        <f>Returns!A504</f>
        <v>0</v>
      </c>
      <c r="B504" s="1">
        <f t="array" ref="B504">MMULT(Returns!B504:Z504,Resume!$B$38:$B$62)</f>
        <v>0</v>
      </c>
    </row>
    <row r="505" spans="1:2">
      <c r="A505" s="11">
        <f>Returns!A505</f>
        <v>0</v>
      </c>
      <c r="B505" s="1">
        <f t="array" ref="B505">MMULT(Returns!B505:Z505,Resume!$B$38:$B$62)</f>
        <v>0</v>
      </c>
    </row>
    <row r="506" spans="1:2">
      <c r="A506" s="11">
        <f>Returns!A506</f>
        <v>0</v>
      </c>
      <c r="B506" s="1">
        <f t="array" ref="B506">MMULT(Returns!B506:Z506,Resume!$B$38:$B$62)</f>
        <v>0</v>
      </c>
    </row>
    <row r="507" spans="1:2">
      <c r="A507" s="11">
        <f>Returns!A507</f>
        <v>0</v>
      </c>
      <c r="B507" s="1">
        <f t="array" ref="B507">MMULT(Returns!B507:Z507,Resume!$B$38:$B$62)</f>
        <v>0</v>
      </c>
    </row>
    <row r="508" spans="1:2">
      <c r="A508" s="11">
        <f>Returns!A508</f>
        <v>0</v>
      </c>
      <c r="B508" s="1">
        <f t="array" ref="B508">MMULT(Returns!B508:Z508,Resume!$B$38:$B$62)</f>
        <v>0</v>
      </c>
    </row>
    <row r="509" spans="1:2">
      <c r="A509" s="11">
        <f>Returns!A509</f>
        <v>0</v>
      </c>
      <c r="B509" s="1">
        <f t="array" ref="B509">MMULT(Returns!B509:Z509,Resume!$B$38:$B$62)</f>
        <v>0</v>
      </c>
    </row>
    <row r="510" spans="1:2">
      <c r="A510" s="11">
        <f>Returns!A510</f>
        <v>0</v>
      </c>
      <c r="B510" s="1">
        <f t="array" ref="B510">MMULT(Returns!B510:Z510,Resume!$B$38:$B$62)</f>
        <v>0</v>
      </c>
    </row>
    <row r="511" spans="1:2">
      <c r="A511" s="11">
        <f>Returns!A511</f>
        <v>0</v>
      </c>
      <c r="B511" s="1">
        <f t="array" ref="B511">MMULT(Returns!B511:Z511,Resume!$B$38:$B$62)</f>
        <v>0</v>
      </c>
    </row>
    <row r="512" spans="1:2">
      <c r="A512" s="11">
        <f>Returns!A512</f>
        <v>0</v>
      </c>
      <c r="B512" s="1">
        <f t="array" ref="B512">MMULT(Returns!B512:Z512,Resume!$B$38:$B$62)</f>
        <v>0</v>
      </c>
    </row>
    <row r="513" spans="1:2">
      <c r="A513" s="11">
        <f>Returns!A513</f>
        <v>0</v>
      </c>
      <c r="B513" s="1">
        <f t="array" ref="B513">MMULT(Returns!B513:Z513,Resume!$B$38:$B$62)</f>
        <v>0</v>
      </c>
    </row>
    <row r="514" spans="1:2">
      <c r="A514" s="11">
        <f>Returns!A514</f>
        <v>0</v>
      </c>
      <c r="B514" s="1">
        <f t="array" ref="B514">MMULT(Returns!B514:Z514,Resume!$B$38:$B$62)</f>
        <v>0</v>
      </c>
    </row>
    <row r="515" spans="1:2">
      <c r="A515" s="11">
        <f>Returns!A515</f>
        <v>0</v>
      </c>
      <c r="B515" s="1">
        <f t="array" ref="B515">MMULT(Returns!B515:Z515,Resume!$B$38:$B$62)</f>
        <v>0</v>
      </c>
    </row>
    <row r="516" spans="1:2">
      <c r="A516" s="11">
        <f>Returns!A516</f>
        <v>0</v>
      </c>
      <c r="B516" s="1">
        <f t="array" ref="B516">MMULT(Returns!B516:Z516,Resume!$B$38:$B$62)</f>
        <v>0</v>
      </c>
    </row>
    <row r="517" spans="1:2">
      <c r="A517" s="11">
        <f>Returns!A517</f>
        <v>0</v>
      </c>
      <c r="B517" s="1">
        <f t="array" ref="B517">MMULT(Returns!B517:Z517,Resume!$B$38:$B$62)</f>
        <v>0</v>
      </c>
    </row>
    <row r="518" spans="1:2">
      <c r="A518" s="11">
        <f>Returns!A518</f>
        <v>0</v>
      </c>
      <c r="B518" s="1">
        <f t="array" ref="B518">MMULT(Returns!B518:Z518,Resume!$B$38:$B$62)</f>
        <v>0</v>
      </c>
    </row>
    <row r="519" spans="1:2">
      <c r="A519" s="11">
        <f>Returns!A519</f>
        <v>0</v>
      </c>
      <c r="B519" s="1">
        <f t="array" ref="B519">MMULT(Returns!B519:Z519,Resume!$B$38:$B$62)</f>
        <v>0</v>
      </c>
    </row>
    <row r="520" spans="1:2">
      <c r="A520" s="11">
        <f>Returns!A520</f>
        <v>0</v>
      </c>
      <c r="B520" s="1">
        <f t="array" ref="B520">MMULT(Returns!B520:Z520,Resume!$B$38:$B$62)</f>
        <v>0</v>
      </c>
    </row>
    <row r="521" spans="1:2">
      <c r="A521" s="11">
        <f>Returns!A521</f>
        <v>0</v>
      </c>
      <c r="B521" s="1">
        <f t="array" ref="B521">MMULT(Returns!B521:Z521,Resume!$B$38:$B$62)</f>
        <v>0</v>
      </c>
    </row>
    <row r="522" spans="1:2">
      <c r="A522" s="11">
        <f>Returns!A522</f>
        <v>0</v>
      </c>
      <c r="B522" s="1">
        <f t="array" ref="B522">MMULT(Returns!B522:Z522,Resume!$B$38:$B$62)</f>
        <v>0</v>
      </c>
    </row>
    <row r="523" spans="1:2">
      <c r="A523" s="11">
        <f>Returns!A523</f>
        <v>0</v>
      </c>
      <c r="B523" s="1">
        <f t="array" ref="B523">MMULT(Returns!B523:Z523,Resume!$B$38:$B$62)</f>
        <v>0</v>
      </c>
    </row>
    <row r="524" spans="1:2">
      <c r="A524" s="11">
        <f>Returns!A524</f>
        <v>0</v>
      </c>
      <c r="B524" s="1">
        <f t="array" ref="B524">MMULT(Returns!B524:Z524,Resume!$B$38:$B$62)</f>
        <v>0</v>
      </c>
    </row>
    <row r="525" spans="1:2">
      <c r="A525" s="11">
        <f>Returns!A525</f>
        <v>0</v>
      </c>
      <c r="B525" s="1">
        <f t="array" ref="B525">MMULT(Returns!B525:Z525,Resume!$B$38:$B$62)</f>
        <v>0</v>
      </c>
    </row>
    <row r="526" spans="1:2">
      <c r="A526" s="11">
        <f>Returns!A526</f>
        <v>0</v>
      </c>
      <c r="B526" s="1">
        <f t="array" ref="B526">MMULT(Returns!B526:Z526,Resume!$B$38:$B$62)</f>
        <v>0</v>
      </c>
    </row>
    <row r="527" spans="1:2">
      <c r="A527" s="11">
        <f>Returns!A527</f>
        <v>0</v>
      </c>
      <c r="B527" s="1">
        <f t="array" ref="B527">MMULT(Returns!B527:Z527,Resume!$B$38:$B$62)</f>
        <v>0</v>
      </c>
    </row>
    <row r="528" spans="1:2">
      <c r="A528" s="11">
        <f>Returns!A528</f>
        <v>0</v>
      </c>
      <c r="B528" s="1">
        <f t="array" ref="B528">MMULT(Returns!B528:Z528,Resume!$B$38:$B$62)</f>
        <v>0</v>
      </c>
    </row>
    <row r="529" spans="1:2">
      <c r="A529" s="11">
        <f>Returns!A529</f>
        <v>0</v>
      </c>
      <c r="B529" s="1">
        <f t="array" ref="B529">MMULT(Returns!B529:Z529,Resume!$B$38:$B$62)</f>
        <v>0</v>
      </c>
    </row>
    <row r="530" spans="1:2">
      <c r="A530" s="11">
        <f>Returns!A530</f>
        <v>0</v>
      </c>
      <c r="B530" s="1">
        <f t="array" ref="B530">MMULT(Returns!B530:Z530,Resume!$B$38:$B$62)</f>
        <v>0</v>
      </c>
    </row>
    <row r="531" spans="1:2">
      <c r="A531" s="11">
        <f>Returns!A531</f>
        <v>0</v>
      </c>
      <c r="B531" s="1">
        <f t="array" ref="B531">MMULT(Returns!B531:Z531,Resume!$B$38:$B$62)</f>
        <v>0</v>
      </c>
    </row>
    <row r="532" spans="1:2">
      <c r="A532" s="11">
        <f>Returns!A532</f>
        <v>0</v>
      </c>
      <c r="B532" s="1">
        <f t="array" ref="B532">MMULT(Returns!B532:Z532,Resume!$B$38:$B$62)</f>
        <v>0</v>
      </c>
    </row>
    <row r="533" spans="1:2">
      <c r="A533" s="11">
        <f>Returns!A533</f>
        <v>0</v>
      </c>
      <c r="B533" s="1">
        <f t="array" ref="B533">MMULT(Returns!B533:Z533,Resume!$B$38:$B$62)</f>
        <v>0</v>
      </c>
    </row>
    <row r="534" spans="1:2">
      <c r="A534" s="11">
        <f>Returns!A534</f>
        <v>0</v>
      </c>
      <c r="B534" s="1">
        <f t="array" ref="B534">MMULT(Returns!B534:Z534,Resume!$B$38:$B$62)</f>
        <v>0</v>
      </c>
    </row>
    <row r="535" spans="1:2">
      <c r="A535" s="11">
        <f>Returns!A535</f>
        <v>0</v>
      </c>
      <c r="B535" s="1">
        <f t="array" ref="B535">MMULT(Returns!B535:Z535,Resume!$B$38:$B$62)</f>
        <v>0</v>
      </c>
    </row>
    <row r="536" spans="1:2">
      <c r="A536" s="11">
        <f>Returns!A536</f>
        <v>0</v>
      </c>
      <c r="B536" s="1">
        <f t="array" ref="B536">MMULT(Returns!B536:Z536,Resume!$B$38:$B$62)</f>
        <v>0</v>
      </c>
    </row>
    <row r="537" spans="1:2">
      <c r="A537" s="11">
        <f>Returns!A537</f>
        <v>0</v>
      </c>
      <c r="B537" s="1">
        <f t="array" ref="B537">MMULT(Returns!B537:Z537,Resume!$B$38:$B$62)</f>
        <v>0</v>
      </c>
    </row>
    <row r="538" spans="1:2">
      <c r="A538" s="11">
        <f>Returns!A538</f>
        <v>0</v>
      </c>
      <c r="B538" s="1">
        <f t="array" ref="B538">MMULT(Returns!B538:Z538,Resume!$B$38:$B$62)</f>
        <v>0</v>
      </c>
    </row>
    <row r="539" spans="1:2">
      <c r="A539" s="11">
        <f>Returns!A539</f>
        <v>0</v>
      </c>
      <c r="B539" s="1">
        <f t="array" ref="B539">MMULT(Returns!B539:Z539,Resume!$B$38:$B$62)</f>
        <v>0</v>
      </c>
    </row>
    <row r="540" spans="1:2">
      <c r="A540" s="11">
        <f>Returns!A540</f>
        <v>0</v>
      </c>
      <c r="B540" s="1">
        <f t="array" ref="B540">MMULT(Returns!B540:Z540,Resume!$B$38:$B$62)</f>
        <v>0</v>
      </c>
    </row>
    <row r="541" spans="1:2">
      <c r="A541" s="11">
        <f>Returns!A541</f>
        <v>0</v>
      </c>
      <c r="B541" s="1">
        <f t="array" ref="B541">MMULT(Returns!B541:Z541,Resume!$B$38:$B$62)</f>
        <v>0</v>
      </c>
    </row>
    <row r="542" spans="1:2">
      <c r="A542" s="11">
        <f>Returns!A542</f>
        <v>0</v>
      </c>
      <c r="B542" s="1">
        <f t="array" ref="B542">MMULT(Returns!B542:Z542,Resume!$B$38:$B$62)</f>
        <v>0</v>
      </c>
    </row>
    <row r="543" spans="1:2">
      <c r="A543" s="11">
        <f>Returns!A543</f>
        <v>0</v>
      </c>
      <c r="B543" s="1">
        <f t="array" ref="B543">MMULT(Returns!B543:Z543,Resume!$B$38:$B$62)</f>
        <v>0</v>
      </c>
    </row>
    <row r="544" spans="1:2">
      <c r="A544" s="11">
        <f>Returns!A544</f>
        <v>0</v>
      </c>
      <c r="B544" s="1">
        <f t="array" ref="B544">MMULT(Returns!B544:Z544,Resume!$B$38:$B$62)</f>
        <v>0</v>
      </c>
    </row>
    <row r="545" spans="1:2">
      <c r="A545" s="11">
        <f>Returns!A545</f>
        <v>0</v>
      </c>
      <c r="B545" s="1">
        <f t="array" ref="B545">MMULT(Returns!B545:Z545,Resume!$B$38:$B$62)</f>
        <v>0</v>
      </c>
    </row>
    <row r="546" spans="1:2">
      <c r="A546" s="11">
        <f>Returns!A546</f>
        <v>0</v>
      </c>
      <c r="B546" s="1">
        <f t="array" ref="B546">MMULT(Returns!B546:Z546,Resume!$B$38:$B$62)</f>
        <v>0</v>
      </c>
    </row>
    <row r="547" spans="1:2">
      <c r="A547" s="11">
        <f>Returns!A547</f>
        <v>0</v>
      </c>
      <c r="B547" s="1">
        <f t="array" ref="B547">MMULT(Returns!B547:Z547,Resume!$B$38:$B$62)</f>
        <v>0</v>
      </c>
    </row>
    <row r="548" spans="1:2">
      <c r="A548" s="11">
        <f>Returns!A548</f>
        <v>0</v>
      </c>
      <c r="B548" s="1">
        <f t="array" ref="B548">MMULT(Returns!B548:Z548,Resume!$B$38:$B$62)</f>
        <v>0</v>
      </c>
    </row>
    <row r="549" spans="1:2">
      <c r="A549" s="11">
        <f>Returns!A549</f>
        <v>0</v>
      </c>
      <c r="B549" s="1">
        <f t="array" ref="B549">MMULT(Returns!B549:Z549,Resume!$B$38:$B$62)</f>
        <v>0</v>
      </c>
    </row>
    <row r="550" spans="1:2">
      <c r="A550" s="11">
        <f>Returns!A550</f>
        <v>0</v>
      </c>
      <c r="B550" s="1">
        <f t="array" ref="B550">MMULT(Returns!B550:Z550,Resume!$B$38:$B$62)</f>
        <v>0</v>
      </c>
    </row>
    <row r="551" spans="1:2">
      <c r="A551" s="11">
        <f>Returns!A551</f>
        <v>0</v>
      </c>
      <c r="B551" s="1">
        <f t="array" ref="B551">MMULT(Returns!B551:Z551,Resume!$B$38:$B$62)</f>
        <v>0</v>
      </c>
    </row>
    <row r="552" spans="1:2">
      <c r="A552" s="11">
        <f>Returns!A552</f>
        <v>0</v>
      </c>
      <c r="B552" s="1">
        <f t="array" ref="B552">MMULT(Returns!B552:Z552,Resume!$B$38:$B$62)</f>
        <v>0</v>
      </c>
    </row>
    <row r="553" spans="1:2">
      <c r="A553" s="11">
        <f>Returns!A553</f>
        <v>0</v>
      </c>
      <c r="B553" s="1">
        <f t="array" ref="B553">MMULT(Returns!B553:Z553,Resume!$B$38:$B$62)</f>
        <v>0</v>
      </c>
    </row>
    <row r="554" spans="1:2">
      <c r="A554" s="11">
        <f>Returns!A554</f>
        <v>0</v>
      </c>
      <c r="B554" s="1">
        <f t="array" ref="B554">MMULT(Returns!B554:Z554,Resume!$B$38:$B$62)</f>
        <v>0</v>
      </c>
    </row>
    <row r="555" spans="1:2">
      <c r="A555" s="11">
        <f>Returns!A555</f>
        <v>0</v>
      </c>
      <c r="B555" s="1">
        <f t="array" ref="B555">MMULT(Returns!B555:Z555,Resume!$B$38:$B$62)</f>
        <v>0</v>
      </c>
    </row>
    <row r="556" spans="1:2">
      <c r="A556" s="11">
        <f>Returns!A556</f>
        <v>0</v>
      </c>
      <c r="B556" s="1">
        <f t="array" ref="B556">MMULT(Returns!B556:Z556,Resume!$B$38:$B$62)</f>
        <v>0</v>
      </c>
    </row>
    <row r="557" spans="1:2">
      <c r="A557" s="11">
        <f>Returns!A557</f>
        <v>0</v>
      </c>
      <c r="B557" s="1">
        <f t="array" ref="B557">MMULT(Returns!B557:Z557,Resume!$B$38:$B$62)</f>
        <v>0</v>
      </c>
    </row>
    <row r="558" spans="1:2">
      <c r="A558" s="11">
        <f>Returns!A558</f>
        <v>0</v>
      </c>
      <c r="B558" s="1">
        <f t="array" ref="B558">MMULT(Returns!B558:Z558,Resume!$B$38:$B$62)</f>
        <v>0</v>
      </c>
    </row>
    <row r="559" spans="1:2">
      <c r="A559" s="11">
        <f>Returns!A559</f>
        <v>0</v>
      </c>
      <c r="B559" s="1">
        <f t="array" ref="B559">MMULT(Returns!B559:Z559,Resume!$B$38:$B$62)</f>
        <v>0</v>
      </c>
    </row>
    <row r="560" spans="1:2">
      <c r="A560" s="11">
        <f>Returns!A560</f>
        <v>0</v>
      </c>
      <c r="B560" s="1">
        <f t="array" ref="B560">MMULT(Returns!B560:Z560,Resume!$B$38:$B$62)</f>
        <v>0</v>
      </c>
    </row>
    <row r="561" spans="1:2">
      <c r="A561" s="11">
        <f>Returns!A561</f>
        <v>0</v>
      </c>
      <c r="B561" s="1">
        <f t="array" ref="B561">MMULT(Returns!B561:Z561,Resume!$B$38:$B$62)</f>
        <v>0</v>
      </c>
    </row>
    <row r="562" spans="1:2">
      <c r="A562" s="11">
        <f>Returns!A562</f>
        <v>0</v>
      </c>
      <c r="B562" s="1">
        <f t="array" ref="B562">MMULT(Returns!B562:Z562,Resume!$B$38:$B$62)</f>
        <v>0</v>
      </c>
    </row>
    <row r="563" spans="1:2">
      <c r="A563" s="11">
        <f>Returns!A563</f>
        <v>0</v>
      </c>
      <c r="B563" s="1">
        <f t="array" ref="B563">MMULT(Returns!B563:Z563,Resume!$B$38:$B$62)</f>
        <v>0</v>
      </c>
    </row>
    <row r="564" spans="1:2">
      <c r="A564" s="11">
        <f>Returns!A564</f>
        <v>0</v>
      </c>
      <c r="B564" s="1">
        <f t="array" ref="B564">MMULT(Returns!B564:Z564,Resume!$B$38:$B$62)</f>
        <v>0</v>
      </c>
    </row>
    <row r="565" spans="1:2">
      <c r="A565" s="11">
        <f>Returns!A565</f>
        <v>0</v>
      </c>
      <c r="B565" s="1">
        <f t="array" ref="B565">MMULT(Returns!B565:Z565,Resume!$B$38:$B$62)</f>
        <v>0</v>
      </c>
    </row>
    <row r="566" spans="1:2">
      <c r="A566" s="11">
        <f>Returns!A566</f>
        <v>0</v>
      </c>
      <c r="B566" s="1">
        <f t="array" ref="B566">MMULT(Returns!B566:Z566,Resume!$B$38:$B$62)</f>
        <v>0</v>
      </c>
    </row>
    <row r="567" spans="1:2">
      <c r="A567" s="11">
        <f>Returns!A567</f>
        <v>0</v>
      </c>
      <c r="B567" s="1">
        <f t="array" ref="B567">MMULT(Returns!B567:Z567,Resume!$B$38:$B$62)</f>
        <v>0</v>
      </c>
    </row>
    <row r="568" spans="1:2">
      <c r="A568" s="11">
        <f>Returns!A568</f>
        <v>0</v>
      </c>
      <c r="B568" s="1">
        <f t="array" ref="B568">MMULT(Returns!B568:Z568,Resume!$B$38:$B$62)</f>
        <v>0</v>
      </c>
    </row>
    <row r="569" spans="1:2">
      <c r="A569" s="11">
        <f>Returns!A569</f>
        <v>0</v>
      </c>
      <c r="B569" s="1">
        <f t="array" ref="B569">MMULT(Returns!B569:Z569,Resume!$B$38:$B$62)</f>
        <v>0</v>
      </c>
    </row>
    <row r="570" spans="1:2">
      <c r="A570" s="11">
        <f>Returns!A570</f>
        <v>0</v>
      </c>
      <c r="B570" s="1">
        <f t="array" ref="B570">MMULT(Returns!B570:Z570,Resume!$B$38:$B$62)</f>
        <v>0</v>
      </c>
    </row>
    <row r="571" spans="1:2">
      <c r="A571" s="11">
        <f>Returns!A571</f>
        <v>0</v>
      </c>
      <c r="B571" s="1">
        <f t="array" ref="B571">MMULT(Returns!B571:Z571,Resume!$B$38:$B$62)</f>
        <v>0</v>
      </c>
    </row>
    <row r="572" spans="1:2">
      <c r="A572" s="11">
        <f>Returns!A572</f>
        <v>0</v>
      </c>
      <c r="B572" s="1">
        <f t="array" ref="B572">MMULT(Returns!B572:Z572,Resume!$B$38:$B$62)</f>
        <v>0</v>
      </c>
    </row>
    <row r="573" spans="1:2">
      <c r="A573" s="11">
        <f>Returns!A573</f>
        <v>0</v>
      </c>
      <c r="B573" s="1">
        <f t="array" ref="B573">MMULT(Returns!B573:Z573,Resume!$B$38:$B$62)</f>
        <v>0</v>
      </c>
    </row>
    <row r="574" spans="1:2">
      <c r="A574" s="11">
        <f>Returns!A574</f>
        <v>0</v>
      </c>
      <c r="B574" s="1">
        <f t="array" ref="B574">MMULT(Returns!B574:Z574,Resume!$B$38:$B$62)</f>
        <v>0</v>
      </c>
    </row>
    <row r="575" spans="1:2">
      <c r="A575" s="11">
        <f>Returns!A575</f>
        <v>0</v>
      </c>
      <c r="B575" s="1">
        <f t="array" ref="B575">MMULT(Returns!B575:Z575,Resume!$B$38:$B$62)</f>
        <v>0</v>
      </c>
    </row>
    <row r="576" spans="1:2">
      <c r="A576" s="11">
        <f>Returns!A576</f>
        <v>0</v>
      </c>
      <c r="B576" s="1">
        <f t="array" ref="B576">MMULT(Returns!B576:Z576,Resume!$B$38:$B$62)</f>
        <v>0</v>
      </c>
    </row>
    <row r="577" spans="1:2">
      <c r="A577" s="11">
        <f>Returns!A577</f>
        <v>0</v>
      </c>
      <c r="B577" s="1">
        <f t="array" ref="B577">MMULT(Returns!B577:Z577,Resume!$B$38:$B$62)</f>
        <v>0</v>
      </c>
    </row>
    <row r="578" spans="1:2">
      <c r="A578" s="11">
        <f>Returns!A578</f>
        <v>0</v>
      </c>
      <c r="B578" s="1">
        <f t="array" ref="B578">MMULT(Returns!B578:Z578,Resume!$B$38:$B$62)</f>
        <v>0</v>
      </c>
    </row>
    <row r="579" spans="1:2">
      <c r="A579" s="11">
        <f>Returns!A579</f>
        <v>0</v>
      </c>
      <c r="B579" s="1">
        <f t="array" ref="B579">MMULT(Returns!B579:Z579,Resume!$B$38:$B$62)</f>
        <v>0</v>
      </c>
    </row>
    <row r="580" spans="1:2">
      <c r="A580" s="11">
        <f>Returns!A580</f>
        <v>0</v>
      </c>
      <c r="B580" s="1">
        <f t="array" ref="B580">MMULT(Returns!B580:Z580,Resume!$B$38:$B$62)</f>
        <v>0</v>
      </c>
    </row>
    <row r="581" spans="1:2">
      <c r="A581" s="11">
        <f>Returns!A581</f>
        <v>0</v>
      </c>
      <c r="B581" s="1">
        <f t="array" ref="B581">MMULT(Returns!B581:Z581,Resume!$B$38:$B$62)</f>
        <v>0</v>
      </c>
    </row>
    <row r="582" spans="1:2">
      <c r="A582" s="11">
        <f>Returns!A582</f>
        <v>0</v>
      </c>
      <c r="B582" s="1">
        <f t="array" ref="B582">MMULT(Returns!B582:Z582,Resume!$B$38:$B$62)</f>
        <v>0</v>
      </c>
    </row>
    <row r="583" spans="1:2">
      <c r="A583" s="11">
        <f>Returns!A583</f>
        <v>0</v>
      </c>
      <c r="B583" s="1">
        <f t="array" ref="B583">MMULT(Returns!B583:Z583,Resume!$B$38:$B$62)</f>
        <v>0</v>
      </c>
    </row>
    <row r="584" spans="1:2">
      <c r="A584" s="11">
        <f>Returns!A584</f>
        <v>0</v>
      </c>
      <c r="B584" s="1">
        <f t="array" ref="B584">MMULT(Returns!B584:Z584,Resume!$B$38:$B$62)</f>
        <v>0</v>
      </c>
    </row>
    <row r="585" spans="1:2">
      <c r="A585" s="11">
        <f>Returns!A585</f>
        <v>0</v>
      </c>
      <c r="B585" s="1">
        <f t="array" ref="B585">MMULT(Returns!B585:Z585,Resume!$B$38:$B$62)</f>
        <v>0</v>
      </c>
    </row>
    <row r="586" spans="1:2">
      <c r="A586" s="11">
        <f>Returns!A586</f>
        <v>0</v>
      </c>
      <c r="B586" s="1">
        <f t="array" ref="B586">MMULT(Returns!B586:Z586,Resume!$B$38:$B$62)</f>
        <v>0</v>
      </c>
    </row>
    <row r="587" spans="1:2">
      <c r="A587" s="11">
        <f>Returns!A587</f>
        <v>0</v>
      </c>
      <c r="B587" s="1">
        <f t="array" ref="B587">MMULT(Returns!B587:Z587,Resume!$B$38:$B$62)</f>
        <v>0</v>
      </c>
    </row>
    <row r="588" spans="1:2">
      <c r="A588" s="11">
        <f>Returns!A588</f>
        <v>0</v>
      </c>
      <c r="B588" s="1">
        <f t="array" ref="B588">MMULT(Returns!B588:Z588,Resume!$B$38:$B$62)</f>
        <v>0</v>
      </c>
    </row>
    <row r="589" spans="1:2">
      <c r="A589" s="11">
        <f>Returns!A589</f>
        <v>0</v>
      </c>
      <c r="B589" s="1">
        <f t="array" ref="B589">MMULT(Returns!B589:Z589,Resume!$B$38:$B$62)</f>
        <v>0</v>
      </c>
    </row>
    <row r="590" spans="1:2">
      <c r="A590" s="11">
        <f>Returns!A590</f>
        <v>0</v>
      </c>
      <c r="B590" s="1">
        <f t="array" ref="B590">MMULT(Returns!B590:Z590,Resume!$B$38:$B$62)</f>
        <v>0</v>
      </c>
    </row>
    <row r="591" spans="1:2">
      <c r="A591" s="11">
        <f>Returns!A591</f>
        <v>0</v>
      </c>
      <c r="B591" s="1">
        <f t="array" ref="B591">MMULT(Returns!B591:Z591,Resume!$B$38:$B$62)</f>
        <v>0</v>
      </c>
    </row>
    <row r="592" spans="1:2">
      <c r="A592" s="11">
        <f>Returns!A592</f>
        <v>0</v>
      </c>
      <c r="B592" s="1">
        <f t="array" ref="B592">MMULT(Returns!B592:Z592,Resume!$B$38:$B$62)</f>
        <v>0</v>
      </c>
    </row>
    <row r="593" spans="1:2">
      <c r="A593" s="11">
        <f>Returns!A593</f>
        <v>0</v>
      </c>
      <c r="B593" s="1">
        <f t="array" ref="B593">MMULT(Returns!B593:Z593,Resume!$B$38:$B$62)</f>
        <v>0</v>
      </c>
    </row>
    <row r="594" spans="1:2">
      <c r="A594" s="11">
        <f>Returns!A594</f>
        <v>0</v>
      </c>
      <c r="B594" s="1">
        <f t="array" ref="B594">MMULT(Returns!B594:Z594,Resume!$B$38:$B$62)</f>
        <v>0</v>
      </c>
    </row>
    <row r="595" spans="1:2">
      <c r="A595" s="11">
        <f>Returns!A595</f>
        <v>0</v>
      </c>
      <c r="B595" s="1">
        <f t="array" ref="B595">MMULT(Returns!B595:Z595,Resume!$B$38:$B$62)</f>
        <v>0</v>
      </c>
    </row>
    <row r="596" spans="1:2">
      <c r="A596" s="11">
        <f>Returns!A596</f>
        <v>0</v>
      </c>
      <c r="B596" s="1">
        <f t="array" ref="B596">MMULT(Returns!B596:Z596,Resume!$B$38:$B$62)</f>
        <v>0</v>
      </c>
    </row>
    <row r="597" spans="1:2">
      <c r="A597" s="11">
        <f>Returns!A597</f>
        <v>0</v>
      </c>
      <c r="B597" s="1">
        <f t="array" ref="B597">MMULT(Returns!B597:Z597,Resume!$B$38:$B$62)</f>
        <v>0</v>
      </c>
    </row>
    <row r="598" spans="1:2">
      <c r="A598" s="11">
        <f>Returns!A598</f>
        <v>0</v>
      </c>
      <c r="B598" s="1">
        <f t="array" ref="B598">MMULT(Returns!B598:Z598,Resume!$B$38:$B$62)</f>
        <v>0</v>
      </c>
    </row>
    <row r="599" spans="1:2">
      <c r="A599" s="11">
        <f>Returns!A599</f>
        <v>0</v>
      </c>
      <c r="B599" s="1">
        <f t="array" ref="B599">MMULT(Returns!B599:Z599,Resume!$B$38:$B$62)</f>
        <v>0</v>
      </c>
    </row>
    <row r="600" spans="1:2">
      <c r="A600" s="11">
        <f>Returns!A600</f>
        <v>0</v>
      </c>
      <c r="B600" s="1">
        <f t="array" ref="B600">MMULT(Returns!B600:Z600,Resume!$B$38:$B$62)</f>
        <v>0</v>
      </c>
    </row>
    <row r="601" spans="1:2">
      <c r="A601" s="11">
        <f>Returns!A601</f>
        <v>0</v>
      </c>
      <c r="B601" s="1">
        <f t="array" ref="B601">MMULT(Returns!B601:Z601,Resume!$B$38:$B$62)</f>
        <v>0</v>
      </c>
    </row>
    <row r="602" spans="1:2">
      <c r="A602" s="11">
        <f>Returns!A602</f>
        <v>0</v>
      </c>
      <c r="B602" s="1">
        <f t="array" ref="B602">MMULT(Returns!B602:Z602,Resume!$B$38:$B$62)</f>
        <v>0</v>
      </c>
    </row>
    <row r="603" spans="1:2">
      <c r="A603" s="11">
        <f>Returns!A603</f>
        <v>0</v>
      </c>
      <c r="B603" s="1">
        <f t="array" ref="B603">MMULT(Returns!B603:Z603,Resume!$B$38:$B$62)</f>
        <v>0</v>
      </c>
    </row>
    <row r="604" spans="1:2">
      <c r="A604" s="11">
        <f>Returns!A604</f>
        <v>0</v>
      </c>
      <c r="B604" s="1">
        <f t="array" ref="B604">MMULT(Returns!B604:Z604,Resume!$B$38:$B$62)</f>
        <v>0</v>
      </c>
    </row>
    <row r="605" spans="1:2">
      <c r="A605" s="11">
        <f>Returns!A605</f>
        <v>0</v>
      </c>
      <c r="B605" s="1">
        <f t="array" ref="B605">MMULT(Returns!B605:Z605,Resume!$B$38:$B$62)</f>
        <v>0</v>
      </c>
    </row>
    <row r="606" spans="1:2">
      <c r="A606" s="11">
        <f>Returns!A606</f>
        <v>0</v>
      </c>
      <c r="B606" s="1">
        <f t="array" ref="B606">MMULT(Returns!B606:Z606,Resume!$B$38:$B$62)</f>
        <v>0</v>
      </c>
    </row>
    <row r="607" spans="1:2">
      <c r="A607" s="11">
        <f>Returns!A607</f>
        <v>0</v>
      </c>
      <c r="B607" s="1">
        <f t="array" ref="B607">MMULT(Returns!B607:Z607,Resume!$B$38:$B$62)</f>
        <v>0</v>
      </c>
    </row>
    <row r="608" spans="1:2">
      <c r="A608" s="11">
        <f>Returns!A608</f>
        <v>0</v>
      </c>
      <c r="B608" s="1">
        <f t="array" ref="B608">MMULT(Returns!B608:Z608,Resume!$B$38:$B$62)</f>
        <v>0</v>
      </c>
    </row>
    <row r="609" spans="1:2">
      <c r="A609" s="11">
        <f>Returns!A609</f>
        <v>0</v>
      </c>
      <c r="B609" s="1">
        <f t="array" ref="B609">MMULT(Returns!B609:Z609,Resume!$B$38:$B$62)</f>
        <v>0</v>
      </c>
    </row>
    <row r="610" spans="1:2">
      <c r="A610" s="11">
        <f>Returns!A610</f>
        <v>0</v>
      </c>
      <c r="B610" s="1">
        <f t="array" ref="B610">MMULT(Returns!B610:Z610,Resume!$B$38:$B$62)</f>
        <v>0</v>
      </c>
    </row>
    <row r="611" spans="1:2">
      <c r="A611" s="11">
        <f>Returns!A611</f>
        <v>0</v>
      </c>
      <c r="B611" s="1">
        <f t="array" ref="B611">MMULT(Returns!B611:Z611,Resume!$B$38:$B$62)</f>
        <v>0</v>
      </c>
    </row>
    <row r="612" spans="1:2">
      <c r="A612" s="11">
        <f>Returns!A612</f>
        <v>0</v>
      </c>
      <c r="B612" s="1">
        <f t="array" ref="B612">MMULT(Returns!B612:Z612,Resume!$B$38:$B$62)</f>
        <v>0</v>
      </c>
    </row>
    <row r="613" spans="1:2">
      <c r="A613" s="11">
        <f>Returns!A613</f>
        <v>0</v>
      </c>
      <c r="B613" s="1">
        <f t="array" ref="B613">MMULT(Returns!B613:Z613,Resume!$B$38:$B$62)</f>
        <v>0</v>
      </c>
    </row>
    <row r="614" spans="1:2">
      <c r="A614" s="11">
        <f>Returns!A614</f>
        <v>0</v>
      </c>
      <c r="B614" s="1">
        <f t="array" ref="B614">MMULT(Returns!B614:Z614,Resume!$B$38:$B$62)</f>
        <v>0</v>
      </c>
    </row>
    <row r="615" spans="1:2">
      <c r="A615" s="11">
        <f>Returns!A615</f>
        <v>0</v>
      </c>
      <c r="B615" s="1">
        <f t="array" ref="B615">MMULT(Returns!B615:Z615,Resume!$B$38:$B$62)</f>
        <v>0</v>
      </c>
    </row>
    <row r="616" spans="1:2">
      <c r="A616" s="11">
        <f>Returns!A616</f>
        <v>0</v>
      </c>
      <c r="B616" s="1">
        <f t="array" ref="B616">MMULT(Returns!B616:Z616,Resume!$B$38:$B$62)</f>
        <v>0</v>
      </c>
    </row>
    <row r="617" spans="1:2">
      <c r="A617" s="11">
        <f>Returns!A617</f>
        <v>0</v>
      </c>
      <c r="B617" s="1">
        <f t="array" ref="B617">MMULT(Returns!B617:Z617,Resume!$B$38:$B$62)</f>
        <v>0</v>
      </c>
    </row>
    <row r="618" spans="1:2">
      <c r="A618" s="11">
        <f>Returns!A618</f>
        <v>0</v>
      </c>
      <c r="B618" s="1">
        <f t="array" ref="B618">MMULT(Returns!B618:Z618,Resume!$B$38:$B$62)</f>
        <v>0</v>
      </c>
    </row>
    <row r="619" spans="1:2">
      <c r="A619" s="11">
        <f>Returns!A619</f>
        <v>0</v>
      </c>
      <c r="B619" s="1">
        <f t="array" ref="B619">MMULT(Returns!B619:Z619,Resume!$B$38:$B$62)</f>
        <v>0</v>
      </c>
    </row>
    <row r="620" spans="1:2">
      <c r="A620" s="11">
        <f>Returns!A620</f>
        <v>0</v>
      </c>
      <c r="B620" s="1">
        <f t="array" ref="B620">MMULT(Returns!B620:Z620,Resume!$B$38:$B$62)</f>
        <v>0</v>
      </c>
    </row>
    <row r="621" spans="1:2">
      <c r="A621" s="11">
        <f>Returns!A621</f>
        <v>0</v>
      </c>
      <c r="B621" s="1">
        <f t="array" ref="B621">MMULT(Returns!B621:Z621,Resume!$B$38:$B$62)</f>
        <v>0</v>
      </c>
    </row>
    <row r="622" spans="1:2">
      <c r="A622" s="11">
        <f>Returns!A622</f>
        <v>0</v>
      </c>
      <c r="B622" s="1">
        <f t="array" ref="B622">MMULT(Returns!B622:Z622,Resume!$B$38:$B$62)</f>
        <v>0</v>
      </c>
    </row>
    <row r="623" spans="1:2">
      <c r="A623" s="11">
        <f>Returns!A623</f>
        <v>0</v>
      </c>
      <c r="B623" s="1">
        <f t="array" ref="B623">MMULT(Returns!B623:Z623,Resume!$B$38:$B$62)</f>
        <v>0</v>
      </c>
    </row>
    <row r="624" spans="1:2">
      <c r="A624" s="11">
        <f>Returns!A624</f>
        <v>0</v>
      </c>
      <c r="B624" s="1">
        <f t="array" ref="B624">MMULT(Returns!B624:Z624,Resume!$B$38:$B$62)</f>
        <v>0</v>
      </c>
    </row>
    <row r="625" spans="1:2">
      <c r="A625" s="11">
        <f>Returns!A625</f>
        <v>0</v>
      </c>
      <c r="B625" s="1">
        <f t="array" ref="B625">MMULT(Returns!B625:Z625,Resume!$B$38:$B$62)</f>
        <v>0</v>
      </c>
    </row>
    <row r="626" spans="1:2">
      <c r="A626" s="11">
        <f>Returns!A626</f>
        <v>0</v>
      </c>
      <c r="B626" s="1">
        <f t="array" ref="B626">MMULT(Returns!B626:Z626,Resume!$B$38:$B$62)</f>
        <v>0</v>
      </c>
    </row>
    <row r="627" spans="1:2">
      <c r="A627" s="11">
        <f>Returns!A627</f>
        <v>0</v>
      </c>
      <c r="B627" s="1">
        <f t="array" ref="B627">MMULT(Returns!B627:Z627,Resume!$B$38:$B$62)</f>
        <v>0</v>
      </c>
    </row>
    <row r="628" spans="1:2">
      <c r="A628" s="11">
        <f>Returns!A628</f>
        <v>0</v>
      </c>
      <c r="B628" s="1">
        <f t="array" ref="B628">MMULT(Returns!B628:Z628,Resume!$B$38:$B$62)</f>
        <v>0</v>
      </c>
    </row>
    <row r="629" spans="1:2">
      <c r="A629" s="11">
        <f>Returns!A629</f>
        <v>0</v>
      </c>
      <c r="B629" s="1">
        <f t="array" ref="B629">MMULT(Returns!B629:Z629,Resume!$B$38:$B$62)</f>
        <v>0</v>
      </c>
    </row>
    <row r="630" spans="1:2">
      <c r="A630" s="11">
        <f>Returns!A630</f>
        <v>0</v>
      </c>
      <c r="B630" s="1">
        <f t="array" ref="B630">MMULT(Returns!B630:Z630,Resume!$B$38:$B$62)</f>
        <v>0</v>
      </c>
    </row>
    <row r="631" spans="1:2">
      <c r="A631" s="11">
        <f>Returns!A631</f>
        <v>0</v>
      </c>
      <c r="B631" s="1">
        <f t="array" ref="B631">MMULT(Returns!B631:Z631,Resume!$B$38:$B$62)</f>
        <v>0</v>
      </c>
    </row>
    <row r="632" spans="1:2">
      <c r="A632" s="11">
        <f>Returns!A632</f>
        <v>0</v>
      </c>
      <c r="B632" s="1">
        <f t="array" ref="B632">MMULT(Returns!B632:Z632,Resume!$B$38:$B$62)</f>
        <v>0</v>
      </c>
    </row>
    <row r="633" spans="1:2">
      <c r="A633" s="11">
        <f>Returns!A633</f>
        <v>0</v>
      </c>
      <c r="B633" s="1">
        <f t="array" ref="B633">MMULT(Returns!B633:Z633,Resume!$B$38:$B$62)</f>
        <v>0</v>
      </c>
    </row>
    <row r="634" spans="1:2">
      <c r="A634" s="11">
        <f>Returns!A634</f>
        <v>0</v>
      </c>
      <c r="B634" s="1">
        <f t="array" ref="B634">MMULT(Returns!B634:Z634,Resume!$B$38:$B$62)</f>
        <v>0</v>
      </c>
    </row>
    <row r="635" spans="1:2">
      <c r="A635" s="11">
        <f>Returns!A635</f>
        <v>0</v>
      </c>
      <c r="B635" s="1">
        <f t="array" ref="B635">MMULT(Returns!B635:Z635,Resume!$B$38:$B$62)</f>
        <v>0</v>
      </c>
    </row>
    <row r="636" spans="1:2">
      <c r="A636" s="11">
        <f>Returns!A636</f>
        <v>0</v>
      </c>
      <c r="B636" s="1">
        <f t="array" ref="B636">MMULT(Returns!B636:Z636,Resume!$B$38:$B$62)</f>
        <v>0</v>
      </c>
    </row>
    <row r="637" spans="1:2">
      <c r="A637" s="11">
        <f>Returns!A637</f>
        <v>0</v>
      </c>
      <c r="B637" s="1">
        <f t="array" ref="B637">MMULT(Returns!B637:Z637,Resume!$B$38:$B$62)</f>
        <v>0</v>
      </c>
    </row>
    <row r="638" spans="1:2">
      <c r="A638" s="11">
        <f>Returns!A638</f>
        <v>0</v>
      </c>
      <c r="B638" s="1">
        <f t="array" ref="B638">MMULT(Returns!B638:Z638,Resume!$B$38:$B$62)</f>
        <v>0</v>
      </c>
    </row>
    <row r="639" spans="1:2">
      <c r="A639" s="11">
        <f>Returns!A639</f>
        <v>0</v>
      </c>
      <c r="B639" s="1">
        <f t="array" ref="B639">MMULT(Returns!B639:Z639,Resume!$B$38:$B$62)</f>
        <v>0</v>
      </c>
    </row>
    <row r="640" spans="1:2">
      <c r="A640" s="11">
        <f>Returns!A640</f>
        <v>0</v>
      </c>
      <c r="B640" s="1">
        <f t="array" ref="B640">MMULT(Returns!B640:Z640,Resume!$B$38:$B$62)</f>
        <v>0</v>
      </c>
    </row>
    <row r="641" spans="1:2">
      <c r="A641" s="11">
        <f>Returns!A641</f>
        <v>0</v>
      </c>
      <c r="B641" s="1">
        <f t="array" ref="B641">MMULT(Returns!B641:Z641,Resume!$B$38:$B$62)</f>
        <v>0</v>
      </c>
    </row>
    <row r="642" spans="1:2">
      <c r="A642" s="11">
        <f>Returns!A642</f>
        <v>0</v>
      </c>
      <c r="B642" s="1">
        <f t="array" ref="B642">MMULT(Returns!B642:Z642,Resume!$B$38:$B$62)</f>
        <v>0</v>
      </c>
    </row>
    <row r="643" spans="1:2">
      <c r="A643" s="11">
        <f>Returns!A643</f>
        <v>0</v>
      </c>
      <c r="B643" s="1">
        <f t="array" ref="B643">MMULT(Returns!B643:Z643,Resume!$B$38:$B$62)</f>
        <v>0</v>
      </c>
    </row>
    <row r="644" spans="1:2">
      <c r="A644" s="11">
        <f>Returns!A644</f>
        <v>0</v>
      </c>
      <c r="B644" s="1">
        <f t="array" ref="B644">MMULT(Returns!B644:Z644,Resume!$B$38:$B$62)</f>
        <v>0</v>
      </c>
    </row>
    <row r="645" spans="1:2">
      <c r="A645" s="11">
        <f>Returns!A645</f>
        <v>0</v>
      </c>
      <c r="B645" s="1">
        <f t="array" ref="B645">MMULT(Returns!B645:Z645,Resume!$B$38:$B$62)</f>
        <v>0</v>
      </c>
    </row>
    <row r="646" spans="1:2">
      <c r="A646" s="11">
        <f>Returns!A646</f>
        <v>0</v>
      </c>
      <c r="B646" s="1">
        <f t="array" ref="B646">MMULT(Returns!B646:Z646,Resume!$B$38:$B$62)</f>
        <v>0</v>
      </c>
    </row>
    <row r="647" spans="1:2">
      <c r="A647" s="11">
        <f>Returns!A647</f>
        <v>0</v>
      </c>
      <c r="B647" s="1">
        <f t="array" ref="B647">MMULT(Returns!B647:Z647,Resume!$B$38:$B$62)</f>
        <v>0</v>
      </c>
    </row>
    <row r="648" spans="1:2">
      <c r="A648" s="11">
        <f>Returns!A648</f>
        <v>0</v>
      </c>
      <c r="B648" s="1">
        <f t="array" ref="B648">MMULT(Returns!B648:Z648,Resume!$B$38:$B$62)</f>
        <v>0</v>
      </c>
    </row>
    <row r="649" spans="1:2">
      <c r="A649" s="11">
        <f>Returns!A649</f>
        <v>0</v>
      </c>
      <c r="B649" s="1">
        <f t="array" ref="B649">MMULT(Returns!B649:Z649,Resume!$B$38:$B$62)</f>
        <v>0</v>
      </c>
    </row>
    <row r="650" spans="1:2">
      <c r="A650" s="11">
        <f>Returns!A650</f>
        <v>0</v>
      </c>
      <c r="B650" s="1">
        <f t="array" ref="B650">MMULT(Returns!B650:Z650,Resume!$B$38:$B$62)</f>
        <v>0</v>
      </c>
    </row>
    <row r="651" spans="1:2">
      <c r="A651" s="11">
        <f>Returns!A651</f>
        <v>0</v>
      </c>
      <c r="B651" s="1">
        <f t="array" ref="B651">MMULT(Returns!B651:Z651,Resume!$B$38:$B$62)</f>
        <v>0</v>
      </c>
    </row>
    <row r="652" spans="1:2">
      <c r="A652" s="11">
        <f>Returns!A652</f>
        <v>0</v>
      </c>
      <c r="B652" s="1">
        <f t="array" ref="B652">MMULT(Returns!B652:Z652,Resume!$B$38:$B$62)</f>
        <v>0</v>
      </c>
    </row>
    <row r="653" spans="1:2">
      <c r="A653" s="11">
        <f>Returns!A653</f>
        <v>0</v>
      </c>
      <c r="B653" s="1">
        <f t="array" ref="B653">MMULT(Returns!B653:Z653,Resume!$B$38:$B$62)</f>
        <v>0</v>
      </c>
    </row>
    <row r="654" spans="1:2">
      <c r="A654" s="11">
        <f>Returns!A654</f>
        <v>0</v>
      </c>
      <c r="B654" s="1">
        <f t="array" ref="B654">MMULT(Returns!B654:Z654,Resume!$B$38:$B$62)</f>
        <v>0</v>
      </c>
    </row>
    <row r="655" spans="1:2">
      <c r="A655" s="11">
        <f>Returns!A655</f>
        <v>0</v>
      </c>
      <c r="B655" s="1">
        <f t="array" ref="B655">MMULT(Returns!B655:Z655,Resume!$B$38:$B$62)</f>
        <v>0</v>
      </c>
    </row>
    <row r="656" spans="1:2">
      <c r="A656" s="11">
        <f>Returns!A656</f>
        <v>0</v>
      </c>
      <c r="B656" s="1">
        <f t="array" ref="B656">MMULT(Returns!B656:Z656,Resume!$B$38:$B$62)</f>
        <v>0</v>
      </c>
    </row>
    <row r="657" spans="1:2">
      <c r="A657" s="11">
        <f>Returns!A657</f>
        <v>0</v>
      </c>
      <c r="B657" s="1">
        <f t="array" ref="B657">MMULT(Returns!B657:Z657,Resume!$B$38:$B$62)</f>
        <v>0</v>
      </c>
    </row>
    <row r="658" spans="1:2">
      <c r="A658" s="11">
        <f>Returns!A658</f>
        <v>0</v>
      </c>
      <c r="B658" s="1">
        <f t="array" ref="B658">MMULT(Returns!B658:Z658,Resume!$B$38:$B$62)</f>
        <v>0</v>
      </c>
    </row>
    <row r="659" spans="1:2">
      <c r="A659" s="11">
        <f>Returns!A659</f>
        <v>0</v>
      </c>
      <c r="B659" s="1">
        <f t="array" ref="B659">MMULT(Returns!B659:Z659,Resume!$B$38:$B$62)</f>
        <v>0</v>
      </c>
    </row>
    <row r="660" spans="1:2">
      <c r="A660" s="11">
        <f>Returns!A660</f>
        <v>0</v>
      </c>
      <c r="B660" s="1">
        <f t="array" ref="B660">MMULT(Returns!B660:Z660,Resume!$B$38:$B$62)</f>
        <v>0</v>
      </c>
    </row>
    <row r="661" spans="1:2">
      <c r="A661" s="11">
        <f>Returns!A661</f>
        <v>0</v>
      </c>
      <c r="B661" s="1">
        <f t="array" ref="B661">MMULT(Returns!B661:Z661,Resume!$B$38:$B$62)</f>
        <v>0</v>
      </c>
    </row>
    <row r="662" spans="1:2">
      <c r="A662" s="11">
        <f>Returns!A662</f>
        <v>0</v>
      </c>
      <c r="B662" s="1">
        <f t="array" ref="B662">MMULT(Returns!B662:Z662,Resume!$B$38:$B$62)</f>
        <v>0</v>
      </c>
    </row>
    <row r="663" spans="1:2">
      <c r="A663" s="11">
        <f>Returns!A663</f>
        <v>0</v>
      </c>
      <c r="B663" s="1">
        <f t="array" ref="B663">MMULT(Returns!B663:Z663,Resume!$B$38:$B$62)</f>
        <v>0</v>
      </c>
    </row>
    <row r="664" spans="1:2">
      <c r="A664" s="11">
        <f>Returns!A664</f>
        <v>0</v>
      </c>
      <c r="B664" s="1">
        <f t="array" ref="B664">MMULT(Returns!B664:Z664,Resume!$B$38:$B$62)</f>
        <v>0</v>
      </c>
    </row>
    <row r="665" spans="1:2">
      <c r="A665" s="11">
        <f>Returns!A665</f>
        <v>0</v>
      </c>
      <c r="B665" s="1">
        <f t="array" ref="B665">MMULT(Returns!B665:Z665,Resume!$B$38:$B$62)</f>
        <v>0</v>
      </c>
    </row>
    <row r="666" spans="1:2">
      <c r="A666" s="11">
        <f>Returns!A666</f>
        <v>0</v>
      </c>
      <c r="B666" s="1">
        <f t="array" ref="B666">MMULT(Returns!B666:Z666,Resume!$B$38:$B$62)</f>
        <v>0</v>
      </c>
    </row>
    <row r="667" spans="1:2">
      <c r="A667" s="11">
        <f>Returns!A667</f>
        <v>0</v>
      </c>
      <c r="B667" s="1">
        <f t="array" ref="B667">MMULT(Returns!B667:Z667,Resume!$B$38:$B$62)</f>
        <v>0</v>
      </c>
    </row>
    <row r="668" spans="1:2">
      <c r="A668" s="11">
        <f>Returns!A668</f>
        <v>0</v>
      </c>
      <c r="B668" s="1">
        <f t="array" ref="B668">MMULT(Returns!B668:Z668,Resume!$B$38:$B$62)</f>
        <v>0</v>
      </c>
    </row>
    <row r="669" spans="1:2">
      <c r="A669" s="11">
        <f>Returns!A669</f>
        <v>0</v>
      </c>
      <c r="B669" s="1">
        <f t="array" ref="B669">MMULT(Returns!B669:Z669,Resume!$B$38:$B$62)</f>
        <v>0</v>
      </c>
    </row>
    <row r="670" spans="1:2">
      <c r="A670" s="11">
        <f>Returns!A670</f>
        <v>0</v>
      </c>
      <c r="B670" s="1">
        <f t="array" ref="B670">MMULT(Returns!B670:Z670,Resume!$B$38:$B$62)</f>
        <v>0</v>
      </c>
    </row>
    <row r="671" spans="1:2">
      <c r="A671" s="11">
        <f>Returns!A671</f>
        <v>0</v>
      </c>
      <c r="B671" s="1">
        <f t="array" ref="B671">MMULT(Returns!B671:Z671,Resume!$B$38:$B$62)</f>
        <v>0</v>
      </c>
    </row>
    <row r="672" spans="1:2">
      <c r="A672" s="11">
        <f>Returns!A672</f>
        <v>0</v>
      </c>
      <c r="B672" s="1">
        <f t="array" ref="B672">MMULT(Returns!B672:Z672,Resume!$B$38:$B$62)</f>
        <v>0</v>
      </c>
    </row>
    <row r="673" spans="1:2">
      <c r="A673" s="11">
        <f>Returns!A673</f>
        <v>0</v>
      </c>
      <c r="B673" s="1">
        <f t="array" ref="B673">MMULT(Returns!B673:Z673,Resume!$B$38:$B$62)</f>
        <v>0</v>
      </c>
    </row>
    <row r="674" spans="1:2">
      <c r="A674" s="11">
        <f>Returns!A674</f>
        <v>0</v>
      </c>
      <c r="B674" s="1">
        <f t="array" ref="B674">MMULT(Returns!B674:Z674,Resume!$B$38:$B$62)</f>
        <v>0</v>
      </c>
    </row>
    <row r="675" spans="1:2">
      <c r="A675" s="11">
        <f>Returns!A675</f>
        <v>0</v>
      </c>
      <c r="B675" s="1">
        <f t="array" ref="B675">MMULT(Returns!B675:Z675,Resume!$B$38:$B$62)</f>
        <v>0</v>
      </c>
    </row>
    <row r="676" spans="1:2">
      <c r="A676" s="11">
        <f>Returns!A676</f>
        <v>0</v>
      </c>
      <c r="B676" s="1">
        <f t="array" ref="B676">MMULT(Returns!B676:Z676,Resume!$B$38:$B$62)</f>
        <v>0</v>
      </c>
    </row>
    <row r="677" spans="1:2">
      <c r="A677" s="11">
        <f>Returns!A677</f>
        <v>0</v>
      </c>
      <c r="B677" s="1">
        <f t="array" ref="B677">MMULT(Returns!B677:Z677,Resume!$B$38:$B$62)</f>
        <v>0</v>
      </c>
    </row>
    <row r="678" spans="1:2">
      <c r="A678" s="11">
        <f>Returns!A678</f>
        <v>0</v>
      </c>
      <c r="B678" s="1">
        <f t="array" ref="B678">MMULT(Returns!B678:Z678,Resume!$B$38:$B$62)</f>
        <v>0</v>
      </c>
    </row>
    <row r="679" spans="1:2">
      <c r="A679" s="11">
        <f>Returns!A679</f>
        <v>0</v>
      </c>
      <c r="B679" s="1">
        <f t="array" ref="B679">MMULT(Returns!B679:Z679,Resume!$B$38:$B$62)</f>
        <v>0</v>
      </c>
    </row>
    <row r="680" spans="1:2">
      <c r="A680" s="11">
        <f>Returns!A680</f>
        <v>0</v>
      </c>
      <c r="B680" s="1">
        <f t="array" ref="B680">MMULT(Returns!B680:Z680,Resume!$B$38:$B$62)</f>
        <v>0</v>
      </c>
    </row>
    <row r="681" spans="1:2">
      <c r="A681" s="11">
        <f>Returns!A681</f>
        <v>0</v>
      </c>
      <c r="B681" s="1">
        <f t="array" ref="B681">MMULT(Returns!B681:Z681,Resume!$B$38:$B$62)</f>
        <v>0</v>
      </c>
    </row>
    <row r="682" spans="1:2">
      <c r="A682" s="11">
        <f>Returns!A682</f>
        <v>0</v>
      </c>
      <c r="B682" s="1">
        <f t="array" ref="B682">MMULT(Returns!B682:Z682,Resume!$B$38:$B$62)</f>
        <v>0</v>
      </c>
    </row>
    <row r="683" spans="1:2">
      <c r="A683" s="11">
        <f>Returns!A683</f>
        <v>0</v>
      </c>
      <c r="B683" s="1">
        <f t="array" ref="B683">MMULT(Returns!B683:Z683,Resume!$B$38:$B$62)</f>
        <v>0</v>
      </c>
    </row>
    <row r="684" spans="1:2">
      <c r="A684" s="11">
        <f>Returns!A684</f>
        <v>0</v>
      </c>
      <c r="B684" s="1">
        <f t="array" ref="B684">MMULT(Returns!B684:Z684,Resume!$B$38:$B$62)</f>
        <v>0</v>
      </c>
    </row>
    <row r="685" spans="1:2">
      <c r="A685" s="11">
        <f>Returns!A685</f>
        <v>0</v>
      </c>
      <c r="B685" s="1">
        <f t="array" ref="B685">MMULT(Returns!B685:Z685,Resume!$B$38:$B$62)</f>
        <v>0</v>
      </c>
    </row>
    <row r="686" spans="1:2">
      <c r="A686" s="11">
        <f>Returns!A686</f>
        <v>0</v>
      </c>
      <c r="B686" s="1">
        <f t="array" ref="B686">MMULT(Returns!B686:Z686,Resume!$B$38:$B$62)</f>
        <v>0</v>
      </c>
    </row>
    <row r="687" spans="1:2">
      <c r="A687" s="11">
        <f>Returns!A687</f>
        <v>0</v>
      </c>
      <c r="B687" s="1">
        <f t="array" ref="B687">MMULT(Returns!B687:Z687,Resume!$B$38:$B$62)</f>
        <v>0</v>
      </c>
    </row>
    <row r="688" spans="1:2">
      <c r="A688" s="11">
        <f>Returns!A688</f>
        <v>0</v>
      </c>
      <c r="B688" s="1">
        <f t="array" ref="B688">MMULT(Returns!B688:Z688,Resume!$B$38:$B$62)</f>
        <v>0</v>
      </c>
    </row>
    <row r="689" spans="1:2">
      <c r="A689" s="11">
        <f>Returns!A689</f>
        <v>0</v>
      </c>
      <c r="B689" s="1">
        <f t="array" ref="B689">MMULT(Returns!B689:Z689,Resume!$B$38:$B$62)</f>
        <v>0</v>
      </c>
    </row>
    <row r="690" spans="1:2">
      <c r="A690" s="11">
        <f>Returns!A690</f>
        <v>0</v>
      </c>
      <c r="B690" s="1">
        <f t="array" ref="B690">MMULT(Returns!B690:Z690,Resume!$B$38:$B$62)</f>
        <v>0</v>
      </c>
    </row>
    <row r="691" spans="1:2">
      <c r="A691" s="11">
        <f>Returns!A691</f>
        <v>0</v>
      </c>
      <c r="B691" s="1">
        <f t="array" ref="B691">MMULT(Returns!B691:Z691,Resume!$B$38:$B$62)</f>
        <v>0</v>
      </c>
    </row>
    <row r="692" spans="1:2">
      <c r="A692" s="11">
        <f>Returns!A692</f>
        <v>0</v>
      </c>
      <c r="B692" s="1">
        <f t="array" ref="B692">MMULT(Returns!B692:Z692,Resume!$B$38:$B$62)</f>
        <v>0</v>
      </c>
    </row>
    <row r="693" spans="1:2">
      <c r="A693" s="11">
        <f>Returns!A693</f>
        <v>0</v>
      </c>
      <c r="B693" s="1">
        <f t="array" ref="B693">MMULT(Returns!B693:Z693,Resume!$B$38:$B$62)</f>
        <v>0</v>
      </c>
    </row>
    <row r="694" spans="1:2">
      <c r="A694" s="11">
        <f>Returns!A694</f>
        <v>0</v>
      </c>
      <c r="B694" s="1">
        <f t="array" ref="B694">MMULT(Returns!B694:Z694,Resume!$B$38:$B$62)</f>
        <v>0</v>
      </c>
    </row>
    <row r="695" spans="1:2">
      <c r="A695" s="11">
        <f>Returns!A695</f>
        <v>0</v>
      </c>
      <c r="B695" s="1">
        <f t="array" ref="B695">MMULT(Returns!B695:Z695,Resume!$B$38:$B$62)</f>
        <v>0</v>
      </c>
    </row>
    <row r="696" spans="1:2">
      <c r="A696" s="11">
        <f>Returns!A696</f>
        <v>0</v>
      </c>
      <c r="B696" s="1">
        <f t="array" ref="B696">MMULT(Returns!B696:Z696,Resume!$B$38:$B$62)</f>
        <v>0</v>
      </c>
    </row>
    <row r="697" spans="1:2">
      <c r="A697" s="11">
        <f>Returns!A697</f>
        <v>0</v>
      </c>
      <c r="B697" s="1">
        <f t="array" ref="B697">MMULT(Returns!B697:Z697,Resume!$B$38:$B$62)</f>
        <v>0</v>
      </c>
    </row>
    <row r="698" spans="1:2">
      <c r="A698" s="11">
        <f>Returns!A698</f>
        <v>0</v>
      </c>
      <c r="B698" s="1">
        <f t="array" ref="B698">MMULT(Returns!B698:Z698,Resume!$B$38:$B$62)</f>
        <v>0</v>
      </c>
    </row>
    <row r="699" spans="1:2">
      <c r="A699" s="11">
        <f>Returns!A699</f>
        <v>0</v>
      </c>
      <c r="B699" s="1">
        <f t="array" ref="B699">MMULT(Returns!B699:Z699,Resume!$B$38:$B$62)</f>
        <v>0</v>
      </c>
    </row>
    <row r="700" spans="1:2">
      <c r="A700" s="11">
        <f>Returns!A700</f>
        <v>0</v>
      </c>
      <c r="B700" s="1">
        <f t="array" ref="B700">MMULT(Returns!B700:Z700,Resume!$B$38:$B$62)</f>
        <v>0</v>
      </c>
    </row>
    <row r="701" spans="1:2">
      <c r="A701" s="11">
        <f>Returns!A701</f>
        <v>0</v>
      </c>
      <c r="B701" s="1">
        <f t="array" ref="B701">MMULT(Returns!B701:Z701,Resume!$B$38:$B$62)</f>
        <v>0</v>
      </c>
    </row>
    <row r="702" spans="1:2">
      <c r="A702" s="11">
        <f>Returns!A702</f>
        <v>0</v>
      </c>
      <c r="B702" s="1">
        <f t="array" ref="B702">MMULT(Returns!B702:Z702,Resume!$B$38:$B$62)</f>
        <v>0</v>
      </c>
    </row>
    <row r="703" spans="1:2">
      <c r="A703" s="11">
        <f>Returns!A703</f>
        <v>0</v>
      </c>
      <c r="B703" s="1">
        <f t="array" ref="B703">MMULT(Returns!B703:Z703,Resume!$B$38:$B$62)</f>
        <v>0</v>
      </c>
    </row>
    <row r="704" spans="1:2">
      <c r="A704" s="11">
        <f>Returns!A704</f>
        <v>0</v>
      </c>
      <c r="B704" s="1">
        <f t="array" ref="B704">MMULT(Returns!B704:Z704,Resume!$B$38:$B$62)</f>
        <v>0</v>
      </c>
    </row>
    <row r="705" spans="1:2">
      <c r="A705" s="11">
        <f>Returns!A705</f>
        <v>0</v>
      </c>
      <c r="B705" s="1">
        <f t="array" ref="B705">MMULT(Returns!B705:Z705,Resume!$B$38:$B$62)</f>
        <v>0</v>
      </c>
    </row>
    <row r="706" spans="1:2">
      <c r="A706" s="11">
        <f>Returns!A706</f>
        <v>0</v>
      </c>
      <c r="B706" s="1">
        <f t="array" ref="B706">MMULT(Returns!B706:Z706,Resume!$B$38:$B$62)</f>
        <v>0</v>
      </c>
    </row>
    <row r="707" spans="1:2">
      <c r="A707" s="11">
        <f>Returns!A707</f>
        <v>0</v>
      </c>
      <c r="B707" s="1">
        <f t="array" ref="B707">MMULT(Returns!B707:Z707,Resume!$B$38:$B$62)</f>
        <v>0</v>
      </c>
    </row>
    <row r="708" spans="1:2">
      <c r="A708" s="11">
        <f>Returns!A708</f>
        <v>0</v>
      </c>
      <c r="B708" s="1">
        <f t="array" ref="B708">MMULT(Returns!B708:Z708,Resume!$B$38:$B$62)</f>
        <v>0</v>
      </c>
    </row>
    <row r="709" spans="1:2">
      <c r="A709" s="11">
        <f>Returns!A709</f>
        <v>0</v>
      </c>
      <c r="B709" s="1">
        <f t="array" ref="B709">MMULT(Returns!B709:Z709,Resume!$B$38:$B$62)</f>
        <v>0</v>
      </c>
    </row>
    <row r="710" spans="1:2">
      <c r="A710" s="11">
        <f>Returns!A710</f>
        <v>0</v>
      </c>
      <c r="B710" s="1">
        <f t="array" ref="B710">MMULT(Returns!B710:Z710,Resume!$B$38:$B$62)</f>
        <v>0</v>
      </c>
    </row>
    <row r="711" spans="1:2">
      <c r="A711" s="11">
        <f>Returns!A711</f>
        <v>0</v>
      </c>
      <c r="B711" s="1">
        <f t="array" ref="B711">MMULT(Returns!B711:Z711,Resume!$B$38:$B$62)</f>
        <v>0</v>
      </c>
    </row>
    <row r="712" spans="1:2">
      <c r="A712" s="11">
        <f>Returns!A712</f>
        <v>0</v>
      </c>
      <c r="B712" s="1">
        <f t="array" ref="B712">MMULT(Returns!B712:Z712,Resume!$B$38:$B$62)</f>
        <v>0</v>
      </c>
    </row>
    <row r="713" spans="1:2">
      <c r="A713" s="11">
        <f>Returns!A713</f>
        <v>0</v>
      </c>
      <c r="B713" s="1">
        <f t="array" ref="B713">MMULT(Returns!B713:Z713,Resume!$B$38:$B$62)</f>
        <v>0</v>
      </c>
    </row>
    <row r="714" spans="1:2">
      <c r="A714" s="11">
        <f>Returns!A714</f>
        <v>0</v>
      </c>
      <c r="B714" s="1">
        <f t="array" ref="B714">MMULT(Returns!B714:Z714,Resume!$B$38:$B$62)</f>
        <v>0</v>
      </c>
    </row>
    <row r="715" spans="1:2">
      <c r="A715" s="11">
        <f>Returns!A715</f>
        <v>0</v>
      </c>
      <c r="B715" s="1">
        <f t="array" ref="B715">MMULT(Returns!B715:Z715,Resume!$B$38:$B$62)</f>
        <v>0</v>
      </c>
    </row>
    <row r="716" spans="1:2">
      <c r="A716" s="11">
        <f>Returns!A716</f>
        <v>0</v>
      </c>
      <c r="B716" s="1">
        <f t="array" ref="B716">MMULT(Returns!B716:Z716,Resume!$B$38:$B$62)</f>
        <v>0</v>
      </c>
    </row>
    <row r="717" spans="1:2">
      <c r="A717" s="11">
        <f>Returns!A717</f>
        <v>0</v>
      </c>
      <c r="B717" s="1">
        <f t="array" ref="B717">MMULT(Returns!B717:Z717,Resume!$B$38:$B$62)</f>
        <v>0</v>
      </c>
    </row>
    <row r="718" spans="1:2">
      <c r="A718" s="11">
        <f>Returns!A718</f>
        <v>0</v>
      </c>
      <c r="B718" s="1">
        <f t="array" ref="B718">MMULT(Returns!B718:Z718,Resume!$B$38:$B$62)</f>
        <v>0</v>
      </c>
    </row>
    <row r="719" spans="1:2">
      <c r="A719" s="11">
        <f>Returns!A719</f>
        <v>0</v>
      </c>
      <c r="B719" s="1">
        <f t="array" ref="B719">MMULT(Returns!B719:Z719,Resume!$B$38:$B$62)</f>
        <v>0</v>
      </c>
    </row>
    <row r="720" spans="1:2">
      <c r="A720" s="11">
        <f>Returns!A720</f>
        <v>0</v>
      </c>
      <c r="B720" s="1">
        <f t="array" ref="B720">MMULT(Returns!B720:Z720,Resume!$B$38:$B$62)</f>
        <v>0</v>
      </c>
    </row>
    <row r="721" spans="1:2">
      <c r="A721" s="11">
        <f>Returns!A721</f>
        <v>0</v>
      </c>
      <c r="B721" s="1">
        <f t="array" ref="B721">MMULT(Returns!B721:Z721,Resume!$B$38:$B$62)</f>
        <v>0</v>
      </c>
    </row>
    <row r="722" spans="1:2">
      <c r="A722" s="11">
        <f>Returns!A722</f>
        <v>0</v>
      </c>
      <c r="B722" s="1">
        <f t="array" ref="B722">MMULT(Returns!B722:Z722,Resume!$B$38:$B$62)</f>
        <v>0</v>
      </c>
    </row>
    <row r="723" spans="1:2">
      <c r="A723" s="11">
        <f>Returns!A723</f>
        <v>0</v>
      </c>
      <c r="B723" s="1">
        <f t="array" ref="B723">MMULT(Returns!B723:Z723,Resume!$B$38:$B$62)</f>
        <v>0</v>
      </c>
    </row>
    <row r="724" spans="1:2">
      <c r="A724" s="11">
        <f>Returns!A724</f>
        <v>0</v>
      </c>
      <c r="B724" s="1">
        <f t="array" ref="B724">MMULT(Returns!B724:Z724,Resume!$B$38:$B$62)</f>
        <v>0</v>
      </c>
    </row>
    <row r="725" spans="1:2">
      <c r="A725" s="11">
        <f>Returns!A725</f>
        <v>0</v>
      </c>
      <c r="B725" s="1">
        <f t="array" ref="B725">MMULT(Returns!B725:Z725,Resume!$B$38:$B$62)</f>
        <v>0</v>
      </c>
    </row>
    <row r="726" spans="1:2">
      <c r="A726" s="11">
        <f>Returns!A726</f>
        <v>0</v>
      </c>
      <c r="B726" s="1">
        <f t="array" ref="B726">MMULT(Returns!B726:Z726,Resume!$B$38:$B$62)</f>
        <v>0</v>
      </c>
    </row>
    <row r="727" spans="1:2">
      <c r="A727" s="11">
        <f>Returns!A727</f>
        <v>0</v>
      </c>
      <c r="B727" s="1">
        <f t="array" ref="B727">MMULT(Returns!B727:Z727,Resume!$B$38:$B$62)</f>
        <v>0</v>
      </c>
    </row>
    <row r="728" spans="1:2">
      <c r="A728" s="11">
        <f>Returns!A728</f>
        <v>0</v>
      </c>
      <c r="B728" s="1">
        <f t="array" ref="B728">MMULT(Returns!B728:Z728,Resume!$B$38:$B$62)</f>
        <v>0</v>
      </c>
    </row>
    <row r="729" spans="1:2">
      <c r="A729" s="11">
        <f>Returns!A729</f>
        <v>0</v>
      </c>
      <c r="B729" s="1">
        <f t="array" ref="B729">MMULT(Returns!B729:Z729,Resume!$B$38:$B$62)</f>
        <v>0</v>
      </c>
    </row>
    <row r="730" spans="1:2">
      <c r="A730" s="11">
        <f>Returns!A730</f>
        <v>0</v>
      </c>
      <c r="B730" s="1">
        <f t="array" ref="B730">MMULT(Returns!B730:Z730,Resume!$B$38:$B$62)</f>
        <v>0</v>
      </c>
    </row>
    <row r="731" spans="1:2">
      <c r="A731" s="11">
        <f>Returns!A731</f>
        <v>0</v>
      </c>
      <c r="B731" s="1">
        <f t="array" ref="B731">MMULT(Returns!B731:Z731,Resume!$B$38:$B$62)</f>
        <v>0</v>
      </c>
    </row>
    <row r="732" spans="1:2">
      <c r="A732" s="11">
        <f>Returns!A732</f>
        <v>0</v>
      </c>
      <c r="B732" s="1">
        <f t="array" ref="B732">MMULT(Returns!B732:Z732,Resume!$B$38:$B$62)</f>
        <v>0</v>
      </c>
    </row>
    <row r="733" spans="1:2">
      <c r="A733" s="11">
        <f>Returns!A733</f>
        <v>0</v>
      </c>
      <c r="B733" s="1">
        <f t="array" ref="B733">MMULT(Returns!B733:Z733,Resume!$B$38:$B$62)</f>
        <v>0</v>
      </c>
    </row>
    <row r="734" spans="1:2">
      <c r="A734" s="11">
        <f>Returns!A734</f>
        <v>0</v>
      </c>
      <c r="B734" s="1">
        <f t="array" ref="B734">MMULT(Returns!B734:Z734,Resume!$B$38:$B$62)</f>
        <v>0</v>
      </c>
    </row>
    <row r="735" spans="1:2">
      <c r="A735" s="11">
        <f>Returns!A735</f>
        <v>0</v>
      </c>
      <c r="B735" s="1">
        <f t="array" ref="B735">MMULT(Returns!B735:Z735,Resume!$B$38:$B$62)</f>
        <v>0</v>
      </c>
    </row>
    <row r="736" spans="1:2">
      <c r="A736" s="11">
        <f>Returns!A736</f>
        <v>0</v>
      </c>
      <c r="B736" s="1">
        <f t="array" ref="B736">MMULT(Returns!B736:Z736,Resume!$B$38:$B$62)</f>
        <v>0</v>
      </c>
    </row>
    <row r="737" spans="1:2">
      <c r="A737" s="11">
        <f>Returns!A737</f>
        <v>0</v>
      </c>
      <c r="B737" s="1">
        <f t="array" ref="B737">MMULT(Returns!B737:Z737,Resume!$B$38:$B$62)</f>
        <v>0</v>
      </c>
    </row>
    <row r="738" spans="1:2">
      <c r="A738" s="11">
        <f>Returns!A738</f>
        <v>0</v>
      </c>
      <c r="B738" s="1">
        <f t="array" ref="B738">MMULT(Returns!B738:Z738,Resume!$B$38:$B$62)</f>
        <v>0</v>
      </c>
    </row>
    <row r="739" spans="1:2">
      <c r="A739" s="11">
        <f>Returns!A739</f>
        <v>0</v>
      </c>
      <c r="B739" s="1">
        <f t="array" ref="B739">MMULT(Returns!B739:Z739,Resume!$B$38:$B$62)</f>
        <v>0</v>
      </c>
    </row>
    <row r="740" spans="1:2">
      <c r="A740" s="11">
        <f>Returns!A740</f>
        <v>0</v>
      </c>
      <c r="B740" s="1">
        <f t="array" ref="B740">MMULT(Returns!B740:Z740,Resume!$B$38:$B$62)</f>
        <v>0</v>
      </c>
    </row>
    <row r="741" spans="1:2">
      <c r="A741" s="11">
        <f>Returns!A741</f>
        <v>0</v>
      </c>
      <c r="B741" s="1">
        <f t="array" ref="B741">MMULT(Returns!B741:Z741,Resume!$B$38:$B$62)</f>
        <v>0</v>
      </c>
    </row>
    <row r="742" spans="1:2">
      <c r="A742" s="11">
        <f>Returns!A742</f>
        <v>0</v>
      </c>
      <c r="B742" s="1">
        <f t="array" ref="B742">MMULT(Returns!B742:Z742,Resume!$B$38:$B$62)</f>
        <v>0</v>
      </c>
    </row>
    <row r="743" spans="1:2">
      <c r="A743" s="11">
        <f>Returns!A743</f>
        <v>0</v>
      </c>
      <c r="B743" s="1">
        <f t="array" ref="B743">MMULT(Returns!B743:Z743,Resume!$B$38:$B$62)</f>
        <v>0</v>
      </c>
    </row>
    <row r="744" spans="1:2">
      <c r="A744" s="11">
        <f>Returns!A744</f>
        <v>0</v>
      </c>
      <c r="B744" s="1">
        <f t="array" ref="B744">MMULT(Returns!B744:Z744,Resume!$B$38:$B$62)</f>
        <v>0</v>
      </c>
    </row>
    <row r="745" spans="1:2">
      <c r="A745" s="11">
        <f>Returns!A745</f>
        <v>0</v>
      </c>
      <c r="B745" s="1">
        <f t="array" ref="B745">MMULT(Returns!B745:Z745,Resume!$B$38:$B$62)</f>
        <v>0</v>
      </c>
    </row>
    <row r="746" spans="1:2">
      <c r="A746" s="11">
        <f>Returns!A746</f>
        <v>0</v>
      </c>
      <c r="B746" s="1">
        <f t="array" ref="B746">MMULT(Returns!B746:Z746,Resume!$B$38:$B$62)</f>
        <v>0</v>
      </c>
    </row>
    <row r="747" spans="1:2">
      <c r="A747" s="11">
        <f>Returns!A747</f>
        <v>0</v>
      </c>
      <c r="B747" s="1">
        <f t="array" ref="B747">MMULT(Returns!B747:Z747,Resume!$B$38:$B$62)</f>
        <v>0</v>
      </c>
    </row>
    <row r="748" spans="1:2">
      <c r="A748" s="11">
        <f>Returns!A748</f>
        <v>0</v>
      </c>
      <c r="B748" s="1">
        <f t="array" ref="B748">MMULT(Returns!B748:Z748,Resume!$B$38:$B$62)</f>
        <v>0</v>
      </c>
    </row>
    <row r="749" spans="1:2">
      <c r="A749" s="11">
        <f>Returns!A749</f>
        <v>0</v>
      </c>
      <c r="B749" s="1">
        <f t="array" ref="B749">MMULT(Returns!B749:Z749,Resume!$B$38:$B$62)</f>
        <v>0</v>
      </c>
    </row>
    <row r="750" spans="1:2">
      <c r="A750" s="11">
        <f>Returns!A750</f>
        <v>0</v>
      </c>
      <c r="B750" s="1">
        <f t="array" ref="B750">MMULT(Returns!B750:Z750,Resume!$B$38:$B$62)</f>
        <v>0</v>
      </c>
    </row>
    <row r="751" spans="1:2">
      <c r="A751" s="11">
        <f>Returns!A751</f>
        <v>0</v>
      </c>
      <c r="B751" s="1">
        <f t="array" ref="B751">MMULT(Returns!B751:Z751,Resume!$B$38:$B$62)</f>
        <v>0</v>
      </c>
    </row>
    <row r="752" spans="1:2">
      <c r="A752" s="11">
        <f>Returns!A752</f>
        <v>0</v>
      </c>
      <c r="B752" s="1">
        <f t="array" ref="B752">MMULT(Returns!B752:Z752,Resume!$B$38:$B$62)</f>
        <v>0</v>
      </c>
    </row>
    <row r="753" spans="1:2">
      <c r="A753" s="11">
        <f>Returns!A753</f>
        <v>0</v>
      </c>
      <c r="B753" s="1">
        <f t="array" ref="B753">MMULT(Returns!B753:Z753,Resume!$B$38:$B$62)</f>
        <v>0</v>
      </c>
    </row>
    <row r="754" spans="1:2">
      <c r="A754" s="11">
        <f>Returns!A754</f>
        <v>0</v>
      </c>
      <c r="B754" s="1">
        <f t="array" ref="B754">MMULT(Returns!B754:Z754,Resume!$B$38:$B$62)</f>
        <v>0</v>
      </c>
    </row>
    <row r="755" spans="1:2">
      <c r="A755" s="11">
        <f>Returns!A755</f>
        <v>0</v>
      </c>
      <c r="B755" s="1">
        <f t="array" ref="B755">MMULT(Returns!B755:Z755,Resume!$B$38:$B$62)</f>
        <v>0</v>
      </c>
    </row>
    <row r="756" spans="1:2">
      <c r="A756" s="11">
        <f>Returns!A756</f>
        <v>0</v>
      </c>
      <c r="B756" s="1">
        <f t="array" ref="B756">MMULT(Returns!B756:Z756,Resume!$B$38:$B$62)</f>
        <v>0</v>
      </c>
    </row>
    <row r="757" spans="1:2">
      <c r="A757" s="11">
        <f>Returns!A757</f>
        <v>0</v>
      </c>
      <c r="B757" s="1">
        <f t="array" ref="B757">MMULT(Returns!B757:Z757,Resume!$B$38:$B$62)</f>
        <v>0</v>
      </c>
    </row>
    <row r="758" spans="1:2">
      <c r="A758" s="11">
        <f>Returns!A758</f>
        <v>0</v>
      </c>
      <c r="B758" s="1">
        <f t="array" ref="B758">MMULT(Returns!B758:Z758,Resume!$B$38:$B$62)</f>
        <v>0</v>
      </c>
    </row>
    <row r="759" spans="1:2">
      <c r="A759" s="11">
        <f>Returns!A759</f>
        <v>0</v>
      </c>
      <c r="B759" s="1">
        <f t="array" ref="B759">MMULT(Returns!B759:Z759,Resume!$B$38:$B$62)</f>
        <v>0</v>
      </c>
    </row>
    <row r="760" spans="1:2">
      <c r="A760" s="11">
        <f>Returns!A760</f>
        <v>0</v>
      </c>
      <c r="B760" s="1">
        <f t="array" ref="B760">MMULT(Returns!B760:Z760,Resume!$B$38:$B$62)</f>
        <v>0</v>
      </c>
    </row>
    <row r="761" spans="1:2">
      <c r="A761" s="11">
        <f>Returns!A761</f>
        <v>0</v>
      </c>
      <c r="B761" s="1">
        <f t="array" ref="B761">MMULT(Returns!B761:Z761,Resume!$B$38:$B$62)</f>
        <v>0</v>
      </c>
    </row>
    <row r="762" spans="1:2">
      <c r="A762" s="11">
        <f>Returns!A762</f>
        <v>0</v>
      </c>
      <c r="B762" s="1">
        <f t="array" ref="B762">MMULT(Returns!B762:Z762,Resume!$B$38:$B$62)</f>
        <v>0</v>
      </c>
    </row>
    <row r="763" spans="1:2">
      <c r="A763" s="11">
        <f>Returns!A763</f>
        <v>0</v>
      </c>
      <c r="B763" s="1">
        <f t="array" ref="B763">MMULT(Returns!B763:Z763,Resume!$B$38:$B$62)</f>
        <v>0</v>
      </c>
    </row>
    <row r="764" spans="1:2">
      <c r="A764" s="11">
        <f>Returns!A764</f>
        <v>0</v>
      </c>
      <c r="B764" s="1">
        <f t="array" ref="B764">MMULT(Returns!B764:Z764,Resume!$B$38:$B$62)</f>
        <v>0</v>
      </c>
    </row>
    <row r="765" spans="1:2">
      <c r="A765" s="11">
        <f>Returns!A765</f>
        <v>0</v>
      </c>
      <c r="B765" s="1">
        <f t="array" ref="B765">MMULT(Returns!B765:Z765,Resume!$B$38:$B$62)</f>
        <v>0</v>
      </c>
    </row>
    <row r="766" spans="1:2">
      <c r="A766" s="11">
        <f>Returns!A766</f>
        <v>0</v>
      </c>
      <c r="B766" s="1">
        <f t="array" ref="B766">MMULT(Returns!B766:Z766,Resume!$B$38:$B$62)</f>
        <v>0</v>
      </c>
    </row>
    <row r="767" spans="1:2">
      <c r="A767" s="11">
        <f>Returns!A767</f>
        <v>0</v>
      </c>
      <c r="B767" s="1">
        <f t="array" ref="B767">MMULT(Returns!B767:Z767,Resume!$B$38:$B$62)</f>
        <v>0</v>
      </c>
    </row>
    <row r="768" spans="1:2">
      <c r="A768" s="11">
        <f>Returns!A768</f>
        <v>0</v>
      </c>
      <c r="B768" s="1">
        <f t="array" ref="B768">MMULT(Returns!B768:Z768,Resume!$B$38:$B$62)</f>
        <v>0</v>
      </c>
    </row>
    <row r="769" spans="1:2">
      <c r="A769" s="11">
        <f>Returns!A769</f>
        <v>0</v>
      </c>
      <c r="B769" s="1">
        <f t="array" ref="B769">MMULT(Returns!B769:Z769,Resume!$B$38:$B$62)</f>
        <v>0</v>
      </c>
    </row>
    <row r="770" spans="1:2">
      <c r="A770" s="11">
        <f>Returns!A770</f>
        <v>0</v>
      </c>
      <c r="B770" s="1">
        <f t="array" ref="B770">MMULT(Returns!B770:Z770,Resume!$B$38:$B$62)</f>
        <v>0</v>
      </c>
    </row>
    <row r="771" spans="1:2">
      <c r="A771" s="11">
        <f>Returns!A771</f>
        <v>0</v>
      </c>
      <c r="B771" s="1">
        <f t="array" ref="B771">MMULT(Returns!B771:Z771,Resume!$B$38:$B$62)</f>
        <v>0</v>
      </c>
    </row>
    <row r="772" spans="1:2">
      <c r="A772" s="11">
        <f>Returns!A772</f>
        <v>0</v>
      </c>
      <c r="B772" s="1">
        <f t="array" ref="B772">MMULT(Returns!B772:Z772,Resume!$B$38:$B$62)</f>
        <v>0</v>
      </c>
    </row>
    <row r="773" spans="1:2">
      <c r="A773" s="11">
        <f>Returns!A773</f>
        <v>0</v>
      </c>
      <c r="B773" s="1">
        <f t="array" ref="B773">MMULT(Returns!B773:Z773,Resume!$B$38:$B$62)</f>
        <v>0</v>
      </c>
    </row>
    <row r="774" spans="1:2">
      <c r="A774" s="11">
        <f>Returns!A774</f>
        <v>0</v>
      </c>
      <c r="B774" s="1">
        <f t="array" ref="B774">MMULT(Returns!B774:Z774,Resume!$B$38:$B$62)</f>
        <v>0</v>
      </c>
    </row>
    <row r="775" spans="1:2">
      <c r="A775" s="11">
        <f>Returns!A775</f>
        <v>0</v>
      </c>
      <c r="B775" s="1">
        <f t="array" ref="B775">MMULT(Returns!B775:Z775,Resume!$B$38:$B$62)</f>
        <v>0</v>
      </c>
    </row>
    <row r="776" spans="1:2">
      <c r="A776" s="11">
        <f>Returns!A776</f>
        <v>0</v>
      </c>
      <c r="B776" s="1">
        <f t="array" ref="B776">MMULT(Returns!B776:Z776,Resume!$B$38:$B$62)</f>
        <v>0</v>
      </c>
    </row>
    <row r="777" spans="1:2">
      <c r="A777" s="11">
        <f>Returns!A777</f>
        <v>0</v>
      </c>
      <c r="B777" s="1">
        <f t="array" ref="B777">MMULT(Returns!B777:Z777,Resume!$B$38:$B$62)</f>
        <v>0</v>
      </c>
    </row>
    <row r="778" spans="1:2">
      <c r="A778" s="11">
        <f>Returns!A778</f>
        <v>0</v>
      </c>
      <c r="B778" s="1">
        <f t="array" ref="B778">MMULT(Returns!B778:Z778,Resume!$B$38:$B$62)</f>
        <v>0</v>
      </c>
    </row>
    <row r="779" spans="1:2">
      <c r="A779" s="11">
        <f>Returns!A779</f>
        <v>0</v>
      </c>
      <c r="B779" s="1">
        <f t="array" ref="B779">MMULT(Returns!B779:Z779,Resume!$B$38:$B$62)</f>
        <v>0</v>
      </c>
    </row>
    <row r="780" spans="1:2">
      <c r="A780" s="11">
        <f>Returns!A780</f>
        <v>0</v>
      </c>
      <c r="B780" s="1">
        <f t="array" ref="B780">MMULT(Returns!B780:Z780,Resume!$B$38:$B$62)</f>
        <v>0</v>
      </c>
    </row>
    <row r="781" spans="1:2">
      <c r="A781" s="11">
        <f>Returns!A781</f>
        <v>0</v>
      </c>
      <c r="B781" s="1">
        <f t="array" ref="B781">MMULT(Returns!B781:Z781,Resume!$B$38:$B$62)</f>
        <v>0</v>
      </c>
    </row>
    <row r="782" spans="1:2">
      <c r="A782" s="11">
        <f>Returns!A782</f>
        <v>0</v>
      </c>
      <c r="B782" s="1">
        <f t="array" ref="B782">MMULT(Returns!B782:Z782,Resume!$B$38:$B$62)</f>
        <v>0</v>
      </c>
    </row>
    <row r="783" spans="1:2">
      <c r="A783" s="11">
        <f>Returns!A783</f>
        <v>0</v>
      </c>
      <c r="B783" s="1">
        <f t="array" ref="B783">MMULT(Returns!B783:Z783,Resume!$B$38:$B$62)</f>
        <v>0</v>
      </c>
    </row>
    <row r="784" spans="1:2">
      <c r="A784" s="11">
        <f>Returns!A784</f>
        <v>0</v>
      </c>
      <c r="B784" s="1">
        <f t="array" ref="B784">MMULT(Returns!B784:Z784,Resume!$B$38:$B$62)</f>
        <v>0</v>
      </c>
    </row>
    <row r="785" spans="1:2">
      <c r="A785" s="11">
        <f>Returns!A785</f>
        <v>0</v>
      </c>
      <c r="B785" s="1">
        <f t="array" ref="B785">MMULT(Returns!B785:Z785,Resume!$B$38:$B$62)</f>
        <v>0</v>
      </c>
    </row>
    <row r="786" spans="1:2">
      <c r="A786" s="11">
        <f>Returns!A786</f>
        <v>0</v>
      </c>
      <c r="B786" s="1">
        <f t="array" ref="B786">MMULT(Returns!B786:Z786,Resume!$B$38:$B$62)</f>
        <v>0</v>
      </c>
    </row>
    <row r="787" spans="1:2">
      <c r="A787" s="11">
        <f>Returns!A787</f>
        <v>0</v>
      </c>
      <c r="B787" s="1">
        <f t="array" ref="B787">MMULT(Returns!B787:Z787,Resume!$B$38:$B$62)</f>
        <v>0</v>
      </c>
    </row>
    <row r="788" spans="1:2">
      <c r="A788" s="11">
        <f>Returns!A788</f>
        <v>0</v>
      </c>
      <c r="B788" s="1">
        <f t="array" ref="B788">MMULT(Returns!B788:Z788,Resume!$B$38:$B$62)</f>
        <v>0</v>
      </c>
    </row>
    <row r="789" spans="1:2">
      <c r="A789" s="11">
        <f>Returns!A789</f>
        <v>0</v>
      </c>
      <c r="B789" s="1">
        <f t="array" ref="B789">MMULT(Returns!B789:Z789,Resume!$B$38:$B$62)</f>
        <v>0</v>
      </c>
    </row>
    <row r="790" spans="1:2">
      <c r="A790" s="11">
        <f>Returns!A790</f>
        <v>0</v>
      </c>
      <c r="B790" s="1">
        <f t="array" ref="B790">MMULT(Returns!B790:Z790,Resume!$B$38:$B$62)</f>
        <v>0</v>
      </c>
    </row>
    <row r="791" spans="1:2">
      <c r="A791" s="11">
        <f>Returns!A791</f>
        <v>0</v>
      </c>
      <c r="B791" s="1">
        <f t="array" ref="B791">MMULT(Returns!B791:Z791,Resume!$B$38:$B$62)</f>
        <v>0</v>
      </c>
    </row>
    <row r="792" spans="1:2">
      <c r="A792" s="11">
        <f>Returns!A792</f>
        <v>0</v>
      </c>
      <c r="B792" s="1">
        <f t="array" ref="B792">MMULT(Returns!B792:Z792,Resume!$B$38:$B$62)</f>
        <v>0</v>
      </c>
    </row>
    <row r="793" spans="1:2">
      <c r="A793" s="11">
        <f>Returns!A793</f>
        <v>0</v>
      </c>
      <c r="B793" s="1">
        <f t="array" ref="B793">MMULT(Returns!B793:Z793,Resume!$B$38:$B$62)</f>
        <v>0</v>
      </c>
    </row>
    <row r="794" spans="1:2">
      <c r="A794" s="11">
        <f>Returns!A794</f>
        <v>0</v>
      </c>
      <c r="B794" s="1">
        <f t="array" ref="B794">MMULT(Returns!B794:Z794,Resume!$B$38:$B$62)</f>
        <v>0</v>
      </c>
    </row>
    <row r="795" spans="1:2">
      <c r="A795" s="11">
        <f>Returns!A795</f>
        <v>0</v>
      </c>
      <c r="B795" s="1">
        <f t="array" ref="B795">MMULT(Returns!B795:Z795,Resume!$B$38:$B$62)</f>
        <v>0</v>
      </c>
    </row>
    <row r="796" spans="1:2">
      <c r="A796" s="11">
        <f>Returns!A796</f>
        <v>0</v>
      </c>
      <c r="B796" s="1">
        <f t="array" ref="B796">MMULT(Returns!B796:Z796,Resume!$B$38:$B$62)</f>
        <v>0</v>
      </c>
    </row>
    <row r="797" spans="1:2">
      <c r="A797" s="11">
        <f>Returns!A797</f>
        <v>0</v>
      </c>
      <c r="B797" s="1">
        <f t="array" ref="B797">MMULT(Returns!B797:Z797,Resume!$B$38:$B$62)</f>
        <v>0</v>
      </c>
    </row>
    <row r="798" spans="1:2">
      <c r="A798" s="11">
        <f>Returns!A798</f>
        <v>0</v>
      </c>
      <c r="B798" s="1">
        <f t="array" ref="B798">MMULT(Returns!B798:Z798,Resume!$B$38:$B$62)</f>
        <v>0</v>
      </c>
    </row>
    <row r="799" spans="1:2">
      <c r="A799" s="11">
        <f>Returns!A799</f>
        <v>0</v>
      </c>
      <c r="B799" s="1">
        <f t="array" ref="B799">MMULT(Returns!B799:Z799,Resume!$B$38:$B$62)</f>
        <v>0</v>
      </c>
    </row>
    <row r="800" spans="1:2">
      <c r="A800" s="11">
        <f>Returns!A800</f>
        <v>0</v>
      </c>
      <c r="B800" s="1">
        <f t="array" ref="B800">MMULT(Returns!B800:Z800,Resume!$B$38:$B$62)</f>
        <v>0</v>
      </c>
    </row>
    <row r="801" spans="1:2">
      <c r="A801" s="11">
        <f>Returns!A801</f>
        <v>0</v>
      </c>
      <c r="B801" s="1">
        <f t="array" ref="B801">MMULT(Returns!B801:Z801,Resume!$B$38:$B$62)</f>
        <v>0</v>
      </c>
    </row>
    <row r="802" spans="1:2">
      <c r="A802" s="11">
        <f>Returns!A802</f>
        <v>0</v>
      </c>
      <c r="B802" s="1">
        <f t="array" ref="B802">MMULT(Returns!B802:Z802,Resume!$B$38:$B$62)</f>
        <v>0</v>
      </c>
    </row>
    <row r="803" spans="1:2">
      <c r="A803" s="11">
        <f>Returns!A803</f>
        <v>0</v>
      </c>
      <c r="B803" s="1">
        <f t="array" ref="B803">MMULT(Returns!B803:Z803,Resume!$B$38:$B$62)</f>
        <v>0</v>
      </c>
    </row>
    <row r="804" spans="1:2">
      <c r="A804" s="11">
        <f>Returns!A804</f>
        <v>0</v>
      </c>
      <c r="B804" s="1">
        <f t="array" ref="B804">MMULT(Returns!B804:Z804,Resume!$B$38:$B$62)</f>
        <v>0</v>
      </c>
    </row>
    <row r="805" spans="1:2">
      <c r="A805" s="11">
        <f>Returns!A805</f>
        <v>0</v>
      </c>
      <c r="B805" s="1">
        <f t="array" ref="B805">MMULT(Returns!B805:Z805,Resume!$B$38:$B$62)</f>
        <v>0</v>
      </c>
    </row>
    <row r="806" spans="1:2">
      <c r="A806" s="11">
        <f>Returns!A806</f>
        <v>0</v>
      </c>
      <c r="B806" s="1">
        <f t="array" ref="B806">MMULT(Returns!B806:Z806,Resume!$B$38:$B$62)</f>
        <v>0</v>
      </c>
    </row>
    <row r="807" spans="1:2">
      <c r="A807" s="11">
        <f>Returns!A807</f>
        <v>0</v>
      </c>
      <c r="B807" s="1">
        <f t="array" ref="B807">MMULT(Returns!B807:Z807,Resume!$B$38:$B$62)</f>
        <v>0</v>
      </c>
    </row>
    <row r="808" spans="1:2">
      <c r="A808" s="11">
        <f>Returns!A808</f>
        <v>0</v>
      </c>
      <c r="B808" s="1">
        <f t="array" ref="B808">MMULT(Returns!B808:Z808,Resume!$B$38:$B$62)</f>
        <v>0</v>
      </c>
    </row>
    <row r="809" spans="1:2">
      <c r="A809" s="11">
        <f>Returns!A809</f>
        <v>0</v>
      </c>
      <c r="B809" s="1">
        <f t="array" ref="B809">MMULT(Returns!B809:Z809,Resume!$B$38:$B$62)</f>
        <v>0</v>
      </c>
    </row>
    <row r="810" spans="1:2">
      <c r="A810" s="11">
        <f>Returns!A810</f>
        <v>0</v>
      </c>
      <c r="B810" s="1">
        <f t="array" ref="B810">MMULT(Returns!B810:Z810,Resume!$B$38:$B$62)</f>
        <v>0</v>
      </c>
    </row>
    <row r="811" spans="1:2">
      <c r="A811" s="11">
        <f>Returns!A811</f>
        <v>0</v>
      </c>
      <c r="B811" s="1">
        <f t="array" ref="B811">MMULT(Returns!B811:Z811,Resume!$B$38:$B$62)</f>
        <v>0</v>
      </c>
    </row>
    <row r="812" spans="1:2">
      <c r="A812" s="11">
        <f>Returns!A812</f>
        <v>0</v>
      </c>
      <c r="B812" s="1">
        <f t="array" ref="B812">MMULT(Returns!B812:Z812,Resume!$B$38:$B$62)</f>
        <v>0</v>
      </c>
    </row>
    <row r="813" spans="1:2">
      <c r="A813" s="11">
        <f>Returns!A813</f>
        <v>0</v>
      </c>
      <c r="B813" s="1">
        <f t="array" ref="B813">MMULT(Returns!B813:Z813,Resume!$B$38:$B$62)</f>
        <v>0</v>
      </c>
    </row>
    <row r="814" spans="1:2">
      <c r="A814" s="11">
        <f>Returns!A814</f>
        <v>0</v>
      </c>
      <c r="B814" s="1">
        <f t="array" ref="B814">MMULT(Returns!B814:Z814,Resume!$B$38:$B$62)</f>
        <v>0</v>
      </c>
    </row>
    <row r="815" spans="1:2">
      <c r="A815" s="11">
        <f>Returns!A815</f>
        <v>0</v>
      </c>
      <c r="B815" s="1">
        <f t="array" ref="B815">MMULT(Returns!B815:Z815,Resume!$B$38:$B$62)</f>
        <v>0</v>
      </c>
    </row>
    <row r="816" spans="1:2">
      <c r="A816" s="11">
        <f>Returns!A816</f>
        <v>0</v>
      </c>
      <c r="B816" s="1">
        <f t="array" ref="B816">MMULT(Returns!B816:Z816,Resume!$B$38:$B$62)</f>
        <v>0</v>
      </c>
    </row>
    <row r="817" spans="1:2">
      <c r="A817" s="11">
        <f>Returns!A817</f>
        <v>0</v>
      </c>
      <c r="B817" s="1">
        <f t="array" ref="B817">MMULT(Returns!B817:Z817,Resume!$B$38:$B$62)</f>
        <v>0</v>
      </c>
    </row>
    <row r="818" spans="1:2">
      <c r="A818" s="11">
        <f>Returns!A818</f>
        <v>0</v>
      </c>
      <c r="B818" s="1">
        <f t="array" ref="B818">MMULT(Returns!B818:Z818,Resume!$B$38:$B$62)</f>
        <v>0</v>
      </c>
    </row>
    <row r="819" spans="1:2">
      <c r="A819" s="11">
        <f>Returns!A819</f>
        <v>0</v>
      </c>
      <c r="B819" s="1">
        <f t="array" ref="B819">MMULT(Returns!B819:Z819,Resume!$B$38:$B$62)</f>
        <v>0</v>
      </c>
    </row>
    <row r="820" spans="1:2">
      <c r="A820" s="11">
        <f>Returns!A820</f>
        <v>0</v>
      </c>
      <c r="B820" s="1">
        <f t="array" ref="B820">MMULT(Returns!B820:Z820,Resume!$B$38:$B$62)</f>
        <v>0</v>
      </c>
    </row>
    <row r="821" spans="1:2">
      <c r="A821" s="11">
        <f>Returns!A821</f>
        <v>0</v>
      </c>
      <c r="B821" s="1">
        <f t="array" ref="B821">MMULT(Returns!B821:Z821,Resume!$B$38:$B$62)</f>
        <v>0</v>
      </c>
    </row>
    <row r="822" spans="1:2">
      <c r="A822" s="11">
        <f>Returns!A822</f>
        <v>0</v>
      </c>
      <c r="B822" s="1">
        <f t="array" ref="B822">MMULT(Returns!B822:Z822,Resume!$B$38:$B$62)</f>
        <v>0</v>
      </c>
    </row>
    <row r="823" spans="1:2">
      <c r="A823" s="11">
        <f>Returns!A823</f>
        <v>0</v>
      </c>
      <c r="B823" s="1">
        <f t="array" ref="B823">MMULT(Returns!B823:Z823,Resume!$B$38:$B$62)</f>
        <v>0</v>
      </c>
    </row>
    <row r="824" spans="1:2">
      <c r="A824" s="11">
        <f>Returns!A824</f>
        <v>0</v>
      </c>
      <c r="B824" s="1">
        <f t="array" ref="B824">MMULT(Returns!B824:Z824,Resume!$B$38:$B$62)</f>
        <v>0</v>
      </c>
    </row>
    <row r="825" spans="1:2">
      <c r="A825" s="11">
        <f>Returns!A825</f>
        <v>0</v>
      </c>
      <c r="B825" s="1">
        <f t="array" ref="B825">MMULT(Returns!B825:Z825,Resume!$B$38:$B$62)</f>
        <v>0</v>
      </c>
    </row>
    <row r="826" spans="1:2">
      <c r="A826" s="11">
        <f>Returns!A826</f>
        <v>0</v>
      </c>
      <c r="B826" s="1">
        <f t="array" ref="B826">MMULT(Returns!B826:Z826,Resume!$B$38:$B$62)</f>
        <v>0</v>
      </c>
    </row>
    <row r="827" spans="1:2">
      <c r="A827" s="11">
        <f>Returns!A827</f>
        <v>0</v>
      </c>
      <c r="B827" s="1">
        <f t="array" ref="B827">MMULT(Returns!B827:Z827,Resume!$B$38:$B$62)</f>
        <v>0</v>
      </c>
    </row>
    <row r="828" spans="1:2">
      <c r="A828" s="11">
        <f>Returns!A828</f>
        <v>0</v>
      </c>
      <c r="B828" s="1">
        <f t="array" ref="B828">MMULT(Returns!B828:Z828,Resume!$B$38:$B$62)</f>
        <v>0</v>
      </c>
    </row>
    <row r="829" spans="1:2">
      <c r="A829" s="11">
        <f>Returns!A829</f>
        <v>0</v>
      </c>
      <c r="B829" s="1">
        <f t="array" ref="B829">MMULT(Returns!B829:Z829,Resume!$B$38:$B$62)</f>
        <v>0</v>
      </c>
    </row>
    <row r="830" spans="1:2">
      <c r="A830" s="11">
        <f>Returns!A830</f>
        <v>0</v>
      </c>
      <c r="B830" s="1">
        <f t="array" ref="B830">MMULT(Returns!B830:Z830,Resume!$B$38:$B$62)</f>
        <v>0</v>
      </c>
    </row>
    <row r="831" spans="1:2">
      <c r="A831" s="11">
        <f>Returns!A831</f>
        <v>0</v>
      </c>
      <c r="B831" s="1">
        <f t="array" ref="B831">MMULT(Returns!B831:Z831,Resume!$B$38:$B$62)</f>
        <v>0</v>
      </c>
    </row>
    <row r="832" spans="1:2">
      <c r="A832" s="11">
        <f>Returns!A832</f>
        <v>0</v>
      </c>
      <c r="B832" s="1">
        <f t="array" ref="B832">MMULT(Returns!B832:Z832,Resume!$B$38:$B$62)</f>
        <v>0</v>
      </c>
    </row>
    <row r="833" spans="1:2">
      <c r="A833" s="11">
        <f>Returns!A833</f>
        <v>0</v>
      </c>
      <c r="B833" s="1">
        <f t="array" ref="B833">MMULT(Returns!B833:Z833,Resume!$B$38:$B$62)</f>
        <v>0</v>
      </c>
    </row>
    <row r="834" spans="1:2">
      <c r="A834" s="11">
        <f>Returns!A834</f>
        <v>0</v>
      </c>
      <c r="B834" s="1">
        <f t="array" ref="B834">MMULT(Returns!B834:Z834,Resume!$B$38:$B$62)</f>
        <v>0</v>
      </c>
    </row>
    <row r="835" spans="1:2">
      <c r="A835" s="11">
        <f>Returns!A835</f>
        <v>0</v>
      </c>
      <c r="B835" s="1">
        <f t="array" ref="B835">MMULT(Returns!B835:Z835,Resume!$B$38:$B$62)</f>
        <v>0</v>
      </c>
    </row>
    <row r="836" spans="1:2">
      <c r="A836" s="11">
        <f>Returns!A836</f>
        <v>0</v>
      </c>
      <c r="B836" s="1">
        <f t="array" ref="B836">MMULT(Returns!B836:Z836,Resume!$B$38:$B$62)</f>
        <v>0</v>
      </c>
    </row>
    <row r="837" spans="1:2">
      <c r="A837" s="11">
        <f>Returns!A837</f>
        <v>0</v>
      </c>
      <c r="B837" s="1">
        <f t="array" ref="B837">MMULT(Returns!B837:Z837,Resume!$B$38:$B$62)</f>
        <v>0</v>
      </c>
    </row>
    <row r="838" spans="1:2">
      <c r="A838" s="11">
        <f>Returns!A838</f>
        <v>0</v>
      </c>
      <c r="B838" s="1">
        <f t="array" ref="B838">MMULT(Returns!B838:Z838,Resume!$B$38:$B$62)</f>
        <v>0</v>
      </c>
    </row>
    <row r="839" spans="1:2">
      <c r="A839" s="11">
        <f>Returns!A839</f>
        <v>0</v>
      </c>
      <c r="B839" s="1">
        <f t="array" ref="B839">MMULT(Returns!B839:Z839,Resume!$B$38:$B$62)</f>
        <v>0</v>
      </c>
    </row>
    <row r="840" spans="1:2">
      <c r="A840" s="11">
        <f>Returns!A840</f>
        <v>0</v>
      </c>
      <c r="B840" s="1">
        <f t="array" ref="B840">MMULT(Returns!B840:Z840,Resume!$B$38:$B$62)</f>
        <v>0</v>
      </c>
    </row>
    <row r="841" spans="1:2">
      <c r="A841" s="11">
        <f>Returns!A841</f>
        <v>0</v>
      </c>
      <c r="B841" s="1">
        <f t="array" ref="B841">MMULT(Returns!B841:Z841,Resume!$B$38:$B$62)</f>
        <v>0</v>
      </c>
    </row>
    <row r="842" spans="1:2">
      <c r="A842" s="11">
        <f>Returns!A842</f>
        <v>0</v>
      </c>
      <c r="B842" s="1">
        <f t="array" ref="B842">MMULT(Returns!B842:Z842,Resume!$B$38:$B$62)</f>
        <v>0</v>
      </c>
    </row>
    <row r="843" spans="1:2">
      <c r="A843" s="11">
        <f>Returns!A843</f>
        <v>0</v>
      </c>
      <c r="B843" s="1">
        <f t="array" ref="B843">MMULT(Returns!B843:Z843,Resume!$B$38:$B$62)</f>
        <v>0</v>
      </c>
    </row>
    <row r="844" spans="1:2">
      <c r="A844" s="11">
        <f>Returns!A844</f>
        <v>0</v>
      </c>
      <c r="B844" s="1">
        <f t="array" ref="B844">MMULT(Returns!B844:Z844,Resume!$B$38:$B$62)</f>
        <v>0</v>
      </c>
    </row>
    <row r="845" spans="1:2">
      <c r="A845" s="11">
        <f>Returns!A845</f>
        <v>0</v>
      </c>
      <c r="B845" s="1">
        <f t="array" ref="B845">MMULT(Returns!B845:Z845,Resume!$B$38:$B$62)</f>
        <v>0</v>
      </c>
    </row>
    <row r="846" spans="1:2">
      <c r="A846" s="11">
        <f>Returns!A846</f>
        <v>0</v>
      </c>
      <c r="B846" s="1">
        <f t="array" ref="B846">MMULT(Returns!B846:Z846,Resume!$B$38:$B$62)</f>
        <v>0</v>
      </c>
    </row>
    <row r="847" spans="1:2">
      <c r="A847" s="11">
        <f>Returns!A847</f>
        <v>0</v>
      </c>
      <c r="B847" s="1">
        <f t="array" ref="B847">MMULT(Returns!B847:Z847,Resume!$B$38:$B$62)</f>
        <v>0</v>
      </c>
    </row>
    <row r="848" spans="1:2">
      <c r="A848" s="11">
        <f>Returns!A848</f>
        <v>0</v>
      </c>
      <c r="B848" s="1">
        <f t="array" ref="B848">MMULT(Returns!B848:Z848,Resume!$B$38:$B$62)</f>
        <v>0</v>
      </c>
    </row>
    <row r="849" spans="1:2">
      <c r="A849" s="11">
        <f>Returns!A849</f>
        <v>0</v>
      </c>
      <c r="B849" s="1">
        <f t="array" ref="B849">MMULT(Returns!B849:Z849,Resume!$B$38:$B$62)</f>
        <v>0</v>
      </c>
    </row>
    <row r="850" spans="1:2">
      <c r="A850" s="11">
        <f>Returns!A850</f>
        <v>0</v>
      </c>
      <c r="B850" s="1">
        <f t="array" ref="B850">MMULT(Returns!B850:Z850,Resume!$B$38:$B$62)</f>
        <v>0</v>
      </c>
    </row>
    <row r="851" spans="1:2">
      <c r="A851" s="11">
        <f>Returns!A851</f>
        <v>0</v>
      </c>
      <c r="B851" s="1">
        <f t="array" ref="B851">MMULT(Returns!B851:Z851,Resume!$B$38:$B$62)</f>
        <v>0</v>
      </c>
    </row>
    <row r="852" spans="1:2">
      <c r="A852" s="11">
        <f>Returns!A852</f>
        <v>0</v>
      </c>
      <c r="B852" s="1">
        <f t="array" ref="B852">MMULT(Returns!B852:Z852,Resume!$B$38:$B$62)</f>
        <v>0</v>
      </c>
    </row>
    <row r="853" spans="1:2">
      <c r="A853" s="11">
        <f>Returns!A853</f>
        <v>0</v>
      </c>
      <c r="B853" s="1">
        <f t="array" ref="B853">MMULT(Returns!B853:Z853,Resume!$B$38:$B$62)</f>
        <v>0</v>
      </c>
    </row>
    <row r="854" spans="1:2">
      <c r="A854" s="11">
        <f>Returns!A854</f>
        <v>0</v>
      </c>
      <c r="B854" s="1">
        <f t="array" ref="B854">MMULT(Returns!B854:Z854,Resume!$B$38:$B$62)</f>
        <v>0</v>
      </c>
    </row>
    <row r="855" spans="1:2">
      <c r="A855" s="11">
        <f>Returns!A855</f>
        <v>0</v>
      </c>
      <c r="B855" s="1">
        <f t="array" ref="B855">MMULT(Returns!B855:Z855,Resume!$B$38:$B$62)</f>
        <v>0</v>
      </c>
    </row>
    <row r="856" spans="1:2">
      <c r="A856" s="11">
        <f>Returns!A856</f>
        <v>0</v>
      </c>
      <c r="B856" s="1">
        <f t="array" ref="B856">MMULT(Returns!B856:Z856,Resume!$B$38:$B$62)</f>
        <v>0</v>
      </c>
    </row>
    <row r="857" spans="1:2">
      <c r="A857" s="11">
        <f>Returns!A857</f>
        <v>0</v>
      </c>
      <c r="B857" s="1">
        <f t="array" ref="B857">MMULT(Returns!B857:Z857,Resume!$B$38:$B$62)</f>
        <v>0</v>
      </c>
    </row>
    <row r="858" spans="1:2">
      <c r="A858" s="11">
        <f>Returns!A858</f>
        <v>0</v>
      </c>
      <c r="B858" s="1">
        <f t="array" ref="B858">MMULT(Returns!B858:Z858,Resume!$B$38:$B$62)</f>
        <v>0</v>
      </c>
    </row>
    <row r="859" spans="1:2">
      <c r="A859" s="11">
        <f>Returns!A859</f>
        <v>0</v>
      </c>
      <c r="B859" s="1">
        <f t="array" ref="B859">MMULT(Returns!B859:Z859,Resume!$B$38:$B$62)</f>
        <v>0</v>
      </c>
    </row>
    <row r="860" spans="1:2">
      <c r="A860" s="11">
        <f>Returns!A860</f>
        <v>0</v>
      </c>
      <c r="B860" s="1">
        <f t="array" ref="B860">MMULT(Returns!B860:Z860,Resume!$B$38:$B$62)</f>
        <v>0</v>
      </c>
    </row>
    <row r="861" spans="1:2">
      <c r="A861" s="11">
        <f>Returns!A861</f>
        <v>0</v>
      </c>
      <c r="B861" s="1">
        <f t="array" ref="B861">MMULT(Returns!B861:Z861,Resume!$B$38:$B$62)</f>
        <v>0</v>
      </c>
    </row>
    <row r="862" spans="1:2">
      <c r="A862" s="11">
        <f>Returns!A862</f>
        <v>0</v>
      </c>
      <c r="B862" s="1">
        <f t="array" ref="B862">MMULT(Returns!B862:Z862,Resume!$B$38:$B$62)</f>
        <v>0</v>
      </c>
    </row>
    <row r="863" spans="1:2">
      <c r="A863" s="11">
        <f>Returns!A863</f>
        <v>0</v>
      </c>
      <c r="B863" s="1">
        <f t="array" ref="B863">MMULT(Returns!B863:Z863,Resume!$B$38:$B$62)</f>
        <v>0</v>
      </c>
    </row>
    <row r="864" spans="1:2">
      <c r="A864" s="11">
        <f>Returns!A864</f>
        <v>0</v>
      </c>
      <c r="B864" s="1">
        <f t="array" ref="B864">MMULT(Returns!B864:Z864,Resume!$B$38:$B$62)</f>
        <v>0</v>
      </c>
    </row>
    <row r="865" spans="1:2">
      <c r="A865" s="11">
        <f>Returns!A865</f>
        <v>0</v>
      </c>
      <c r="B865" s="1">
        <f t="array" ref="B865">MMULT(Returns!B865:Z865,Resume!$B$38:$B$62)</f>
        <v>0</v>
      </c>
    </row>
    <row r="866" spans="1:2">
      <c r="A866" s="11">
        <f>Returns!A866</f>
        <v>0</v>
      </c>
      <c r="B866" s="1">
        <f t="array" ref="B866">MMULT(Returns!B866:Z866,Resume!$B$38:$B$62)</f>
        <v>0</v>
      </c>
    </row>
    <row r="867" spans="1:2">
      <c r="A867" s="11">
        <f>Returns!A867</f>
        <v>0</v>
      </c>
      <c r="B867" s="1">
        <f t="array" ref="B867">MMULT(Returns!B867:Z867,Resume!$B$38:$B$62)</f>
        <v>0</v>
      </c>
    </row>
    <row r="868" spans="1:2">
      <c r="A868" s="11">
        <f>Returns!A868</f>
        <v>0</v>
      </c>
      <c r="B868" s="1">
        <f t="array" ref="B868">MMULT(Returns!B868:Z868,Resume!$B$38:$B$62)</f>
        <v>0</v>
      </c>
    </row>
    <row r="869" spans="1:2">
      <c r="A869" s="11">
        <f>Returns!A869</f>
        <v>0</v>
      </c>
      <c r="B869" s="1">
        <f t="array" ref="B869">MMULT(Returns!B869:Z869,Resume!$B$38:$B$62)</f>
        <v>0</v>
      </c>
    </row>
    <row r="870" spans="1:2">
      <c r="A870" s="11">
        <f>Returns!A870</f>
        <v>0</v>
      </c>
      <c r="B870" s="1">
        <f t="array" ref="B870">MMULT(Returns!B870:Z870,Resume!$B$38:$B$62)</f>
        <v>0</v>
      </c>
    </row>
    <row r="871" spans="1:2">
      <c r="A871" s="11">
        <f>Returns!A871</f>
        <v>0</v>
      </c>
      <c r="B871" s="1">
        <f t="array" ref="B871">MMULT(Returns!B871:Z871,Resume!$B$38:$B$62)</f>
        <v>0</v>
      </c>
    </row>
    <row r="872" spans="1:2">
      <c r="A872" s="11">
        <f>Returns!A872</f>
        <v>0</v>
      </c>
      <c r="B872" s="1">
        <f t="array" ref="B872">MMULT(Returns!B872:Z872,Resume!$B$38:$B$62)</f>
        <v>0</v>
      </c>
    </row>
    <row r="873" spans="1:2">
      <c r="A873" s="11">
        <f>Returns!A873</f>
        <v>0</v>
      </c>
      <c r="B873" s="1">
        <f t="array" ref="B873">MMULT(Returns!B873:Z873,Resume!$B$38:$B$62)</f>
        <v>0</v>
      </c>
    </row>
    <row r="874" spans="1:2">
      <c r="A874" s="11">
        <f>Returns!A874</f>
        <v>0</v>
      </c>
      <c r="B874" s="1">
        <f t="array" ref="B874">MMULT(Returns!B874:Z874,Resume!$B$38:$B$62)</f>
        <v>0</v>
      </c>
    </row>
    <row r="875" spans="1:2">
      <c r="A875" s="11">
        <f>Returns!A875</f>
        <v>0</v>
      </c>
      <c r="B875" s="1">
        <f t="array" ref="B875">MMULT(Returns!B875:Z875,Resume!$B$38:$B$62)</f>
        <v>0</v>
      </c>
    </row>
    <row r="876" spans="1:2">
      <c r="A876" s="11">
        <f>Returns!A876</f>
        <v>0</v>
      </c>
      <c r="B876" s="1">
        <f t="array" ref="B876">MMULT(Returns!B876:Z876,Resume!$B$38:$B$62)</f>
        <v>0</v>
      </c>
    </row>
    <row r="877" spans="1:2">
      <c r="A877" s="11">
        <f>Returns!A877</f>
        <v>0</v>
      </c>
      <c r="B877" s="1">
        <f t="array" ref="B877">MMULT(Returns!B877:Z877,Resume!$B$38:$B$62)</f>
        <v>0</v>
      </c>
    </row>
    <row r="878" spans="1:2">
      <c r="A878" s="11">
        <f>Returns!A878</f>
        <v>0</v>
      </c>
      <c r="B878" s="1">
        <f t="array" ref="B878">MMULT(Returns!B878:Z878,Resume!$B$38:$B$62)</f>
        <v>0</v>
      </c>
    </row>
    <row r="879" spans="1:2">
      <c r="A879" s="11">
        <f>Returns!A879</f>
        <v>0</v>
      </c>
      <c r="B879" s="1">
        <f t="array" ref="B879">MMULT(Returns!B879:Z879,Resume!$B$38:$B$62)</f>
        <v>0</v>
      </c>
    </row>
    <row r="880" spans="1:2">
      <c r="A880" s="11">
        <f>Returns!A880</f>
        <v>0</v>
      </c>
      <c r="B880" s="1">
        <f t="array" ref="B880">MMULT(Returns!B880:Z880,Resume!$B$38:$B$62)</f>
        <v>0</v>
      </c>
    </row>
    <row r="881" spans="1:2">
      <c r="A881" s="11">
        <f>Returns!A881</f>
        <v>0</v>
      </c>
      <c r="B881" s="1">
        <f t="array" ref="B881">MMULT(Returns!B881:Z881,Resume!$B$38:$B$62)</f>
        <v>0</v>
      </c>
    </row>
    <row r="882" spans="1:2">
      <c r="A882" s="11">
        <f>Returns!A882</f>
        <v>0</v>
      </c>
      <c r="B882" s="1">
        <f t="array" ref="B882">MMULT(Returns!B882:Z882,Resume!$B$38:$B$62)</f>
        <v>0</v>
      </c>
    </row>
    <row r="883" spans="1:2">
      <c r="A883" s="11">
        <f>Returns!A883</f>
        <v>0</v>
      </c>
      <c r="B883" s="1">
        <f t="array" ref="B883">MMULT(Returns!B883:Z883,Resume!$B$38:$B$62)</f>
        <v>0</v>
      </c>
    </row>
    <row r="884" spans="1:2">
      <c r="A884" s="11">
        <f>Returns!A884</f>
        <v>0</v>
      </c>
      <c r="B884" s="1">
        <f t="array" ref="B884">MMULT(Returns!B884:Z884,Resume!$B$38:$B$62)</f>
        <v>0</v>
      </c>
    </row>
    <row r="885" spans="1:2">
      <c r="A885" s="11">
        <f>Returns!A885</f>
        <v>0</v>
      </c>
      <c r="B885" s="1">
        <f t="array" ref="B885">MMULT(Returns!B885:Z885,Resume!$B$38:$B$62)</f>
        <v>0</v>
      </c>
    </row>
    <row r="886" spans="1:2">
      <c r="A886" s="11">
        <f>Returns!A886</f>
        <v>0</v>
      </c>
      <c r="B886" s="1">
        <f t="array" ref="B886">MMULT(Returns!B886:Z886,Resume!$B$38:$B$62)</f>
        <v>0</v>
      </c>
    </row>
    <row r="887" spans="1:2">
      <c r="A887" s="11">
        <f>Returns!A887</f>
        <v>0</v>
      </c>
      <c r="B887" s="1">
        <f t="array" ref="B887">MMULT(Returns!B887:Z887,Resume!$B$38:$B$62)</f>
        <v>0</v>
      </c>
    </row>
    <row r="888" spans="1:2">
      <c r="A888" s="11">
        <f>Returns!A888</f>
        <v>0</v>
      </c>
      <c r="B888" s="1">
        <f t="array" ref="B888">MMULT(Returns!B888:Z888,Resume!$B$38:$B$62)</f>
        <v>0</v>
      </c>
    </row>
    <row r="889" spans="1:2">
      <c r="A889" s="11">
        <f>Returns!A889</f>
        <v>0</v>
      </c>
      <c r="B889" s="1">
        <f t="array" ref="B889">MMULT(Returns!B889:Z889,Resume!$B$38:$B$62)</f>
        <v>0</v>
      </c>
    </row>
    <row r="890" spans="1:2">
      <c r="A890" s="11">
        <f>Returns!A890</f>
        <v>0</v>
      </c>
      <c r="B890" s="1">
        <f t="array" ref="B890">MMULT(Returns!B890:Z890,Resume!$B$38:$B$62)</f>
        <v>0</v>
      </c>
    </row>
    <row r="891" spans="1:2">
      <c r="A891" s="11">
        <f>Returns!A891</f>
        <v>0</v>
      </c>
      <c r="B891" s="1">
        <f t="array" ref="B891">MMULT(Returns!B891:Z891,Resume!$B$38:$B$62)</f>
        <v>0</v>
      </c>
    </row>
    <row r="892" spans="1:2">
      <c r="A892" s="11">
        <f>Returns!A892</f>
        <v>0</v>
      </c>
      <c r="B892" s="1">
        <f t="array" ref="B892">MMULT(Returns!B892:Z892,Resume!$B$38:$B$62)</f>
        <v>0</v>
      </c>
    </row>
    <row r="893" spans="1:2">
      <c r="A893" s="11">
        <f>Returns!A893</f>
        <v>0</v>
      </c>
      <c r="B893" s="1">
        <f t="array" ref="B893">MMULT(Returns!B893:Z893,Resume!$B$38:$B$62)</f>
        <v>0</v>
      </c>
    </row>
    <row r="894" spans="1:2">
      <c r="A894" s="11">
        <f>Returns!A894</f>
        <v>0</v>
      </c>
      <c r="B894" s="1">
        <f t="array" ref="B894">MMULT(Returns!B894:Z894,Resume!$B$38:$B$62)</f>
        <v>0</v>
      </c>
    </row>
    <row r="895" spans="1:2">
      <c r="A895" s="11">
        <f>Returns!A895</f>
        <v>0</v>
      </c>
      <c r="B895" s="1">
        <f t="array" ref="B895">MMULT(Returns!B895:Z895,Resume!$B$38:$B$62)</f>
        <v>0</v>
      </c>
    </row>
    <row r="896" spans="1:2">
      <c r="A896" s="11">
        <f>Returns!A896</f>
        <v>0</v>
      </c>
      <c r="B896" s="1">
        <f t="array" ref="B896">MMULT(Returns!B896:Z896,Resume!$B$38:$B$62)</f>
        <v>0</v>
      </c>
    </row>
    <row r="897" spans="1:2">
      <c r="A897" s="11">
        <f>Returns!A897</f>
        <v>0</v>
      </c>
      <c r="B897" s="1">
        <f t="array" ref="B897">MMULT(Returns!B897:Z897,Resume!$B$38:$B$62)</f>
        <v>0</v>
      </c>
    </row>
    <row r="898" spans="1:2">
      <c r="A898" s="11">
        <f>Returns!A898</f>
        <v>0</v>
      </c>
      <c r="B898" s="1">
        <f t="array" ref="B898">MMULT(Returns!B898:Z898,Resume!$B$38:$B$62)</f>
        <v>0</v>
      </c>
    </row>
    <row r="899" spans="1:2">
      <c r="A899" s="11">
        <f>Returns!A899</f>
        <v>0</v>
      </c>
      <c r="B899" s="1">
        <f t="array" ref="B899">MMULT(Returns!B899:Z899,Resume!$B$38:$B$62)</f>
        <v>0</v>
      </c>
    </row>
    <row r="900" spans="1:2">
      <c r="A900" s="11">
        <f>Returns!A900</f>
        <v>0</v>
      </c>
      <c r="B900" s="1">
        <f t="array" ref="B900">MMULT(Returns!B900:Z900,Resume!$B$38:$B$62)</f>
        <v>0</v>
      </c>
    </row>
    <row r="901" spans="1:2">
      <c r="A901" s="11">
        <f>Returns!A901</f>
        <v>0</v>
      </c>
      <c r="B901" s="1">
        <f t="array" ref="B901">MMULT(Returns!B901:Z901,Resume!$B$38:$B$62)</f>
        <v>0</v>
      </c>
    </row>
    <row r="902" spans="1:2">
      <c r="A902" s="11">
        <f>Returns!A902</f>
        <v>0</v>
      </c>
      <c r="B902" s="1">
        <f t="array" ref="B902">MMULT(Returns!B902:Z902,Resume!$B$38:$B$62)</f>
        <v>0</v>
      </c>
    </row>
    <row r="903" spans="1:2">
      <c r="A903" s="11">
        <f>Returns!A903</f>
        <v>0</v>
      </c>
      <c r="B903" s="1">
        <f t="array" ref="B903">MMULT(Returns!B903:Z903,Resume!$B$38:$B$62)</f>
        <v>0</v>
      </c>
    </row>
    <row r="904" spans="1:2">
      <c r="A904" s="11">
        <f>Returns!A904</f>
        <v>0</v>
      </c>
      <c r="B904" s="1">
        <f t="array" ref="B904">MMULT(Returns!B904:Z904,Resume!$B$38:$B$62)</f>
        <v>0</v>
      </c>
    </row>
    <row r="905" spans="1:2">
      <c r="A905" s="11">
        <f>Returns!A905</f>
        <v>0</v>
      </c>
      <c r="B905" s="1">
        <f t="array" ref="B905">MMULT(Returns!B905:Z905,Resume!$B$38:$B$62)</f>
        <v>0</v>
      </c>
    </row>
    <row r="906" spans="1:2">
      <c r="A906" s="11">
        <f>Returns!A906</f>
        <v>0</v>
      </c>
      <c r="B906" s="1">
        <f t="array" ref="B906">MMULT(Returns!B906:Z906,Resume!$B$38:$B$62)</f>
        <v>0</v>
      </c>
    </row>
    <row r="907" spans="1:2">
      <c r="A907" s="11">
        <f>Returns!A907</f>
        <v>0</v>
      </c>
      <c r="B907" s="1">
        <f t="array" ref="B907">MMULT(Returns!B907:Z907,Resume!$B$38:$B$62)</f>
        <v>0</v>
      </c>
    </row>
    <row r="908" spans="1:2">
      <c r="A908" s="11">
        <f>Returns!A908</f>
        <v>0</v>
      </c>
      <c r="B908" s="1">
        <f t="array" ref="B908">MMULT(Returns!B908:Z908,Resume!$B$38:$B$62)</f>
        <v>0</v>
      </c>
    </row>
    <row r="909" spans="1:2">
      <c r="A909" s="11">
        <f>Returns!A909</f>
        <v>0</v>
      </c>
      <c r="B909" s="1">
        <f t="array" ref="B909">MMULT(Returns!B909:Z909,Resume!$B$38:$B$62)</f>
        <v>0</v>
      </c>
    </row>
    <row r="910" spans="1:2">
      <c r="A910" s="11">
        <f>Returns!A910</f>
        <v>0</v>
      </c>
      <c r="B910" s="1">
        <f t="array" ref="B910">MMULT(Returns!B910:Z910,Resume!$B$38:$B$62)</f>
        <v>0</v>
      </c>
    </row>
    <row r="911" spans="1:2">
      <c r="A911" s="11">
        <f>Returns!A911</f>
        <v>0</v>
      </c>
      <c r="B911" s="1">
        <f t="array" ref="B911">MMULT(Returns!B911:Z911,Resume!$B$38:$B$62)</f>
        <v>0</v>
      </c>
    </row>
    <row r="912" spans="1:2">
      <c r="A912" s="11">
        <f>Returns!A912</f>
        <v>0</v>
      </c>
      <c r="B912" s="1">
        <f t="array" ref="B912">MMULT(Returns!B912:Z912,Resume!$B$38:$B$62)</f>
        <v>0</v>
      </c>
    </row>
    <row r="913" spans="1:2">
      <c r="A913" s="11">
        <f>Returns!A913</f>
        <v>0</v>
      </c>
      <c r="B913" s="1">
        <f t="array" ref="B913">MMULT(Returns!B913:Z913,Resume!$B$38:$B$62)</f>
        <v>0</v>
      </c>
    </row>
    <row r="914" spans="1:2">
      <c r="A914" s="11">
        <f>Returns!A914</f>
        <v>0</v>
      </c>
      <c r="B914" s="1">
        <f t="array" ref="B914">MMULT(Returns!B914:Z914,Resume!$B$38:$B$62)</f>
        <v>0</v>
      </c>
    </row>
    <row r="915" spans="1:2">
      <c r="A915" s="11">
        <f>Returns!A915</f>
        <v>0</v>
      </c>
      <c r="B915" s="1">
        <f t="array" ref="B915">MMULT(Returns!B915:Z915,Resume!$B$38:$B$62)</f>
        <v>0</v>
      </c>
    </row>
    <row r="916" spans="1:2">
      <c r="A916" s="11">
        <f>Returns!A916</f>
        <v>0</v>
      </c>
      <c r="B916" s="1">
        <f t="array" ref="B916">MMULT(Returns!B916:Z916,Resume!$B$38:$B$62)</f>
        <v>0</v>
      </c>
    </row>
    <row r="917" spans="1:2">
      <c r="A917" s="11">
        <f>Returns!A917</f>
        <v>0</v>
      </c>
      <c r="B917" s="1">
        <f t="array" ref="B917">MMULT(Returns!B917:Z917,Resume!$B$38:$B$62)</f>
        <v>0</v>
      </c>
    </row>
    <row r="918" spans="1:2">
      <c r="A918" s="11">
        <f>Returns!A918</f>
        <v>0</v>
      </c>
      <c r="B918" s="1">
        <f t="array" ref="B918">MMULT(Returns!B918:Z918,Resume!$B$38:$B$62)</f>
        <v>0</v>
      </c>
    </row>
    <row r="919" spans="1:2">
      <c r="A919" s="11">
        <f>Returns!A919</f>
        <v>0</v>
      </c>
      <c r="B919" s="1">
        <f t="array" ref="B919">MMULT(Returns!B919:Z919,Resume!$B$38:$B$62)</f>
        <v>0</v>
      </c>
    </row>
    <row r="920" spans="1:2">
      <c r="A920" s="11">
        <f>Returns!A920</f>
        <v>0</v>
      </c>
      <c r="B920" s="1">
        <f t="array" ref="B920">MMULT(Returns!B920:Z920,Resume!$B$38:$B$62)</f>
        <v>0</v>
      </c>
    </row>
    <row r="921" spans="1:2">
      <c r="A921" s="11">
        <f>Returns!A921</f>
        <v>0</v>
      </c>
      <c r="B921" s="1">
        <f t="array" ref="B921">MMULT(Returns!B921:Z921,Resume!$B$38:$B$62)</f>
        <v>0</v>
      </c>
    </row>
    <row r="922" spans="1:2">
      <c r="A922" s="11">
        <f>Returns!A922</f>
        <v>0</v>
      </c>
      <c r="B922" s="1">
        <f t="array" ref="B922">MMULT(Returns!B922:Z922,Resume!$B$38:$B$62)</f>
        <v>0</v>
      </c>
    </row>
    <row r="923" spans="1:2">
      <c r="A923" s="11">
        <f>Returns!A923</f>
        <v>0</v>
      </c>
      <c r="B923" s="1">
        <f t="array" ref="B923">MMULT(Returns!B923:Z923,Resume!$B$38:$B$62)</f>
        <v>0</v>
      </c>
    </row>
    <row r="924" spans="1:2">
      <c r="A924" s="11">
        <f>Returns!A924</f>
        <v>0</v>
      </c>
      <c r="B924" s="1">
        <f t="array" ref="B924">MMULT(Returns!B924:Z924,Resume!$B$38:$B$62)</f>
        <v>0</v>
      </c>
    </row>
    <row r="925" spans="1:2">
      <c r="A925" s="11">
        <f>Returns!A925</f>
        <v>0</v>
      </c>
      <c r="B925" s="1">
        <f t="array" ref="B925">MMULT(Returns!B925:Z925,Resume!$B$38:$B$62)</f>
        <v>0</v>
      </c>
    </row>
    <row r="926" spans="1:2">
      <c r="A926" s="11">
        <f>Returns!A926</f>
        <v>0</v>
      </c>
      <c r="B926" s="1">
        <f t="array" ref="B926">MMULT(Returns!B926:Z926,Resume!$B$38:$B$62)</f>
        <v>0</v>
      </c>
    </row>
    <row r="927" spans="1:2">
      <c r="A927" s="11">
        <f>Returns!A927</f>
        <v>0</v>
      </c>
      <c r="B927" s="1">
        <f t="array" ref="B927">MMULT(Returns!B927:Z927,Resume!$B$38:$B$62)</f>
        <v>0</v>
      </c>
    </row>
    <row r="928" spans="1:2">
      <c r="A928" s="11">
        <f>Returns!A928</f>
        <v>0</v>
      </c>
      <c r="B928" s="1">
        <f t="array" ref="B928">MMULT(Returns!B928:Z928,Resume!$B$38:$B$62)</f>
        <v>0</v>
      </c>
    </row>
    <row r="929" spans="1:2">
      <c r="A929" s="11">
        <f>Returns!A929</f>
        <v>0</v>
      </c>
      <c r="B929" s="1">
        <f t="array" ref="B929">MMULT(Returns!B929:Z929,Resume!$B$38:$B$62)</f>
        <v>0</v>
      </c>
    </row>
    <row r="930" spans="1:2">
      <c r="A930" s="11">
        <f>Returns!A930</f>
        <v>0</v>
      </c>
      <c r="B930" s="1">
        <f t="array" ref="B930">MMULT(Returns!B930:Z930,Resume!$B$38:$B$62)</f>
        <v>0</v>
      </c>
    </row>
    <row r="931" spans="1:2">
      <c r="A931" s="11">
        <f>Returns!A931</f>
        <v>0</v>
      </c>
      <c r="B931" s="1">
        <f t="array" ref="B931">MMULT(Returns!B931:Z931,Resume!$B$38:$B$62)</f>
        <v>0</v>
      </c>
    </row>
    <row r="932" spans="1:2">
      <c r="A932" s="11">
        <f>Returns!A932</f>
        <v>0</v>
      </c>
      <c r="B932" s="1">
        <f t="array" ref="B932">MMULT(Returns!B932:Z932,Resume!$B$38:$B$62)</f>
        <v>0</v>
      </c>
    </row>
    <row r="933" spans="1:2">
      <c r="A933" s="11">
        <f>Returns!A933</f>
        <v>0</v>
      </c>
      <c r="B933" s="1">
        <f t="array" ref="B933">MMULT(Returns!B933:Z933,Resume!$B$38:$B$62)</f>
        <v>0</v>
      </c>
    </row>
    <row r="934" spans="1:2">
      <c r="A934" s="11">
        <f>Returns!A934</f>
        <v>0</v>
      </c>
      <c r="B934" s="1">
        <f t="array" ref="B934">MMULT(Returns!B934:Z934,Resume!$B$38:$B$62)</f>
        <v>0</v>
      </c>
    </row>
    <row r="935" spans="1:2">
      <c r="A935" s="11">
        <f>Returns!A935</f>
        <v>0</v>
      </c>
      <c r="B935" s="1">
        <f t="array" ref="B935">MMULT(Returns!B935:Z935,Resume!$B$38:$B$62)</f>
        <v>0</v>
      </c>
    </row>
    <row r="936" spans="1:2">
      <c r="A936" s="11">
        <f>Returns!A936</f>
        <v>0</v>
      </c>
      <c r="B936" s="1">
        <f t="array" ref="B936">MMULT(Returns!B936:Z936,Resume!$B$38:$B$62)</f>
        <v>0</v>
      </c>
    </row>
    <row r="937" spans="1:2">
      <c r="A937" s="11">
        <f>Returns!A937</f>
        <v>0</v>
      </c>
      <c r="B937" s="1">
        <f t="array" ref="B937">MMULT(Returns!B937:Z937,Resume!$B$38:$B$62)</f>
        <v>0</v>
      </c>
    </row>
    <row r="938" spans="1:2">
      <c r="A938" s="11">
        <f>Returns!A938</f>
        <v>0</v>
      </c>
      <c r="B938" s="1">
        <f t="array" ref="B938">MMULT(Returns!B938:Z938,Resume!$B$38:$B$62)</f>
        <v>0</v>
      </c>
    </row>
    <row r="939" spans="1:2">
      <c r="A939" s="11">
        <f>Returns!A939</f>
        <v>0</v>
      </c>
      <c r="B939" s="1">
        <f t="array" ref="B939">MMULT(Returns!B939:Z939,Resume!$B$38:$B$62)</f>
        <v>0</v>
      </c>
    </row>
    <row r="940" spans="1:2">
      <c r="A940" s="11">
        <f>Returns!A940</f>
        <v>0</v>
      </c>
      <c r="B940" s="1">
        <f t="array" ref="B940">MMULT(Returns!B940:Z940,Resume!$B$38:$B$62)</f>
        <v>0</v>
      </c>
    </row>
    <row r="941" spans="1:2">
      <c r="A941" s="11">
        <f>Returns!A941</f>
        <v>0</v>
      </c>
      <c r="B941" s="1">
        <f t="array" ref="B941">MMULT(Returns!B941:Z941,Resume!$B$38:$B$62)</f>
        <v>0</v>
      </c>
    </row>
    <row r="942" spans="1:2">
      <c r="A942" s="11">
        <f>Returns!A942</f>
        <v>0</v>
      </c>
      <c r="B942" s="1">
        <f t="array" ref="B942">MMULT(Returns!B942:Z942,Resume!$B$38:$B$62)</f>
        <v>0</v>
      </c>
    </row>
    <row r="943" spans="1:2">
      <c r="A943" s="11">
        <f>Returns!A943</f>
        <v>0</v>
      </c>
      <c r="B943" s="1">
        <f t="array" ref="B943">MMULT(Returns!B943:Z943,Resume!$B$38:$B$62)</f>
        <v>0</v>
      </c>
    </row>
    <row r="944" spans="1:2">
      <c r="A944" s="11">
        <f>Returns!A944</f>
        <v>0</v>
      </c>
      <c r="B944" s="1">
        <f t="array" ref="B944">MMULT(Returns!B944:Z944,Resume!$B$38:$B$62)</f>
        <v>0</v>
      </c>
    </row>
    <row r="945" spans="1:2">
      <c r="A945" s="11">
        <f>Returns!A945</f>
        <v>0</v>
      </c>
      <c r="B945" s="1">
        <f t="array" ref="B945">MMULT(Returns!B945:Z945,Resume!$B$38:$B$62)</f>
        <v>0</v>
      </c>
    </row>
    <row r="946" spans="1:2">
      <c r="A946" s="11">
        <f>Returns!A946</f>
        <v>0</v>
      </c>
      <c r="B946" s="1">
        <f t="array" ref="B946">MMULT(Returns!B946:Z946,Resume!$B$38:$B$62)</f>
        <v>0</v>
      </c>
    </row>
    <row r="947" spans="1:2">
      <c r="A947" s="11">
        <f>Returns!A947</f>
        <v>0</v>
      </c>
      <c r="B947" s="1">
        <f t="array" ref="B947">MMULT(Returns!B947:Z947,Resume!$B$38:$B$62)</f>
        <v>0</v>
      </c>
    </row>
    <row r="948" spans="1:2">
      <c r="A948" s="11">
        <f>Returns!A948</f>
        <v>0</v>
      </c>
      <c r="B948" s="1">
        <f t="array" ref="B948">MMULT(Returns!B948:Z948,Resume!$B$38:$B$62)</f>
        <v>0</v>
      </c>
    </row>
    <row r="949" spans="1:2">
      <c r="A949" s="11">
        <f>Returns!A949</f>
        <v>0</v>
      </c>
      <c r="B949" s="1">
        <f t="array" ref="B949">MMULT(Returns!B949:Z949,Resume!$B$38:$B$62)</f>
        <v>0</v>
      </c>
    </row>
    <row r="950" spans="1:2">
      <c r="A950" s="11">
        <f>Returns!A950</f>
        <v>0</v>
      </c>
      <c r="B950" s="1">
        <f t="array" ref="B950">MMULT(Returns!B950:Z950,Resume!$B$38:$B$62)</f>
        <v>0</v>
      </c>
    </row>
    <row r="951" spans="1:2">
      <c r="A951" s="11">
        <f>Returns!A951</f>
        <v>0</v>
      </c>
      <c r="B951" s="1">
        <f t="array" ref="B951">MMULT(Returns!B951:Z951,Resume!$B$38:$B$62)</f>
        <v>0</v>
      </c>
    </row>
    <row r="952" spans="1:2">
      <c r="A952" s="11">
        <f>Returns!A952</f>
        <v>0</v>
      </c>
      <c r="B952" s="1">
        <f t="array" ref="B952">MMULT(Returns!B952:Z952,Resume!$B$38:$B$62)</f>
        <v>0</v>
      </c>
    </row>
    <row r="953" spans="1:2">
      <c r="A953" s="11">
        <f>Returns!A953</f>
        <v>0</v>
      </c>
      <c r="B953" s="1">
        <f t="array" ref="B953">MMULT(Returns!B953:Z953,Resume!$B$38:$B$62)</f>
        <v>0</v>
      </c>
    </row>
    <row r="954" spans="1:2">
      <c r="A954" s="11">
        <f>Returns!A954</f>
        <v>0</v>
      </c>
      <c r="B954" s="1">
        <f t="array" ref="B954">MMULT(Returns!B954:Z954,Resume!$B$38:$B$62)</f>
        <v>0</v>
      </c>
    </row>
    <row r="955" spans="1:2">
      <c r="A955" s="11">
        <f>Returns!A955</f>
        <v>0</v>
      </c>
      <c r="B955" s="1">
        <f t="array" ref="B955">MMULT(Returns!B955:Z955,Resume!$B$38:$B$62)</f>
        <v>0</v>
      </c>
    </row>
    <row r="956" spans="1:2">
      <c r="A956" s="11">
        <f>Returns!A956</f>
        <v>0</v>
      </c>
      <c r="B956" s="1">
        <f t="array" ref="B956">MMULT(Returns!B956:Z956,Resume!$B$38:$B$62)</f>
        <v>0</v>
      </c>
    </row>
    <row r="957" spans="1:2">
      <c r="A957" s="11">
        <f>Returns!A957</f>
        <v>0</v>
      </c>
      <c r="B957" s="1">
        <f t="array" ref="B957">MMULT(Returns!B957:Z957,Resume!$B$38:$B$62)</f>
        <v>0</v>
      </c>
    </row>
    <row r="958" spans="1:2">
      <c r="A958" s="11">
        <f>Returns!A958</f>
        <v>0</v>
      </c>
      <c r="B958" s="1">
        <f t="array" ref="B958">MMULT(Returns!B958:Z958,Resume!$B$38:$B$62)</f>
        <v>0</v>
      </c>
    </row>
    <row r="959" spans="1:2">
      <c r="A959" s="11">
        <f>Returns!A959</f>
        <v>0</v>
      </c>
      <c r="B959" s="1">
        <f t="array" ref="B959">MMULT(Returns!B959:Z959,Resume!$B$38:$B$62)</f>
        <v>0</v>
      </c>
    </row>
    <row r="960" spans="1:2">
      <c r="A960" s="11">
        <f>Returns!A960</f>
        <v>0</v>
      </c>
      <c r="B960" s="1">
        <f t="array" ref="B960">MMULT(Returns!B960:Z960,Resume!$B$38:$B$62)</f>
        <v>0</v>
      </c>
    </row>
    <row r="961" spans="1:2">
      <c r="A961" s="11">
        <f>Returns!A961</f>
        <v>0</v>
      </c>
      <c r="B961" s="1">
        <f t="array" ref="B961">MMULT(Returns!B961:Z961,Resume!$B$38:$B$62)</f>
        <v>0</v>
      </c>
    </row>
    <row r="962" spans="1:2">
      <c r="A962" s="11">
        <f>Returns!A962</f>
        <v>0</v>
      </c>
      <c r="B962" s="1">
        <f t="array" ref="B962">MMULT(Returns!B962:Z962,Resume!$B$38:$B$62)</f>
        <v>0</v>
      </c>
    </row>
    <row r="963" spans="1:2">
      <c r="A963" s="11">
        <f>Returns!A963</f>
        <v>0</v>
      </c>
      <c r="B963" s="1">
        <f t="array" ref="B963">MMULT(Returns!B963:Z963,Resume!$B$38:$B$62)</f>
        <v>0</v>
      </c>
    </row>
    <row r="964" spans="1:2">
      <c r="A964" s="11">
        <f>Returns!A964</f>
        <v>0</v>
      </c>
      <c r="B964" s="1">
        <f t="array" ref="B964">MMULT(Returns!B964:Z964,Resume!$B$38:$B$62)</f>
        <v>0</v>
      </c>
    </row>
    <row r="965" spans="1:2">
      <c r="A965" s="11">
        <f>Returns!A965</f>
        <v>0</v>
      </c>
      <c r="B965" s="1">
        <f t="array" ref="B965">MMULT(Returns!B965:Z965,Resume!$B$38:$B$62)</f>
        <v>0</v>
      </c>
    </row>
    <row r="966" spans="1:2">
      <c r="A966" s="11">
        <f>Returns!A966</f>
        <v>0</v>
      </c>
      <c r="B966" s="1">
        <f t="array" ref="B966">MMULT(Returns!B966:Z966,Resume!$B$38:$B$62)</f>
        <v>0</v>
      </c>
    </row>
    <row r="967" spans="1:2">
      <c r="A967" s="11">
        <f>Returns!A967</f>
        <v>0</v>
      </c>
      <c r="B967" s="1">
        <f t="array" ref="B967">MMULT(Returns!B967:Z967,Resume!$B$38:$B$62)</f>
        <v>0</v>
      </c>
    </row>
    <row r="968" spans="1:2">
      <c r="A968" s="11">
        <f>Returns!A968</f>
        <v>0</v>
      </c>
      <c r="B968" s="1">
        <f t="array" ref="B968">MMULT(Returns!B968:Z968,Resume!$B$38:$B$62)</f>
        <v>0</v>
      </c>
    </row>
    <row r="969" spans="1:2">
      <c r="A969" s="11">
        <f>Returns!A969</f>
        <v>0</v>
      </c>
      <c r="B969" s="1">
        <f t="array" ref="B969">MMULT(Returns!B969:Z969,Resume!$B$38:$B$62)</f>
        <v>0</v>
      </c>
    </row>
    <row r="970" spans="1:2">
      <c r="A970" s="11">
        <f>Returns!A970</f>
        <v>0</v>
      </c>
      <c r="B970" s="1">
        <f t="array" ref="B970">MMULT(Returns!B970:Z970,Resume!$B$38:$B$62)</f>
        <v>0</v>
      </c>
    </row>
    <row r="971" spans="1:2">
      <c r="A971" s="11">
        <f>Returns!A971</f>
        <v>0</v>
      </c>
      <c r="B971" s="1">
        <f t="array" ref="B971">MMULT(Returns!B971:Z971,Resume!$B$38:$B$62)</f>
        <v>0</v>
      </c>
    </row>
    <row r="972" spans="1:2">
      <c r="A972" s="11">
        <f>Returns!A972</f>
        <v>0</v>
      </c>
      <c r="B972" s="1">
        <f t="array" ref="B972">MMULT(Returns!B972:Z972,Resume!$B$38:$B$62)</f>
        <v>0</v>
      </c>
    </row>
    <row r="973" spans="1:2">
      <c r="A973" s="11">
        <f>Returns!A973</f>
        <v>0</v>
      </c>
      <c r="B973" s="1">
        <f t="array" ref="B973">MMULT(Returns!B973:Z973,Resume!$B$38:$B$62)</f>
        <v>0</v>
      </c>
    </row>
    <row r="974" spans="1:2">
      <c r="A974" s="11">
        <f>Returns!A974</f>
        <v>0</v>
      </c>
      <c r="B974" s="1">
        <f t="array" ref="B974">MMULT(Returns!B974:Z974,Resume!$B$38:$B$62)</f>
        <v>0</v>
      </c>
    </row>
    <row r="975" spans="1:2">
      <c r="A975" s="11">
        <f>Returns!A975</f>
        <v>0</v>
      </c>
      <c r="B975" s="1">
        <f t="array" ref="B975">MMULT(Returns!B975:Z975,Resume!$B$38:$B$62)</f>
        <v>0</v>
      </c>
    </row>
    <row r="976" spans="1:2">
      <c r="A976" s="11">
        <f>Returns!A976</f>
        <v>0</v>
      </c>
      <c r="B976" s="1">
        <f t="array" ref="B976">MMULT(Returns!B976:Z976,Resume!$B$38:$B$62)</f>
        <v>0</v>
      </c>
    </row>
    <row r="977" spans="1:2">
      <c r="A977" s="11">
        <f>Returns!A977</f>
        <v>0</v>
      </c>
      <c r="B977" s="1">
        <f t="array" ref="B977">MMULT(Returns!B977:Z977,Resume!$B$38:$B$62)</f>
        <v>0</v>
      </c>
    </row>
    <row r="978" spans="1:2">
      <c r="A978" s="11">
        <f>Returns!A978</f>
        <v>0</v>
      </c>
      <c r="B978" s="1">
        <f t="array" ref="B978">MMULT(Returns!B978:Z978,Resume!$B$38:$B$62)</f>
        <v>0</v>
      </c>
    </row>
    <row r="979" spans="1:2">
      <c r="A979" s="11">
        <f>Returns!A979</f>
        <v>0</v>
      </c>
      <c r="B979" s="1">
        <f t="array" ref="B979">MMULT(Returns!B979:Z979,Resume!$B$38:$B$62)</f>
        <v>0</v>
      </c>
    </row>
    <row r="980" spans="1:2">
      <c r="A980" s="11">
        <f>Returns!A980</f>
        <v>0</v>
      </c>
      <c r="B980" s="1">
        <f t="array" ref="B980">MMULT(Returns!B980:Z980,Resume!$B$38:$B$62)</f>
        <v>0</v>
      </c>
    </row>
    <row r="981" spans="1:2">
      <c r="A981" s="11">
        <f>Returns!A981</f>
        <v>0</v>
      </c>
      <c r="B981" s="1">
        <f t="array" ref="B981">MMULT(Returns!B981:Z981,Resume!$B$38:$B$62)</f>
        <v>0</v>
      </c>
    </row>
    <row r="982" spans="1:2">
      <c r="A982" s="11">
        <f>Returns!A982</f>
        <v>0</v>
      </c>
      <c r="B982" s="1">
        <f t="array" ref="B982">MMULT(Returns!B982:Z982,Resume!$B$38:$B$62)</f>
        <v>0</v>
      </c>
    </row>
    <row r="983" spans="1:2">
      <c r="A983" s="11">
        <f>Returns!A983</f>
        <v>0</v>
      </c>
      <c r="B983" s="1">
        <f t="array" ref="B983">MMULT(Returns!B983:Z983,Resume!$B$38:$B$62)</f>
        <v>0</v>
      </c>
    </row>
    <row r="984" spans="1:2">
      <c r="A984" s="11">
        <f>Returns!A984</f>
        <v>0</v>
      </c>
      <c r="B984" s="1">
        <f t="array" ref="B984">MMULT(Returns!B984:Z984,Resume!$B$38:$B$62)</f>
        <v>0</v>
      </c>
    </row>
    <row r="985" spans="1:2">
      <c r="A985" s="11">
        <f>Returns!A985</f>
        <v>0</v>
      </c>
      <c r="B985" s="1">
        <f t="array" ref="B985">MMULT(Returns!B985:Z985,Resume!$B$38:$B$62)</f>
        <v>0</v>
      </c>
    </row>
    <row r="986" spans="1:2">
      <c r="A986" s="11">
        <f>Returns!A986</f>
        <v>0</v>
      </c>
      <c r="B986" s="1">
        <f t="array" ref="B986">MMULT(Returns!B986:Z986,Resume!$B$38:$B$62)</f>
        <v>0</v>
      </c>
    </row>
    <row r="987" spans="1:2">
      <c r="A987" s="11">
        <f>Returns!A987</f>
        <v>0</v>
      </c>
      <c r="B987" s="1">
        <f t="array" ref="B987">MMULT(Returns!B987:Z987,Resume!$B$38:$B$62)</f>
        <v>0</v>
      </c>
    </row>
    <row r="988" spans="1:2">
      <c r="A988" s="11">
        <f>Returns!A988</f>
        <v>0</v>
      </c>
      <c r="B988" s="1">
        <f t="array" ref="B988">MMULT(Returns!B988:Z988,Resume!$B$38:$B$62)</f>
        <v>0</v>
      </c>
    </row>
    <row r="989" spans="1:2">
      <c r="A989" s="11">
        <f>Returns!A989</f>
        <v>0</v>
      </c>
      <c r="B989" s="1">
        <f t="array" ref="B989">MMULT(Returns!B989:Z989,Resume!$B$38:$B$62)</f>
        <v>0</v>
      </c>
    </row>
    <row r="990" spans="1:2">
      <c r="A990" s="11">
        <f>Returns!A990</f>
        <v>0</v>
      </c>
      <c r="B990" s="1">
        <f t="array" ref="B990">MMULT(Returns!B990:Z990,Resume!$B$38:$B$62)</f>
        <v>0</v>
      </c>
    </row>
    <row r="991" spans="1:2">
      <c r="A991" s="11">
        <f>Returns!A991</f>
        <v>0</v>
      </c>
      <c r="B991" s="1">
        <f t="array" ref="B991">MMULT(Returns!B991:Z991,Resume!$B$38:$B$62)</f>
        <v>0</v>
      </c>
    </row>
    <row r="992" spans="1:2">
      <c r="A992" s="11">
        <f>Returns!A992</f>
        <v>0</v>
      </c>
      <c r="B992" s="1">
        <f t="array" ref="B992">MMULT(Returns!B992:Z992,Resume!$B$38:$B$62)</f>
        <v>0</v>
      </c>
    </row>
    <row r="993" spans="1:2">
      <c r="A993" s="11">
        <f>Returns!A993</f>
        <v>0</v>
      </c>
      <c r="B993" s="1">
        <f t="array" ref="B993">MMULT(Returns!B993:Z993,Resume!$B$38:$B$62)</f>
        <v>0</v>
      </c>
    </row>
    <row r="994" spans="1:2">
      <c r="A994" s="11">
        <f>Returns!A994</f>
        <v>0</v>
      </c>
      <c r="B994" s="1">
        <f t="array" ref="B994">MMULT(Returns!B994:Z994,Resume!$B$38:$B$62)</f>
        <v>0</v>
      </c>
    </row>
    <row r="995" spans="1:2">
      <c r="A995" s="11">
        <f>Returns!A995</f>
        <v>0</v>
      </c>
      <c r="B995" s="1">
        <f t="array" ref="B995">MMULT(Returns!B995:Z995,Resume!$B$38:$B$62)</f>
        <v>0</v>
      </c>
    </row>
    <row r="996" spans="1:2">
      <c r="A996" s="11">
        <f>Returns!A996</f>
        <v>0</v>
      </c>
      <c r="B996" s="1">
        <f t="array" ref="B996">MMULT(Returns!B996:Z996,Resume!$B$38:$B$62)</f>
        <v>0</v>
      </c>
    </row>
    <row r="997" spans="1:2">
      <c r="A997" s="11">
        <f>Returns!A997</f>
        <v>0</v>
      </c>
      <c r="B997" s="1">
        <f t="array" ref="B997">MMULT(Returns!B997:Z997,Resume!$B$38:$B$62)</f>
        <v>0</v>
      </c>
    </row>
    <row r="998" spans="1:2">
      <c r="A998" s="11">
        <f>Returns!A998</f>
        <v>0</v>
      </c>
      <c r="B998" s="1">
        <f t="array" ref="B998">MMULT(Returns!B998:Z998,Resume!$B$38:$B$62)</f>
        <v>0</v>
      </c>
    </row>
    <row r="999" spans="1:2">
      <c r="A999" s="11">
        <f>Returns!A999</f>
        <v>0</v>
      </c>
      <c r="B999" s="1">
        <f t="array" ref="B999">MMULT(Returns!B999:Z999,Resume!$B$38:$B$62)</f>
        <v>0</v>
      </c>
    </row>
    <row r="1000" spans="1:2">
      <c r="A1000" s="11">
        <f>Returns!A1000</f>
        <v>0</v>
      </c>
      <c r="B1000" s="1">
        <f t="array" ref="B1000">MMULT(Returns!B1000:Z1000,Resume!$B$38:$B$62)</f>
        <v>0</v>
      </c>
    </row>
    <row r="1001" spans="1:2">
      <c r="A1001" s="11">
        <f>Returns!A1001</f>
        <v>0</v>
      </c>
      <c r="B1001" s="1">
        <f t="array" ref="B1001">MMULT(Returns!B1001:Z1001,Resume!$B$38:$B$62)</f>
        <v>0</v>
      </c>
    </row>
    <row r="1002" spans="1:2">
      <c r="A1002" s="11">
        <f>Returns!A1002</f>
        <v>0</v>
      </c>
      <c r="B1002" s="1">
        <f t="array" ref="B1002">MMULT(Returns!B1002:Z1002,Resume!$B$38:$B$62)</f>
        <v>0</v>
      </c>
    </row>
    <row r="1003" spans="1:2">
      <c r="A1003" s="11">
        <f>Returns!A1003</f>
        <v>0</v>
      </c>
      <c r="B1003" s="1">
        <f t="array" ref="B1003">MMULT(Returns!B1003:Z1003,Resume!$B$38:$B$62)</f>
        <v>0</v>
      </c>
    </row>
    <row r="1004" spans="1:2">
      <c r="A1004" s="11">
        <f>Returns!A1004</f>
        <v>0</v>
      </c>
      <c r="B1004" s="1">
        <f t="array" ref="B1004">MMULT(Returns!B1004:Z1004,Resume!$B$38:$B$62)</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04"/>
  <sheetViews>
    <sheetView showGridLines="0" workbookViewId="0"/>
  </sheetViews>
  <sheetFormatPr defaultRowHeight="15"/>
  <cols>
    <col min="1" max="1" width="10.7109375" style="10" customWidth="1"/>
  </cols>
  <sheetData>
    <row r="1" spans="1:2">
      <c r="A1" s="5" t="s">
        <v>26</v>
      </c>
      <c r="B1" s="5" t="s">
        <v>52</v>
      </c>
    </row>
    <row r="2" spans="1:2">
      <c r="A2" s="11">
        <f>Returns!A2</f>
        <v>0</v>
      </c>
      <c r="B2" s="1">
        <f>ABS(Portfolios!B2-AVERAGE(Portfolios!$B$2:$B$1004))</f>
        <v>0</v>
      </c>
    </row>
    <row r="3" spans="1:2">
      <c r="A3" s="11">
        <f>Returns!A3</f>
        <v>0</v>
      </c>
      <c r="B3" s="1">
        <f>ABS(Portfolios!B3-AVERAGE(Portfolios!$B$2:$B$1004))</f>
        <v>0</v>
      </c>
    </row>
    <row r="4" spans="1:2">
      <c r="A4" s="11">
        <f>Returns!A4</f>
        <v>0</v>
      </c>
      <c r="B4" s="1">
        <f>ABS(Portfolios!B4-AVERAGE(Portfolios!$B$2:$B$1004))</f>
        <v>0</v>
      </c>
    </row>
    <row r="5" spans="1:2">
      <c r="A5" s="11">
        <f>Returns!A5</f>
        <v>0</v>
      </c>
      <c r="B5" s="1">
        <f>ABS(Portfolios!B5-AVERAGE(Portfolios!$B$2:$B$1004))</f>
        <v>0</v>
      </c>
    </row>
    <row r="6" spans="1:2">
      <c r="A6" s="11">
        <f>Returns!A6</f>
        <v>0</v>
      </c>
      <c r="B6" s="1">
        <f>ABS(Portfolios!B6-AVERAGE(Portfolios!$B$2:$B$1004))</f>
        <v>0</v>
      </c>
    </row>
    <row r="7" spans="1:2">
      <c r="A7" s="11">
        <f>Returns!A7</f>
        <v>0</v>
      </c>
      <c r="B7" s="1">
        <f>ABS(Portfolios!B7-AVERAGE(Portfolios!$B$2:$B$1004))</f>
        <v>0</v>
      </c>
    </row>
    <row r="8" spans="1:2">
      <c r="A8" s="11">
        <f>Returns!A8</f>
        <v>0</v>
      </c>
      <c r="B8" s="1">
        <f>ABS(Portfolios!B8-AVERAGE(Portfolios!$B$2:$B$1004))</f>
        <v>0</v>
      </c>
    </row>
    <row r="9" spans="1:2">
      <c r="A9" s="11">
        <f>Returns!A9</f>
        <v>0</v>
      </c>
      <c r="B9" s="1">
        <f>ABS(Portfolios!B9-AVERAGE(Portfolios!$B$2:$B$1004))</f>
        <v>0</v>
      </c>
    </row>
    <row r="10" spans="1:2">
      <c r="A10" s="11">
        <f>Returns!A10</f>
        <v>0</v>
      </c>
      <c r="B10" s="1">
        <f>ABS(Portfolios!B10-AVERAGE(Portfolios!$B$2:$B$1004))</f>
        <v>0</v>
      </c>
    </row>
    <row r="11" spans="1:2">
      <c r="A11" s="11">
        <f>Returns!A11</f>
        <v>0</v>
      </c>
      <c r="B11" s="1">
        <f>ABS(Portfolios!B11-AVERAGE(Portfolios!$B$2:$B$1004))</f>
        <v>0</v>
      </c>
    </row>
    <row r="12" spans="1:2">
      <c r="A12" s="11">
        <f>Returns!A12</f>
        <v>0</v>
      </c>
      <c r="B12" s="1">
        <f>ABS(Portfolios!B12-AVERAGE(Portfolios!$B$2:$B$1004))</f>
        <v>0</v>
      </c>
    </row>
    <row r="13" spans="1:2">
      <c r="A13" s="11">
        <f>Returns!A13</f>
        <v>0</v>
      </c>
      <c r="B13" s="1">
        <f>ABS(Portfolios!B13-AVERAGE(Portfolios!$B$2:$B$1004))</f>
        <v>0</v>
      </c>
    </row>
    <row r="14" spans="1:2">
      <c r="A14" s="11">
        <f>Returns!A14</f>
        <v>0</v>
      </c>
      <c r="B14" s="1">
        <f>ABS(Portfolios!B14-AVERAGE(Portfolios!$B$2:$B$1004))</f>
        <v>0</v>
      </c>
    </row>
    <row r="15" spans="1:2">
      <c r="A15" s="11">
        <f>Returns!A15</f>
        <v>0</v>
      </c>
      <c r="B15" s="1">
        <f>ABS(Portfolios!B15-AVERAGE(Portfolios!$B$2:$B$1004))</f>
        <v>0</v>
      </c>
    </row>
    <row r="16" spans="1:2">
      <c r="A16" s="11">
        <f>Returns!A16</f>
        <v>0</v>
      </c>
      <c r="B16" s="1">
        <f>ABS(Portfolios!B16-AVERAGE(Portfolios!$B$2:$B$1004))</f>
        <v>0</v>
      </c>
    </row>
    <row r="17" spans="1:2">
      <c r="A17" s="11">
        <f>Returns!A17</f>
        <v>0</v>
      </c>
      <c r="B17" s="1">
        <f>ABS(Portfolios!B17-AVERAGE(Portfolios!$B$2:$B$1004))</f>
        <v>0</v>
      </c>
    </row>
    <row r="18" spans="1:2">
      <c r="A18" s="11">
        <f>Returns!A18</f>
        <v>0</v>
      </c>
      <c r="B18" s="1">
        <f>ABS(Portfolios!B18-AVERAGE(Portfolios!$B$2:$B$1004))</f>
        <v>0</v>
      </c>
    </row>
    <row r="19" spans="1:2">
      <c r="A19" s="11">
        <f>Returns!A19</f>
        <v>0</v>
      </c>
      <c r="B19" s="1">
        <f>ABS(Portfolios!B19-AVERAGE(Portfolios!$B$2:$B$1004))</f>
        <v>0</v>
      </c>
    </row>
    <row r="20" spans="1:2">
      <c r="A20" s="11">
        <f>Returns!A20</f>
        <v>0</v>
      </c>
      <c r="B20" s="1">
        <f>ABS(Portfolios!B20-AVERAGE(Portfolios!$B$2:$B$1004))</f>
        <v>0</v>
      </c>
    </row>
    <row r="21" spans="1:2">
      <c r="A21" s="11">
        <f>Returns!A21</f>
        <v>0</v>
      </c>
      <c r="B21" s="1">
        <f>ABS(Portfolios!B21-AVERAGE(Portfolios!$B$2:$B$1004))</f>
        <v>0</v>
      </c>
    </row>
    <row r="22" spans="1:2">
      <c r="A22" s="11">
        <f>Returns!A22</f>
        <v>0</v>
      </c>
      <c r="B22" s="1">
        <f>ABS(Portfolios!B22-AVERAGE(Portfolios!$B$2:$B$1004))</f>
        <v>0</v>
      </c>
    </row>
    <row r="23" spans="1:2">
      <c r="A23" s="11">
        <f>Returns!A23</f>
        <v>0</v>
      </c>
      <c r="B23" s="1">
        <f>ABS(Portfolios!B23-AVERAGE(Portfolios!$B$2:$B$1004))</f>
        <v>0</v>
      </c>
    </row>
    <row r="24" spans="1:2">
      <c r="A24" s="11">
        <f>Returns!A24</f>
        <v>0</v>
      </c>
      <c r="B24" s="1">
        <f>ABS(Portfolios!B24-AVERAGE(Portfolios!$B$2:$B$1004))</f>
        <v>0</v>
      </c>
    </row>
    <row r="25" spans="1:2">
      <c r="A25" s="11">
        <f>Returns!A25</f>
        <v>0</v>
      </c>
      <c r="B25" s="1">
        <f>ABS(Portfolios!B25-AVERAGE(Portfolios!$B$2:$B$1004))</f>
        <v>0</v>
      </c>
    </row>
    <row r="26" spans="1:2">
      <c r="A26" s="11">
        <f>Returns!A26</f>
        <v>0</v>
      </c>
      <c r="B26" s="1">
        <f>ABS(Portfolios!B26-AVERAGE(Portfolios!$B$2:$B$1004))</f>
        <v>0</v>
      </c>
    </row>
    <row r="27" spans="1:2">
      <c r="A27" s="11">
        <f>Returns!A27</f>
        <v>0</v>
      </c>
      <c r="B27" s="1">
        <f>ABS(Portfolios!B27-AVERAGE(Portfolios!$B$2:$B$1004))</f>
        <v>0</v>
      </c>
    </row>
    <row r="28" spans="1:2">
      <c r="A28" s="11">
        <f>Returns!A28</f>
        <v>0</v>
      </c>
      <c r="B28" s="1">
        <f>ABS(Portfolios!B28-AVERAGE(Portfolios!$B$2:$B$1004))</f>
        <v>0</v>
      </c>
    </row>
    <row r="29" spans="1:2">
      <c r="A29" s="11">
        <f>Returns!A29</f>
        <v>0</v>
      </c>
      <c r="B29" s="1">
        <f>ABS(Portfolios!B29-AVERAGE(Portfolios!$B$2:$B$1004))</f>
        <v>0</v>
      </c>
    </row>
    <row r="30" spans="1:2">
      <c r="A30" s="11">
        <f>Returns!A30</f>
        <v>0</v>
      </c>
      <c r="B30" s="1">
        <f>ABS(Portfolios!B30-AVERAGE(Portfolios!$B$2:$B$1004))</f>
        <v>0</v>
      </c>
    </row>
    <row r="31" spans="1:2">
      <c r="A31" s="11">
        <f>Returns!A31</f>
        <v>0</v>
      </c>
      <c r="B31" s="1">
        <f>ABS(Portfolios!B31-AVERAGE(Portfolios!$B$2:$B$1004))</f>
        <v>0</v>
      </c>
    </row>
    <row r="32" spans="1:2">
      <c r="A32" s="11">
        <f>Returns!A32</f>
        <v>0</v>
      </c>
      <c r="B32" s="1">
        <f>ABS(Portfolios!B32-AVERAGE(Portfolios!$B$2:$B$1004))</f>
        <v>0</v>
      </c>
    </row>
    <row r="33" spans="1:2">
      <c r="A33" s="11">
        <f>Returns!A33</f>
        <v>0</v>
      </c>
      <c r="B33" s="1">
        <f>ABS(Portfolios!B33-AVERAGE(Portfolios!$B$2:$B$1004))</f>
        <v>0</v>
      </c>
    </row>
    <row r="34" spans="1:2">
      <c r="A34" s="11">
        <f>Returns!A34</f>
        <v>0</v>
      </c>
      <c r="B34" s="1">
        <f>ABS(Portfolios!B34-AVERAGE(Portfolios!$B$2:$B$1004))</f>
        <v>0</v>
      </c>
    </row>
    <row r="35" spans="1:2">
      <c r="A35" s="11">
        <f>Returns!A35</f>
        <v>0</v>
      </c>
      <c r="B35" s="1">
        <f>ABS(Portfolios!B35-AVERAGE(Portfolios!$B$2:$B$1004))</f>
        <v>0</v>
      </c>
    </row>
    <row r="36" spans="1:2">
      <c r="A36" s="11">
        <f>Returns!A36</f>
        <v>0</v>
      </c>
      <c r="B36" s="1">
        <f>ABS(Portfolios!B36-AVERAGE(Portfolios!$B$2:$B$1004))</f>
        <v>0</v>
      </c>
    </row>
    <row r="37" spans="1:2">
      <c r="A37" s="11">
        <f>Returns!A37</f>
        <v>0</v>
      </c>
      <c r="B37" s="1">
        <f>ABS(Portfolios!B37-AVERAGE(Portfolios!$B$2:$B$1004))</f>
        <v>0</v>
      </c>
    </row>
    <row r="38" spans="1:2">
      <c r="A38" s="11">
        <f>Returns!A38</f>
        <v>0</v>
      </c>
      <c r="B38" s="1">
        <f>ABS(Portfolios!B38-AVERAGE(Portfolios!$B$2:$B$1004))</f>
        <v>0</v>
      </c>
    </row>
    <row r="39" spans="1:2">
      <c r="A39" s="11">
        <f>Returns!A39</f>
        <v>0</v>
      </c>
      <c r="B39" s="1">
        <f>ABS(Portfolios!B39-AVERAGE(Portfolios!$B$2:$B$1004))</f>
        <v>0</v>
      </c>
    </row>
    <row r="40" spans="1:2">
      <c r="A40" s="11">
        <f>Returns!A40</f>
        <v>0</v>
      </c>
      <c r="B40" s="1">
        <f>ABS(Portfolios!B40-AVERAGE(Portfolios!$B$2:$B$1004))</f>
        <v>0</v>
      </c>
    </row>
    <row r="41" spans="1:2">
      <c r="A41" s="11">
        <f>Returns!A41</f>
        <v>0</v>
      </c>
      <c r="B41" s="1">
        <f>ABS(Portfolios!B41-AVERAGE(Portfolios!$B$2:$B$1004))</f>
        <v>0</v>
      </c>
    </row>
    <row r="42" spans="1:2">
      <c r="A42" s="11">
        <f>Returns!A42</f>
        <v>0</v>
      </c>
      <c r="B42" s="1">
        <f>ABS(Portfolios!B42-AVERAGE(Portfolios!$B$2:$B$1004))</f>
        <v>0</v>
      </c>
    </row>
    <row r="43" spans="1:2">
      <c r="A43" s="11">
        <f>Returns!A43</f>
        <v>0</v>
      </c>
      <c r="B43" s="1">
        <f>ABS(Portfolios!B43-AVERAGE(Portfolios!$B$2:$B$1004))</f>
        <v>0</v>
      </c>
    </row>
    <row r="44" spans="1:2">
      <c r="A44" s="11">
        <f>Returns!A44</f>
        <v>0</v>
      </c>
      <c r="B44" s="1">
        <f>ABS(Portfolios!B44-AVERAGE(Portfolios!$B$2:$B$1004))</f>
        <v>0</v>
      </c>
    </row>
    <row r="45" spans="1:2">
      <c r="A45" s="11">
        <f>Returns!A45</f>
        <v>0</v>
      </c>
      <c r="B45" s="1">
        <f>ABS(Portfolios!B45-AVERAGE(Portfolios!$B$2:$B$1004))</f>
        <v>0</v>
      </c>
    </row>
    <row r="46" spans="1:2">
      <c r="A46" s="11">
        <f>Returns!A46</f>
        <v>0</v>
      </c>
      <c r="B46" s="1">
        <f>ABS(Portfolios!B46-AVERAGE(Portfolios!$B$2:$B$1004))</f>
        <v>0</v>
      </c>
    </row>
    <row r="47" spans="1:2">
      <c r="A47" s="11">
        <f>Returns!A47</f>
        <v>0</v>
      </c>
      <c r="B47" s="1">
        <f>ABS(Portfolios!B47-AVERAGE(Portfolios!$B$2:$B$1004))</f>
        <v>0</v>
      </c>
    </row>
    <row r="48" spans="1:2">
      <c r="A48" s="11">
        <f>Returns!A48</f>
        <v>0</v>
      </c>
      <c r="B48" s="1">
        <f>ABS(Portfolios!B48-AVERAGE(Portfolios!$B$2:$B$1004))</f>
        <v>0</v>
      </c>
    </row>
    <row r="49" spans="1:2">
      <c r="A49" s="11">
        <f>Returns!A49</f>
        <v>0</v>
      </c>
      <c r="B49" s="1">
        <f>ABS(Portfolios!B49-AVERAGE(Portfolios!$B$2:$B$1004))</f>
        <v>0</v>
      </c>
    </row>
    <row r="50" spans="1:2">
      <c r="A50" s="11">
        <f>Returns!A50</f>
        <v>0</v>
      </c>
      <c r="B50" s="1">
        <f>ABS(Portfolios!B50-AVERAGE(Portfolios!$B$2:$B$1004))</f>
        <v>0</v>
      </c>
    </row>
    <row r="51" spans="1:2">
      <c r="A51" s="11">
        <f>Returns!A51</f>
        <v>0</v>
      </c>
      <c r="B51" s="1">
        <f>ABS(Portfolios!B51-AVERAGE(Portfolios!$B$2:$B$1004))</f>
        <v>0</v>
      </c>
    </row>
    <row r="52" spans="1:2">
      <c r="A52" s="11">
        <f>Returns!A52</f>
        <v>0</v>
      </c>
      <c r="B52" s="1">
        <f>ABS(Portfolios!B52-AVERAGE(Portfolios!$B$2:$B$1004))</f>
        <v>0</v>
      </c>
    </row>
    <row r="53" spans="1:2">
      <c r="A53" s="11">
        <f>Returns!A53</f>
        <v>0</v>
      </c>
      <c r="B53" s="1">
        <f>ABS(Portfolios!B53-AVERAGE(Portfolios!$B$2:$B$1004))</f>
        <v>0</v>
      </c>
    </row>
    <row r="54" spans="1:2">
      <c r="A54" s="11">
        <f>Returns!A54</f>
        <v>0</v>
      </c>
      <c r="B54" s="1">
        <f>ABS(Portfolios!B54-AVERAGE(Portfolios!$B$2:$B$1004))</f>
        <v>0</v>
      </c>
    </row>
    <row r="55" spans="1:2">
      <c r="A55" s="11">
        <f>Returns!A55</f>
        <v>0</v>
      </c>
      <c r="B55" s="1">
        <f>ABS(Portfolios!B55-AVERAGE(Portfolios!$B$2:$B$1004))</f>
        <v>0</v>
      </c>
    </row>
    <row r="56" spans="1:2">
      <c r="A56" s="11">
        <f>Returns!A56</f>
        <v>0</v>
      </c>
      <c r="B56" s="1">
        <f>ABS(Portfolios!B56-AVERAGE(Portfolios!$B$2:$B$1004))</f>
        <v>0</v>
      </c>
    </row>
    <row r="57" spans="1:2">
      <c r="A57" s="11">
        <f>Returns!A57</f>
        <v>0</v>
      </c>
      <c r="B57" s="1">
        <f>ABS(Portfolios!B57-AVERAGE(Portfolios!$B$2:$B$1004))</f>
        <v>0</v>
      </c>
    </row>
    <row r="58" spans="1:2">
      <c r="A58" s="11">
        <f>Returns!A58</f>
        <v>0</v>
      </c>
      <c r="B58" s="1">
        <f>ABS(Portfolios!B58-AVERAGE(Portfolios!$B$2:$B$1004))</f>
        <v>0</v>
      </c>
    </row>
    <row r="59" spans="1:2">
      <c r="A59" s="11">
        <f>Returns!A59</f>
        <v>0</v>
      </c>
      <c r="B59" s="1">
        <f>ABS(Portfolios!B59-AVERAGE(Portfolios!$B$2:$B$1004))</f>
        <v>0</v>
      </c>
    </row>
    <row r="60" spans="1:2">
      <c r="A60" s="11">
        <f>Returns!A60</f>
        <v>0</v>
      </c>
      <c r="B60" s="1">
        <f>ABS(Portfolios!B60-AVERAGE(Portfolios!$B$2:$B$1004))</f>
        <v>0</v>
      </c>
    </row>
    <row r="61" spans="1:2">
      <c r="A61" s="11">
        <f>Returns!A61</f>
        <v>0</v>
      </c>
      <c r="B61" s="1">
        <f>ABS(Portfolios!B61-AVERAGE(Portfolios!$B$2:$B$1004))</f>
        <v>0</v>
      </c>
    </row>
    <row r="62" spans="1:2">
      <c r="A62" s="11">
        <f>Returns!A62</f>
        <v>0</v>
      </c>
      <c r="B62" s="1">
        <f>ABS(Portfolios!B62-AVERAGE(Portfolios!$B$2:$B$1004))</f>
        <v>0</v>
      </c>
    </row>
    <row r="63" spans="1:2">
      <c r="A63" s="11">
        <f>Returns!A63</f>
        <v>0</v>
      </c>
      <c r="B63" s="1">
        <f>ABS(Portfolios!B63-AVERAGE(Portfolios!$B$2:$B$1004))</f>
        <v>0</v>
      </c>
    </row>
    <row r="64" spans="1:2">
      <c r="A64" s="11">
        <f>Returns!A64</f>
        <v>0</v>
      </c>
      <c r="B64" s="1">
        <f>ABS(Portfolios!B64-AVERAGE(Portfolios!$B$2:$B$1004))</f>
        <v>0</v>
      </c>
    </row>
    <row r="65" spans="1:2">
      <c r="A65" s="11">
        <f>Returns!A65</f>
        <v>0</v>
      </c>
      <c r="B65" s="1">
        <f>ABS(Portfolios!B65-AVERAGE(Portfolios!$B$2:$B$1004))</f>
        <v>0</v>
      </c>
    </row>
    <row r="66" spans="1:2">
      <c r="A66" s="11">
        <f>Returns!A66</f>
        <v>0</v>
      </c>
      <c r="B66" s="1">
        <f>ABS(Portfolios!B66-AVERAGE(Portfolios!$B$2:$B$1004))</f>
        <v>0</v>
      </c>
    </row>
    <row r="67" spans="1:2">
      <c r="A67" s="11">
        <f>Returns!A67</f>
        <v>0</v>
      </c>
      <c r="B67" s="1">
        <f>ABS(Portfolios!B67-AVERAGE(Portfolios!$B$2:$B$1004))</f>
        <v>0</v>
      </c>
    </row>
    <row r="68" spans="1:2">
      <c r="A68" s="11">
        <f>Returns!A68</f>
        <v>0</v>
      </c>
      <c r="B68" s="1">
        <f>ABS(Portfolios!B68-AVERAGE(Portfolios!$B$2:$B$1004))</f>
        <v>0</v>
      </c>
    </row>
    <row r="69" spans="1:2">
      <c r="A69" s="11">
        <f>Returns!A69</f>
        <v>0</v>
      </c>
      <c r="B69" s="1">
        <f>ABS(Portfolios!B69-AVERAGE(Portfolios!$B$2:$B$1004))</f>
        <v>0</v>
      </c>
    </row>
    <row r="70" spans="1:2">
      <c r="A70" s="11">
        <f>Returns!A70</f>
        <v>0</v>
      </c>
      <c r="B70" s="1">
        <f>ABS(Portfolios!B70-AVERAGE(Portfolios!$B$2:$B$1004))</f>
        <v>0</v>
      </c>
    </row>
    <row r="71" spans="1:2">
      <c r="A71" s="11">
        <f>Returns!A71</f>
        <v>0</v>
      </c>
      <c r="B71" s="1">
        <f>ABS(Portfolios!B71-AVERAGE(Portfolios!$B$2:$B$1004))</f>
        <v>0</v>
      </c>
    </row>
    <row r="72" spans="1:2">
      <c r="A72" s="11">
        <f>Returns!A72</f>
        <v>0</v>
      </c>
      <c r="B72" s="1">
        <f>ABS(Portfolios!B72-AVERAGE(Portfolios!$B$2:$B$1004))</f>
        <v>0</v>
      </c>
    </row>
    <row r="73" spans="1:2">
      <c r="A73" s="11">
        <f>Returns!A73</f>
        <v>0</v>
      </c>
      <c r="B73" s="1">
        <f>ABS(Portfolios!B73-AVERAGE(Portfolios!$B$2:$B$1004))</f>
        <v>0</v>
      </c>
    </row>
    <row r="74" spans="1:2">
      <c r="A74" s="11">
        <f>Returns!A74</f>
        <v>0</v>
      </c>
      <c r="B74" s="1">
        <f>ABS(Portfolios!B74-AVERAGE(Portfolios!$B$2:$B$1004))</f>
        <v>0</v>
      </c>
    </row>
    <row r="75" spans="1:2">
      <c r="A75" s="11">
        <f>Returns!A75</f>
        <v>0</v>
      </c>
      <c r="B75" s="1">
        <f>ABS(Portfolios!B75-AVERAGE(Portfolios!$B$2:$B$1004))</f>
        <v>0</v>
      </c>
    </row>
    <row r="76" spans="1:2">
      <c r="A76" s="11">
        <f>Returns!A76</f>
        <v>0</v>
      </c>
      <c r="B76" s="1">
        <f>ABS(Portfolios!B76-AVERAGE(Portfolios!$B$2:$B$1004))</f>
        <v>0</v>
      </c>
    </row>
    <row r="77" spans="1:2">
      <c r="A77" s="11">
        <f>Returns!A77</f>
        <v>0</v>
      </c>
      <c r="B77" s="1">
        <f>ABS(Portfolios!B77-AVERAGE(Portfolios!$B$2:$B$1004))</f>
        <v>0</v>
      </c>
    </row>
    <row r="78" spans="1:2">
      <c r="A78" s="11">
        <f>Returns!A78</f>
        <v>0</v>
      </c>
      <c r="B78" s="1">
        <f>ABS(Portfolios!B78-AVERAGE(Portfolios!$B$2:$B$1004))</f>
        <v>0</v>
      </c>
    </row>
    <row r="79" spans="1:2">
      <c r="A79" s="11">
        <f>Returns!A79</f>
        <v>0</v>
      </c>
      <c r="B79" s="1">
        <f>ABS(Portfolios!B79-AVERAGE(Portfolios!$B$2:$B$1004))</f>
        <v>0</v>
      </c>
    </row>
    <row r="80" spans="1:2">
      <c r="A80" s="11">
        <f>Returns!A80</f>
        <v>0</v>
      </c>
      <c r="B80" s="1">
        <f>ABS(Portfolios!B80-AVERAGE(Portfolios!$B$2:$B$1004))</f>
        <v>0</v>
      </c>
    </row>
    <row r="81" spans="1:2">
      <c r="A81" s="11">
        <f>Returns!A81</f>
        <v>0</v>
      </c>
      <c r="B81" s="1">
        <f>ABS(Portfolios!B81-AVERAGE(Portfolios!$B$2:$B$1004))</f>
        <v>0</v>
      </c>
    </row>
    <row r="82" spans="1:2">
      <c r="A82" s="11">
        <f>Returns!A82</f>
        <v>0</v>
      </c>
      <c r="B82" s="1">
        <f>ABS(Portfolios!B82-AVERAGE(Portfolios!$B$2:$B$1004))</f>
        <v>0</v>
      </c>
    </row>
    <row r="83" spans="1:2">
      <c r="A83" s="11">
        <f>Returns!A83</f>
        <v>0</v>
      </c>
      <c r="B83" s="1">
        <f>ABS(Portfolios!B83-AVERAGE(Portfolios!$B$2:$B$1004))</f>
        <v>0</v>
      </c>
    </row>
    <row r="84" spans="1:2">
      <c r="A84" s="11">
        <f>Returns!A84</f>
        <v>0</v>
      </c>
      <c r="B84" s="1">
        <f>ABS(Portfolios!B84-AVERAGE(Portfolios!$B$2:$B$1004))</f>
        <v>0</v>
      </c>
    </row>
    <row r="85" spans="1:2">
      <c r="A85" s="11">
        <f>Returns!A85</f>
        <v>0</v>
      </c>
      <c r="B85" s="1">
        <f>ABS(Portfolios!B85-AVERAGE(Portfolios!$B$2:$B$1004))</f>
        <v>0</v>
      </c>
    </row>
    <row r="86" spans="1:2">
      <c r="A86" s="11">
        <f>Returns!A86</f>
        <v>0</v>
      </c>
      <c r="B86" s="1">
        <f>ABS(Portfolios!B86-AVERAGE(Portfolios!$B$2:$B$1004))</f>
        <v>0</v>
      </c>
    </row>
    <row r="87" spans="1:2">
      <c r="A87" s="11">
        <f>Returns!A87</f>
        <v>0</v>
      </c>
      <c r="B87" s="1">
        <f>ABS(Portfolios!B87-AVERAGE(Portfolios!$B$2:$B$1004))</f>
        <v>0</v>
      </c>
    </row>
    <row r="88" spans="1:2">
      <c r="A88" s="11">
        <f>Returns!A88</f>
        <v>0</v>
      </c>
      <c r="B88" s="1">
        <f>ABS(Portfolios!B88-AVERAGE(Portfolios!$B$2:$B$1004))</f>
        <v>0</v>
      </c>
    </row>
    <row r="89" spans="1:2">
      <c r="A89" s="11">
        <f>Returns!A89</f>
        <v>0</v>
      </c>
      <c r="B89" s="1">
        <f>ABS(Portfolios!B89-AVERAGE(Portfolios!$B$2:$B$1004))</f>
        <v>0</v>
      </c>
    </row>
    <row r="90" spans="1:2">
      <c r="A90" s="11">
        <f>Returns!A90</f>
        <v>0</v>
      </c>
      <c r="B90" s="1">
        <f>ABS(Portfolios!B90-AVERAGE(Portfolios!$B$2:$B$1004))</f>
        <v>0</v>
      </c>
    </row>
    <row r="91" spans="1:2">
      <c r="A91" s="11">
        <f>Returns!A91</f>
        <v>0</v>
      </c>
      <c r="B91" s="1">
        <f>ABS(Portfolios!B91-AVERAGE(Portfolios!$B$2:$B$1004))</f>
        <v>0</v>
      </c>
    </row>
    <row r="92" spans="1:2">
      <c r="A92" s="11">
        <f>Returns!A92</f>
        <v>0</v>
      </c>
      <c r="B92" s="1">
        <f>ABS(Portfolios!B92-AVERAGE(Portfolios!$B$2:$B$1004))</f>
        <v>0</v>
      </c>
    </row>
    <row r="93" spans="1:2">
      <c r="A93" s="11">
        <f>Returns!A93</f>
        <v>0</v>
      </c>
      <c r="B93" s="1">
        <f>ABS(Portfolios!B93-AVERAGE(Portfolios!$B$2:$B$1004))</f>
        <v>0</v>
      </c>
    </row>
    <row r="94" spans="1:2">
      <c r="A94" s="11">
        <f>Returns!A94</f>
        <v>0</v>
      </c>
      <c r="B94" s="1">
        <f>ABS(Portfolios!B94-AVERAGE(Portfolios!$B$2:$B$1004))</f>
        <v>0</v>
      </c>
    </row>
    <row r="95" spans="1:2">
      <c r="A95" s="11">
        <f>Returns!A95</f>
        <v>0</v>
      </c>
      <c r="B95" s="1">
        <f>ABS(Portfolios!B95-AVERAGE(Portfolios!$B$2:$B$1004))</f>
        <v>0</v>
      </c>
    </row>
    <row r="96" spans="1:2">
      <c r="A96" s="11">
        <f>Returns!A96</f>
        <v>0</v>
      </c>
      <c r="B96" s="1">
        <f>ABS(Portfolios!B96-AVERAGE(Portfolios!$B$2:$B$1004))</f>
        <v>0</v>
      </c>
    </row>
    <row r="97" spans="1:2">
      <c r="A97" s="11">
        <f>Returns!A97</f>
        <v>0</v>
      </c>
      <c r="B97" s="1">
        <f>ABS(Portfolios!B97-AVERAGE(Portfolios!$B$2:$B$1004))</f>
        <v>0</v>
      </c>
    </row>
    <row r="98" spans="1:2">
      <c r="A98" s="11">
        <f>Returns!A98</f>
        <v>0</v>
      </c>
      <c r="B98" s="1">
        <f>ABS(Portfolios!B98-AVERAGE(Portfolios!$B$2:$B$1004))</f>
        <v>0</v>
      </c>
    </row>
    <row r="99" spans="1:2">
      <c r="A99" s="11">
        <f>Returns!A99</f>
        <v>0</v>
      </c>
      <c r="B99" s="1">
        <f>ABS(Portfolios!B99-AVERAGE(Portfolios!$B$2:$B$1004))</f>
        <v>0</v>
      </c>
    </row>
    <row r="100" spans="1:2">
      <c r="A100" s="11">
        <f>Returns!A100</f>
        <v>0</v>
      </c>
      <c r="B100" s="1">
        <f>ABS(Portfolios!B100-AVERAGE(Portfolios!$B$2:$B$1004))</f>
        <v>0</v>
      </c>
    </row>
    <row r="101" spans="1:2">
      <c r="A101" s="11">
        <f>Returns!A101</f>
        <v>0</v>
      </c>
      <c r="B101" s="1">
        <f>ABS(Portfolios!B101-AVERAGE(Portfolios!$B$2:$B$1004))</f>
        <v>0</v>
      </c>
    </row>
    <row r="102" spans="1:2">
      <c r="A102" s="11">
        <f>Returns!A102</f>
        <v>0</v>
      </c>
      <c r="B102" s="1">
        <f>ABS(Portfolios!B102-AVERAGE(Portfolios!$B$2:$B$1004))</f>
        <v>0</v>
      </c>
    </row>
    <row r="103" spans="1:2">
      <c r="A103" s="11">
        <f>Returns!A103</f>
        <v>0</v>
      </c>
      <c r="B103" s="1">
        <f>ABS(Portfolios!B103-AVERAGE(Portfolios!$B$2:$B$1004))</f>
        <v>0</v>
      </c>
    </row>
    <row r="104" spans="1:2">
      <c r="A104" s="11">
        <f>Returns!A104</f>
        <v>0</v>
      </c>
      <c r="B104" s="1">
        <f>ABS(Portfolios!B104-AVERAGE(Portfolios!$B$2:$B$1004))</f>
        <v>0</v>
      </c>
    </row>
    <row r="105" spans="1:2">
      <c r="A105" s="11">
        <f>Returns!A105</f>
        <v>0</v>
      </c>
      <c r="B105" s="1">
        <f>ABS(Portfolios!B105-AVERAGE(Portfolios!$B$2:$B$1004))</f>
        <v>0</v>
      </c>
    </row>
    <row r="106" spans="1:2">
      <c r="A106" s="11">
        <f>Returns!A106</f>
        <v>0</v>
      </c>
      <c r="B106" s="1">
        <f>ABS(Portfolios!B106-AVERAGE(Portfolios!$B$2:$B$1004))</f>
        <v>0</v>
      </c>
    </row>
    <row r="107" spans="1:2">
      <c r="A107" s="11">
        <f>Returns!A107</f>
        <v>0</v>
      </c>
      <c r="B107" s="1">
        <f>ABS(Portfolios!B107-AVERAGE(Portfolios!$B$2:$B$1004))</f>
        <v>0</v>
      </c>
    </row>
    <row r="108" spans="1:2">
      <c r="A108" s="11">
        <f>Returns!A108</f>
        <v>0</v>
      </c>
      <c r="B108" s="1">
        <f>ABS(Portfolios!B108-AVERAGE(Portfolios!$B$2:$B$1004))</f>
        <v>0</v>
      </c>
    </row>
    <row r="109" spans="1:2">
      <c r="A109" s="11">
        <f>Returns!A109</f>
        <v>0</v>
      </c>
      <c r="B109" s="1">
        <f>ABS(Portfolios!B109-AVERAGE(Portfolios!$B$2:$B$1004))</f>
        <v>0</v>
      </c>
    </row>
    <row r="110" spans="1:2">
      <c r="A110" s="11">
        <f>Returns!A110</f>
        <v>0</v>
      </c>
      <c r="B110" s="1">
        <f>ABS(Portfolios!B110-AVERAGE(Portfolios!$B$2:$B$1004))</f>
        <v>0</v>
      </c>
    </row>
    <row r="111" spans="1:2">
      <c r="A111" s="11">
        <f>Returns!A111</f>
        <v>0</v>
      </c>
      <c r="B111" s="1">
        <f>ABS(Portfolios!B111-AVERAGE(Portfolios!$B$2:$B$1004))</f>
        <v>0</v>
      </c>
    </row>
    <row r="112" spans="1:2">
      <c r="A112" s="11">
        <f>Returns!A112</f>
        <v>0</v>
      </c>
      <c r="B112" s="1">
        <f>ABS(Portfolios!B112-AVERAGE(Portfolios!$B$2:$B$1004))</f>
        <v>0</v>
      </c>
    </row>
    <row r="113" spans="1:2">
      <c r="A113" s="11">
        <f>Returns!A113</f>
        <v>0</v>
      </c>
      <c r="B113" s="1">
        <f>ABS(Portfolios!B113-AVERAGE(Portfolios!$B$2:$B$1004))</f>
        <v>0</v>
      </c>
    </row>
    <row r="114" spans="1:2">
      <c r="A114" s="11">
        <f>Returns!A114</f>
        <v>0</v>
      </c>
      <c r="B114" s="1">
        <f>ABS(Portfolios!B114-AVERAGE(Portfolios!$B$2:$B$1004))</f>
        <v>0</v>
      </c>
    </row>
    <row r="115" spans="1:2">
      <c r="A115" s="11">
        <f>Returns!A115</f>
        <v>0</v>
      </c>
      <c r="B115" s="1">
        <f>ABS(Portfolios!B115-AVERAGE(Portfolios!$B$2:$B$1004))</f>
        <v>0</v>
      </c>
    </row>
    <row r="116" spans="1:2">
      <c r="A116" s="11">
        <f>Returns!A116</f>
        <v>0</v>
      </c>
      <c r="B116" s="1">
        <f>ABS(Portfolios!B116-AVERAGE(Portfolios!$B$2:$B$1004))</f>
        <v>0</v>
      </c>
    </row>
    <row r="117" spans="1:2">
      <c r="A117" s="11">
        <f>Returns!A117</f>
        <v>0</v>
      </c>
      <c r="B117" s="1">
        <f>ABS(Portfolios!B117-AVERAGE(Portfolios!$B$2:$B$1004))</f>
        <v>0</v>
      </c>
    </row>
    <row r="118" spans="1:2">
      <c r="A118" s="11">
        <f>Returns!A118</f>
        <v>0</v>
      </c>
      <c r="B118" s="1">
        <f>ABS(Portfolios!B118-AVERAGE(Portfolios!$B$2:$B$1004))</f>
        <v>0</v>
      </c>
    </row>
    <row r="119" spans="1:2">
      <c r="A119" s="11">
        <f>Returns!A119</f>
        <v>0</v>
      </c>
      <c r="B119" s="1">
        <f>ABS(Portfolios!B119-AVERAGE(Portfolios!$B$2:$B$1004))</f>
        <v>0</v>
      </c>
    </row>
    <row r="120" spans="1:2">
      <c r="A120" s="11">
        <f>Returns!A120</f>
        <v>0</v>
      </c>
      <c r="B120" s="1">
        <f>ABS(Portfolios!B120-AVERAGE(Portfolios!$B$2:$B$1004))</f>
        <v>0</v>
      </c>
    </row>
    <row r="121" spans="1:2">
      <c r="A121" s="11">
        <f>Returns!A121</f>
        <v>0</v>
      </c>
      <c r="B121" s="1">
        <f>ABS(Portfolios!B121-AVERAGE(Portfolios!$B$2:$B$1004))</f>
        <v>0</v>
      </c>
    </row>
    <row r="122" spans="1:2">
      <c r="A122" s="11">
        <f>Returns!A122</f>
        <v>0</v>
      </c>
      <c r="B122" s="1">
        <f>ABS(Portfolios!B122-AVERAGE(Portfolios!$B$2:$B$1004))</f>
        <v>0</v>
      </c>
    </row>
    <row r="123" spans="1:2">
      <c r="A123" s="11">
        <f>Returns!A123</f>
        <v>0</v>
      </c>
      <c r="B123" s="1">
        <f>ABS(Portfolios!B123-AVERAGE(Portfolios!$B$2:$B$1004))</f>
        <v>0</v>
      </c>
    </row>
    <row r="124" spans="1:2">
      <c r="A124" s="11">
        <f>Returns!A124</f>
        <v>0</v>
      </c>
      <c r="B124" s="1">
        <f>ABS(Portfolios!B124-AVERAGE(Portfolios!$B$2:$B$1004))</f>
        <v>0</v>
      </c>
    </row>
    <row r="125" spans="1:2">
      <c r="A125" s="11">
        <f>Returns!A125</f>
        <v>0</v>
      </c>
      <c r="B125" s="1">
        <f>ABS(Portfolios!B125-AVERAGE(Portfolios!$B$2:$B$1004))</f>
        <v>0</v>
      </c>
    </row>
    <row r="126" spans="1:2">
      <c r="A126" s="11">
        <f>Returns!A126</f>
        <v>0</v>
      </c>
      <c r="B126" s="1">
        <f>ABS(Portfolios!B126-AVERAGE(Portfolios!$B$2:$B$1004))</f>
        <v>0</v>
      </c>
    </row>
    <row r="127" spans="1:2">
      <c r="A127" s="11">
        <f>Returns!A127</f>
        <v>0</v>
      </c>
      <c r="B127" s="1">
        <f>ABS(Portfolios!B127-AVERAGE(Portfolios!$B$2:$B$1004))</f>
        <v>0</v>
      </c>
    </row>
    <row r="128" spans="1:2">
      <c r="A128" s="11">
        <f>Returns!A128</f>
        <v>0</v>
      </c>
      <c r="B128" s="1">
        <f>ABS(Portfolios!B128-AVERAGE(Portfolios!$B$2:$B$1004))</f>
        <v>0</v>
      </c>
    </row>
    <row r="129" spans="1:2">
      <c r="A129" s="11">
        <f>Returns!A129</f>
        <v>0</v>
      </c>
      <c r="B129" s="1">
        <f>ABS(Portfolios!B129-AVERAGE(Portfolios!$B$2:$B$1004))</f>
        <v>0</v>
      </c>
    </row>
    <row r="130" spans="1:2">
      <c r="A130" s="11">
        <f>Returns!A130</f>
        <v>0</v>
      </c>
      <c r="B130" s="1">
        <f>ABS(Portfolios!B130-AVERAGE(Portfolios!$B$2:$B$1004))</f>
        <v>0</v>
      </c>
    </row>
    <row r="131" spans="1:2">
      <c r="A131" s="11">
        <f>Returns!A131</f>
        <v>0</v>
      </c>
      <c r="B131" s="1">
        <f>ABS(Portfolios!B131-AVERAGE(Portfolios!$B$2:$B$1004))</f>
        <v>0</v>
      </c>
    </row>
    <row r="132" spans="1:2">
      <c r="A132" s="11">
        <f>Returns!A132</f>
        <v>0</v>
      </c>
      <c r="B132" s="1">
        <f>ABS(Portfolios!B132-AVERAGE(Portfolios!$B$2:$B$1004))</f>
        <v>0</v>
      </c>
    </row>
    <row r="133" spans="1:2">
      <c r="A133" s="11">
        <f>Returns!A133</f>
        <v>0</v>
      </c>
      <c r="B133" s="1">
        <f>ABS(Portfolios!B133-AVERAGE(Portfolios!$B$2:$B$1004))</f>
        <v>0</v>
      </c>
    </row>
    <row r="134" spans="1:2">
      <c r="A134" s="11">
        <f>Returns!A134</f>
        <v>0</v>
      </c>
      <c r="B134" s="1">
        <f>ABS(Portfolios!B134-AVERAGE(Portfolios!$B$2:$B$1004))</f>
        <v>0</v>
      </c>
    </row>
    <row r="135" spans="1:2">
      <c r="A135" s="11">
        <f>Returns!A135</f>
        <v>0</v>
      </c>
      <c r="B135" s="1">
        <f>ABS(Portfolios!B135-AVERAGE(Portfolios!$B$2:$B$1004))</f>
        <v>0</v>
      </c>
    </row>
    <row r="136" spans="1:2">
      <c r="A136" s="11">
        <f>Returns!A136</f>
        <v>0</v>
      </c>
      <c r="B136" s="1">
        <f>ABS(Portfolios!B136-AVERAGE(Portfolios!$B$2:$B$1004))</f>
        <v>0</v>
      </c>
    </row>
    <row r="137" spans="1:2">
      <c r="A137" s="11">
        <f>Returns!A137</f>
        <v>0</v>
      </c>
      <c r="B137" s="1">
        <f>ABS(Portfolios!B137-AVERAGE(Portfolios!$B$2:$B$1004))</f>
        <v>0</v>
      </c>
    </row>
    <row r="138" spans="1:2">
      <c r="A138" s="11">
        <f>Returns!A138</f>
        <v>0</v>
      </c>
      <c r="B138" s="1">
        <f>ABS(Portfolios!B138-AVERAGE(Portfolios!$B$2:$B$1004))</f>
        <v>0</v>
      </c>
    </row>
    <row r="139" spans="1:2">
      <c r="A139" s="11">
        <f>Returns!A139</f>
        <v>0</v>
      </c>
      <c r="B139" s="1">
        <f>ABS(Portfolios!B139-AVERAGE(Portfolios!$B$2:$B$1004))</f>
        <v>0</v>
      </c>
    </row>
    <row r="140" spans="1:2">
      <c r="A140" s="11">
        <f>Returns!A140</f>
        <v>0</v>
      </c>
      <c r="B140" s="1">
        <f>ABS(Portfolios!B140-AVERAGE(Portfolios!$B$2:$B$1004))</f>
        <v>0</v>
      </c>
    </row>
    <row r="141" spans="1:2">
      <c r="A141" s="11">
        <f>Returns!A141</f>
        <v>0</v>
      </c>
      <c r="B141" s="1">
        <f>ABS(Portfolios!B141-AVERAGE(Portfolios!$B$2:$B$1004))</f>
        <v>0</v>
      </c>
    </row>
    <row r="142" spans="1:2">
      <c r="A142" s="11">
        <f>Returns!A142</f>
        <v>0</v>
      </c>
      <c r="B142" s="1">
        <f>ABS(Portfolios!B142-AVERAGE(Portfolios!$B$2:$B$1004))</f>
        <v>0</v>
      </c>
    </row>
    <row r="143" spans="1:2">
      <c r="A143" s="11">
        <f>Returns!A143</f>
        <v>0</v>
      </c>
      <c r="B143" s="1">
        <f>ABS(Portfolios!B143-AVERAGE(Portfolios!$B$2:$B$1004))</f>
        <v>0</v>
      </c>
    </row>
    <row r="144" spans="1:2">
      <c r="A144" s="11">
        <f>Returns!A144</f>
        <v>0</v>
      </c>
      <c r="B144" s="1">
        <f>ABS(Portfolios!B144-AVERAGE(Portfolios!$B$2:$B$1004))</f>
        <v>0</v>
      </c>
    </row>
    <row r="145" spans="1:2">
      <c r="A145" s="11">
        <f>Returns!A145</f>
        <v>0</v>
      </c>
      <c r="B145" s="1">
        <f>ABS(Portfolios!B145-AVERAGE(Portfolios!$B$2:$B$1004))</f>
        <v>0</v>
      </c>
    </row>
    <row r="146" spans="1:2">
      <c r="A146" s="11">
        <f>Returns!A146</f>
        <v>0</v>
      </c>
      <c r="B146" s="1">
        <f>ABS(Portfolios!B146-AVERAGE(Portfolios!$B$2:$B$1004))</f>
        <v>0</v>
      </c>
    </row>
    <row r="147" spans="1:2">
      <c r="A147" s="11">
        <f>Returns!A147</f>
        <v>0</v>
      </c>
      <c r="B147" s="1">
        <f>ABS(Portfolios!B147-AVERAGE(Portfolios!$B$2:$B$1004))</f>
        <v>0</v>
      </c>
    </row>
    <row r="148" spans="1:2">
      <c r="A148" s="11">
        <f>Returns!A148</f>
        <v>0</v>
      </c>
      <c r="B148" s="1">
        <f>ABS(Portfolios!B148-AVERAGE(Portfolios!$B$2:$B$1004))</f>
        <v>0</v>
      </c>
    </row>
    <row r="149" spans="1:2">
      <c r="A149" s="11">
        <f>Returns!A149</f>
        <v>0</v>
      </c>
      <c r="B149" s="1">
        <f>ABS(Portfolios!B149-AVERAGE(Portfolios!$B$2:$B$1004))</f>
        <v>0</v>
      </c>
    </row>
    <row r="150" spans="1:2">
      <c r="A150" s="11">
        <f>Returns!A150</f>
        <v>0</v>
      </c>
      <c r="B150" s="1">
        <f>ABS(Portfolios!B150-AVERAGE(Portfolios!$B$2:$B$1004))</f>
        <v>0</v>
      </c>
    </row>
    <row r="151" spans="1:2">
      <c r="A151" s="11">
        <f>Returns!A151</f>
        <v>0</v>
      </c>
      <c r="B151" s="1">
        <f>ABS(Portfolios!B151-AVERAGE(Portfolios!$B$2:$B$1004))</f>
        <v>0</v>
      </c>
    </row>
    <row r="152" spans="1:2">
      <c r="A152" s="11">
        <f>Returns!A152</f>
        <v>0</v>
      </c>
      <c r="B152" s="1">
        <f>ABS(Portfolios!B152-AVERAGE(Portfolios!$B$2:$B$1004))</f>
        <v>0</v>
      </c>
    </row>
    <row r="153" spans="1:2">
      <c r="A153" s="11">
        <f>Returns!A153</f>
        <v>0</v>
      </c>
      <c r="B153" s="1">
        <f>ABS(Portfolios!B153-AVERAGE(Portfolios!$B$2:$B$1004))</f>
        <v>0</v>
      </c>
    </row>
    <row r="154" spans="1:2">
      <c r="A154" s="11">
        <f>Returns!A154</f>
        <v>0</v>
      </c>
      <c r="B154" s="1">
        <f>ABS(Portfolios!B154-AVERAGE(Portfolios!$B$2:$B$1004))</f>
        <v>0</v>
      </c>
    </row>
    <row r="155" spans="1:2">
      <c r="A155" s="11">
        <f>Returns!A155</f>
        <v>0</v>
      </c>
      <c r="B155" s="1">
        <f>ABS(Portfolios!B155-AVERAGE(Portfolios!$B$2:$B$1004))</f>
        <v>0</v>
      </c>
    </row>
    <row r="156" spans="1:2">
      <c r="A156" s="11">
        <f>Returns!A156</f>
        <v>0</v>
      </c>
      <c r="B156" s="1">
        <f>ABS(Portfolios!B156-AVERAGE(Portfolios!$B$2:$B$1004))</f>
        <v>0</v>
      </c>
    </row>
    <row r="157" spans="1:2">
      <c r="A157" s="11">
        <f>Returns!A157</f>
        <v>0</v>
      </c>
      <c r="B157" s="1">
        <f>ABS(Portfolios!B157-AVERAGE(Portfolios!$B$2:$B$1004))</f>
        <v>0</v>
      </c>
    </row>
    <row r="158" spans="1:2">
      <c r="A158" s="11">
        <f>Returns!A158</f>
        <v>0</v>
      </c>
      <c r="B158" s="1">
        <f>ABS(Portfolios!B158-AVERAGE(Portfolios!$B$2:$B$1004))</f>
        <v>0</v>
      </c>
    </row>
    <row r="159" spans="1:2">
      <c r="A159" s="11">
        <f>Returns!A159</f>
        <v>0</v>
      </c>
      <c r="B159" s="1">
        <f>ABS(Portfolios!B159-AVERAGE(Portfolios!$B$2:$B$1004))</f>
        <v>0</v>
      </c>
    </row>
    <row r="160" spans="1:2">
      <c r="A160" s="11">
        <f>Returns!A160</f>
        <v>0</v>
      </c>
      <c r="B160" s="1">
        <f>ABS(Portfolios!B160-AVERAGE(Portfolios!$B$2:$B$1004))</f>
        <v>0</v>
      </c>
    </row>
    <row r="161" spans="1:2">
      <c r="A161" s="11">
        <f>Returns!A161</f>
        <v>0</v>
      </c>
      <c r="B161" s="1">
        <f>ABS(Portfolios!B161-AVERAGE(Portfolios!$B$2:$B$1004))</f>
        <v>0</v>
      </c>
    </row>
    <row r="162" spans="1:2">
      <c r="A162" s="11">
        <f>Returns!A162</f>
        <v>0</v>
      </c>
      <c r="B162" s="1">
        <f>ABS(Portfolios!B162-AVERAGE(Portfolios!$B$2:$B$1004))</f>
        <v>0</v>
      </c>
    </row>
    <row r="163" spans="1:2">
      <c r="A163" s="11">
        <f>Returns!A163</f>
        <v>0</v>
      </c>
      <c r="B163" s="1">
        <f>ABS(Portfolios!B163-AVERAGE(Portfolios!$B$2:$B$1004))</f>
        <v>0</v>
      </c>
    </row>
    <row r="164" spans="1:2">
      <c r="A164" s="11">
        <f>Returns!A164</f>
        <v>0</v>
      </c>
      <c r="B164" s="1">
        <f>ABS(Portfolios!B164-AVERAGE(Portfolios!$B$2:$B$1004))</f>
        <v>0</v>
      </c>
    </row>
    <row r="165" spans="1:2">
      <c r="A165" s="11">
        <f>Returns!A165</f>
        <v>0</v>
      </c>
      <c r="B165" s="1">
        <f>ABS(Portfolios!B165-AVERAGE(Portfolios!$B$2:$B$1004))</f>
        <v>0</v>
      </c>
    </row>
    <row r="166" spans="1:2">
      <c r="A166" s="11">
        <f>Returns!A166</f>
        <v>0</v>
      </c>
      <c r="B166" s="1">
        <f>ABS(Portfolios!B166-AVERAGE(Portfolios!$B$2:$B$1004))</f>
        <v>0</v>
      </c>
    </row>
    <row r="167" spans="1:2">
      <c r="A167" s="11">
        <f>Returns!A167</f>
        <v>0</v>
      </c>
      <c r="B167" s="1">
        <f>ABS(Portfolios!B167-AVERAGE(Portfolios!$B$2:$B$1004))</f>
        <v>0</v>
      </c>
    </row>
    <row r="168" spans="1:2">
      <c r="A168" s="11">
        <f>Returns!A168</f>
        <v>0</v>
      </c>
      <c r="B168" s="1">
        <f>ABS(Portfolios!B168-AVERAGE(Portfolios!$B$2:$B$1004))</f>
        <v>0</v>
      </c>
    </row>
    <row r="169" spans="1:2">
      <c r="A169" s="11">
        <f>Returns!A169</f>
        <v>0</v>
      </c>
      <c r="B169" s="1">
        <f>ABS(Portfolios!B169-AVERAGE(Portfolios!$B$2:$B$1004))</f>
        <v>0</v>
      </c>
    </row>
    <row r="170" spans="1:2">
      <c r="A170" s="11">
        <f>Returns!A170</f>
        <v>0</v>
      </c>
      <c r="B170" s="1">
        <f>ABS(Portfolios!B170-AVERAGE(Portfolios!$B$2:$B$1004))</f>
        <v>0</v>
      </c>
    </row>
    <row r="171" spans="1:2">
      <c r="A171" s="11">
        <f>Returns!A171</f>
        <v>0</v>
      </c>
      <c r="B171" s="1">
        <f>ABS(Portfolios!B171-AVERAGE(Portfolios!$B$2:$B$1004))</f>
        <v>0</v>
      </c>
    </row>
    <row r="172" spans="1:2">
      <c r="A172" s="11">
        <f>Returns!A172</f>
        <v>0</v>
      </c>
      <c r="B172" s="1">
        <f>ABS(Portfolios!B172-AVERAGE(Portfolios!$B$2:$B$1004))</f>
        <v>0</v>
      </c>
    </row>
    <row r="173" spans="1:2">
      <c r="A173" s="11">
        <f>Returns!A173</f>
        <v>0</v>
      </c>
      <c r="B173" s="1">
        <f>ABS(Portfolios!B173-AVERAGE(Portfolios!$B$2:$B$1004))</f>
        <v>0</v>
      </c>
    </row>
    <row r="174" spans="1:2">
      <c r="A174" s="11">
        <f>Returns!A174</f>
        <v>0</v>
      </c>
      <c r="B174" s="1">
        <f>ABS(Portfolios!B174-AVERAGE(Portfolios!$B$2:$B$1004))</f>
        <v>0</v>
      </c>
    </row>
    <row r="175" spans="1:2">
      <c r="A175" s="11">
        <f>Returns!A175</f>
        <v>0</v>
      </c>
      <c r="B175" s="1">
        <f>ABS(Portfolios!B175-AVERAGE(Portfolios!$B$2:$B$1004))</f>
        <v>0</v>
      </c>
    </row>
    <row r="176" spans="1:2">
      <c r="A176" s="11">
        <f>Returns!A176</f>
        <v>0</v>
      </c>
      <c r="B176" s="1">
        <f>ABS(Portfolios!B176-AVERAGE(Portfolios!$B$2:$B$1004))</f>
        <v>0</v>
      </c>
    </row>
    <row r="177" spans="1:2">
      <c r="A177" s="11">
        <f>Returns!A177</f>
        <v>0</v>
      </c>
      <c r="B177" s="1">
        <f>ABS(Portfolios!B177-AVERAGE(Portfolios!$B$2:$B$1004))</f>
        <v>0</v>
      </c>
    </row>
    <row r="178" spans="1:2">
      <c r="A178" s="11">
        <f>Returns!A178</f>
        <v>0</v>
      </c>
      <c r="B178" s="1">
        <f>ABS(Portfolios!B178-AVERAGE(Portfolios!$B$2:$B$1004))</f>
        <v>0</v>
      </c>
    </row>
    <row r="179" spans="1:2">
      <c r="A179" s="11">
        <f>Returns!A179</f>
        <v>0</v>
      </c>
      <c r="B179" s="1">
        <f>ABS(Portfolios!B179-AVERAGE(Portfolios!$B$2:$B$1004))</f>
        <v>0</v>
      </c>
    </row>
    <row r="180" spans="1:2">
      <c r="A180" s="11">
        <f>Returns!A180</f>
        <v>0</v>
      </c>
      <c r="B180" s="1">
        <f>ABS(Portfolios!B180-AVERAGE(Portfolios!$B$2:$B$1004))</f>
        <v>0</v>
      </c>
    </row>
    <row r="181" spans="1:2">
      <c r="A181" s="11">
        <f>Returns!A181</f>
        <v>0</v>
      </c>
      <c r="B181" s="1">
        <f>ABS(Portfolios!B181-AVERAGE(Portfolios!$B$2:$B$1004))</f>
        <v>0</v>
      </c>
    </row>
    <row r="182" spans="1:2">
      <c r="A182" s="11">
        <f>Returns!A182</f>
        <v>0</v>
      </c>
      <c r="B182" s="1">
        <f>ABS(Portfolios!B182-AVERAGE(Portfolios!$B$2:$B$1004))</f>
        <v>0</v>
      </c>
    </row>
    <row r="183" spans="1:2">
      <c r="A183" s="11">
        <f>Returns!A183</f>
        <v>0</v>
      </c>
      <c r="B183" s="1">
        <f>ABS(Portfolios!B183-AVERAGE(Portfolios!$B$2:$B$1004))</f>
        <v>0</v>
      </c>
    </row>
    <row r="184" spans="1:2">
      <c r="A184" s="11">
        <f>Returns!A184</f>
        <v>0</v>
      </c>
      <c r="B184" s="1">
        <f>ABS(Portfolios!B184-AVERAGE(Portfolios!$B$2:$B$1004))</f>
        <v>0</v>
      </c>
    </row>
    <row r="185" spans="1:2">
      <c r="A185" s="11">
        <f>Returns!A185</f>
        <v>0</v>
      </c>
      <c r="B185" s="1">
        <f>ABS(Portfolios!B185-AVERAGE(Portfolios!$B$2:$B$1004))</f>
        <v>0</v>
      </c>
    </row>
    <row r="186" spans="1:2">
      <c r="A186" s="11">
        <f>Returns!A186</f>
        <v>0</v>
      </c>
      <c r="B186" s="1">
        <f>ABS(Portfolios!B186-AVERAGE(Portfolios!$B$2:$B$1004))</f>
        <v>0</v>
      </c>
    </row>
    <row r="187" spans="1:2">
      <c r="A187" s="11">
        <f>Returns!A187</f>
        <v>0</v>
      </c>
      <c r="B187" s="1">
        <f>ABS(Portfolios!B187-AVERAGE(Portfolios!$B$2:$B$1004))</f>
        <v>0</v>
      </c>
    </row>
    <row r="188" spans="1:2">
      <c r="A188" s="11">
        <f>Returns!A188</f>
        <v>0</v>
      </c>
      <c r="B188" s="1">
        <f>ABS(Portfolios!B188-AVERAGE(Portfolios!$B$2:$B$1004))</f>
        <v>0</v>
      </c>
    </row>
    <row r="189" spans="1:2">
      <c r="A189" s="11">
        <f>Returns!A189</f>
        <v>0</v>
      </c>
      <c r="B189" s="1">
        <f>ABS(Portfolios!B189-AVERAGE(Portfolios!$B$2:$B$1004))</f>
        <v>0</v>
      </c>
    </row>
    <row r="190" spans="1:2">
      <c r="A190" s="11">
        <f>Returns!A190</f>
        <v>0</v>
      </c>
      <c r="B190" s="1">
        <f>ABS(Portfolios!B190-AVERAGE(Portfolios!$B$2:$B$1004))</f>
        <v>0</v>
      </c>
    </row>
    <row r="191" spans="1:2">
      <c r="A191" s="11">
        <f>Returns!A191</f>
        <v>0</v>
      </c>
      <c r="B191" s="1">
        <f>ABS(Portfolios!B191-AVERAGE(Portfolios!$B$2:$B$1004))</f>
        <v>0</v>
      </c>
    </row>
    <row r="192" spans="1:2">
      <c r="A192" s="11">
        <f>Returns!A192</f>
        <v>0</v>
      </c>
      <c r="B192" s="1">
        <f>ABS(Portfolios!B192-AVERAGE(Portfolios!$B$2:$B$1004))</f>
        <v>0</v>
      </c>
    </row>
    <row r="193" spans="1:2">
      <c r="A193" s="11">
        <f>Returns!A193</f>
        <v>0</v>
      </c>
      <c r="B193" s="1">
        <f>ABS(Portfolios!B193-AVERAGE(Portfolios!$B$2:$B$1004))</f>
        <v>0</v>
      </c>
    </row>
    <row r="194" spans="1:2">
      <c r="A194" s="11">
        <f>Returns!A194</f>
        <v>0</v>
      </c>
      <c r="B194" s="1">
        <f>ABS(Portfolios!B194-AVERAGE(Portfolios!$B$2:$B$1004))</f>
        <v>0</v>
      </c>
    </row>
    <row r="195" spans="1:2">
      <c r="A195" s="11">
        <f>Returns!A195</f>
        <v>0</v>
      </c>
      <c r="B195" s="1">
        <f>ABS(Portfolios!B195-AVERAGE(Portfolios!$B$2:$B$1004))</f>
        <v>0</v>
      </c>
    </row>
    <row r="196" spans="1:2">
      <c r="A196" s="11">
        <f>Returns!A196</f>
        <v>0</v>
      </c>
      <c r="B196" s="1">
        <f>ABS(Portfolios!B196-AVERAGE(Portfolios!$B$2:$B$1004))</f>
        <v>0</v>
      </c>
    </row>
    <row r="197" spans="1:2">
      <c r="A197" s="11">
        <f>Returns!A197</f>
        <v>0</v>
      </c>
      <c r="B197" s="1">
        <f>ABS(Portfolios!B197-AVERAGE(Portfolios!$B$2:$B$1004))</f>
        <v>0</v>
      </c>
    </row>
    <row r="198" spans="1:2">
      <c r="A198" s="11">
        <f>Returns!A198</f>
        <v>0</v>
      </c>
      <c r="B198" s="1">
        <f>ABS(Portfolios!B198-AVERAGE(Portfolios!$B$2:$B$1004))</f>
        <v>0</v>
      </c>
    </row>
    <row r="199" spans="1:2">
      <c r="A199" s="11">
        <f>Returns!A199</f>
        <v>0</v>
      </c>
      <c r="B199" s="1">
        <f>ABS(Portfolios!B199-AVERAGE(Portfolios!$B$2:$B$1004))</f>
        <v>0</v>
      </c>
    </row>
    <row r="200" spans="1:2">
      <c r="A200" s="11">
        <f>Returns!A200</f>
        <v>0</v>
      </c>
      <c r="B200" s="1">
        <f>ABS(Portfolios!B200-AVERAGE(Portfolios!$B$2:$B$1004))</f>
        <v>0</v>
      </c>
    </row>
    <row r="201" spans="1:2">
      <c r="A201" s="11">
        <f>Returns!A201</f>
        <v>0</v>
      </c>
      <c r="B201" s="1">
        <f>ABS(Portfolios!B201-AVERAGE(Portfolios!$B$2:$B$1004))</f>
        <v>0</v>
      </c>
    </row>
    <row r="202" spans="1:2">
      <c r="A202" s="11">
        <f>Returns!A202</f>
        <v>0</v>
      </c>
      <c r="B202" s="1">
        <f>ABS(Portfolios!B202-AVERAGE(Portfolios!$B$2:$B$1004))</f>
        <v>0</v>
      </c>
    </row>
    <row r="203" spans="1:2">
      <c r="A203" s="11">
        <f>Returns!A203</f>
        <v>0</v>
      </c>
      <c r="B203" s="1">
        <f>ABS(Portfolios!B203-AVERAGE(Portfolios!$B$2:$B$1004))</f>
        <v>0</v>
      </c>
    </row>
    <row r="204" spans="1:2">
      <c r="A204" s="11">
        <f>Returns!A204</f>
        <v>0</v>
      </c>
      <c r="B204" s="1">
        <f>ABS(Portfolios!B204-AVERAGE(Portfolios!$B$2:$B$1004))</f>
        <v>0</v>
      </c>
    </row>
    <row r="205" spans="1:2">
      <c r="A205" s="11">
        <f>Returns!A205</f>
        <v>0</v>
      </c>
      <c r="B205" s="1">
        <f>ABS(Portfolios!B205-AVERAGE(Portfolios!$B$2:$B$1004))</f>
        <v>0</v>
      </c>
    </row>
    <row r="206" spans="1:2">
      <c r="A206" s="11">
        <f>Returns!A206</f>
        <v>0</v>
      </c>
      <c r="B206" s="1">
        <f>ABS(Portfolios!B206-AVERAGE(Portfolios!$B$2:$B$1004))</f>
        <v>0</v>
      </c>
    </row>
    <row r="207" spans="1:2">
      <c r="A207" s="11">
        <f>Returns!A207</f>
        <v>0</v>
      </c>
      <c r="B207" s="1">
        <f>ABS(Portfolios!B207-AVERAGE(Portfolios!$B$2:$B$1004))</f>
        <v>0</v>
      </c>
    </row>
    <row r="208" spans="1:2">
      <c r="A208" s="11">
        <f>Returns!A208</f>
        <v>0</v>
      </c>
      <c r="B208" s="1">
        <f>ABS(Portfolios!B208-AVERAGE(Portfolios!$B$2:$B$1004))</f>
        <v>0</v>
      </c>
    </row>
    <row r="209" spans="1:2">
      <c r="A209" s="11">
        <f>Returns!A209</f>
        <v>0</v>
      </c>
      <c r="B209" s="1">
        <f>ABS(Portfolios!B209-AVERAGE(Portfolios!$B$2:$B$1004))</f>
        <v>0</v>
      </c>
    </row>
    <row r="210" spans="1:2">
      <c r="A210" s="11">
        <f>Returns!A210</f>
        <v>0</v>
      </c>
      <c r="B210" s="1">
        <f>ABS(Portfolios!B210-AVERAGE(Portfolios!$B$2:$B$1004))</f>
        <v>0</v>
      </c>
    </row>
    <row r="211" spans="1:2">
      <c r="A211" s="11">
        <f>Returns!A211</f>
        <v>0</v>
      </c>
      <c r="B211" s="1">
        <f>ABS(Portfolios!B211-AVERAGE(Portfolios!$B$2:$B$1004))</f>
        <v>0</v>
      </c>
    </row>
    <row r="212" spans="1:2">
      <c r="A212" s="11">
        <f>Returns!A212</f>
        <v>0</v>
      </c>
      <c r="B212" s="1">
        <f>ABS(Portfolios!B212-AVERAGE(Portfolios!$B$2:$B$1004))</f>
        <v>0</v>
      </c>
    </row>
    <row r="213" spans="1:2">
      <c r="A213" s="11">
        <f>Returns!A213</f>
        <v>0</v>
      </c>
      <c r="B213" s="1">
        <f>ABS(Portfolios!B213-AVERAGE(Portfolios!$B$2:$B$1004))</f>
        <v>0</v>
      </c>
    </row>
    <row r="214" spans="1:2">
      <c r="A214" s="11">
        <f>Returns!A214</f>
        <v>0</v>
      </c>
      <c r="B214" s="1">
        <f>ABS(Portfolios!B214-AVERAGE(Portfolios!$B$2:$B$1004))</f>
        <v>0</v>
      </c>
    </row>
    <row r="215" spans="1:2">
      <c r="A215" s="11">
        <f>Returns!A215</f>
        <v>0</v>
      </c>
      <c r="B215" s="1">
        <f>ABS(Portfolios!B215-AVERAGE(Portfolios!$B$2:$B$1004))</f>
        <v>0</v>
      </c>
    </row>
    <row r="216" spans="1:2">
      <c r="A216" s="11">
        <f>Returns!A216</f>
        <v>0</v>
      </c>
      <c r="B216" s="1">
        <f>ABS(Portfolios!B216-AVERAGE(Portfolios!$B$2:$B$1004))</f>
        <v>0</v>
      </c>
    </row>
    <row r="217" spans="1:2">
      <c r="A217" s="11">
        <f>Returns!A217</f>
        <v>0</v>
      </c>
      <c r="B217" s="1">
        <f>ABS(Portfolios!B217-AVERAGE(Portfolios!$B$2:$B$1004))</f>
        <v>0</v>
      </c>
    </row>
    <row r="218" spans="1:2">
      <c r="A218" s="11">
        <f>Returns!A218</f>
        <v>0</v>
      </c>
      <c r="B218" s="1">
        <f>ABS(Portfolios!B218-AVERAGE(Portfolios!$B$2:$B$1004))</f>
        <v>0</v>
      </c>
    </row>
    <row r="219" spans="1:2">
      <c r="A219" s="11">
        <f>Returns!A219</f>
        <v>0</v>
      </c>
      <c r="B219" s="1">
        <f>ABS(Portfolios!B219-AVERAGE(Portfolios!$B$2:$B$1004))</f>
        <v>0</v>
      </c>
    </row>
    <row r="220" spans="1:2">
      <c r="A220" s="11">
        <f>Returns!A220</f>
        <v>0</v>
      </c>
      <c r="B220" s="1">
        <f>ABS(Portfolios!B220-AVERAGE(Portfolios!$B$2:$B$1004))</f>
        <v>0</v>
      </c>
    </row>
    <row r="221" spans="1:2">
      <c r="A221" s="11">
        <f>Returns!A221</f>
        <v>0</v>
      </c>
      <c r="B221" s="1">
        <f>ABS(Portfolios!B221-AVERAGE(Portfolios!$B$2:$B$1004))</f>
        <v>0</v>
      </c>
    </row>
    <row r="222" spans="1:2">
      <c r="A222" s="11">
        <f>Returns!A222</f>
        <v>0</v>
      </c>
      <c r="B222" s="1">
        <f>ABS(Portfolios!B222-AVERAGE(Portfolios!$B$2:$B$1004))</f>
        <v>0</v>
      </c>
    </row>
    <row r="223" spans="1:2">
      <c r="A223" s="11">
        <f>Returns!A223</f>
        <v>0</v>
      </c>
      <c r="B223" s="1">
        <f>ABS(Portfolios!B223-AVERAGE(Portfolios!$B$2:$B$1004))</f>
        <v>0</v>
      </c>
    </row>
    <row r="224" spans="1:2">
      <c r="A224" s="11">
        <f>Returns!A224</f>
        <v>0</v>
      </c>
      <c r="B224" s="1">
        <f>ABS(Portfolios!B224-AVERAGE(Portfolios!$B$2:$B$1004))</f>
        <v>0</v>
      </c>
    </row>
    <row r="225" spans="1:2">
      <c r="A225" s="11">
        <f>Returns!A225</f>
        <v>0</v>
      </c>
      <c r="B225" s="1">
        <f>ABS(Portfolios!B225-AVERAGE(Portfolios!$B$2:$B$1004))</f>
        <v>0</v>
      </c>
    </row>
    <row r="226" spans="1:2">
      <c r="A226" s="11">
        <f>Returns!A226</f>
        <v>0</v>
      </c>
      <c r="B226" s="1">
        <f>ABS(Portfolios!B226-AVERAGE(Portfolios!$B$2:$B$1004))</f>
        <v>0</v>
      </c>
    </row>
    <row r="227" spans="1:2">
      <c r="A227" s="11">
        <f>Returns!A227</f>
        <v>0</v>
      </c>
      <c r="B227" s="1">
        <f>ABS(Portfolios!B227-AVERAGE(Portfolios!$B$2:$B$1004))</f>
        <v>0</v>
      </c>
    </row>
    <row r="228" spans="1:2">
      <c r="A228" s="11">
        <f>Returns!A228</f>
        <v>0</v>
      </c>
      <c r="B228" s="1">
        <f>ABS(Portfolios!B228-AVERAGE(Portfolios!$B$2:$B$1004))</f>
        <v>0</v>
      </c>
    </row>
    <row r="229" spans="1:2">
      <c r="A229" s="11">
        <f>Returns!A229</f>
        <v>0</v>
      </c>
      <c r="B229" s="1">
        <f>ABS(Portfolios!B229-AVERAGE(Portfolios!$B$2:$B$1004))</f>
        <v>0</v>
      </c>
    </row>
    <row r="230" spans="1:2">
      <c r="A230" s="11">
        <f>Returns!A230</f>
        <v>0</v>
      </c>
      <c r="B230" s="1">
        <f>ABS(Portfolios!B230-AVERAGE(Portfolios!$B$2:$B$1004))</f>
        <v>0</v>
      </c>
    </row>
    <row r="231" spans="1:2">
      <c r="A231" s="11">
        <f>Returns!A231</f>
        <v>0</v>
      </c>
      <c r="B231" s="1">
        <f>ABS(Portfolios!B231-AVERAGE(Portfolios!$B$2:$B$1004))</f>
        <v>0</v>
      </c>
    </row>
    <row r="232" spans="1:2">
      <c r="A232" s="11">
        <f>Returns!A232</f>
        <v>0</v>
      </c>
      <c r="B232" s="1">
        <f>ABS(Portfolios!B232-AVERAGE(Portfolios!$B$2:$B$1004))</f>
        <v>0</v>
      </c>
    </row>
    <row r="233" spans="1:2">
      <c r="A233" s="11">
        <f>Returns!A233</f>
        <v>0</v>
      </c>
      <c r="B233" s="1">
        <f>ABS(Portfolios!B233-AVERAGE(Portfolios!$B$2:$B$1004))</f>
        <v>0</v>
      </c>
    </row>
    <row r="234" spans="1:2">
      <c r="A234" s="11">
        <f>Returns!A234</f>
        <v>0</v>
      </c>
      <c r="B234" s="1">
        <f>ABS(Portfolios!B234-AVERAGE(Portfolios!$B$2:$B$1004))</f>
        <v>0</v>
      </c>
    </row>
    <row r="235" spans="1:2">
      <c r="A235" s="11">
        <f>Returns!A235</f>
        <v>0</v>
      </c>
      <c r="B235" s="1">
        <f>ABS(Portfolios!B235-AVERAGE(Portfolios!$B$2:$B$1004))</f>
        <v>0</v>
      </c>
    </row>
    <row r="236" spans="1:2">
      <c r="A236" s="11">
        <f>Returns!A236</f>
        <v>0</v>
      </c>
      <c r="B236" s="1">
        <f>ABS(Portfolios!B236-AVERAGE(Portfolios!$B$2:$B$1004))</f>
        <v>0</v>
      </c>
    </row>
    <row r="237" spans="1:2">
      <c r="A237" s="11">
        <f>Returns!A237</f>
        <v>0</v>
      </c>
      <c r="B237" s="1">
        <f>ABS(Portfolios!B237-AVERAGE(Portfolios!$B$2:$B$1004))</f>
        <v>0</v>
      </c>
    </row>
    <row r="238" spans="1:2">
      <c r="A238" s="11">
        <f>Returns!A238</f>
        <v>0</v>
      </c>
      <c r="B238" s="1">
        <f>ABS(Portfolios!B238-AVERAGE(Portfolios!$B$2:$B$1004))</f>
        <v>0</v>
      </c>
    </row>
    <row r="239" spans="1:2">
      <c r="A239" s="11">
        <f>Returns!A239</f>
        <v>0</v>
      </c>
      <c r="B239" s="1">
        <f>ABS(Portfolios!B239-AVERAGE(Portfolios!$B$2:$B$1004))</f>
        <v>0</v>
      </c>
    </row>
    <row r="240" spans="1:2">
      <c r="A240" s="11">
        <f>Returns!A240</f>
        <v>0</v>
      </c>
      <c r="B240" s="1">
        <f>ABS(Portfolios!B240-AVERAGE(Portfolios!$B$2:$B$1004))</f>
        <v>0</v>
      </c>
    </row>
    <row r="241" spans="1:2">
      <c r="A241" s="11">
        <f>Returns!A241</f>
        <v>0</v>
      </c>
      <c r="B241" s="1">
        <f>ABS(Portfolios!B241-AVERAGE(Portfolios!$B$2:$B$1004))</f>
        <v>0</v>
      </c>
    </row>
    <row r="242" spans="1:2">
      <c r="A242" s="11">
        <f>Returns!A242</f>
        <v>0</v>
      </c>
      <c r="B242" s="1">
        <f>ABS(Portfolios!B242-AVERAGE(Portfolios!$B$2:$B$1004))</f>
        <v>0</v>
      </c>
    </row>
    <row r="243" spans="1:2">
      <c r="A243" s="11">
        <f>Returns!A243</f>
        <v>0</v>
      </c>
      <c r="B243" s="1">
        <f>ABS(Portfolios!B243-AVERAGE(Portfolios!$B$2:$B$1004))</f>
        <v>0</v>
      </c>
    </row>
    <row r="244" spans="1:2">
      <c r="A244" s="11">
        <f>Returns!A244</f>
        <v>0</v>
      </c>
      <c r="B244" s="1">
        <f>ABS(Portfolios!B244-AVERAGE(Portfolios!$B$2:$B$1004))</f>
        <v>0</v>
      </c>
    </row>
    <row r="245" spans="1:2">
      <c r="A245" s="11">
        <f>Returns!A245</f>
        <v>0</v>
      </c>
      <c r="B245" s="1">
        <f>ABS(Portfolios!B245-AVERAGE(Portfolios!$B$2:$B$1004))</f>
        <v>0</v>
      </c>
    </row>
    <row r="246" spans="1:2">
      <c r="A246" s="11">
        <f>Returns!A246</f>
        <v>0</v>
      </c>
      <c r="B246" s="1">
        <f>ABS(Portfolios!B246-AVERAGE(Portfolios!$B$2:$B$1004))</f>
        <v>0</v>
      </c>
    </row>
    <row r="247" spans="1:2">
      <c r="A247" s="11">
        <f>Returns!A247</f>
        <v>0</v>
      </c>
      <c r="B247" s="1">
        <f>ABS(Portfolios!B247-AVERAGE(Portfolios!$B$2:$B$1004))</f>
        <v>0</v>
      </c>
    </row>
    <row r="248" spans="1:2">
      <c r="A248" s="11">
        <f>Returns!A248</f>
        <v>0</v>
      </c>
      <c r="B248" s="1">
        <f>ABS(Portfolios!B248-AVERAGE(Portfolios!$B$2:$B$1004))</f>
        <v>0</v>
      </c>
    </row>
    <row r="249" spans="1:2">
      <c r="A249" s="11">
        <f>Returns!A249</f>
        <v>0</v>
      </c>
      <c r="B249" s="1">
        <f>ABS(Portfolios!B249-AVERAGE(Portfolios!$B$2:$B$1004))</f>
        <v>0</v>
      </c>
    </row>
    <row r="250" spans="1:2">
      <c r="A250" s="11">
        <f>Returns!A250</f>
        <v>0</v>
      </c>
      <c r="B250" s="1">
        <f>ABS(Portfolios!B250-AVERAGE(Portfolios!$B$2:$B$1004))</f>
        <v>0</v>
      </c>
    </row>
    <row r="251" spans="1:2">
      <c r="A251" s="11">
        <f>Returns!A251</f>
        <v>0</v>
      </c>
      <c r="B251" s="1">
        <f>ABS(Portfolios!B251-AVERAGE(Portfolios!$B$2:$B$1004))</f>
        <v>0</v>
      </c>
    </row>
    <row r="252" spans="1:2">
      <c r="A252" s="11">
        <f>Returns!A252</f>
        <v>0</v>
      </c>
      <c r="B252" s="1">
        <f>ABS(Portfolios!B252-AVERAGE(Portfolios!$B$2:$B$1004))</f>
        <v>0</v>
      </c>
    </row>
    <row r="253" spans="1:2">
      <c r="A253" s="11">
        <f>Returns!A253</f>
        <v>0</v>
      </c>
      <c r="B253" s="1">
        <f>ABS(Portfolios!B253-AVERAGE(Portfolios!$B$2:$B$1004))</f>
        <v>0</v>
      </c>
    </row>
    <row r="254" spans="1:2">
      <c r="A254" s="11">
        <f>Returns!A254</f>
        <v>0</v>
      </c>
      <c r="B254" s="1">
        <f>ABS(Portfolios!B254-AVERAGE(Portfolios!$B$2:$B$1004))</f>
        <v>0</v>
      </c>
    </row>
    <row r="255" spans="1:2">
      <c r="A255" s="11">
        <f>Returns!A255</f>
        <v>0</v>
      </c>
      <c r="B255" s="1">
        <f>ABS(Portfolios!B255-AVERAGE(Portfolios!$B$2:$B$1004))</f>
        <v>0</v>
      </c>
    </row>
    <row r="256" spans="1:2">
      <c r="A256" s="11">
        <f>Returns!A256</f>
        <v>0</v>
      </c>
      <c r="B256" s="1">
        <f>ABS(Portfolios!B256-AVERAGE(Portfolios!$B$2:$B$1004))</f>
        <v>0</v>
      </c>
    </row>
    <row r="257" spans="1:2">
      <c r="A257" s="11">
        <f>Returns!A257</f>
        <v>0</v>
      </c>
      <c r="B257" s="1">
        <f>ABS(Portfolios!B257-AVERAGE(Portfolios!$B$2:$B$1004))</f>
        <v>0</v>
      </c>
    </row>
    <row r="258" spans="1:2">
      <c r="A258" s="11">
        <f>Returns!A258</f>
        <v>0</v>
      </c>
      <c r="B258" s="1">
        <f>ABS(Portfolios!B258-AVERAGE(Portfolios!$B$2:$B$1004))</f>
        <v>0</v>
      </c>
    </row>
    <row r="259" spans="1:2">
      <c r="A259" s="11">
        <f>Returns!A259</f>
        <v>0</v>
      </c>
      <c r="B259" s="1">
        <f>ABS(Portfolios!B259-AVERAGE(Portfolios!$B$2:$B$1004))</f>
        <v>0</v>
      </c>
    </row>
    <row r="260" spans="1:2">
      <c r="A260" s="11">
        <f>Returns!A260</f>
        <v>0</v>
      </c>
      <c r="B260" s="1">
        <f>ABS(Portfolios!B260-AVERAGE(Portfolios!$B$2:$B$1004))</f>
        <v>0</v>
      </c>
    </row>
    <row r="261" spans="1:2">
      <c r="A261" s="11">
        <f>Returns!A261</f>
        <v>0</v>
      </c>
      <c r="B261" s="1">
        <f>ABS(Portfolios!B261-AVERAGE(Portfolios!$B$2:$B$1004))</f>
        <v>0</v>
      </c>
    </row>
    <row r="262" spans="1:2">
      <c r="A262" s="11">
        <f>Returns!A262</f>
        <v>0</v>
      </c>
      <c r="B262" s="1">
        <f>ABS(Portfolios!B262-AVERAGE(Portfolios!$B$2:$B$1004))</f>
        <v>0</v>
      </c>
    </row>
    <row r="263" spans="1:2">
      <c r="A263" s="11">
        <f>Returns!A263</f>
        <v>0</v>
      </c>
      <c r="B263" s="1">
        <f>ABS(Portfolios!B263-AVERAGE(Portfolios!$B$2:$B$1004))</f>
        <v>0</v>
      </c>
    </row>
    <row r="264" spans="1:2">
      <c r="A264" s="11">
        <f>Returns!A264</f>
        <v>0</v>
      </c>
      <c r="B264" s="1">
        <f>ABS(Portfolios!B264-AVERAGE(Portfolios!$B$2:$B$1004))</f>
        <v>0</v>
      </c>
    </row>
    <row r="265" spans="1:2">
      <c r="A265" s="11">
        <f>Returns!A265</f>
        <v>0</v>
      </c>
      <c r="B265" s="1">
        <f>ABS(Portfolios!B265-AVERAGE(Portfolios!$B$2:$B$1004))</f>
        <v>0</v>
      </c>
    </row>
    <row r="266" spans="1:2">
      <c r="A266" s="11">
        <f>Returns!A266</f>
        <v>0</v>
      </c>
      <c r="B266" s="1">
        <f>ABS(Portfolios!B266-AVERAGE(Portfolios!$B$2:$B$1004))</f>
        <v>0</v>
      </c>
    </row>
    <row r="267" spans="1:2">
      <c r="A267" s="11">
        <f>Returns!A267</f>
        <v>0</v>
      </c>
      <c r="B267" s="1">
        <f>ABS(Portfolios!B267-AVERAGE(Portfolios!$B$2:$B$1004))</f>
        <v>0</v>
      </c>
    </row>
    <row r="268" spans="1:2">
      <c r="A268" s="11">
        <f>Returns!A268</f>
        <v>0</v>
      </c>
      <c r="B268" s="1">
        <f>ABS(Portfolios!B268-AVERAGE(Portfolios!$B$2:$B$1004))</f>
        <v>0</v>
      </c>
    </row>
    <row r="269" spans="1:2">
      <c r="A269" s="11">
        <f>Returns!A269</f>
        <v>0</v>
      </c>
      <c r="B269" s="1">
        <f>ABS(Portfolios!B269-AVERAGE(Portfolios!$B$2:$B$1004))</f>
        <v>0</v>
      </c>
    </row>
    <row r="270" spans="1:2">
      <c r="A270" s="11">
        <f>Returns!A270</f>
        <v>0</v>
      </c>
      <c r="B270" s="1">
        <f>ABS(Portfolios!B270-AVERAGE(Portfolios!$B$2:$B$1004))</f>
        <v>0</v>
      </c>
    </row>
    <row r="271" spans="1:2">
      <c r="A271" s="11">
        <f>Returns!A271</f>
        <v>0</v>
      </c>
      <c r="B271" s="1">
        <f>ABS(Portfolios!B271-AVERAGE(Portfolios!$B$2:$B$1004))</f>
        <v>0</v>
      </c>
    </row>
    <row r="272" spans="1:2">
      <c r="A272" s="11">
        <f>Returns!A272</f>
        <v>0</v>
      </c>
      <c r="B272" s="1">
        <f>ABS(Portfolios!B272-AVERAGE(Portfolios!$B$2:$B$1004))</f>
        <v>0</v>
      </c>
    </row>
    <row r="273" spans="1:2">
      <c r="A273" s="11">
        <f>Returns!A273</f>
        <v>0</v>
      </c>
      <c r="B273" s="1">
        <f>ABS(Portfolios!B273-AVERAGE(Portfolios!$B$2:$B$1004))</f>
        <v>0</v>
      </c>
    </row>
    <row r="274" spans="1:2">
      <c r="A274" s="11">
        <f>Returns!A274</f>
        <v>0</v>
      </c>
      <c r="B274" s="1">
        <f>ABS(Portfolios!B274-AVERAGE(Portfolios!$B$2:$B$1004))</f>
        <v>0</v>
      </c>
    </row>
    <row r="275" spans="1:2">
      <c r="A275" s="11">
        <f>Returns!A275</f>
        <v>0</v>
      </c>
      <c r="B275" s="1">
        <f>ABS(Portfolios!B275-AVERAGE(Portfolios!$B$2:$B$1004))</f>
        <v>0</v>
      </c>
    </row>
    <row r="276" spans="1:2">
      <c r="A276" s="11">
        <f>Returns!A276</f>
        <v>0</v>
      </c>
      <c r="B276" s="1">
        <f>ABS(Portfolios!B276-AVERAGE(Portfolios!$B$2:$B$1004))</f>
        <v>0</v>
      </c>
    </row>
    <row r="277" spans="1:2">
      <c r="A277" s="11">
        <f>Returns!A277</f>
        <v>0</v>
      </c>
      <c r="B277" s="1">
        <f>ABS(Portfolios!B277-AVERAGE(Portfolios!$B$2:$B$1004))</f>
        <v>0</v>
      </c>
    </row>
    <row r="278" spans="1:2">
      <c r="A278" s="11">
        <f>Returns!A278</f>
        <v>0</v>
      </c>
      <c r="B278" s="1">
        <f>ABS(Portfolios!B278-AVERAGE(Portfolios!$B$2:$B$1004))</f>
        <v>0</v>
      </c>
    </row>
    <row r="279" spans="1:2">
      <c r="A279" s="11">
        <f>Returns!A279</f>
        <v>0</v>
      </c>
      <c r="B279" s="1">
        <f>ABS(Portfolios!B279-AVERAGE(Portfolios!$B$2:$B$1004))</f>
        <v>0</v>
      </c>
    </row>
    <row r="280" spans="1:2">
      <c r="A280" s="11">
        <f>Returns!A280</f>
        <v>0</v>
      </c>
      <c r="B280" s="1">
        <f>ABS(Portfolios!B280-AVERAGE(Portfolios!$B$2:$B$1004))</f>
        <v>0</v>
      </c>
    </row>
    <row r="281" spans="1:2">
      <c r="A281" s="11">
        <f>Returns!A281</f>
        <v>0</v>
      </c>
      <c r="B281" s="1">
        <f>ABS(Portfolios!B281-AVERAGE(Portfolios!$B$2:$B$1004))</f>
        <v>0</v>
      </c>
    </row>
    <row r="282" spans="1:2">
      <c r="A282" s="11">
        <f>Returns!A282</f>
        <v>0</v>
      </c>
      <c r="B282" s="1">
        <f>ABS(Portfolios!B282-AVERAGE(Portfolios!$B$2:$B$1004))</f>
        <v>0</v>
      </c>
    </row>
    <row r="283" spans="1:2">
      <c r="A283" s="11">
        <f>Returns!A283</f>
        <v>0</v>
      </c>
      <c r="B283" s="1">
        <f>ABS(Portfolios!B283-AVERAGE(Portfolios!$B$2:$B$1004))</f>
        <v>0</v>
      </c>
    </row>
    <row r="284" spans="1:2">
      <c r="A284" s="11">
        <f>Returns!A284</f>
        <v>0</v>
      </c>
      <c r="B284" s="1">
        <f>ABS(Portfolios!B284-AVERAGE(Portfolios!$B$2:$B$1004))</f>
        <v>0</v>
      </c>
    </row>
    <row r="285" spans="1:2">
      <c r="A285" s="11">
        <f>Returns!A285</f>
        <v>0</v>
      </c>
      <c r="B285" s="1">
        <f>ABS(Portfolios!B285-AVERAGE(Portfolios!$B$2:$B$1004))</f>
        <v>0</v>
      </c>
    </row>
    <row r="286" spans="1:2">
      <c r="A286" s="11">
        <f>Returns!A286</f>
        <v>0</v>
      </c>
      <c r="B286" s="1">
        <f>ABS(Portfolios!B286-AVERAGE(Portfolios!$B$2:$B$1004))</f>
        <v>0</v>
      </c>
    </row>
    <row r="287" spans="1:2">
      <c r="A287" s="11">
        <f>Returns!A287</f>
        <v>0</v>
      </c>
      <c r="B287" s="1">
        <f>ABS(Portfolios!B287-AVERAGE(Portfolios!$B$2:$B$1004))</f>
        <v>0</v>
      </c>
    </row>
    <row r="288" spans="1:2">
      <c r="A288" s="11">
        <f>Returns!A288</f>
        <v>0</v>
      </c>
      <c r="B288" s="1">
        <f>ABS(Portfolios!B288-AVERAGE(Portfolios!$B$2:$B$1004))</f>
        <v>0</v>
      </c>
    </row>
    <row r="289" spans="1:2">
      <c r="A289" s="11">
        <f>Returns!A289</f>
        <v>0</v>
      </c>
      <c r="B289" s="1">
        <f>ABS(Portfolios!B289-AVERAGE(Portfolios!$B$2:$B$1004))</f>
        <v>0</v>
      </c>
    </row>
    <row r="290" spans="1:2">
      <c r="A290" s="11">
        <f>Returns!A290</f>
        <v>0</v>
      </c>
      <c r="B290" s="1">
        <f>ABS(Portfolios!B290-AVERAGE(Portfolios!$B$2:$B$1004))</f>
        <v>0</v>
      </c>
    </row>
    <row r="291" spans="1:2">
      <c r="A291" s="11">
        <f>Returns!A291</f>
        <v>0</v>
      </c>
      <c r="B291" s="1">
        <f>ABS(Portfolios!B291-AVERAGE(Portfolios!$B$2:$B$1004))</f>
        <v>0</v>
      </c>
    </row>
    <row r="292" spans="1:2">
      <c r="A292" s="11">
        <f>Returns!A292</f>
        <v>0</v>
      </c>
      <c r="B292" s="1">
        <f>ABS(Portfolios!B292-AVERAGE(Portfolios!$B$2:$B$1004))</f>
        <v>0</v>
      </c>
    </row>
    <row r="293" spans="1:2">
      <c r="A293" s="11">
        <f>Returns!A293</f>
        <v>0</v>
      </c>
      <c r="B293" s="1">
        <f>ABS(Portfolios!B293-AVERAGE(Portfolios!$B$2:$B$1004))</f>
        <v>0</v>
      </c>
    </row>
    <row r="294" spans="1:2">
      <c r="A294" s="11">
        <f>Returns!A294</f>
        <v>0</v>
      </c>
      <c r="B294" s="1">
        <f>ABS(Portfolios!B294-AVERAGE(Portfolios!$B$2:$B$1004))</f>
        <v>0</v>
      </c>
    </row>
    <row r="295" spans="1:2">
      <c r="A295" s="11">
        <f>Returns!A295</f>
        <v>0</v>
      </c>
      <c r="B295" s="1">
        <f>ABS(Portfolios!B295-AVERAGE(Portfolios!$B$2:$B$1004))</f>
        <v>0</v>
      </c>
    </row>
    <row r="296" spans="1:2">
      <c r="A296" s="11">
        <f>Returns!A296</f>
        <v>0</v>
      </c>
      <c r="B296" s="1">
        <f>ABS(Portfolios!B296-AVERAGE(Portfolios!$B$2:$B$1004))</f>
        <v>0</v>
      </c>
    </row>
    <row r="297" spans="1:2">
      <c r="A297" s="11">
        <f>Returns!A297</f>
        <v>0</v>
      </c>
      <c r="B297" s="1">
        <f>ABS(Portfolios!B297-AVERAGE(Portfolios!$B$2:$B$1004))</f>
        <v>0</v>
      </c>
    </row>
    <row r="298" spans="1:2">
      <c r="A298" s="11">
        <f>Returns!A298</f>
        <v>0</v>
      </c>
      <c r="B298" s="1">
        <f>ABS(Portfolios!B298-AVERAGE(Portfolios!$B$2:$B$1004))</f>
        <v>0</v>
      </c>
    </row>
    <row r="299" spans="1:2">
      <c r="A299" s="11">
        <f>Returns!A299</f>
        <v>0</v>
      </c>
      <c r="B299" s="1">
        <f>ABS(Portfolios!B299-AVERAGE(Portfolios!$B$2:$B$1004))</f>
        <v>0</v>
      </c>
    </row>
    <row r="300" spans="1:2">
      <c r="A300" s="11">
        <f>Returns!A300</f>
        <v>0</v>
      </c>
      <c r="B300" s="1">
        <f>ABS(Portfolios!B300-AVERAGE(Portfolios!$B$2:$B$1004))</f>
        <v>0</v>
      </c>
    </row>
    <row r="301" spans="1:2">
      <c r="A301" s="11">
        <f>Returns!A301</f>
        <v>0</v>
      </c>
      <c r="B301" s="1">
        <f>ABS(Portfolios!B301-AVERAGE(Portfolios!$B$2:$B$1004))</f>
        <v>0</v>
      </c>
    </row>
    <row r="302" spans="1:2">
      <c r="A302" s="11">
        <f>Returns!A302</f>
        <v>0</v>
      </c>
      <c r="B302" s="1">
        <f>ABS(Portfolios!B302-AVERAGE(Portfolios!$B$2:$B$1004))</f>
        <v>0</v>
      </c>
    </row>
    <row r="303" spans="1:2">
      <c r="A303" s="11">
        <f>Returns!A303</f>
        <v>0</v>
      </c>
      <c r="B303" s="1">
        <f>ABS(Portfolios!B303-AVERAGE(Portfolios!$B$2:$B$1004))</f>
        <v>0</v>
      </c>
    </row>
    <row r="304" spans="1:2">
      <c r="A304" s="11">
        <f>Returns!A304</f>
        <v>0</v>
      </c>
      <c r="B304" s="1">
        <f>ABS(Portfolios!B304-AVERAGE(Portfolios!$B$2:$B$1004))</f>
        <v>0</v>
      </c>
    </row>
    <row r="305" spans="1:2">
      <c r="A305" s="11">
        <f>Returns!A305</f>
        <v>0</v>
      </c>
      <c r="B305" s="1">
        <f>ABS(Portfolios!B305-AVERAGE(Portfolios!$B$2:$B$1004))</f>
        <v>0</v>
      </c>
    </row>
    <row r="306" spans="1:2">
      <c r="A306" s="11">
        <f>Returns!A306</f>
        <v>0</v>
      </c>
      <c r="B306" s="1">
        <f>ABS(Portfolios!B306-AVERAGE(Portfolios!$B$2:$B$1004))</f>
        <v>0</v>
      </c>
    </row>
    <row r="307" spans="1:2">
      <c r="A307" s="11">
        <f>Returns!A307</f>
        <v>0</v>
      </c>
      <c r="B307" s="1">
        <f>ABS(Portfolios!B307-AVERAGE(Portfolios!$B$2:$B$1004))</f>
        <v>0</v>
      </c>
    </row>
    <row r="308" spans="1:2">
      <c r="A308" s="11">
        <f>Returns!A308</f>
        <v>0</v>
      </c>
      <c r="B308" s="1">
        <f>ABS(Portfolios!B308-AVERAGE(Portfolios!$B$2:$B$1004))</f>
        <v>0</v>
      </c>
    </row>
    <row r="309" spans="1:2">
      <c r="A309" s="11">
        <f>Returns!A309</f>
        <v>0</v>
      </c>
      <c r="B309" s="1">
        <f>ABS(Portfolios!B309-AVERAGE(Portfolios!$B$2:$B$1004))</f>
        <v>0</v>
      </c>
    </row>
    <row r="310" spans="1:2">
      <c r="A310" s="11">
        <f>Returns!A310</f>
        <v>0</v>
      </c>
      <c r="B310" s="1">
        <f>ABS(Portfolios!B310-AVERAGE(Portfolios!$B$2:$B$1004))</f>
        <v>0</v>
      </c>
    </row>
    <row r="311" spans="1:2">
      <c r="A311" s="11">
        <f>Returns!A311</f>
        <v>0</v>
      </c>
      <c r="B311" s="1">
        <f>ABS(Portfolios!B311-AVERAGE(Portfolios!$B$2:$B$1004))</f>
        <v>0</v>
      </c>
    </row>
    <row r="312" spans="1:2">
      <c r="A312" s="11">
        <f>Returns!A312</f>
        <v>0</v>
      </c>
      <c r="B312" s="1">
        <f>ABS(Portfolios!B312-AVERAGE(Portfolios!$B$2:$B$1004))</f>
        <v>0</v>
      </c>
    </row>
    <row r="313" spans="1:2">
      <c r="A313" s="11">
        <f>Returns!A313</f>
        <v>0</v>
      </c>
      <c r="B313" s="1">
        <f>ABS(Portfolios!B313-AVERAGE(Portfolios!$B$2:$B$1004))</f>
        <v>0</v>
      </c>
    </row>
    <row r="314" spans="1:2">
      <c r="A314" s="11">
        <f>Returns!A314</f>
        <v>0</v>
      </c>
      <c r="B314" s="1">
        <f>ABS(Portfolios!B314-AVERAGE(Portfolios!$B$2:$B$1004))</f>
        <v>0</v>
      </c>
    </row>
    <row r="315" spans="1:2">
      <c r="A315" s="11">
        <f>Returns!A315</f>
        <v>0</v>
      </c>
      <c r="B315" s="1">
        <f>ABS(Portfolios!B315-AVERAGE(Portfolios!$B$2:$B$1004))</f>
        <v>0</v>
      </c>
    </row>
    <row r="316" spans="1:2">
      <c r="A316" s="11">
        <f>Returns!A316</f>
        <v>0</v>
      </c>
      <c r="B316" s="1">
        <f>ABS(Portfolios!B316-AVERAGE(Portfolios!$B$2:$B$1004))</f>
        <v>0</v>
      </c>
    </row>
    <row r="317" spans="1:2">
      <c r="A317" s="11">
        <f>Returns!A317</f>
        <v>0</v>
      </c>
      <c r="B317" s="1">
        <f>ABS(Portfolios!B317-AVERAGE(Portfolios!$B$2:$B$1004))</f>
        <v>0</v>
      </c>
    </row>
    <row r="318" spans="1:2">
      <c r="A318" s="11">
        <f>Returns!A318</f>
        <v>0</v>
      </c>
      <c r="B318" s="1">
        <f>ABS(Portfolios!B318-AVERAGE(Portfolios!$B$2:$B$1004))</f>
        <v>0</v>
      </c>
    </row>
    <row r="319" spans="1:2">
      <c r="A319" s="11">
        <f>Returns!A319</f>
        <v>0</v>
      </c>
      <c r="B319" s="1">
        <f>ABS(Portfolios!B319-AVERAGE(Portfolios!$B$2:$B$1004))</f>
        <v>0</v>
      </c>
    </row>
    <row r="320" spans="1:2">
      <c r="A320" s="11">
        <f>Returns!A320</f>
        <v>0</v>
      </c>
      <c r="B320" s="1">
        <f>ABS(Portfolios!B320-AVERAGE(Portfolios!$B$2:$B$1004))</f>
        <v>0</v>
      </c>
    </row>
    <row r="321" spans="1:2">
      <c r="A321" s="11">
        <f>Returns!A321</f>
        <v>0</v>
      </c>
      <c r="B321" s="1">
        <f>ABS(Portfolios!B321-AVERAGE(Portfolios!$B$2:$B$1004))</f>
        <v>0</v>
      </c>
    </row>
    <row r="322" spans="1:2">
      <c r="A322" s="11">
        <f>Returns!A322</f>
        <v>0</v>
      </c>
      <c r="B322" s="1">
        <f>ABS(Portfolios!B322-AVERAGE(Portfolios!$B$2:$B$1004))</f>
        <v>0</v>
      </c>
    </row>
    <row r="323" spans="1:2">
      <c r="A323" s="11">
        <f>Returns!A323</f>
        <v>0</v>
      </c>
      <c r="B323" s="1">
        <f>ABS(Portfolios!B323-AVERAGE(Portfolios!$B$2:$B$1004))</f>
        <v>0</v>
      </c>
    </row>
    <row r="324" spans="1:2">
      <c r="A324" s="11">
        <f>Returns!A324</f>
        <v>0</v>
      </c>
      <c r="B324" s="1">
        <f>ABS(Portfolios!B324-AVERAGE(Portfolios!$B$2:$B$1004))</f>
        <v>0</v>
      </c>
    </row>
    <row r="325" spans="1:2">
      <c r="A325" s="11">
        <f>Returns!A325</f>
        <v>0</v>
      </c>
      <c r="B325" s="1">
        <f>ABS(Portfolios!B325-AVERAGE(Portfolios!$B$2:$B$1004))</f>
        <v>0</v>
      </c>
    </row>
    <row r="326" spans="1:2">
      <c r="A326" s="11">
        <f>Returns!A326</f>
        <v>0</v>
      </c>
      <c r="B326" s="1">
        <f>ABS(Portfolios!B326-AVERAGE(Portfolios!$B$2:$B$1004))</f>
        <v>0</v>
      </c>
    </row>
    <row r="327" spans="1:2">
      <c r="A327" s="11">
        <f>Returns!A327</f>
        <v>0</v>
      </c>
      <c r="B327" s="1">
        <f>ABS(Portfolios!B327-AVERAGE(Portfolios!$B$2:$B$1004))</f>
        <v>0</v>
      </c>
    </row>
    <row r="328" spans="1:2">
      <c r="A328" s="11">
        <f>Returns!A328</f>
        <v>0</v>
      </c>
      <c r="B328" s="1">
        <f>ABS(Portfolios!B328-AVERAGE(Portfolios!$B$2:$B$1004))</f>
        <v>0</v>
      </c>
    </row>
    <row r="329" spans="1:2">
      <c r="A329" s="11">
        <f>Returns!A329</f>
        <v>0</v>
      </c>
      <c r="B329" s="1">
        <f>ABS(Portfolios!B329-AVERAGE(Portfolios!$B$2:$B$1004))</f>
        <v>0</v>
      </c>
    </row>
    <row r="330" spans="1:2">
      <c r="A330" s="11">
        <f>Returns!A330</f>
        <v>0</v>
      </c>
      <c r="B330" s="1">
        <f>ABS(Portfolios!B330-AVERAGE(Portfolios!$B$2:$B$1004))</f>
        <v>0</v>
      </c>
    </row>
    <row r="331" spans="1:2">
      <c r="A331" s="11">
        <f>Returns!A331</f>
        <v>0</v>
      </c>
      <c r="B331" s="1">
        <f>ABS(Portfolios!B331-AVERAGE(Portfolios!$B$2:$B$1004))</f>
        <v>0</v>
      </c>
    </row>
    <row r="332" spans="1:2">
      <c r="A332" s="11">
        <f>Returns!A332</f>
        <v>0</v>
      </c>
      <c r="B332" s="1">
        <f>ABS(Portfolios!B332-AVERAGE(Portfolios!$B$2:$B$1004))</f>
        <v>0</v>
      </c>
    </row>
    <row r="333" spans="1:2">
      <c r="A333" s="11">
        <f>Returns!A333</f>
        <v>0</v>
      </c>
      <c r="B333" s="1">
        <f>ABS(Portfolios!B333-AVERAGE(Portfolios!$B$2:$B$1004))</f>
        <v>0</v>
      </c>
    </row>
    <row r="334" spans="1:2">
      <c r="A334" s="11">
        <f>Returns!A334</f>
        <v>0</v>
      </c>
      <c r="B334" s="1">
        <f>ABS(Portfolios!B334-AVERAGE(Portfolios!$B$2:$B$1004))</f>
        <v>0</v>
      </c>
    </row>
    <row r="335" spans="1:2">
      <c r="A335" s="11">
        <f>Returns!A335</f>
        <v>0</v>
      </c>
      <c r="B335" s="1">
        <f>ABS(Portfolios!B335-AVERAGE(Portfolios!$B$2:$B$1004))</f>
        <v>0</v>
      </c>
    </row>
    <row r="336" spans="1:2">
      <c r="A336" s="11">
        <f>Returns!A336</f>
        <v>0</v>
      </c>
      <c r="B336" s="1">
        <f>ABS(Portfolios!B336-AVERAGE(Portfolios!$B$2:$B$1004))</f>
        <v>0</v>
      </c>
    </row>
    <row r="337" spans="1:2">
      <c r="A337" s="11">
        <f>Returns!A337</f>
        <v>0</v>
      </c>
      <c r="B337" s="1">
        <f>ABS(Portfolios!B337-AVERAGE(Portfolios!$B$2:$B$1004))</f>
        <v>0</v>
      </c>
    </row>
    <row r="338" spans="1:2">
      <c r="A338" s="11">
        <f>Returns!A338</f>
        <v>0</v>
      </c>
      <c r="B338" s="1">
        <f>ABS(Portfolios!B338-AVERAGE(Portfolios!$B$2:$B$1004))</f>
        <v>0</v>
      </c>
    </row>
    <row r="339" spans="1:2">
      <c r="A339" s="11">
        <f>Returns!A339</f>
        <v>0</v>
      </c>
      <c r="B339" s="1">
        <f>ABS(Portfolios!B339-AVERAGE(Portfolios!$B$2:$B$1004))</f>
        <v>0</v>
      </c>
    </row>
    <row r="340" spans="1:2">
      <c r="A340" s="11">
        <f>Returns!A340</f>
        <v>0</v>
      </c>
      <c r="B340" s="1">
        <f>ABS(Portfolios!B340-AVERAGE(Portfolios!$B$2:$B$1004))</f>
        <v>0</v>
      </c>
    </row>
    <row r="341" spans="1:2">
      <c r="A341" s="11">
        <f>Returns!A341</f>
        <v>0</v>
      </c>
      <c r="B341" s="1">
        <f>ABS(Portfolios!B341-AVERAGE(Portfolios!$B$2:$B$1004))</f>
        <v>0</v>
      </c>
    </row>
    <row r="342" spans="1:2">
      <c r="A342" s="11">
        <f>Returns!A342</f>
        <v>0</v>
      </c>
      <c r="B342" s="1">
        <f>ABS(Portfolios!B342-AVERAGE(Portfolios!$B$2:$B$1004))</f>
        <v>0</v>
      </c>
    </row>
    <row r="343" spans="1:2">
      <c r="A343" s="11">
        <f>Returns!A343</f>
        <v>0</v>
      </c>
      <c r="B343" s="1">
        <f>ABS(Portfolios!B343-AVERAGE(Portfolios!$B$2:$B$1004))</f>
        <v>0</v>
      </c>
    </row>
    <row r="344" spans="1:2">
      <c r="A344" s="11">
        <f>Returns!A344</f>
        <v>0</v>
      </c>
      <c r="B344" s="1">
        <f>ABS(Portfolios!B344-AVERAGE(Portfolios!$B$2:$B$1004))</f>
        <v>0</v>
      </c>
    </row>
    <row r="345" spans="1:2">
      <c r="A345" s="11">
        <f>Returns!A345</f>
        <v>0</v>
      </c>
      <c r="B345" s="1">
        <f>ABS(Portfolios!B345-AVERAGE(Portfolios!$B$2:$B$1004))</f>
        <v>0</v>
      </c>
    </row>
    <row r="346" spans="1:2">
      <c r="A346" s="11">
        <f>Returns!A346</f>
        <v>0</v>
      </c>
      <c r="B346" s="1">
        <f>ABS(Portfolios!B346-AVERAGE(Portfolios!$B$2:$B$1004))</f>
        <v>0</v>
      </c>
    </row>
    <row r="347" spans="1:2">
      <c r="A347" s="11">
        <f>Returns!A347</f>
        <v>0</v>
      </c>
      <c r="B347" s="1">
        <f>ABS(Portfolios!B347-AVERAGE(Portfolios!$B$2:$B$1004))</f>
        <v>0</v>
      </c>
    </row>
    <row r="348" spans="1:2">
      <c r="A348" s="11">
        <f>Returns!A348</f>
        <v>0</v>
      </c>
      <c r="B348" s="1">
        <f>ABS(Portfolios!B348-AVERAGE(Portfolios!$B$2:$B$1004))</f>
        <v>0</v>
      </c>
    </row>
    <row r="349" spans="1:2">
      <c r="A349" s="11">
        <f>Returns!A349</f>
        <v>0</v>
      </c>
      <c r="B349" s="1">
        <f>ABS(Portfolios!B349-AVERAGE(Portfolios!$B$2:$B$1004))</f>
        <v>0</v>
      </c>
    </row>
    <row r="350" spans="1:2">
      <c r="A350" s="11">
        <f>Returns!A350</f>
        <v>0</v>
      </c>
      <c r="B350" s="1">
        <f>ABS(Portfolios!B350-AVERAGE(Portfolios!$B$2:$B$1004))</f>
        <v>0</v>
      </c>
    </row>
    <row r="351" spans="1:2">
      <c r="A351" s="11">
        <f>Returns!A351</f>
        <v>0</v>
      </c>
      <c r="B351" s="1">
        <f>ABS(Portfolios!B351-AVERAGE(Portfolios!$B$2:$B$1004))</f>
        <v>0</v>
      </c>
    </row>
    <row r="352" spans="1:2">
      <c r="A352" s="11">
        <f>Returns!A352</f>
        <v>0</v>
      </c>
      <c r="B352" s="1">
        <f>ABS(Portfolios!B352-AVERAGE(Portfolios!$B$2:$B$1004))</f>
        <v>0</v>
      </c>
    </row>
    <row r="353" spans="1:2">
      <c r="A353" s="11">
        <f>Returns!A353</f>
        <v>0</v>
      </c>
      <c r="B353" s="1">
        <f>ABS(Portfolios!B353-AVERAGE(Portfolios!$B$2:$B$1004))</f>
        <v>0</v>
      </c>
    </row>
    <row r="354" spans="1:2">
      <c r="A354" s="11">
        <f>Returns!A354</f>
        <v>0</v>
      </c>
      <c r="B354" s="1">
        <f>ABS(Portfolios!B354-AVERAGE(Portfolios!$B$2:$B$1004))</f>
        <v>0</v>
      </c>
    </row>
    <row r="355" spans="1:2">
      <c r="A355" s="11">
        <f>Returns!A355</f>
        <v>0</v>
      </c>
      <c r="B355" s="1">
        <f>ABS(Portfolios!B355-AVERAGE(Portfolios!$B$2:$B$1004))</f>
        <v>0</v>
      </c>
    </row>
    <row r="356" spans="1:2">
      <c r="A356" s="11">
        <f>Returns!A356</f>
        <v>0</v>
      </c>
      <c r="B356" s="1">
        <f>ABS(Portfolios!B356-AVERAGE(Portfolios!$B$2:$B$1004))</f>
        <v>0</v>
      </c>
    </row>
    <row r="357" spans="1:2">
      <c r="A357" s="11">
        <f>Returns!A357</f>
        <v>0</v>
      </c>
      <c r="B357" s="1">
        <f>ABS(Portfolios!B357-AVERAGE(Portfolios!$B$2:$B$1004))</f>
        <v>0</v>
      </c>
    </row>
    <row r="358" spans="1:2">
      <c r="A358" s="11">
        <f>Returns!A358</f>
        <v>0</v>
      </c>
      <c r="B358" s="1">
        <f>ABS(Portfolios!B358-AVERAGE(Portfolios!$B$2:$B$1004))</f>
        <v>0</v>
      </c>
    </row>
    <row r="359" spans="1:2">
      <c r="A359" s="11">
        <f>Returns!A359</f>
        <v>0</v>
      </c>
      <c r="B359" s="1">
        <f>ABS(Portfolios!B359-AVERAGE(Portfolios!$B$2:$B$1004))</f>
        <v>0</v>
      </c>
    </row>
    <row r="360" spans="1:2">
      <c r="A360" s="11">
        <f>Returns!A360</f>
        <v>0</v>
      </c>
      <c r="B360" s="1">
        <f>ABS(Portfolios!B360-AVERAGE(Portfolios!$B$2:$B$1004))</f>
        <v>0</v>
      </c>
    </row>
    <row r="361" spans="1:2">
      <c r="A361" s="11">
        <f>Returns!A361</f>
        <v>0</v>
      </c>
      <c r="B361" s="1">
        <f>ABS(Portfolios!B361-AVERAGE(Portfolios!$B$2:$B$1004))</f>
        <v>0</v>
      </c>
    </row>
    <row r="362" spans="1:2">
      <c r="A362" s="11">
        <f>Returns!A362</f>
        <v>0</v>
      </c>
      <c r="B362" s="1">
        <f>ABS(Portfolios!B362-AVERAGE(Portfolios!$B$2:$B$1004))</f>
        <v>0</v>
      </c>
    </row>
    <row r="363" spans="1:2">
      <c r="A363" s="11">
        <f>Returns!A363</f>
        <v>0</v>
      </c>
      <c r="B363" s="1">
        <f>ABS(Portfolios!B363-AVERAGE(Portfolios!$B$2:$B$1004))</f>
        <v>0</v>
      </c>
    </row>
    <row r="364" spans="1:2">
      <c r="A364" s="11">
        <f>Returns!A364</f>
        <v>0</v>
      </c>
      <c r="B364" s="1">
        <f>ABS(Portfolios!B364-AVERAGE(Portfolios!$B$2:$B$1004))</f>
        <v>0</v>
      </c>
    </row>
    <row r="365" spans="1:2">
      <c r="A365" s="11">
        <f>Returns!A365</f>
        <v>0</v>
      </c>
      <c r="B365" s="1">
        <f>ABS(Portfolios!B365-AVERAGE(Portfolios!$B$2:$B$1004))</f>
        <v>0</v>
      </c>
    </row>
    <row r="366" spans="1:2">
      <c r="A366" s="11">
        <f>Returns!A366</f>
        <v>0</v>
      </c>
      <c r="B366" s="1">
        <f>ABS(Portfolios!B366-AVERAGE(Portfolios!$B$2:$B$1004))</f>
        <v>0</v>
      </c>
    </row>
    <row r="367" spans="1:2">
      <c r="A367" s="11">
        <f>Returns!A367</f>
        <v>0</v>
      </c>
      <c r="B367" s="1">
        <f>ABS(Portfolios!B367-AVERAGE(Portfolios!$B$2:$B$1004))</f>
        <v>0</v>
      </c>
    </row>
    <row r="368" spans="1:2">
      <c r="A368" s="11">
        <f>Returns!A368</f>
        <v>0</v>
      </c>
      <c r="B368" s="1">
        <f>ABS(Portfolios!B368-AVERAGE(Portfolios!$B$2:$B$1004))</f>
        <v>0</v>
      </c>
    </row>
    <row r="369" spans="1:2">
      <c r="A369" s="11">
        <f>Returns!A369</f>
        <v>0</v>
      </c>
      <c r="B369" s="1">
        <f>ABS(Portfolios!B369-AVERAGE(Portfolios!$B$2:$B$1004))</f>
        <v>0</v>
      </c>
    </row>
    <row r="370" spans="1:2">
      <c r="A370" s="11">
        <f>Returns!A370</f>
        <v>0</v>
      </c>
      <c r="B370" s="1">
        <f>ABS(Portfolios!B370-AVERAGE(Portfolios!$B$2:$B$1004))</f>
        <v>0</v>
      </c>
    </row>
    <row r="371" spans="1:2">
      <c r="A371" s="11">
        <f>Returns!A371</f>
        <v>0</v>
      </c>
      <c r="B371" s="1">
        <f>ABS(Portfolios!B371-AVERAGE(Portfolios!$B$2:$B$1004))</f>
        <v>0</v>
      </c>
    </row>
    <row r="372" spans="1:2">
      <c r="A372" s="11">
        <f>Returns!A372</f>
        <v>0</v>
      </c>
      <c r="B372" s="1">
        <f>ABS(Portfolios!B372-AVERAGE(Portfolios!$B$2:$B$1004))</f>
        <v>0</v>
      </c>
    </row>
    <row r="373" spans="1:2">
      <c r="A373" s="11">
        <f>Returns!A373</f>
        <v>0</v>
      </c>
      <c r="B373" s="1">
        <f>ABS(Portfolios!B373-AVERAGE(Portfolios!$B$2:$B$1004))</f>
        <v>0</v>
      </c>
    </row>
    <row r="374" spans="1:2">
      <c r="A374" s="11">
        <f>Returns!A374</f>
        <v>0</v>
      </c>
      <c r="B374" s="1">
        <f>ABS(Portfolios!B374-AVERAGE(Portfolios!$B$2:$B$1004))</f>
        <v>0</v>
      </c>
    </row>
    <row r="375" spans="1:2">
      <c r="A375" s="11">
        <f>Returns!A375</f>
        <v>0</v>
      </c>
      <c r="B375" s="1">
        <f>ABS(Portfolios!B375-AVERAGE(Portfolios!$B$2:$B$1004))</f>
        <v>0</v>
      </c>
    </row>
    <row r="376" spans="1:2">
      <c r="A376" s="11">
        <f>Returns!A376</f>
        <v>0</v>
      </c>
      <c r="B376" s="1">
        <f>ABS(Portfolios!B376-AVERAGE(Portfolios!$B$2:$B$1004))</f>
        <v>0</v>
      </c>
    </row>
    <row r="377" spans="1:2">
      <c r="A377" s="11">
        <f>Returns!A377</f>
        <v>0</v>
      </c>
      <c r="B377" s="1">
        <f>ABS(Portfolios!B377-AVERAGE(Portfolios!$B$2:$B$1004))</f>
        <v>0</v>
      </c>
    </row>
    <row r="378" spans="1:2">
      <c r="A378" s="11">
        <f>Returns!A378</f>
        <v>0</v>
      </c>
      <c r="B378" s="1">
        <f>ABS(Portfolios!B378-AVERAGE(Portfolios!$B$2:$B$1004))</f>
        <v>0</v>
      </c>
    </row>
    <row r="379" spans="1:2">
      <c r="A379" s="11">
        <f>Returns!A379</f>
        <v>0</v>
      </c>
      <c r="B379" s="1">
        <f>ABS(Portfolios!B379-AVERAGE(Portfolios!$B$2:$B$1004))</f>
        <v>0</v>
      </c>
    </row>
    <row r="380" spans="1:2">
      <c r="A380" s="11">
        <f>Returns!A380</f>
        <v>0</v>
      </c>
      <c r="B380" s="1">
        <f>ABS(Portfolios!B380-AVERAGE(Portfolios!$B$2:$B$1004))</f>
        <v>0</v>
      </c>
    </row>
    <row r="381" spans="1:2">
      <c r="A381" s="11">
        <f>Returns!A381</f>
        <v>0</v>
      </c>
      <c r="B381" s="1">
        <f>ABS(Portfolios!B381-AVERAGE(Portfolios!$B$2:$B$1004))</f>
        <v>0</v>
      </c>
    </row>
    <row r="382" spans="1:2">
      <c r="A382" s="11">
        <f>Returns!A382</f>
        <v>0</v>
      </c>
      <c r="B382" s="1">
        <f>ABS(Portfolios!B382-AVERAGE(Portfolios!$B$2:$B$1004))</f>
        <v>0</v>
      </c>
    </row>
    <row r="383" spans="1:2">
      <c r="A383" s="11">
        <f>Returns!A383</f>
        <v>0</v>
      </c>
      <c r="B383" s="1">
        <f>ABS(Portfolios!B383-AVERAGE(Portfolios!$B$2:$B$1004))</f>
        <v>0</v>
      </c>
    </row>
    <row r="384" spans="1:2">
      <c r="A384" s="11">
        <f>Returns!A384</f>
        <v>0</v>
      </c>
      <c r="B384" s="1">
        <f>ABS(Portfolios!B384-AVERAGE(Portfolios!$B$2:$B$1004))</f>
        <v>0</v>
      </c>
    </row>
    <row r="385" spans="1:2">
      <c r="A385" s="11">
        <f>Returns!A385</f>
        <v>0</v>
      </c>
      <c r="B385" s="1">
        <f>ABS(Portfolios!B385-AVERAGE(Portfolios!$B$2:$B$1004))</f>
        <v>0</v>
      </c>
    </row>
    <row r="386" spans="1:2">
      <c r="A386" s="11">
        <f>Returns!A386</f>
        <v>0</v>
      </c>
      <c r="B386" s="1">
        <f>ABS(Portfolios!B386-AVERAGE(Portfolios!$B$2:$B$1004))</f>
        <v>0</v>
      </c>
    </row>
    <row r="387" spans="1:2">
      <c r="A387" s="11">
        <f>Returns!A387</f>
        <v>0</v>
      </c>
      <c r="B387" s="1">
        <f>ABS(Portfolios!B387-AVERAGE(Portfolios!$B$2:$B$1004))</f>
        <v>0</v>
      </c>
    </row>
    <row r="388" spans="1:2">
      <c r="A388" s="11">
        <f>Returns!A388</f>
        <v>0</v>
      </c>
      <c r="B388" s="1">
        <f>ABS(Portfolios!B388-AVERAGE(Portfolios!$B$2:$B$1004))</f>
        <v>0</v>
      </c>
    </row>
    <row r="389" spans="1:2">
      <c r="A389" s="11">
        <f>Returns!A389</f>
        <v>0</v>
      </c>
      <c r="B389" s="1">
        <f>ABS(Portfolios!B389-AVERAGE(Portfolios!$B$2:$B$1004))</f>
        <v>0</v>
      </c>
    </row>
    <row r="390" spans="1:2">
      <c r="A390" s="11">
        <f>Returns!A390</f>
        <v>0</v>
      </c>
      <c r="B390" s="1">
        <f>ABS(Portfolios!B390-AVERAGE(Portfolios!$B$2:$B$1004))</f>
        <v>0</v>
      </c>
    </row>
    <row r="391" spans="1:2">
      <c r="A391" s="11">
        <f>Returns!A391</f>
        <v>0</v>
      </c>
      <c r="B391" s="1">
        <f>ABS(Portfolios!B391-AVERAGE(Portfolios!$B$2:$B$1004))</f>
        <v>0</v>
      </c>
    </row>
    <row r="392" spans="1:2">
      <c r="A392" s="11">
        <f>Returns!A392</f>
        <v>0</v>
      </c>
      <c r="B392" s="1">
        <f>ABS(Portfolios!B392-AVERAGE(Portfolios!$B$2:$B$1004))</f>
        <v>0</v>
      </c>
    </row>
    <row r="393" spans="1:2">
      <c r="A393" s="11">
        <f>Returns!A393</f>
        <v>0</v>
      </c>
      <c r="B393" s="1">
        <f>ABS(Portfolios!B393-AVERAGE(Portfolios!$B$2:$B$1004))</f>
        <v>0</v>
      </c>
    </row>
    <row r="394" spans="1:2">
      <c r="A394" s="11">
        <f>Returns!A394</f>
        <v>0</v>
      </c>
      <c r="B394" s="1">
        <f>ABS(Portfolios!B394-AVERAGE(Portfolios!$B$2:$B$1004))</f>
        <v>0</v>
      </c>
    </row>
    <row r="395" spans="1:2">
      <c r="A395" s="11">
        <f>Returns!A395</f>
        <v>0</v>
      </c>
      <c r="B395" s="1">
        <f>ABS(Portfolios!B395-AVERAGE(Portfolios!$B$2:$B$1004))</f>
        <v>0</v>
      </c>
    </row>
    <row r="396" spans="1:2">
      <c r="A396" s="11">
        <f>Returns!A396</f>
        <v>0</v>
      </c>
      <c r="B396" s="1">
        <f>ABS(Portfolios!B396-AVERAGE(Portfolios!$B$2:$B$1004))</f>
        <v>0</v>
      </c>
    </row>
    <row r="397" spans="1:2">
      <c r="A397" s="11">
        <f>Returns!A397</f>
        <v>0</v>
      </c>
      <c r="B397" s="1">
        <f>ABS(Portfolios!B397-AVERAGE(Portfolios!$B$2:$B$1004))</f>
        <v>0</v>
      </c>
    </row>
    <row r="398" spans="1:2">
      <c r="A398" s="11">
        <f>Returns!A398</f>
        <v>0</v>
      </c>
      <c r="B398" s="1">
        <f>ABS(Portfolios!B398-AVERAGE(Portfolios!$B$2:$B$1004))</f>
        <v>0</v>
      </c>
    </row>
    <row r="399" spans="1:2">
      <c r="A399" s="11">
        <f>Returns!A399</f>
        <v>0</v>
      </c>
      <c r="B399" s="1">
        <f>ABS(Portfolios!B399-AVERAGE(Portfolios!$B$2:$B$1004))</f>
        <v>0</v>
      </c>
    </row>
    <row r="400" spans="1:2">
      <c r="A400" s="11">
        <f>Returns!A400</f>
        <v>0</v>
      </c>
      <c r="B400" s="1">
        <f>ABS(Portfolios!B400-AVERAGE(Portfolios!$B$2:$B$1004))</f>
        <v>0</v>
      </c>
    </row>
    <row r="401" spans="1:2">
      <c r="A401" s="11">
        <f>Returns!A401</f>
        <v>0</v>
      </c>
      <c r="B401" s="1">
        <f>ABS(Portfolios!B401-AVERAGE(Portfolios!$B$2:$B$1004))</f>
        <v>0</v>
      </c>
    </row>
    <row r="402" spans="1:2">
      <c r="A402" s="11">
        <f>Returns!A402</f>
        <v>0</v>
      </c>
      <c r="B402" s="1">
        <f>ABS(Portfolios!B402-AVERAGE(Portfolios!$B$2:$B$1004))</f>
        <v>0</v>
      </c>
    </row>
    <row r="403" spans="1:2">
      <c r="A403" s="11">
        <f>Returns!A403</f>
        <v>0</v>
      </c>
      <c r="B403" s="1">
        <f>ABS(Portfolios!B403-AVERAGE(Portfolios!$B$2:$B$1004))</f>
        <v>0</v>
      </c>
    </row>
    <row r="404" spans="1:2">
      <c r="A404" s="11">
        <f>Returns!A404</f>
        <v>0</v>
      </c>
      <c r="B404" s="1">
        <f>ABS(Portfolios!B404-AVERAGE(Portfolios!$B$2:$B$1004))</f>
        <v>0</v>
      </c>
    </row>
    <row r="405" spans="1:2">
      <c r="A405" s="11">
        <f>Returns!A405</f>
        <v>0</v>
      </c>
      <c r="B405" s="1">
        <f>ABS(Portfolios!B405-AVERAGE(Portfolios!$B$2:$B$1004))</f>
        <v>0</v>
      </c>
    </row>
    <row r="406" spans="1:2">
      <c r="A406" s="11">
        <f>Returns!A406</f>
        <v>0</v>
      </c>
      <c r="B406" s="1">
        <f>ABS(Portfolios!B406-AVERAGE(Portfolios!$B$2:$B$1004))</f>
        <v>0</v>
      </c>
    </row>
    <row r="407" spans="1:2">
      <c r="A407" s="11">
        <f>Returns!A407</f>
        <v>0</v>
      </c>
      <c r="B407" s="1">
        <f>ABS(Portfolios!B407-AVERAGE(Portfolios!$B$2:$B$1004))</f>
        <v>0</v>
      </c>
    </row>
    <row r="408" spans="1:2">
      <c r="A408" s="11">
        <f>Returns!A408</f>
        <v>0</v>
      </c>
      <c r="B408" s="1">
        <f>ABS(Portfolios!B408-AVERAGE(Portfolios!$B$2:$B$1004))</f>
        <v>0</v>
      </c>
    </row>
    <row r="409" spans="1:2">
      <c r="A409" s="11">
        <f>Returns!A409</f>
        <v>0</v>
      </c>
      <c r="B409" s="1">
        <f>ABS(Portfolios!B409-AVERAGE(Portfolios!$B$2:$B$1004))</f>
        <v>0</v>
      </c>
    </row>
    <row r="410" spans="1:2">
      <c r="A410" s="11">
        <f>Returns!A410</f>
        <v>0</v>
      </c>
      <c r="B410" s="1">
        <f>ABS(Portfolios!B410-AVERAGE(Portfolios!$B$2:$B$1004))</f>
        <v>0</v>
      </c>
    </row>
    <row r="411" spans="1:2">
      <c r="A411" s="11">
        <f>Returns!A411</f>
        <v>0</v>
      </c>
      <c r="B411" s="1">
        <f>ABS(Portfolios!B411-AVERAGE(Portfolios!$B$2:$B$1004))</f>
        <v>0</v>
      </c>
    </row>
    <row r="412" spans="1:2">
      <c r="A412" s="11">
        <f>Returns!A412</f>
        <v>0</v>
      </c>
      <c r="B412" s="1">
        <f>ABS(Portfolios!B412-AVERAGE(Portfolios!$B$2:$B$1004))</f>
        <v>0</v>
      </c>
    </row>
    <row r="413" spans="1:2">
      <c r="A413" s="11">
        <f>Returns!A413</f>
        <v>0</v>
      </c>
      <c r="B413" s="1">
        <f>ABS(Portfolios!B413-AVERAGE(Portfolios!$B$2:$B$1004))</f>
        <v>0</v>
      </c>
    </row>
    <row r="414" spans="1:2">
      <c r="A414" s="11">
        <f>Returns!A414</f>
        <v>0</v>
      </c>
      <c r="B414" s="1">
        <f>ABS(Portfolios!B414-AVERAGE(Portfolios!$B$2:$B$1004))</f>
        <v>0</v>
      </c>
    </row>
    <row r="415" spans="1:2">
      <c r="A415" s="11">
        <f>Returns!A415</f>
        <v>0</v>
      </c>
      <c r="B415" s="1">
        <f>ABS(Portfolios!B415-AVERAGE(Portfolios!$B$2:$B$1004))</f>
        <v>0</v>
      </c>
    </row>
    <row r="416" spans="1:2">
      <c r="A416" s="11">
        <f>Returns!A416</f>
        <v>0</v>
      </c>
      <c r="B416" s="1">
        <f>ABS(Portfolios!B416-AVERAGE(Portfolios!$B$2:$B$1004))</f>
        <v>0</v>
      </c>
    </row>
    <row r="417" spans="1:2">
      <c r="A417" s="11">
        <f>Returns!A417</f>
        <v>0</v>
      </c>
      <c r="B417" s="1">
        <f>ABS(Portfolios!B417-AVERAGE(Portfolios!$B$2:$B$1004))</f>
        <v>0</v>
      </c>
    </row>
    <row r="418" spans="1:2">
      <c r="A418" s="11">
        <f>Returns!A418</f>
        <v>0</v>
      </c>
      <c r="B418" s="1">
        <f>ABS(Portfolios!B418-AVERAGE(Portfolios!$B$2:$B$1004))</f>
        <v>0</v>
      </c>
    </row>
    <row r="419" spans="1:2">
      <c r="A419" s="11">
        <f>Returns!A419</f>
        <v>0</v>
      </c>
      <c r="B419" s="1">
        <f>ABS(Portfolios!B419-AVERAGE(Portfolios!$B$2:$B$1004))</f>
        <v>0</v>
      </c>
    </row>
    <row r="420" spans="1:2">
      <c r="A420" s="11">
        <f>Returns!A420</f>
        <v>0</v>
      </c>
      <c r="B420" s="1">
        <f>ABS(Portfolios!B420-AVERAGE(Portfolios!$B$2:$B$1004))</f>
        <v>0</v>
      </c>
    </row>
    <row r="421" spans="1:2">
      <c r="A421" s="11">
        <f>Returns!A421</f>
        <v>0</v>
      </c>
      <c r="B421" s="1">
        <f>ABS(Portfolios!B421-AVERAGE(Portfolios!$B$2:$B$1004))</f>
        <v>0</v>
      </c>
    </row>
    <row r="422" spans="1:2">
      <c r="A422" s="11">
        <f>Returns!A422</f>
        <v>0</v>
      </c>
      <c r="B422" s="1">
        <f>ABS(Portfolios!B422-AVERAGE(Portfolios!$B$2:$B$1004))</f>
        <v>0</v>
      </c>
    </row>
    <row r="423" spans="1:2">
      <c r="A423" s="11">
        <f>Returns!A423</f>
        <v>0</v>
      </c>
      <c r="B423" s="1">
        <f>ABS(Portfolios!B423-AVERAGE(Portfolios!$B$2:$B$1004))</f>
        <v>0</v>
      </c>
    </row>
    <row r="424" spans="1:2">
      <c r="A424" s="11">
        <f>Returns!A424</f>
        <v>0</v>
      </c>
      <c r="B424" s="1">
        <f>ABS(Portfolios!B424-AVERAGE(Portfolios!$B$2:$B$1004))</f>
        <v>0</v>
      </c>
    </row>
    <row r="425" spans="1:2">
      <c r="A425" s="11">
        <f>Returns!A425</f>
        <v>0</v>
      </c>
      <c r="B425" s="1">
        <f>ABS(Portfolios!B425-AVERAGE(Portfolios!$B$2:$B$1004))</f>
        <v>0</v>
      </c>
    </row>
    <row r="426" spans="1:2">
      <c r="A426" s="11">
        <f>Returns!A426</f>
        <v>0</v>
      </c>
      <c r="B426" s="1">
        <f>ABS(Portfolios!B426-AVERAGE(Portfolios!$B$2:$B$1004))</f>
        <v>0</v>
      </c>
    </row>
    <row r="427" spans="1:2">
      <c r="A427" s="11">
        <f>Returns!A427</f>
        <v>0</v>
      </c>
      <c r="B427" s="1">
        <f>ABS(Portfolios!B427-AVERAGE(Portfolios!$B$2:$B$1004))</f>
        <v>0</v>
      </c>
    </row>
    <row r="428" spans="1:2">
      <c r="A428" s="11">
        <f>Returns!A428</f>
        <v>0</v>
      </c>
      <c r="B428" s="1">
        <f>ABS(Portfolios!B428-AVERAGE(Portfolios!$B$2:$B$1004))</f>
        <v>0</v>
      </c>
    </row>
    <row r="429" spans="1:2">
      <c r="A429" s="11">
        <f>Returns!A429</f>
        <v>0</v>
      </c>
      <c r="B429" s="1">
        <f>ABS(Portfolios!B429-AVERAGE(Portfolios!$B$2:$B$1004))</f>
        <v>0</v>
      </c>
    </row>
    <row r="430" spans="1:2">
      <c r="A430" s="11">
        <f>Returns!A430</f>
        <v>0</v>
      </c>
      <c r="B430" s="1">
        <f>ABS(Portfolios!B430-AVERAGE(Portfolios!$B$2:$B$1004))</f>
        <v>0</v>
      </c>
    </row>
    <row r="431" spans="1:2">
      <c r="A431" s="11">
        <f>Returns!A431</f>
        <v>0</v>
      </c>
      <c r="B431" s="1">
        <f>ABS(Portfolios!B431-AVERAGE(Portfolios!$B$2:$B$1004))</f>
        <v>0</v>
      </c>
    </row>
    <row r="432" spans="1:2">
      <c r="A432" s="11">
        <f>Returns!A432</f>
        <v>0</v>
      </c>
      <c r="B432" s="1">
        <f>ABS(Portfolios!B432-AVERAGE(Portfolios!$B$2:$B$1004))</f>
        <v>0</v>
      </c>
    </row>
    <row r="433" spans="1:2">
      <c r="A433" s="11">
        <f>Returns!A433</f>
        <v>0</v>
      </c>
      <c r="B433" s="1">
        <f>ABS(Portfolios!B433-AVERAGE(Portfolios!$B$2:$B$1004))</f>
        <v>0</v>
      </c>
    </row>
    <row r="434" spans="1:2">
      <c r="A434" s="11">
        <f>Returns!A434</f>
        <v>0</v>
      </c>
      <c r="B434" s="1">
        <f>ABS(Portfolios!B434-AVERAGE(Portfolios!$B$2:$B$1004))</f>
        <v>0</v>
      </c>
    </row>
    <row r="435" spans="1:2">
      <c r="A435" s="11">
        <f>Returns!A435</f>
        <v>0</v>
      </c>
      <c r="B435" s="1">
        <f>ABS(Portfolios!B435-AVERAGE(Portfolios!$B$2:$B$1004))</f>
        <v>0</v>
      </c>
    </row>
    <row r="436" spans="1:2">
      <c r="A436" s="11">
        <f>Returns!A436</f>
        <v>0</v>
      </c>
      <c r="B436" s="1">
        <f>ABS(Portfolios!B436-AVERAGE(Portfolios!$B$2:$B$1004))</f>
        <v>0</v>
      </c>
    </row>
    <row r="437" spans="1:2">
      <c r="A437" s="11">
        <f>Returns!A437</f>
        <v>0</v>
      </c>
      <c r="B437" s="1">
        <f>ABS(Portfolios!B437-AVERAGE(Portfolios!$B$2:$B$1004))</f>
        <v>0</v>
      </c>
    </row>
    <row r="438" spans="1:2">
      <c r="A438" s="11">
        <f>Returns!A438</f>
        <v>0</v>
      </c>
      <c r="B438" s="1">
        <f>ABS(Portfolios!B438-AVERAGE(Portfolios!$B$2:$B$1004))</f>
        <v>0</v>
      </c>
    </row>
    <row r="439" spans="1:2">
      <c r="A439" s="11">
        <f>Returns!A439</f>
        <v>0</v>
      </c>
      <c r="B439" s="1">
        <f>ABS(Portfolios!B439-AVERAGE(Portfolios!$B$2:$B$1004))</f>
        <v>0</v>
      </c>
    </row>
    <row r="440" spans="1:2">
      <c r="A440" s="11">
        <f>Returns!A440</f>
        <v>0</v>
      </c>
      <c r="B440" s="1">
        <f>ABS(Portfolios!B440-AVERAGE(Portfolios!$B$2:$B$1004))</f>
        <v>0</v>
      </c>
    </row>
    <row r="441" spans="1:2">
      <c r="A441" s="11">
        <f>Returns!A441</f>
        <v>0</v>
      </c>
      <c r="B441" s="1">
        <f>ABS(Portfolios!B441-AVERAGE(Portfolios!$B$2:$B$1004))</f>
        <v>0</v>
      </c>
    </row>
    <row r="442" spans="1:2">
      <c r="A442" s="11">
        <f>Returns!A442</f>
        <v>0</v>
      </c>
      <c r="B442" s="1">
        <f>ABS(Portfolios!B442-AVERAGE(Portfolios!$B$2:$B$1004))</f>
        <v>0</v>
      </c>
    </row>
    <row r="443" spans="1:2">
      <c r="A443" s="11">
        <f>Returns!A443</f>
        <v>0</v>
      </c>
      <c r="B443" s="1">
        <f>ABS(Portfolios!B443-AVERAGE(Portfolios!$B$2:$B$1004))</f>
        <v>0</v>
      </c>
    </row>
    <row r="444" spans="1:2">
      <c r="A444" s="11">
        <f>Returns!A444</f>
        <v>0</v>
      </c>
      <c r="B444" s="1">
        <f>ABS(Portfolios!B444-AVERAGE(Portfolios!$B$2:$B$1004))</f>
        <v>0</v>
      </c>
    </row>
    <row r="445" spans="1:2">
      <c r="A445" s="11">
        <f>Returns!A445</f>
        <v>0</v>
      </c>
      <c r="B445" s="1">
        <f>ABS(Portfolios!B445-AVERAGE(Portfolios!$B$2:$B$1004))</f>
        <v>0</v>
      </c>
    </row>
    <row r="446" spans="1:2">
      <c r="A446" s="11">
        <f>Returns!A446</f>
        <v>0</v>
      </c>
      <c r="B446" s="1">
        <f>ABS(Portfolios!B446-AVERAGE(Portfolios!$B$2:$B$1004))</f>
        <v>0</v>
      </c>
    </row>
    <row r="447" spans="1:2">
      <c r="A447" s="11">
        <f>Returns!A447</f>
        <v>0</v>
      </c>
      <c r="B447" s="1">
        <f>ABS(Portfolios!B447-AVERAGE(Portfolios!$B$2:$B$1004))</f>
        <v>0</v>
      </c>
    </row>
    <row r="448" spans="1:2">
      <c r="A448" s="11">
        <f>Returns!A448</f>
        <v>0</v>
      </c>
      <c r="B448" s="1">
        <f>ABS(Portfolios!B448-AVERAGE(Portfolios!$B$2:$B$1004))</f>
        <v>0</v>
      </c>
    </row>
    <row r="449" spans="1:2">
      <c r="A449" s="11">
        <f>Returns!A449</f>
        <v>0</v>
      </c>
      <c r="B449" s="1">
        <f>ABS(Portfolios!B449-AVERAGE(Portfolios!$B$2:$B$1004))</f>
        <v>0</v>
      </c>
    </row>
    <row r="450" spans="1:2">
      <c r="A450" s="11">
        <f>Returns!A450</f>
        <v>0</v>
      </c>
      <c r="B450" s="1">
        <f>ABS(Portfolios!B450-AVERAGE(Portfolios!$B$2:$B$1004))</f>
        <v>0</v>
      </c>
    </row>
    <row r="451" spans="1:2">
      <c r="A451" s="11">
        <f>Returns!A451</f>
        <v>0</v>
      </c>
      <c r="B451" s="1">
        <f>ABS(Portfolios!B451-AVERAGE(Portfolios!$B$2:$B$1004))</f>
        <v>0</v>
      </c>
    </row>
    <row r="452" spans="1:2">
      <c r="A452" s="11">
        <f>Returns!A452</f>
        <v>0</v>
      </c>
      <c r="B452" s="1">
        <f>ABS(Portfolios!B452-AVERAGE(Portfolios!$B$2:$B$1004))</f>
        <v>0</v>
      </c>
    </row>
    <row r="453" spans="1:2">
      <c r="A453" s="11">
        <f>Returns!A453</f>
        <v>0</v>
      </c>
      <c r="B453" s="1">
        <f>ABS(Portfolios!B453-AVERAGE(Portfolios!$B$2:$B$1004))</f>
        <v>0</v>
      </c>
    </row>
    <row r="454" spans="1:2">
      <c r="A454" s="11">
        <f>Returns!A454</f>
        <v>0</v>
      </c>
      <c r="B454" s="1">
        <f>ABS(Portfolios!B454-AVERAGE(Portfolios!$B$2:$B$1004))</f>
        <v>0</v>
      </c>
    </row>
    <row r="455" spans="1:2">
      <c r="A455" s="11">
        <f>Returns!A455</f>
        <v>0</v>
      </c>
      <c r="B455" s="1">
        <f>ABS(Portfolios!B455-AVERAGE(Portfolios!$B$2:$B$1004))</f>
        <v>0</v>
      </c>
    </row>
    <row r="456" spans="1:2">
      <c r="A456" s="11">
        <f>Returns!A456</f>
        <v>0</v>
      </c>
      <c r="B456" s="1">
        <f>ABS(Portfolios!B456-AVERAGE(Portfolios!$B$2:$B$1004))</f>
        <v>0</v>
      </c>
    </row>
    <row r="457" spans="1:2">
      <c r="A457" s="11">
        <f>Returns!A457</f>
        <v>0</v>
      </c>
      <c r="B457" s="1">
        <f>ABS(Portfolios!B457-AVERAGE(Portfolios!$B$2:$B$1004))</f>
        <v>0</v>
      </c>
    </row>
    <row r="458" spans="1:2">
      <c r="A458" s="11">
        <f>Returns!A458</f>
        <v>0</v>
      </c>
      <c r="B458" s="1">
        <f>ABS(Portfolios!B458-AVERAGE(Portfolios!$B$2:$B$1004))</f>
        <v>0</v>
      </c>
    </row>
    <row r="459" spans="1:2">
      <c r="A459" s="11">
        <f>Returns!A459</f>
        <v>0</v>
      </c>
      <c r="B459" s="1">
        <f>ABS(Portfolios!B459-AVERAGE(Portfolios!$B$2:$B$1004))</f>
        <v>0</v>
      </c>
    </row>
    <row r="460" spans="1:2">
      <c r="A460" s="11">
        <f>Returns!A460</f>
        <v>0</v>
      </c>
      <c r="B460" s="1">
        <f>ABS(Portfolios!B460-AVERAGE(Portfolios!$B$2:$B$1004))</f>
        <v>0</v>
      </c>
    </row>
    <row r="461" spans="1:2">
      <c r="A461" s="11">
        <f>Returns!A461</f>
        <v>0</v>
      </c>
      <c r="B461" s="1">
        <f>ABS(Portfolios!B461-AVERAGE(Portfolios!$B$2:$B$1004))</f>
        <v>0</v>
      </c>
    </row>
    <row r="462" spans="1:2">
      <c r="A462" s="11">
        <f>Returns!A462</f>
        <v>0</v>
      </c>
      <c r="B462" s="1">
        <f>ABS(Portfolios!B462-AVERAGE(Portfolios!$B$2:$B$1004))</f>
        <v>0</v>
      </c>
    </row>
    <row r="463" spans="1:2">
      <c r="A463" s="11">
        <f>Returns!A463</f>
        <v>0</v>
      </c>
      <c r="B463" s="1">
        <f>ABS(Portfolios!B463-AVERAGE(Portfolios!$B$2:$B$1004))</f>
        <v>0</v>
      </c>
    </row>
    <row r="464" spans="1:2">
      <c r="A464" s="11">
        <f>Returns!A464</f>
        <v>0</v>
      </c>
      <c r="B464" s="1">
        <f>ABS(Portfolios!B464-AVERAGE(Portfolios!$B$2:$B$1004))</f>
        <v>0</v>
      </c>
    </row>
    <row r="465" spans="1:2">
      <c r="A465" s="11">
        <f>Returns!A465</f>
        <v>0</v>
      </c>
      <c r="B465" s="1">
        <f>ABS(Portfolios!B465-AVERAGE(Portfolios!$B$2:$B$1004))</f>
        <v>0</v>
      </c>
    </row>
    <row r="466" spans="1:2">
      <c r="A466" s="11">
        <f>Returns!A466</f>
        <v>0</v>
      </c>
      <c r="B466" s="1">
        <f>ABS(Portfolios!B466-AVERAGE(Portfolios!$B$2:$B$1004))</f>
        <v>0</v>
      </c>
    </row>
    <row r="467" spans="1:2">
      <c r="A467" s="11">
        <f>Returns!A467</f>
        <v>0</v>
      </c>
      <c r="B467" s="1">
        <f>ABS(Portfolios!B467-AVERAGE(Portfolios!$B$2:$B$1004))</f>
        <v>0</v>
      </c>
    </row>
    <row r="468" spans="1:2">
      <c r="A468" s="11">
        <f>Returns!A468</f>
        <v>0</v>
      </c>
      <c r="B468" s="1">
        <f>ABS(Portfolios!B468-AVERAGE(Portfolios!$B$2:$B$1004))</f>
        <v>0</v>
      </c>
    </row>
    <row r="469" spans="1:2">
      <c r="A469" s="11">
        <f>Returns!A469</f>
        <v>0</v>
      </c>
      <c r="B469" s="1">
        <f>ABS(Portfolios!B469-AVERAGE(Portfolios!$B$2:$B$1004))</f>
        <v>0</v>
      </c>
    </row>
    <row r="470" spans="1:2">
      <c r="A470" s="11">
        <f>Returns!A470</f>
        <v>0</v>
      </c>
      <c r="B470" s="1">
        <f>ABS(Portfolios!B470-AVERAGE(Portfolios!$B$2:$B$1004))</f>
        <v>0</v>
      </c>
    </row>
    <row r="471" spans="1:2">
      <c r="A471" s="11">
        <f>Returns!A471</f>
        <v>0</v>
      </c>
      <c r="B471" s="1">
        <f>ABS(Portfolios!B471-AVERAGE(Portfolios!$B$2:$B$1004))</f>
        <v>0</v>
      </c>
    </row>
    <row r="472" spans="1:2">
      <c r="A472" s="11">
        <f>Returns!A472</f>
        <v>0</v>
      </c>
      <c r="B472" s="1">
        <f>ABS(Portfolios!B472-AVERAGE(Portfolios!$B$2:$B$1004))</f>
        <v>0</v>
      </c>
    </row>
    <row r="473" spans="1:2">
      <c r="A473" s="11">
        <f>Returns!A473</f>
        <v>0</v>
      </c>
      <c r="B473" s="1">
        <f>ABS(Portfolios!B473-AVERAGE(Portfolios!$B$2:$B$1004))</f>
        <v>0</v>
      </c>
    </row>
    <row r="474" spans="1:2">
      <c r="A474" s="11">
        <f>Returns!A474</f>
        <v>0</v>
      </c>
      <c r="B474" s="1">
        <f>ABS(Portfolios!B474-AVERAGE(Portfolios!$B$2:$B$1004))</f>
        <v>0</v>
      </c>
    </row>
    <row r="475" spans="1:2">
      <c r="A475" s="11">
        <f>Returns!A475</f>
        <v>0</v>
      </c>
      <c r="B475" s="1">
        <f>ABS(Portfolios!B475-AVERAGE(Portfolios!$B$2:$B$1004))</f>
        <v>0</v>
      </c>
    </row>
    <row r="476" spans="1:2">
      <c r="A476" s="11">
        <f>Returns!A476</f>
        <v>0</v>
      </c>
      <c r="B476" s="1">
        <f>ABS(Portfolios!B476-AVERAGE(Portfolios!$B$2:$B$1004))</f>
        <v>0</v>
      </c>
    </row>
    <row r="477" spans="1:2">
      <c r="A477" s="11">
        <f>Returns!A477</f>
        <v>0</v>
      </c>
      <c r="B477" s="1">
        <f>ABS(Portfolios!B477-AVERAGE(Portfolios!$B$2:$B$1004))</f>
        <v>0</v>
      </c>
    </row>
    <row r="478" spans="1:2">
      <c r="A478" s="11">
        <f>Returns!A478</f>
        <v>0</v>
      </c>
      <c r="B478" s="1">
        <f>ABS(Portfolios!B478-AVERAGE(Portfolios!$B$2:$B$1004))</f>
        <v>0</v>
      </c>
    </row>
    <row r="479" spans="1:2">
      <c r="A479" s="11">
        <f>Returns!A479</f>
        <v>0</v>
      </c>
      <c r="B479" s="1">
        <f>ABS(Portfolios!B479-AVERAGE(Portfolios!$B$2:$B$1004))</f>
        <v>0</v>
      </c>
    </row>
    <row r="480" spans="1:2">
      <c r="A480" s="11">
        <f>Returns!A480</f>
        <v>0</v>
      </c>
      <c r="B480" s="1">
        <f>ABS(Portfolios!B480-AVERAGE(Portfolios!$B$2:$B$1004))</f>
        <v>0</v>
      </c>
    </row>
    <row r="481" spans="1:2">
      <c r="A481" s="11">
        <f>Returns!A481</f>
        <v>0</v>
      </c>
      <c r="B481" s="1">
        <f>ABS(Portfolios!B481-AVERAGE(Portfolios!$B$2:$B$1004))</f>
        <v>0</v>
      </c>
    </row>
    <row r="482" spans="1:2">
      <c r="A482" s="11">
        <f>Returns!A482</f>
        <v>0</v>
      </c>
      <c r="B482" s="1">
        <f>ABS(Portfolios!B482-AVERAGE(Portfolios!$B$2:$B$1004))</f>
        <v>0</v>
      </c>
    </row>
    <row r="483" spans="1:2">
      <c r="A483" s="11">
        <f>Returns!A483</f>
        <v>0</v>
      </c>
      <c r="B483" s="1">
        <f>ABS(Portfolios!B483-AVERAGE(Portfolios!$B$2:$B$1004))</f>
        <v>0</v>
      </c>
    </row>
    <row r="484" spans="1:2">
      <c r="A484" s="11">
        <f>Returns!A484</f>
        <v>0</v>
      </c>
      <c r="B484" s="1">
        <f>ABS(Portfolios!B484-AVERAGE(Portfolios!$B$2:$B$1004))</f>
        <v>0</v>
      </c>
    </row>
    <row r="485" spans="1:2">
      <c r="A485" s="11">
        <f>Returns!A485</f>
        <v>0</v>
      </c>
      <c r="B485" s="1">
        <f>ABS(Portfolios!B485-AVERAGE(Portfolios!$B$2:$B$1004))</f>
        <v>0</v>
      </c>
    </row>
    <row r="486" spans="1:2">
      <c r="A486" s="11">
        <f>Returns!A486</f>
        <v>0</v>
      </c>
      <c r="B486" s="1">
        <f>ABS(Portfolios!B486-AVERAGE(Portfolios!$B$2:$B$1004))</f>
        <v>0</v>
      </c>
    </row>
    <row r="487" spans="1:2">
      <c r="A487" s="11">
        <f>Returns!A487</f>
        <v>0</v>
      </c>
      <c r="B487" s="1">
        <f>ABS(Portfolios!B487-AVERAGE(Portfolios!$B$2:$B$1004))</f>
        <v>0</v>
      </c>
    </row>
    <row r="488" spans="1:2">
      <c r="A488" s="11">
        <f>Returns!A488</f>
        <v>0</v>
      </c>
      <c r="B488" s="1">
        <f>ABS(Portfolios!B488-AVERAGE(Portfolios!$B$2:$B$1004))</f>
        <v>0</v>
      </c>
    </row>
    <row r="489" spans="1:2">
      <c r="A489" s="11">
        <f>Returns!A489</f>
        <v>0</v>
      </c>
      <c r="B489" s="1">
        <f>ABS(Portfolios!B489-AVERAGE(Portfolios!$B$2:$B$1004))</f>
        <v>0</v>
      </c>
    </row>
    <row r="490" spans="1:2">
      <c r="A490" s="11">
        <f>Returns!A490</f>
        <v>0</v>
      </c>
      <c r="B490" s="1">
        <f>ABS(Portfolios!B490-AVERAGE(Portfolios!$B$2:$B$1004))</f>
        <v>0</v>
      </c>
    </row>
    <row r="491" spans="1:2">
      <c r="A491" s="11">
        <f>Returns!A491</f>
        <v>0</v>
      </c>
      <c r="B491" s="1">
        <f>ABS(Portfolios!B491-AVERAGE(Portfolios!$B$2:$B$1004))</f>
        <v>0</v>
      </c>
    </row>
    <row r="492" spans="1:2">
      <c r="A492" s="11">
        <f>Returns!A492</f>
        <v>0</v>
      </c>
      <c r="B492" s="1">
        <f>ABS(Portfolios!B492-AVERAGE(Portfolios!$B$2:$B$1004))</f>
        <v>0</v>
      </c>
    </row>
    <row r="493" spans="1:2">
      <c r="A493" s="11">
        <f>Returns!A493</f>
        <v>0</v>
      </c>
      <c r="B493" s="1">
        <f>ABS(Portfolios!B493-AVERAGE(Portfolios!$B$2:$B$1004))</f>
        <v>0</v>
      </c>
    </row>
    <row r="494" spans="1:2">
      <c r="A494" s="11">
        <f>Returns!A494</f>
        <v>0</v>
      </c>
      <c r="B494" s="1">
        <f>ABS(Portfolios!B494-AVERAGE(Portfolios!$B$2:$B$1004))</f>
        <v>0</v>
      </c>
    </row>
    <row r="495" spans="1:2">
      <c r="A495" s="11">
        <f>Returns!A495</f>
        <v>0</v>
      </c>
      <c r="B495" s="1">
        <f>ABS(Portfolios!B495-AVERAGE(Portfolios!$B$2:$B$1004))</f>
        <v>0</v>
      </c>
    </row>
    <row r="496" spans="1:2">
      <c r="A496" s="11">
        <f>Returns!A496</f>
        <v>0</v>
      </c>
      <c r="B496" s="1">
        <f>ABS(Portfolios!B496-AVERAGE(Portfolios!$B$2:$B$1004))</f>
        <v>0</v>
      </c>
    </row>
    <row r="497" spans="1:2">
      <c r="A497" s="11">
        <f>Returns!A497</f>
        <v>0</v>
      </c>
      <c r="B497" s="1">
        <f>ABS(Portfolios!B497-AVERAGE(Portfolios!$B$2:$B$1004))</f>
        <v>0</v>
      </c>
    </row>
    <row r="498" spans="1:2">
      <c r="A498" s="11">
        <f>Returns!A498</f>
        <v>0</v>
      </c>
      <c r="B498" s="1">
        <f>ABS(Portfolios!B498-AVERAGE(Portfolios!$B$2:$B$1004))</f>
        <v>0</v>
      </c>
    </row>
    <row r="499" spans="1:2">
      <c r="A499" s="11">
        <f>Returns!A499</f>
        <v>0</v>
      </c>
      <c r="B499" s="1">
        <f>ABS(Portfolios!B499-AVERAGE(Portfolios!$B$2:$B$1004))</f>
        <v>0</v>
      </c>
    </row>
    <row r="500" spans="1:2">
      <c r="A500" s="11">
        <f>Returns!A500</f>
        <v>0</v>
      </c>
      <c r="B500" s="1">
        <f>ABS(Portfolios!B500-AVERAGE(Portfolios!$B$2:$B$1004))</f>
        <v>0</v>
      </c>
    </row>
    <row r="501" spans="1:2">
      <c r="A501" s="11">
        <f>Returns!A501</f>
        <v>0</v>
      </c>
      <c r="B501" s="1">
        <f>ABS(Portfolios!B501-AVERAGE(Portfolios!$B$2:$B$1004))</f>
        <v>0</v>
      </c>
    </row>
    <row r="502" spans="1:2">
      <c r="A502" s="11">
        <f>Returns!A502</f>
        <v>0</v>
      </c>
      <c r="B502" s="1">
        <f>ABS(Portfolios!B502-AVERAGE(Portfolios!$B$2:$B$1004))</f>
        <v>0</v>
      </c>
    </row>
    <row r="503" spans="1:2">
      <c r="A503" s="11">
        <f>Returns!A503</f>
        <v>0</v>
      </c>
      <c r="B503" s="1">
        <f>ABS(Portfolios!B503-AVERAGE(Portfolios!$B$2:$B$1004))</f>
        <v>0</v>
      </c>
    </row>
    <row r="504" spans="1:2">
      <c r="A504" s="11">
        <f>Returns!A504</f>
        <v>0</v>
      </c>
      <c r="B504" s="1">
        <f>ABS(Portfolios!B504-AVERAGE(Portfolios!$B$2:$B$1004))</f>
        <v>0</v>
      </c>
    </row>
    <row r="505" spans="1:2">
      <c r="A505" s="11">
        <f>Returns!A505</f>
        <v>0</v>
      </c>
      <c r="B505" s="1">
        <f>ABS(Portfolios!B505-AVERAGE(Portfolios!$B$2:$B$1004))</f>
        <v>0</v>
      </c>
    </row>
    <row r="506" spans="1:2">
      <c r="A506" s="11">
        <f>Returns!A506</f>
        <v>0</v>
      </c>
      <c r="B506" s="1">
        <f>ABS(Portfolios!B506-AVERAGE(Portfolios!$B$2:$B$1004))</f>
        <v>0</v>
      </c>
    </row>
    <row r="507" spans="1:2">
      <c r="A507" s="11">
        <f>Returns!A507</f>
        <v>0</v>
      </c>
      <c r="B507" s="1">
        <f>ABS(Portfolios!B507-AVERAGE(Portfolios!$B$2:$B$1004))</f>
        <v>0</v>
      </c>
    </row>
    <row r="508" spans="1:2">
      <c r="A508" s="11">
        <f>Returns!A508</f>
        <v>0</v>
      </c>
      <c r="B508" s="1">
        <f>ABS(Portfolios!B508-AVERAGE(Portfolios!$B$2:$B$1004))</f>
        <v>0</v>
      </c>
    </row>
    <row r="509" spans="1:2">
      <c r="A509" s="11">
        <f>Returns!A509</f>
        <v>0</v>
      </c>
      <c r="B509" s="1">
        <f>ABS(Portfolios!B509-AVERAGE(Portfolios!$B$2:$B$1004))</f>
        <v>0</v>
      </c>
    </row>
    <row r="510" spans="1:2">
      <c r="A510" s="11">
        <f>Returns!A510</f>
        <v>0</v>
      </c>
      <c r="B510" s="1">
        <f>ABS(Portfolios!B510-AVERAGE(Portfolios!$B$2:$B$1004))</f>
        <v>0</v>
      </c>
    </row>
    <row r="511" spans="1:2">
      <c r="A511" s="11">
        <f>Returns!A511</f>
        <v>0</v>
      </c>
      <c r="B511" s="1">
        <f>ABS(Portfolios!B511-AVERAGE(Portfolios!$B$2:$B$1004))</f>
        <v>0</v>
      </c>
    </row>
    <row r="512" spans="1:2">
      <c r="A512" s="11">
        <f>Returns!A512</f>
        <v>0</v>
      </c>
      <c r="B512" s="1">
        <f>ABS(Portfolios!B512-AVERAGE(Portfolios!$B$2:$B$1004))</f>
        <v>0</v>
      </c>
    </row>
    <row r="513" spans="1:2">
      <c r="A513" s="11">
        <f>Returns!A513</f>
        <v>0</v>
      </c>
      <c r="B513" s="1">
        <f>ABS(Portfolios!B513-AVERAGE(Portfolios!$B$2:$B$1004))</f>
        <v>0</v>
      </c>
    </row>
    <row r="514" spans="1:2">
      <c r="A514" s="11">
        <f>Returns!A514</f>
        <v>0</v>
      </c>
      <c r="B514" s="1">
        <f>ABS(Portfolios!B514-AVERAGE(Portfolios!$B$2:$B$1004))</f>
        <v>0</v>
      </c>
    </row>
    <row r="515" spans="1:2">
      <c r="A515" s="11">
        <f>Returns!A515</f>
        <v>0</v>
      </c>
      <c r="B515" s="1">
        <f>ABS(Portfolios!B515-AVERAGE(Portfolios!$B$2:$B$1004))</f>
        <v>0</v>
      </c>
    </row>
    <row r="516" spans="1:2">
      <c r="A516" s="11">
        <f>Returns!A516</f>
        <v>0</v>
      </c>
      <c r="B516" s="1">
        <f>ABS(Portfolios!B516-AVERAGE(Portfolios!$B$2:$B$1004))</f>
        <v>0</v>
      </c>
    </row>
    <row r="517" spans="1:2">
      <c r="A517" s="11">
        <f>Returns!A517</f>
        <v>0</v>
      </c>
      <c r="B517" s="1">
        <f>ABS(Portfolios!B517-AVERAGE(Portfolios!$B$2:$B$1004))</f>
        <v>0</v>
      </c>
    </row>
    <row r="518" spans="1:2">
      <c r="A518" s="11">
        <f>Returns!A518</f>
        <v>0</v>
      </c>
      <c r="B518" s="1">
        <f>ABS(Portfolios!B518-AVERAGE(Portfolios!$B$2:$B$1004))</f>
        <v>0</v>
      </c>
    </row>
    <row r="519" spans="1:2">
      <c r="A519" s="11">
        <f>Returns!A519</f>
        <v>0</v>
      </c>
      <c r="B519" s="1">
        <f>ABS(Portfolios!B519-AVERAGE(Portfolios!$B$2:$B$1004))</f>
        <v>0</v>
      </c>
    </row>
    <row r="520" spans="1:2">
      <c r="A520" s="11">
        <f>Returns!A520</f>
        <v>0</v>
      </c>
      <c r="B520" s="1">
        <f>ABS(Portfolios!B520-AVERAGE(Portfolios!$B$2:$B$1004))</f>
        <v>0</v>
      </c>
    </row>
    <row r="521" spans="1:2">
      <c r="A521" s="11">
        <f>Returns!A521</f>
        <v>0</v>
      </c>
      <c r="B521" s="1">
        <f>ABS(Portfolios!B521-AVERAGE(Portfolios!$B$2:$B$1004))</f>
        <v>0</v>
      </c>
    </row>
    <row r="522" spans="1:2">
      <c r="A522" s="11">
        <f>Returns!A522</f>
        <v>0</v>
      </c>
      <c r="B522" s="1">
        <f>ABS(Portfolios!B522-AVERAGE(Portfolios!$B$2:$B$1004))</f>
        <v>0</v>
      </c>
    </row>
    <row r="523" spans="1:2">
      <c r="A523" s="11">
        <f>Returns!A523</f>
        <v>0</v>
      </c>
      <c r="B523" s="1">
        <f>ABS(Portfolios!B523-AVERAGE(Portfolios!$B$2:$B$1004))</f>
        <v>0</v>
      </c>
    </row>
    <row r="524" spans="1:2">
      <c r="A524" s="11">
        <f>Returns!A524</f>
        <v>0</v>
      </c>
      <c r="B524" s="1">
        <f>ABS(Portfolios!B524-AVERAGE(Portfolios!$B$2:$B$1004))</f>
        <v>0</v>
      </c>
    </row>
    <row r="525" spans="1:2">
      <c r="A525" s="11">
        <f>Returns!A525</f>
        <v>0</v>
      </c>
      <c r="B525" s="1">
        <f>ABS(Portfolios!B525-AVERAGE(Portfolios!$B$2:$B$1004))</f>
        <v>0</v>
      </c>
    </row>
    <row r="526" spans="1:2">
      <c r="A526" s="11">
        <f>Returns!A526</f>
        <v>0</v>
      </c>
      <c r="B526" s="1">
        <f>ABS(Portfolios!B526-AVERAGE(Portfolios!$B$2:$B$1004))</f>
        <v>0</v>
      </c>
    </row>
    <row r="527" spans="1:2">
      <c r="A527" s="11">
        <f>Returns!A527</f>
        <v>0</v>
      </c>
      <c r="B527" s="1">
        <f>ABS(Portfolios!B527-AVERAGE(Portfolios!$B$2:$B$1004))</f>
        <v>0</v>
      </c>
    </row>
    <row r="528" spans="1:2">
      <c r="A528" s="11">
        <f>Returns!A528</f>
        <v>0</v>
      </c>
      <c r="B528" s="1">
        <f>ABS(Portfolios!B528-AVERAGE(Portfolios!$B$2:$B$1004))</f>
        <v>0</v>
      </c>
    </row>
    <row r="529" spans="1:2">
      <c r="A529" s="11">
        <f>Returns!A529</f>
        <v>0</v>
      </c>
      <c r="B529" s="1">
        <f>ABS(Portfolios!B529-AVERAGE(Portfolios!$B$2:$B$1004))</f>
        <v>0</v>
      </c>
    </row>
    <row r="530" spans="1:2">
      <c r="A530" s="11">
        <f>Returns!A530</f>
        <v>0</v>
      </c>
      <c r="B530" s="1">
        <f>ABS(Portfolios!B530-AVERAGE(Portfolios!$B$2:$B$1004))</f>
        <v>0</v>
      </c>
    </row>
    <row r="531" spans="1:2">
      <c r="A531" s="11">
        <f>Returns!A531</f>
        <v>0</v>
      </c>
      <c r="B531" s="1">
        <f>ABS(Portfolios!B531-AVERAGE(Portfolios!$B$2:$B$1004))</f>
        <v>0</v>
      </c>
    </row>
    <row r="532" spans="1:2">
      <c r="A532" s="11">
        <f>Returns!A532</f>
        <v>0</v>
      </c>
      <c r="B532" s="1">
        <f>ABS(Portfolios!B532-AVERAGE(Portfolios!$B$2:$B$1004))</f>
        <v>0</v>
      </c>
    </row>
    <row r="533" spans="1:2">
      <c r="A533" s="11">
        <f>Returns!A533</f>
        <v>0</v>
      </c>
      <c r="B533" s="1">
        <f>ABS(Portfolios!B533-AVERAGE(Portfolios!$B$2:$B$1004))</f>
        <v>0</v>
      </c>
    </row>
    <row r="534" spans="1:2">
      <c r="A534" s="11">
        <f>Returns!A534</f>
        <v>0</v>
      </c>
      <c r="B534" s="1">
        <f>ABS(Portfolios!B534-AVERAGE(Portfolios!$B$2:$B$1004))</f>
        <v>0</v>
      </c>
    </row>
    <row r="535" spans="1:2">
      <c r="A535" s="11">
        <f>Returns!A535</f>
        <v>0</v>
      </c>
      <c r="B535" s="1">
        <f>ABS(Portfolios!B535-AVERAGE(Portfolios!$B$2:$B$1004))</f>
        <v>0</v>
      </c>
    </row>
    <row r="536" spans="1:2">
      <c r="A536" s="11">
        <f>Returns!A536</f>
        <v>0</v>
      </c>
      <c r="B536" s="1">
        <f>ABS(Portfolios!B536-AVERAGE(Portfolios!$B$2:$B$1004))</f>
        <v>0</v>
      </c>
    </row>
    <row r="537" spans="1:2">
      <c r="A537" s="11">
        <f>Returns!A537</f>
        <v>0</v>
      </c>
      <c r="B537" s="1">
        <f>ABS(Portfolios!B537-AVERAGE(Portfolios!$B$2:$B$1004))</f>
        <v>0</v>
      </c>
    </row>
    <row r="538" spans="1:2">
      <c r="A538" s="11">
        <f>Returns!A538</f>
        <v>0</v>
      </c>
      <c r="B538" s="1">
        <f>ABS(Portfolios!B538-AVERAGE(Portfolios!$B$2:$B$1004))</f>
        <v>0</v>
      </c>
    </row>
    <row r="539" spans="1:2">
      <c r="A539" s="11">
        <f>Returns!A539</f>
        <v>0</v>
      </c>
      <c r="B539" s="1">
        <f>ABS(Portfolios!B539-AVERAGE(Portfolios!$B$2:$B$1004))</f>
        <v>0</v>
      </c>
    </row>
    <row r="540" spans="1:2">
      <c r="A540" s="11">
        <f>Returns!A540</f>
        <v>0</v>
      </c>
      <c r="B540" s="1">
        <f>ABS(Portfolios!B540-AVERAGE(Portfolios!$B$2:$B$1004))</f>
        <v>0</v>
      </c>
    </row>
    <row r="541" spans="1:2">
      <c r="A541" s="11">
        <f>Returns!A541</f>
        <v>0</v>
      </c>
      <c r="B541" s="1">
        <f>ABS(Portfolios!B541-AVERAGE(Portfolios!$B$2:$B$1004))</f>
        <v>0</v>
      </c>
    </row>
    <row r="542" spans="1:2">
      <c r="A542" s="11">
        <f>Returns!A542</f>
        <v>0</v>
      </c>
      <c r="B542" s="1">
        <f>ABS(Portfolios!B542-AVERAGE(Portfolios!$B$2:$B$1004))</f>
        <v>0</v>
      </c>
    </row>
    <row r="543" spans="1:2">
      <c r="A543" s="11">
        <f>Returns!A543</f>
        <v>0</v>
      </c>
      <c r="B543" s="1">
        <f>ABS(Portfolios!B543-AVERAGE(Portfolios!$B$2:$B$1004))</f>
        <v>0</v>
      </c>
    </row>
    <row r="544" spans="1:2">
      <c r="A544" s="11">
        <f>Returns!A544</f>
        <v>0</v>
      </c>
      <c r="B544" s="1">
        <f>ABS(Portfolios!B544-AVERAGE(Portfolios!$B$2:$B$1004))</f>
        <v>0</v>
      </c>
    </row>
    <row r="545" spans="1:2">
      <c r="A545" s="11">
        <f>Returns!A545</f>
        <v>0</v>
      </c>
      <c r="B545" s="1">
        <f>ABS(Portfolios!B545-AVERAGE(Portfolios!$B$2:$B$1004))</f>
        <v>0</v>
      </c>
    </row>
    <row r="546" spans="1:2">
      <c r="A546" s="11">
        <f>Returns!A546</f>
        <v>0</v>
      </c>
      <c r="B546" s="1">
        <f>ABS(Portfolios!B546-AVERAGE(Portfolios!$B$2:$B$1004))</f>
        <v>0</v>
      </c>
    </row>
    <row r="547" spans="1:2">
      <c r="A547" s="11">
        <f>Returns!A547</f>
        <v>0</v>
      </c>
      <c r="B547" s="1">
        <f>ABS(Portfolios!B547-AVERAGE(Portfolios!$B$2:$B$1004))</f>
        <v>0</v>
      </c>
    </row>
    <row r="548" spans="1:2">
      <c r="A548" s="11">
        <f>Returns!A548</f>
        <v>0</v>
      </c>
      <c r="B548" s="1">
        <f>ABS(Portfolios!B548-AVERAGE(Portfolios!$B$2:$B$1004))</f>
        <v>0</v>
      </c>
    </row>
    <row r="549" spans="1:2">
      <c r="A549" s="11">
        <f>Returns!A549</f>
        <v>0</v>
      </c>
      <c r="B549" s="1">
        <f>ABS(Portfolios!B549-AVERAGE(Portfolios!$B$2:$B$1004))</f>
        <v>0</v>
      </c>
    </row>
    <row r="550" spans="1:2">
      <c r="A550" s="11">
        <f>Returns!A550</f>
        <v>0</v>
      </c>
      <c r="B550" s="1">
        <f>ABS(Portfolios!B550-AVERAGE(Portfolios!$B$2:$B$1004))</f>
        <v>0</v>
      </c>
    </row>
    <row r="551" spans="1:2">
      <c r="A551" s="11">
        <f>Returns!A551</f>
        <v>0</v>
      </c>
      <c r="B551" s="1">
        <f>ABS(Portfolios!B551-AVERAGE(Portfolios!$B$2:$B$1004))</f>
        <v>0</v>
      </c>
    </row>
    <row r="552" spans="1:2">
      <c r="A552" s="11">
        <f>Returns!A552</f>
        <v>0</v>
      </c>
      <c r="B552" s="1">
        <f>ABS(Portfolios!B552-AVERAGE(Portfolios!$B$2:$B$1004))</f>
        <v>0</v>
      </c>
    </row>
    <row r="553" spans="1:2">
      <c r="A553" s="11">
        <f>Returns!A553</f>
        <v>0</v>
      </c>
      <c r="B553" s="1">
        <f>ABS(Portfolios!B553-AVERAGE(Portfolios!$B$2:$B$1004))</f>
        <v>0</v>
      </c>
    </row>
    <row r="554" spans="1:2">
      <c r="A554" s="11">
        <f>Returns!A554</f>
        <v>0</v>
      </c>
      <c r="B554" s="1">
        <f>ABS(Portfolios!B554-AVERAGE(Portfolios!$B$2:$B$1004))</f>
        <v>0</v>
      </c>
    </row>
    <row r="555" spans="1:2">
      <c r="A555" s="11">
        <f>Returns!A555</f>
        <v>0</v>
      </c>
      <c r="B555" s="1">
        <f>ABS(Portfolios!B555-AVERAGE(Portfolios!$B$2:$B$1004))</f>
        <v>0</v>
      </c>
    </row>
    <row r="556" spans="1:2">
      <c r="A556" s="11">
        <f>Returns!A556</f>
        <v>0</v>
      </c>
      <c r="B556" s="1">
        <f>ABS(Portfolios!B556-AVERAGE(Portfolios!$B$2:$B$1004))</f>
        <v>0</v>
      </c>
    </row>
    <row r="557" spans="1:2">
      <c r="A557" s="11">
        <f>Returns!A557</f>
        <v>0</v>
      </c>
      <c r="B557" s="1">
        <f>ABS(Portfolios!B557-AVERAGE(Portfolios!$B$2:$B$1004))</f>
        <v>0</v>
      </c>
    </row>
    <row r="558" spans="1:2">
      <c r="A558" s="11">
        <f>Returns!A558</f>
        <v>0</v>
      </c>
      <c r="B558" s="1">
        <f>ABS(Portfolios!B558-AVERAGE(Portfolios!$B$2:$B$1004))</f>
        <v>0</v>
      </c>
    </row>
    <row r="559" spans="1:2">
      <c r="A559" s="11">
        <f>Returns!A559</f>
        <v>0</v>
      </c>
      <c r="B559" s="1">
        <f>ABS(Portfolios!B559-AVERAGE(Portfolios!$B$2:$B$1004))</f>
        <v>0</v>
      </c>
    </row>
    <row r="560" spans="1:2">
      <c r="A560" s="11">
        <f>Returns!A560</f>
        <v>0</v>
      </c>
      <c r="B560" s="1">
        <f>ABS(Portfolios!B560-AVERAGE(Portfolios!$B$2:$B$1004))</f>
        <v>0</v>
      </c>
    </row>
    <row r="561" spans="1:2">
      <c r="A561" s="11">
        <f>Returns!A561</f>
        <v>0</v>
      </c>
      <c r="B561" s="1">
        <f>ABS(Portfolios!B561-AVERAGE(Portfolios!$B$2:$B$1004))</f>
        <v>0</v>
      </c>
    </row>
    <row r="562" spans="1:2">
      <c r="A562" s="11">
        <f>Returns!A562</f>
        <v>0</v>
      </c>
      <c r="B562" s="1">
        <f>ABS(Portfolios!B562-AVERAGE(Portfolios!$B$2:$B$1004))</f>
        <v>0</v>
      </c>
    </row>
    <row r="563" spans="1:2">
      <c r="A563" s="11">
        <f>Returns!A563</f>
        <v>0</v>
      </c>
      <c r="B563" s="1">
        <f>ABS(Portfolios!B563-AVERAGE(Portfolios!$B$2:$B$1004))</f>
        <v>0</v>
      </c>
    </row>
    <row r="564" spans="1:2">
      <c r="A564" s="11">
        <f>Returns!A564</f>
        <v>0</v>
      </c>
      <c r="B564" s="1">
        <f>ABS(Portfolios!B564-AVERAGE(Portfolios!$B$2:$B$1004))</f>
        <v>0</v>
      </c>
    </row>
    <row r="565" spans="1:2">
      <c r="A565" s="11">
        <f>Returns!A565</f>
        <v>0</v>
      </c>
      <c r="B565" s="1">
        <f>ABS(Portfolios!B565-AVERAGE(Portfolios!$B$2:$B$1004))</f>
        <v>0</v>
      </c>
    </row>
    <row r="566" spans="1:2">
      <c r="A566" s="11">
        <f>Returns!A566</f>
        <v>0</v>
      </c>
      <c r="B566" s="1">
        <f>ABS(Portfolios!B566-AVERAGE(Portfolios!$B$2:$B$1004))</f>
        <v>0</v>
      </c>
    </row>
    <row r="567" spans="1:2">
      <c r="A567" s="11">
        <f>Returns!A567</f>
        <v>0</v>
      </c>
      <c r="B567" s="1">
        <f>ABS(Portfolios!B567-AVERAGE(Portfolios!$B$2:$B$1004))</f>
        <v>0</v>
      </c>
    </row>
    <row r="568" spans="1:2">
      <c r="A568" s="11">
        <f>Returns!A568</f>
        <v>0</v>
      </c>
      <c r="B568" s="1">
        <f>ABS(Portfolios!B568-AVERAGE(Portfolios!$B$2:$B$1004))</f>
        <v>0</v>
      </c>
    </row>
    <row r="569" spans="1:2">
      <c r="A569" s="11">
        <f>Returns!A569</f>
        <v>0</v>
      </c>
      <c r="B569" s="1">
        <f>ABS(Portfolios!B569-AVERAGE(Portfolios!$B$2:$B$1004))</f>
        <v>0</v>
      </c>
    </row>
    <row r="570" spans="1:2">
      <c r="A570" s="11">
        <f>Returns!A570</f>
        <v>0</v>
      </c>
      <c r="B570" s="1">
        <f>ABS(Portfolios!B570-AVERAGE(Portfolios!$B$2:$B$1004))</f>
        <v>0</v>
      </c>
    </row>
    <row r="571" spans="1:2">
      <c r="A571" s="11">
        <f>Returns!A571</f>
        <v>0</v>
      </c>
      <c r="B571" s="1">
        <f>ABS(Portfolios!B571-AVERAGE(Portfolios!$B$2:$B$1004))</f>
        <v>0</v>
      </c>
    </row>
    <row r="572" spans="1:2">
      <c r="A572" s="11">
        <f>Returns!A572</f>
        <v>0</v>
      </c>
      <c r="B572" s="1">
        <f>ABS(Portfolios!B572-AVERAGE(Portfolios!$B$2:$B$1004))</f>
        <v>0</v>
      </c>
    </row>
    <row r="573" spans="1:2">
      <c r="A573" s="11">
        <f>Returns!A573</f>
        <v>0</v>
      </c>
      <c r="B573" s="1">
        <f>ABS(Portfolios!B573-AVERAGE(Portfolios!$B$2:$B$1004))</f>
        <v>0</v>
      </c>
    </row>
    <row r="574" spans="1:2">
      <c r="A574" s="11">
        <f>Returns!A574</f>
        <v>0</v>
      </c>
      <c r="B574" s="1">
        <f>ABS(Portfolios!B574-AVERAGE(Portfolios!$B$2:$B$1004))</f>
        <v>0</v>
      </c>
    </row>
    <row r="575" spans="1:2">
      <c r="A575" s="11">
        <f>Returns!A575</f>
        <v>0</v>
      </c>
      <c r="B575" s="1">
        <f>ABS(Portfolios!B575-AVERAGE(Portfolios!$B$2:$B$1004))</f>
        <v>0</v>
      </c>
    </row>
    <row r="576" spans="1:2">
      <c r="A576" s="11">
        <f>Returns!A576</f>
        <v>0</v>
      </c>
      <c r="B576" s="1">
        <f>ABS(Portfolios!B576-AVERAGE(Portfolios!$B$2:$B$1004))</f>
        <v>0</v>
      </c>
    </row>
    <row r="577" spans="1:2">
      <c r="A577" s="11">
        <f>Returns!A577</f>
        <v>0</v>
      </c>
      <c r="B577" s="1">
        <f>ABS(Portfolios!B577-AVERAGE(Portfolios!$B$2:$B$1004))</f>
        <v>0</v>
      </c>
    </row>
    <row r="578" spans="1:2">
      <c r="A578" s="11">
        <f>Returns!A578</f>
        <v>0</v>
      </c>
      <c r="B578" s="1">
        <f>ABS(Portfolios!B578-AVERAGE(Portfolios!$B$2:$B$1004))</f>
        <v>0</v>
      </c>
    </row>
    <row r="579" spans="1:2">
      <c r="A579" s="11">
        <f>Returns!A579</f>
        <v>0</v>
      </c>
      <c r="B579" s="1">
        <f>ABS(Portfolios!B579-AVERAGE(Portfolios!$B$2:$B$1004))</f>
        <v>0</v>
      </c>
    </row>
    <row r="580" spans="1:2">
      <c r="A580" s="11">
        <f>Returns!A580</f>
        <v>0</v>
      </c>
      <c r="B580" s="1">
        <f>ABS(Portfolios!B580-AVERAGE(Portfolios!$B$2:$B$1004))</f>
        <v>0</v>
      </c>
    </row>
    <row r="581" spans="1:2">
      <c r="A581" s="11">
        <f>Returns!A581</f>
        <v>0</v>
      </c>
      <c r="B581" s="1">
        <f>ABS(Portfolios!B581-AVERAGE(Portfolios!$B$2:$B$1004))</f>
        <v>0</v>
      </c>
    </row>
    <row r="582" spans="1:2">
      <c r="A582" s="11">
        <f>Returns!A582</f>
        <v>0</v>
      </c>
      <c r="B582" s="1">
        <f>ABS(Portfolios!B582-AVERAGE(Portfolios!$B$2:$B$1004))</f>
        <v>0</v>
      </c>
    </row>
    <row r="583" spans="1:2">
      <c r="A583" s="11">
        <f>Returns!A583</f>
        <v>0</v>
      </c>
      <c r="B583" s="1">
        <f>ABS(Portfolios!B583-AVERAGE(Portfolios!$B$2:$B$1004))</f>
        <v>0</v>
      </c>
    </row>
    <row r="584" spans="1:2">
      <c r="A584" s="11">
        <f>Returns!A584</f>
        <v>0</v>
      </c>
      <c r="B584" s="1">
        <f>ABS(Portfolios!B584-AVERAGE(Portfolios!$B$2:$B$1004))</f>
        <v>0</v>
      </c>
    </row>
    <row r="585" spans="1:2">
      <c r="A585" s="11">
        <f>Returns!A585</f>
        <v>0</v>
      </c>
      <c r="B585" s="1">
        <f>ABS(Portfolios!B585-AVERAGE(Portfolios!$B$2:$B$1004))</f>
        <v>0</v>
      </c>
    </row>
    <row r="586" spans="1:2">
      <c r="A586" s="11">
        <f>Returns!A586</f>
        <v>0</v>
      </c>
      <c r="B586" s="1">
        <f>ABS(Portfolios!B586-AVERAGE(Portfolios!$B$2:$B$1004))</f>
        <v>0</v>
      </c>
    </row>
    <row r="587" spans="1:2">
      <c r="A587" s="11">
        <f>Returns!A587</f>
        <v>0</v>
      </c>
      <c r="B587" s="1">
        <f>ABS(Portfolios!B587-AVERAGE(Portfolios!$B$2:$B$1004))</f>
        <v>0</v>
      </c>
    </row>
    <row r="588" spans="1:2">
      <c r="A588" s="11">
        <f>Returns!A588</f>
        <v>0</v>
      </c>
      <c r="B588" s="1">
        <f>ABS(Portfolios!B588-AVERAGE(Portfolios!$B$2:$B$1004))</f>
        <v>0</v>
      </c>
    </row>
    <row r="589" spans="1:2">
      <c r="A589" s="11">
        <f>Returns!A589</f>
        <v>0</v>
      </c>
      <c r="B589" s="1">
        <f>ABS(Portfolios!B589-AVERAGE(Portfolios!$B$2:$B$1004))</f>
        <v>0</v>
      </c>
    </row>
    <row r="590" spans="1:2">
      <c r="A590" s="11">
        <f>Returns!A590</f>
        <v>0</v>
      </c>
      <c r="B590" s="1">
        <f>ABS(Portfolios!B590-AVERAGE(Portfolios!$B$2:$B$1004))</f>
        <v>0</v>
      </c>
    </row>
    <row r="591" spans="1:2">
      <c r="A591" s="11">
        <f>Returns!A591</f>
        <v>0</v>
      </c>
      <c r="B591" s="1">
        <f>ABS(Portfolios!B591-AVERAGE(Portfolios!$B$2:$B$1004))</f>
        <v>0</v>
      </c>
    </row>
    <row r="592" spans="1:2">
      <c r="A592" s="11">
        <f>Returns!A592</f>
        <v>0</v>
      </c>
      <c r="B592" s="1">
        <f>ABS(Portfolios!B592-AVERAGE(Portfolios!$B$2:$B$1004))</f>
        <v>0</v>
      </c>
    </row>
    <row r="593" spans="1:2">
      <c r="A593" s="11">
        <f>Returns!A593</f>
        <v>0</v>
      </c>
      <c r="B593" s="1">
        <f>ABS(Portfolios!B593-AVERAGE(Portfolios!$B$2:$B$1004))</f>
        <v>0</v>
      </c>
    </row>
    <row r="594" spans="1:2">
      <c r="A594" s="11">
        <f>Returns!A594</f>
        <v>0</v>
      </c>
      <c r="B594" s="1">
        <f>ABS(Portfolios!B594-AVERAGE(Portfolios!$B$2:$B$1004))</f>
        <v>0</v>
      </c>
    </row>
    <row r="595" spans="1:2">
      <c r="A595" s="11">
        <f>Returns!A595</f>
        <v>0</v>
      </c>
      <c r="B595" s="1">
        <f>ABS(Portfolios!B595-AVERAGE(Portfolios!$B$2:$B$1004))</f>
        <v>0</v>
      </c>
    </row>
    <row r="596" spans="1:2">
      <c r="A596" s="11">
        <f>Returns!A596</f>
        <v>0</v>
      </c>
      <c r="B596" s="1">
        <f>ABS(Portfolios!B596-AVERAGE(Portfolios!$B$2:$B$1004))</f>
        <v>0</v>
      </c>
    </row>
    <row r="597" spans="1:2">
      <c r="A597" s="11">
        <f>Returns!A597</f>
        <v>0</v>
      </c>
      <c r="B597" s="1">
        <f>ABS(Portfolios!B597-AVERAGE(Portfolios!$B$2:$B$1004))</f>
        <v>0</v>
      </c>
    </row>
    <row r="598" spans="1:2">
      <c r="A598" s="11">
        <f>Returns!A598</f>
        <v>0</v>
      </c>
      <c r="B598" s="1">
        <f>ABS(Portfolios!B598-AVERAGE(Portfolios!$B$2:$B$1004))</f>
        <v>0</v>
      </c>
    </row>
    <row r="599" spans="1:2">
      <c r="A599" s="11">
        <f>Returns!A599</f>
        <v>0</v>
      </c>
      <c r="B599" s="1">
        <f>ABS(Portfolios!B599-AVERAGE(Portfolios!$B$2:$B$1004))</f>
        <v>0</v>
      </c>
    </row>
    <row r="600" spans="1:2">
      <c r="A600" s="11">
        <f>Returns!A600</f>
        <v>0</v>
      </c>
      <c r="B600" s="1">
        <f>ABS(Portfolios!B600-AVERAGE(Portfolios!$B$2:$B$1004))</f>
        <v>0</v>
      </c>
    </row>
    <row r="601" spans="1:2">
      <c r="A601" s="11">
        <f>Returns!A601</f>
        <v>0</v>
      </c>
      <c r="B601" s="1">
        <f>ABS(Portfolios!B601-AVERAGE(Portfolios!$B$2:$B$1004))</f>
        <v>0</v>
      </c>
    </row>
    <row r="602" spans="1:2">
      <c r="A602" s="11">
        <f>Returns!A602</f>
        <v>0</v>
      </c>
      <c r="B602" s="1">
        <f>ABS(Portfolios!B602-AVERAGE(Portfolios!$B$2:$B$1004))</f>
        <v>0</v>
      </c>
    </row>
    <row r="603" spans="1:2">
      <c r="A603" s="11">
        <f>Returns!A603</f>
        <v>0</v>
      </c>
      <c r="B603" s="1">
        <f>ABS(Portfolios!B603-AVERAGE(Portfolios!$B$2:$B$1004))</f>
        <v>0</v>
      </c>
    </row>
    <row r="604" spans="1:2">
      <c r="A604" s="11">
        <f>Returns!A604</f>
        <v>0</v>
      </c>
      <c r="B604" s="1">
        <f>ABS(Portfolios!B604-AVERAGE(Portfolios!$B$2:$B$1004))</f>
        <v>0</v>
      </c>
    </row>
    <row r="605" spans="1:2">
      <c r="A605" s="11">
        <f>Returns!A605</f>
        <v>0</v>
      </c>
      <c r="B605" s="1">
        <f>ABS(Portfolios!B605-AVERAGE(Portfolios!$B$2:$B$1004))</f>
        <v>0</v>
      </c>
    </row>
    <row r="606" spans="1:2">
      <c r="A606" s="11">
        <f>Returns!A606</f>
        <v>0</v>
      </c>
      <c r="B606" s="1">
        <f>ABS(Portfolios!B606-AVERAGE(Portfolios!$B$2:$B$1004))</f>
        <v>0</v>
      </c>
    </row>
    <row r="607" spans="1:2">
      <c r="A607" s="11">
        <f>Returns!A607</f>
        <v>0</v>
      </c>
      <c r="B607" s="1">
        <f>ABS(Portfolios!B607-AVERAGE(Portfolios!$B$2:$B$1004))</f>
        <v>0</v>
      </c>
    </row>
    <row r="608" spans="1:2">
      <c r="A608" s="11">
        <f>Returns!A608</f>
        <v>0</v>
      </c>
      <c r="B608" s="1">
        <f>ABS(Portfolios!B608-AVERAGE(Portfolios!$B$2:$B$1004))</f>
        <v>0</v>
      </c>
    </row>
    <row r="609" spans="1:2">
      <c r="A609" s="11">
        <f>Returns!A609</f>
        <v>0</v>
      </c>
      <c r="B609" s="1">
        <f>ABS(Portfolios!B609-AVERAGE(Portfolios!$B$2:$B$1004))</f>
        <v>0</v>
      </c>
    </row>
    <row r="610" spans="1:2">
      <c r="A610" s="11">
        <f>Returns!A610</f>
        <v>0</v>
      </c>
      <c r="B610" s="1">
        <f>ABS(Portfolios!B610-AVERAGE(Portfolios!$B$2:$B$1004))</f>
        <v>0</v>
      </c>
    </row>
    <row r="611" spans="1:2">
      <c r="A611" s="11">
        <f>Returns!A611</f>
        <v>0</v>
      </c>
      <c r="B611" s="1">
        <f>ABS(Portfolios!B611-AVERAGE(Portfolios!$B$2:$B$1004))</f>
        <v>0</v>
      </c>
    </row>
    <row r="612" spans="1:2">
      <c r="A612" s="11">
        <f>Returns!A612</f>
        <v>0</v>
      </c>
      <c r="B612" s="1">
        <f>ABS(Portfolios!B612-AVERAGE(Portfolios!$B$2:$B$1004))</f>
        <v>0</v>
      </c>
    </row>
    <row r="613" spans="1:2">
      <c r="A613" s="11">
        <f>Returns!A613</f>
        <v>0</v>
      </c>
      <c r="B613" s="1">
        <f>ABS(Portfolios!B613-AVERAGE(Portfolios!$B$2:$B$1004))</f>
        <v>0</v>
      </c>
    </row>
    <row r="614" spans="1:2">
      <c r="A614" s="11">
        <f>Returns!A614</f>
        <v>0</v>
      </c>
      <c r="B614" s="1">
        <f>ABS(Portfolios!B614-AVERAGE(Portfolios!$B$2:$B$1004))</f>
        <v>0</v>
      </c>
    </row>
    <row r="615" spans="1:2">
      <c r="A615" s="11">
        <f>Returns!A615</f>
        <v>0</v>
      </c>
      <c r="B615" s="1">
        <f>ABS(Portfolios!B615-AVERAGE(Portfolios!$B$2:$B$1004))</f>
        <v>0</v>
      </c>
    </row>
    <row r="616" spans="1:2">
      <c r="A616" s="11">
        <f>Returns!A616</f>
        <v>0</v>
      </c>
      <c r="B616" s="1">
        <f>ABS(Portfolios!B616-AVERAGE(Portfolios!$B$2:$B$1004))</f>
        <v>0</v>
      </c>
    </row>
    <row r="617" spans="1:2">
      <c r="A617" s="11">
        <f>Returns!A617</f>
        <v>0</v>
      </c>
      <c r="B617" s="1">
        <f>ABS(Portfolios!B617-AVERAGE(Portfolios!$B$2:$B$1004))</f>
        <v>0</v>
      </c>
    </row>
    <row r="618" spans="1:2">
      <c r="A618" s="11">
        <f>Returns!A618</f>
        <v>0</v>
      </c>
      <c r="B618" s="1">
        <f>ABS(Portfolios!B618-AVERAGE(Portfolios!$B$2:$B$1004))</f>
        <v>0</v>
      </c>
    </row>
    <row r="619" spans="1:2">
      <c r="A619" s="11">
        <f>Returns!A619</f>
        <v>0</v>
      </c>
      <c r="B619" s="1">
        <f>ABS(Portfolios!B619-AVERAGE(Portfolios!$B$2:$B$1004))</f>
        <v>0</v>
      </c>
    </row>
    <row r="620" spans="1:2">
      <c r="A620" s="11">
        <f>Returns!A620</f>
        <v>0</v>
      </c>
      <c r="B620" s="1">
        <f>ABS(Portfolios!B620-AVERAGE(Portfolios!$B$2:$B$1004))</f>
        <v>0</v>
      </c>
    </row>
    <row r="621" spans="1:2">
      <c r="A621" s="11">
        <f>Returns!A621</f>
        <v>0</v>
      </c>
      <c r="B621" s="1">
        <f>ABS(Portfolios!B621-AVERAGE(Portfolios!$B$2:$B$1004))</f>
        <v>0</v>
      </c>
    </row>
    <row r="622" spans="1:2">
      <c r="A622" s="11">
        <f>Returns!A622</f>
        <v>0</v>
      </c>
      <c r="B622" s="1">
        <f>ABS(Portfolios!B622-AVERAGE(Portfolios!$B$2:$B$1004))</f>
        <v>0</v>
      </c>
    </row>
    <row r="623" spans="1:2">
      <c r="A623" s="11">
        <f>Returns!A623</f>
        <v>0</v>
      </c>
      <c r="B623" s="1">
        <f>ABS(Portfolios!B623-AVERAGE(Portfolios!$B$2:$B$1004))</f>
        <v>0</v>
      </c>
    </row>
    <row r="624" spans="1:2">
      <c r="A624" s="11">
        <f>Returns!A624</f>
        <v>0</v>
      </c>
      <c r="B624" s="1">
        <f>ABS(Portfolios!B624-AVERAGE(Portfolios!$B$2:$B$1004))</f>
        <v>0</v>
      </c>
    </row>
    <row r="625" spans="1:2">
      <c r="A625" s="11">
        <f>Returns!A625</f>
        <v>0</v>
      </c>
      <c r="B625" s="1">
        <f>ABS(Portfolios!B625-AVERAGE(Portfolios!$B$2:$B$1004))</f>
        <v>0</v>
      </c>
    </row>
    <row r="626" spans="1:2">
      <c r="A626" s="11">
        <f>Returns!A626</f>
        <v>0</v>
      </c>
      <c r="B626" s="1">
        <f>ABS(Portfolios!B626-AVERAGE(Portfolios!$B$2:$B$1004))</f>
        <v>0</v>
      </c>
    </row>
    <row r="627" spans="1:2">
      <c r="A627" s="11">
        <f>Returns!A627</f>
        <v>0</v>
      </c>
      <c r="B627" s="1">
        <f>ABS(Portfolios!B627-AVERAGE(Portfolios!$B$2:$B$1004))</f>
        <v>0</v>
      </c>
    </row>
    <row r="628" spans="1:2">
      <c r="A628" s="11">
        <f>Returns!A628</f>
        <v>0</v>
      </c>
      <c r="B628" s="1">
        <f>ABS(Portfolios!B628-AVERAGE(Portfolios!$B$2:$B$1004))</f>
        <v>0</v>
      </c>
    </row>
    <row r="629" spans="1:2">
      <c r="A629" s="11">
        <f>Returns!A629</f>
        <v>0</v>
      </c>
      <c r="B629" s="1">
        <f>ABS(Portfolios!B629-AVERAGE(Portfolios!$B$2:$B$1004))</f>
        <v>0</v>
      </c>
    </row>
    <row r="630" spans="1:2">
      <c r="A630" s="11">
        <f>Returns!A630</f>
        <v>0</v>
      </c>
      <c r="B630" s="1">
        <f>ABS(Portfolios!B630-AVERAGE(Portfolios!$B$2:$B$1004))</f>
        <v>0</v>
      </c>
    </row>
    <row r="631" spans="1:2">
      <c r="A631" s="11">
        <f>Returns!A631</f>
        <v>0</v>
      </c>
      <c r="B631" s="1">
        <f>ABS(Portfolios!B631-AVERAGE(Portfolios!$B$2:$B$1004))</f>
        <v>0</v>
      </c>
    </row>
    <row r="632" spans="1:2">
      <c r="A632" s="11">
        <f>Returns!A632</f>
        <v>0</v>
      </c>
      <c r="B632" s="1">
        <f>ABS(Portfolios!B632-AVERAGE(Portfolios!$B$2:$B$1004))</f>
        <v>0</v>
      </c>
    </row>
    <row r="633" spans="1:2">
      <c r="A633" s="11">
        <f>Returns!A633</f>
        <v>0</v>
      </c>
      <c r="B633" s="1">
        <f>ABS(Portfolios!B633-AVERAGE(Portfolios!$B$2:$B$1004))</f>
        <v>0</v>
      </c>
    </row>
    <row r="634" spans="1:2">
      <c r="A634" s="11">
        <f>Returns!A634</f>
        <v>0</v>
      </c>
      <c r="B634" s="1">
        <f>ABS(Portfolios!B634-AVERAGE(Portfolios!$B$2:$B$1004))</f>
        <v>0</v>
      </c>
    </row>
    <row r="635" spans="1:2">
      <c r="A635" s="11">
        <f>Returns!A635</f>
        <v>0</v>
      </c>
      <c r="B635" s="1">
        <f>ABS(Portfolios!B635-AVERAGE(Portfolios!$B$2:$B$1004))</f>
        <v>0</v>
      </c>
    </row>
    <row r="636" spans="1:2">
      <c r="A636" s="11">
        <f>Returns!A636</f>
        <v>0</v>
      </c>
      <c r="B636" s="1">
        <f>ABS(Portfolios!B636-AVERAGE(Portfolios!$B$2:$B$1004))</f>
        <v>0</v>
      </c>
    </row>
    <row r="637" spans="1:2">
      <c r="A637" s="11">
        <f>Returns!A637</f>
        <v>0</v>
      </c>
      <c r="B637" s="1">
        <f>ABS(Portfolios!B637-AVERAGE(Portfolios!$B$2:$B$1004))</f>
        <v>0</v>
      </c>
    </row>
    <row r="638" spans="1:2">
      <c r="A638" s="11">
        <f>Returns!A638</f>
        <v>0</v>
      </c>
      <c r="B638" s="1">
        <f>ABS(Portfolios!B638-AVERAGE(Portfolios!$B$2:$B$1004))</f>
        <v>0</v>
      </c>
    </row>
    <row r="639" spans="1:2">
      <c r="A639" s="11">
        <f>Returns!A639</f>
        <v>0</v>
      </c>
      <c r="B639" s="1">
        <f>ABS(Portfolios!B639-AVERAGE(Portfolios!$B$2:$B$1004))</f>
        <v>0</v>
      </c>
    </row>
    <row r="640" spans="1:2">
      <c r="A640" s="11">
        <f>Returns!A640</f>
        <v>0</v>
      </c>
      <c r="B640" s="1">
        <f>ABS(Portfolios!B640-AVERAGE(Portfolios!$B$2:$B$1004))</f>
        <v>0</v>
      </c>
    </row>
    <row r="641" spans="1:2">
      <c r="A641" s="11">
        <f>Returns!A641</f>
        <v>0</v>
      </c>
      <c r="B641" s="1">
        <f>ABS(Portfolios!B641-AVERAGE(Portfolios!$B$2:$B$1004))</f>
        <v>0</v>
      </c>
    </row>
    <row r="642" spans="1:2">
      <c r="A642" s="11">
        <f>Returns!A642</f>
        <v>0</v>
      </c>
      <c r="B642" s="1">
        <f>ABS(Portfolios!B642-AVERAGE(Portfolios!$B$2:$B$1004))</f>
        <v>0</v>
      </c>
    </row>
    <row r="643" spans="1:2">
      <c r="A643" s="11">
        <f>Returns!A643</f>
        <v>0</v>
      </c>
      <c r="B643" s="1">
        <f>ABS(Portfolios!B643-AVERAGE(Portfolios!$B$2:$B$1004))</f>
        <v>0</v>
      </c>
    </row>
    <row r="644" spans="1:2">
      <c r="A644" s="11">
        <f>Returns!A644</f>
        <v>0</v>
      </c>
      <c r="B644" s="1">
        <f>ABS(Portfolios!B644-AVERAGE(Portfolios!$B$2:$B$1004))</f>
        <v>0</v>
      </c>
    </row>
    <row r="645" spans="1:2">
      <c r="A645" s="11">
        <f>Returns!A645</f>
        <v>0</v>
      </c>
      <c r="B645" s="1">
        <f>ABS(Portfolios!B645-AVERAGE(Portfolios!$B$2:$B$1004))</f>
        <v>0</v>
      </c>
    </row>
    <row r="646" spans="1:2">
      <c r="A646" s="11">
        <f>Returns!A646</f>
        <v>0</v>
      </c>
      <c r="B646" s="1">
        <f>ABS(Portfolios!B646-AVERAGE(Portfolios!$B$2:$B$1004))</f>
        <v>0</v>
      </c>
    </row>
    <row r="647" spans="1:2">
      <c r="A647" s="11">
        <f>Returns!A647</f>
        <v>0</v>
      </c>
      <c r="B647" s="1">
        <f>ABS(Portfolios!B647-AVERAGE(Portfolios!$B$2:$B$1004))</f>
        <v>0</v>
      </c>
    </row>
    <row r="648" spans="1:2">
      <c r="A648" s="11">
        <f>Returns!A648</f>
        <v>0</v>
      </c>
      <c r="B648" s="1">
        <f>ABS(Portfolios!B648-AVERAGE(Portfolios!$B$2:$B$1004))</f>
        <v>0</v>
      </c>
    </row>
    <row r="649" spans="1:2">
      <c r="A649" s="11">
        <f>Returns!A649</f>
        <v>0</v>
      </c>
      <c r="B649" s="1">
        <f>ABS(Portfolios!B649-AVERAGE(Portfolios!$B$2:$B$1004))</f>
        <v>0</v>
      </c>
    </row>
    <row r="650" spans="1:2">
      <c r="A650" s="11">
        <f>Returns!A650</f>
        <v>0</v>
      </c>
      <c r="B650" s="1">
        <f>ABS(Portfolios!B650-AVERAGE(Portfolios!$B$2:$B$1004))</f>
        <v>0</v>
      </c>
    </row>
    <row r="651" spans="1:2">
      <c r="A651" s="11">
        <f>Returns!A651</f>
        <v>0</v>
      </c>
      <c r="B651" s="1">
        <f>ABS(Portfolios!B651-AVERAGE(Portfolios!$B$2:$B$1004))</f>
        <v>0</v>
      </c>
    </row>
    <row r="652" spans="1:2">
      <c r="A652" s="11">
        <f>Returns!A652</f>
        <v>0</v>
      </c>
      <c r="B652" s="1">
        <f>ABS(Portfolios!B652-AVERAGE(Portfolios!$B$2:$B$1004))</f>
        <v>0</v>
      </c>
    </row>
    <row r="653" spans="1:2">
      <c r="A653" s="11">
        <f>Returns!A653</f>
        <v>0</v>
      </c>
      <c r="B653" s="1">
        <f>ABS(Portfolios!B653-AVERAGE(Portfolios!$B$2:$B$1004))</f>
        <v>0</v>
      </c>
    </row>
    <row r="654" spans="1:2">
      <c r="A654" s="11">
        <f>Returns!A654</f>
        <v>0</v>
      </c>
      <c r="B654" s="1">
        <f>ABS(Portfolios!B654-AVERAGE(Portfolios!$B$2:$B$1004))</f>
        <v>0</v>
      </c>
    </row>
    <row r="655" spans="1:2">
      <c r="A655" s="11">
        <f>Returns!A655</f>
        <v>0</v>
      </c>
      <c r="B655" s="1">
        <f>ABS(Portfolios!B655-AVERAGE(Portfolios!$B$2:$B$1004))</f>
        <v>0</v>
      </c>
    </row>
    <row r="656" spans="1:2">
      <c r="A656" s="11">
        <f>Returns!A656</f>
        <v>0</v>
      </c>
      <c r="B656" s="1">
        <f>ABS(Portfolios!B656-AVERAGE(Portfolios!$B$2:$B$1004))</f>
        <v>0</v>
      </c>
    </row>
    <row r="657" spans="1:2">
      <c r="A657" s="11">
        <f>Returns!A657</f>
        <v>0</v>
      </c>
      <c r="B657" s="1">
        <f>ABS(Portfolios!B657-AVERAGE(Portfolios!$B$2:$B$1004))</f>
        <v>0</v>
      </c>
    </row>
    <row r="658" spans="1:2">
      <c r="A658" s="11">
        <f>Returns!A658</f>
        <v>0</v>
      </c>
      <c r="B658" s="1">
        <f>ABS(Portfolios!B658-AVERAGE(Portfolios!$B$2:$B$1004))</f>
        <v>0</v>
      </c>
    </row>
    <row r="659" spans="1:2">
      <c r="A659" s="11">
        <f>Returns!A659</f>
        <v>0</v>
      </c>
      <c r="B659" s="1">
        <f>ABS(Portfolios!B659-AVERAGE(Portfolios!$B$2:$B$1004))</f>
        <v>0</v>
      </c>
    </row>
    <row r="660" spans="1:2">
      <c r="A660" s="11">
        <f>Returns!A660</f>
        <v>0</v>
      </c>
      <c r="B660" s="1">
        <f>ABS(Portfolios!B660-AVERAGE(Portfolios!$B$2:$B$1004))</f>
        <v>0</v>
      </c>
    </row>
    <row r="661" spans="1:2">
      <c r="A661" s="11">
        <f>Returns!A661</f>
        <v>0</v>
      </c>
      <c r="B661" s="1">
        <f>ABS(Portfolios!B661-AVERAGE(Portfolios!$B$2:$B$1004))</f>
        <v>0</v>
      </c>
    </row>
    <row r="662" spans="1:2">
      <c r="A662" s="11">
        <f>Returns!A662</f>
        <v>0</v>
      </c>
      <c r="B662" s="1">
        <f>ABS(Portfolios!B662-AVERAGE(Portfolios!$B$2:$B$1004))</f>
        <v>0</v>
      </c>
    </row>
    <row r="663" spans="1:2">
      <c r="A663" s="11">
        <f>Returns!A663</f>
        <v>0</v>
      </c>
      <c r="B663" s="1">
        <f>ABS(Portfolios!B663-AVERAGE(Portfolios!$B$2:$B$1004))</f>
        <v>0</v>
      </c>
    </row>
    <row r="664" spans="1:2">
      <c r="A664" s="11">
        <f>Returns!A664</f>
        <v>0</v>
      </c>
      <c r="B664" s="1">
        <f>ABS(Portfolios!B664-AVERAGE(Portfolios!$B$2:$B$1004))</f>
        <v>0</v>
      </c>
    </row>
    <row r="665" spans="1:2">
      <c r="A665" s="11">
        <f>Returns!A665</f>
        <v>0</v>
      </c>
      <c r="B665" s="1">
        <f>ABS(Portfolios!B665-AVERAGE(Portfolios!$B$2:$B$1004))</f>
        <v>0</v>
      </c>
    </row>
    <row r="666" spans="1:2">
      <c r="A666" s="11">
        <f>Returns!A666</f>
        <v>0</v>
      </c>
      <c r="B666" s="1">
        <f>ABS(Portfolios!B666-AVERAGE(Portfolios!$B$2:$B$1004))</f>
        <v>0</v>
      </c>
    </row>
    <row r="667" spans="1:2">
      <c r="A667" s="11">
        <f>Returns!A667</f>
        <v>0</v>
      </c>
      <c r="B667" s="1">
        <f>ABS(Portfolios!B667-AVERAGE(Portfolios!$B$2:$B$1004))</f>
        <v>0</v>
      </c>
    </row>
    <row r="668" spans="1:2">
      <c r="A668" s="11">
        <f>Returns!A668</f>
        <v>0</v>
      </c>
      <c r="B668" s="1">
        <f>ABS(Portfolios!B668-AVERAGE(Portfolios!$B$2:$B$1004))</f>
        <v>0</v>
      </c>
    </row>
    <row r="669" spans="1:2">
      <c r="A669" s="11">
        <f>Returns!A669</f>
        <v>0</v>
      </c>
      <c r="B669" s="1">
        <f>ABS(Portfolios!B669-AVERAGE(Portfolios!$B$2:$B$1004))</f>
        <v>0</v>
      </c>
    </row>
    <row r="670" spans="1:2">
      <c r="A670" s="11">
        <f>Returns!A670</f>
        <v>0</v>
      </c>
      <c r="B670" s="1">
        <f>ABS(Portfolios!B670-AVERAGE(Portfolios!$B$2:$B$1004))</f>
        <v>0</v>
      </c>
    </row>
    <row r="671" spans="1:2">
      <c r="A671" s="11">
        <f>Returns!A671</f>
        <v>0</v>
      </c>
      <c r="B671" s="1">
        <f>ABS(Portfolios!B671-AVERAGE(Portfolios!$B$2:$B$1004))</f>
        <v>0</v>
      </c>
    </row>
    <row r="672" spans="1:2">
      <c r="A672" s="11">
        <f>Returns!A672</f>
        <v>0</v>
      </c>
      <c r="B672" s="1">
        <f>ABS(Portfolios!B672-AVERAGE(Portfolios!$B$2:$B$1004))</f>
        <v>0</v>
      </c>
    </row>
    <row r="673" spans="1:2">
      <c r="A673" s="11">
        <f>Returns!A673</f>
        <v>0</v>
      </c>
      <c r="B673" s="1">
        <f>ABS(Portfolios!B673-AVERAGE(Portfolios!$B$2:$B$1004))</f>
        <v>0</v>
      </c>
    </row>
    <row r="674" spans="1:2">
      <c r="A674" s="11">
        <f>Returns!A674</f>
        <v>0</v>
      </c>
      <c r="B674" s="1">
        <f>ABS(Portfolios!B674-AVERAGE(Portfolios!$B$2:$B$1004))</f>
        <v>0</v>
      </c>
    </row>
    <row r="675" spans="1:2">
      <c r="A675" s="11">
        <f>Returns!A675</f>
        <v>0</v>
      </c>
      <c r="B675" s="1">
        <f>ABS(Portfolios!B675-AVERAGE(Portfolios!$B$2:$B$1004))</f>
        <v>0</v>
      </c>
    </row>
    <row r="676" spans="1:2">
      <c r="A676" s="11">
        <f>Returns!A676</f>
        <v>0</v>
      </c>
      <c r="B676" s="1">
        <f>ABS(Portfolios!B676-AVERAGE(Portfolios!$B$2:$B$1004))</f>
        <v>0</v>
      </c>
    </row>
    <row r="677" spans="1:2">
      <c r="A677" s="11">
        <f>Returns!A677</f>
        <v>0</v>
      </c>
      <c r="B677" s="1">
        <f>ABS(Portfolios!B677-AVERAGE(Portfolios!$B$2:$B$1004))</f>
        <v>0</v>
      </c>
    </row>
    <row r="678" spans="1:2">
      <c r="A678" s="11">
        <f>Returns!A678</f>
        <v>0</v>
      </c>
      <c r="B678" s="1">
        <f>ABS(Portfolios!B678-AVERAGE(Portfolios!$B$2:$B$1004))</f>
        <v>0</v>
      </c>
    </row>
    <row r="679" spans="1:2">
      <c r="A679" s="11">
        <f>Returns!A679</f>
        <v>0</v>
      </c>
      <c r="B679" s="1">
        <f>ABS(Portfolios!B679-AVERAGE(Portfolios!$B$2:$B$1004))</f>
        <v>0</v>
      </c>
    </row>
    <row r="680" spans="1:2">
      <c r="A680" s="11">
        <f>Returns!A680</f>
        <v>0</v>
      </c>
      <c r="B680" s="1">
        <f>ABS(Portfolios!B680-AVERAGE(Portfolios!$B$2:$B$1004))</f>
        <v>0</v>
      </c>
    </row>
    <row r="681" spans="1:2">
      <c r="A681" s="11">
        <f>Returns!A681</f>
        <v>0</v>
      </c>
      <c r="B681" s="1">
        <f>ABS(Portfolios!B681-AVERAGE(Portfolios!$B$2:$B$1004))</f>
        <v>0</v>
      </c>
    </row>
    <row r="682" spans="1:2">
      <c r="A682" s="11">
        <f>Returns!A682</f>
        <v>0</v>
      </c>
      <c r="B682" s="1">
        <f>ABS(Portfolios!B682-AVERAGE(Portfolios!$B$2:$B$1004))</f>
        <v>0</v>
      </c>
    </row>
    <row r="683" spans="1:2">
      <c r="A683" s="11">
        <f>Returns!A683</f>
        <v>0</v>
      </c>
      <c r="B683" s="1">
        <f>ABS(Portfolios!B683-AVERAGE(Portfolios!$B$2:$B$1004))</f>
        <v>0</v>
      </c>
    </row>
    <row r="684" spans="1:2">
      <c r="A684" s="11">
        <f>Returns!A684</f>
        <v>0</v>
      </c>
      <c r="B684" s="1">
        <f>ABS(Portfolios!B684-AVERAGE(Portfolios!$B$2:$B$1004))</f>
        <v>0</v>
      </c>
    </row>
    <row r="685" spans="1:2">
      <c r="A685" s="11">
        <f>Returns!A685</f>
        <v>0</v>
      </c>
      <c r="B685" s="1">
        <f>ABS(Portfolios!B685-AVERAGE(Portfolios!$B$2:$B$1004))</f>
        <v>0</v>
      </c>
    </row>
    <row r="686" spans="1:2">
      <c r="A686" s="11">
        <f>Returns!A686</f>
        <v>0</v>
      </c>
      <c r="B686" s="1">
        <f>ABS(Portfolios!B686-AVERAGE(Portfolios!$B$2:$B$1004))</f>
        <v>0</v>
      </c>
    </row>
    <row r="687" spans="1:2">
      <c r="A687" s="11">
        <f>Returns!A687</f>
        <v>0</v>
      </c>
      <c r="B687" s="1">
        <f>ABS(Portfolios!B687-AVERAGE(Portfolios!$B$2:$B$1004))</f>
        <v>0</v>
      </c>
    </row>
    <row r="688" spans="1:2">
      <c r="A688" s="11">
        <f>Returns!A688</f>
        <v>0</v>
      </c>
      <c r="B688" s="1">
        <f>ABS(Portfolios!B688-AVERAGE(Portfolios!$B$2:$B$1004))</f>
        <v>0</v>
      </c>
    </row>
    <row r="689" spans="1:2">
      <c r="A689" s="11">
        <f>Returns!A689</f>
        <v>0</v>
      </c>
      <c r="B689" s="1">
        <f>ABS(Portfolios!B689-AVERAGE(Portfolios!$B$2:$B$1004))</f>
        <v>0</v>
      </c>
    </row>
    <row r="690" spans="1:2">
      <c r="A690" s="11">
        <f>Returns!A690</f>
        <v>0</v>
      </c>
      <c r="B690" s="1">
        <f>ABS(Portfolios!B690-AVERAGE(Portfolios!$B$2:$B$1004))</f>
        <v>0</v>
      </c>
    </row>
    <row r="691" spans="1:2">
      <c r="A691" s="11">
        <f>Returns!A691</f>
        <v>0</v>
      </c>
      <c r="B691" s="1">
        <f>ABS(Portfolios!B691-AVERAGE(Portfolios!$B$2:$B$1004))</f>
        <v>0</v>
      </c>
    </row>
    <row r="692" spans="1:2">
      <c r="A692" s="11">
        <f>Returns!A692</f>
        <v>0</v>
      </c>
      <c r="B692" s="1">
        <f>ABS(Portfolios!B692-AVERAGE(Portfolios!$B$2:$B$1004))</f>
        <v>0</v>
      </c>
    </row>
    <row r="693" spans="1:2">
      <c r="A693" s="11">
        <f>Returns!A693</f>
        <v>0</v>
      </c>
      <c r="B693" s="1">
        <f>ABS(Portfolios!B693-AVERAGE(Portfolios!$B$2:$B$1004))</f>
        <v>0</v>
      </c>
    </row>
    <row r="694" spans="1:2">
      <c r="A694" s="11">
        <f>Returns!A694</f>
        <v>0</v>
      </c>
      <c r="B694" s="1">
        <f>ABS(Portfolios!B694-AVERAGE(Portfolios!$B$2:$B$1004))</f>
        <v>0</v>
      </c>
    </row>
    <row r="695" spans="1:2">
      <c r="A695" s="11">
        <f>Returns!A695</f>
        <v>0</v>
      </c>
      <c r="B695" s="1">
        <f>ABS(Portfolios!B695-AVERAGE(Portfolios!$B$2:$B$1004))</f>
        <v>0</v>
      </c>
    </row>
    <row r="696" spans="1:2">
      <c r="A696" s="11">
        <f>Returns!A696</f>
        <v>0</v>
      </c>
      <c r="B696" s="1">
        <f>ABS(Portfolios!B696-AVERAGE(Portfolios!$B$2:$B$1004))</f>
        <v>0</v>
      </c>
    </row>
    <row r="697" spans="1:2">
      <c r="A697" s="11">
        <f>Returns!A697</f>
        <v>0</v>
      </c>
      <c r="B697" s="1">
        <f>ABS(Portfolios!B697-AVERAGE(Portfolios!$B$2:$B$1004))</f>
        <v>0</v>
      </c>
    </row>
    <row r="698" spans="1:2">
      <c r="A698" s="11">
        <f>Returns!A698</f>
        <v>0</v>
      </c>
      <c r="B698" s="1">
        <f>ABS(Portfolios!B698-AVERAGE(Portfolios!$B$2:$B$1004))</f>
        <v>0</v>
      </c>
    </row>
    <row r="699" spans="1:2">
      <c r="A699" s="11">
        <f>Returns!A699</f>
        <v>0</v>
      </c>
      <c r="B699" s="1">
        <f>ABS(Portfolios!B699-AVERAGE(Portfolios!$B$2:$B$1004))</f>
        <v>0</v>
      </c>
    </row>
    <row r="700" spans="1:2">
      <c r="A700" s="11">
        <f>Returns!A700</f>
        <v>0</v>
      </c>
      <c r="B700" s="1">
        <f>ABS(Portfolios!B700-AVERAGE(Portfolios!$B$2:$B$1004))</f>
        <v>0</v>
      </c>
    </row>
    <row r="701" spans="1:2">
      <c r="A701" s="11">
        <f>Returns!A701</f>
        <v>0</v>
      </c>
      <c r="B701" s="1">
        <f>ABS(Portfolios!B701-AVERAGE(Portfolios!$B$2:$B$1004))</f>
        <v>0</v>
      </c>
    </row>
    <row r="702" spans="1:2">
      <c r="A702" s="11">
        <f>Returns!A702</f>
        <v>0</v>
      </c>
      <c r="B702" s="1">
        <f>ABS(Portfolios!B702-AVERAGE(Portfolios!$B$2:$B$1004))</f>
        <v>0</v>
      </c>
    </row>
    <row r="703" spans="1:2">
      <c r="A703" s="11">
        <f>Returns!A703</f>
        <v>0</v>
      </c>
      <c r="B703" s="1">
        <f>ABS(Portfolios!B703-AVERAGE(Portfolios!$B$2:$B$1004))</f>
        <v>0</v>
      </c>
    </row>
    <row r="704" spans="1:2">
      <c r="A704" s="11">
        <f>Returns!A704</f>
        <v>0</v>
      </c>
      <c r="B704" s="1">
        <f>ABS(Portfolios!B704-AVERAGE(Portfolios!$B$2:$B$1004))</f>
        <v>0</v>
      </c>
    </row>
    <row r="705" spans="1:2">
      <c r="A705" s="11">
        <f>Returns!A705</f>
        <v>0</v>
      </c>
      <c r="B705" s="1">
        <f>ABS(Portfolios!B705-AVERAGE(Portfolios!$B$2:$B$1004))</f>
        <v>0</v>
      </c>
    </row>
    <row r="706" spans="1:2">
      <c r="A706" s="11">
        <f>Returns!A706</f>
        <v>0</v>
      </c>
      <c r="B706" s="1">
        <f>ABS(Portfolios!B706-AVERAGE(Portfolios!$B$2:$B$1004))</f>
        <v>0</v>
      </c>
    </row>
    <row r="707" spans="1:2">
      <c r="A707" s="11">
        <f>Returns!A707</f>
        <v>0</v>
      </c>
      <c r="B707" s="1">
        <f>ABS(Portfolios!B707-AVERAGE(Portfolios!$B$2:$B$1004))</f>
        <v>0</v>
      </c>
    </row>
    <row r="708" spans="1:2">
      <c r="A708" s="11">
        <f>Returns!A708</f>
        <v>0</v>
      </c>
      <c r="B708" s="1">
        <f>ABS(Portfolios!B708-AVERAGE(Portfolios!$B$2:$B$1004))</f>
        <v>0</v>
      </c>
    </row>
    <row r="709" spans="1:2">
      <c r="A709" s="11">
        <f>Returns!A709</f>
        <v>0</v>
      </c>
      <c r="B709" s="1">
        <f>ABS(Portfolios!B709-AVERAGE(Portfolios!$B$2:$B$1004))</f>
        <v>0</v>
      </c>
    </row>
    <row r="710" spans="1:2">
      <c r="A710" s="11">
        <f>Returns!A710</f>
        <v>0</v>
      </c>
      <c r="B710" s="1">
        <f>ABS(Portfolios!B710-AVERAGE(Portfolios!$B$2:$B$1004))</f>
        <v>0</v>
      </c>
    </row>
    <row r="711" spans="1:2">
      <c r="A711" s="11">
        <f>Returns!A711</f>
        <v>0</v>
      </c>
      <c r="B711" s="1">
        <f>ABS(Portfolios!B711-AVERAGE(Portfolios!$B$2:$B$1004))</f>
        <v>0</v>
      </c>
    </row>
    <row r="712" spans="1:2">
      <c r="A712" s="11">
        <f>Returns!A712</f>
        <v>0</v>
      </c>
      <c r="B712" s="1">
        <f>ABS(Portfolios!B712-AVERAGE(Portfolios!$B$2:$B$1004))</f>
        <v>0</v>
      </c>
    </row>
    <row r="713" spans="1:2">
      <c r="A713" s="11">
        <f>Returns!A713</f>
        <v>0</v>
      </c>
      <c r="B713" s="1">
        <f>ABS(Portfolios!B713-AVERAGE(Portfolios!$B$2:$B$1004))</f>
        <v>0</v>
      </c>
    </row>
    <row r="714" spans="1:2">
      <c r="A714" s="11">
        <f>Returns!A714</f>
        <v>0</v>
      </c>
      <c r="B714" s="1">
        <f>ABS(Portfolios!B714-AVERAGE(Portfolios!$B$2:$B$1004))</f>
        <v>0</v>
      </c>
    </row>
    <row r="715" spans="1:2">
      <c r="A715" s="11">
        <f>Returns!A715</f>
        <v>0</v>
      </c>
      <c r="B715" s="1">
        <f>ABS(Portfolios!B715-AVERAGE(Portfolios!$B$2:$B$1004))</f>
        <v>0</v>
      </c>
    </row>
    <row r="716" spans="1:2">
      <c r="A716" s="11">
        <f>Returns!A716</f>
        <v>0</v>
      </c>
      <c r="B716" s="1">
        <f>ABS(Portfolios!B716-AVERAGE(Portfolios!$B$2:$B$1004))</f>
        <v>0</v>
      </c>
    </row>
    <row r="717" spans="1:2">
      <c r="A717" s="11">
        <f>Returns!A717</f>
        <v>0</v>
      </c>
      <c r="B717" s="1">
        <f>ABS(Portfolios!B717-AVERAGE(Portfolios!$B$2:$B$1004))</f>
        <v>0</v>
      </c>
    </row>
    <row r="718" spans="1:2">
      <c r="A718" s="11">
        <f>Returns!A718</f>
        <v>0</v>
      </c>
      <c r="B718" s="1">
        <f>ABS(Portfolios!B718-AVERAGE(Portfolios!$B$2:$B$1004))</f>
        <v>0</v>
      </c>
    </row>
    <row r="719" spans="1:2">
      <c r="A719" s="11">
        <f>Returns!A719</f>
        <v>0</v>
      </c>
      <c r="B719" s="1">
        <f>ABS(Portfolios!B719-AVERAGE(Portfolios!$B$2:$B$1004))</f>
        <v>0</v>
      </c>
    </row>
    <row r="720" spans="1:2">
      <c r="A720" s="11">
        <f>Returns!A720</f>
        <v>0</v>
      </c>
      <c r="B720" s="1">
        <f>ABS(Portfolios!B720-AVERAGE(Portfolios!$B$2:$B$1004))</f>
        <v>0</v>
      </c>
    </row>
    <row r="721" spans="1:2">
      <c r="A721" s="11">
        <f>Returns!A721</f>
        <v>0</v>
      </c>
      <c r="B721" s="1">
        <f>ABS(Portfolios!B721-AVERAGE(Portfolios!$B$2:$B$1004))</f>
        <v>0</v>
      </c>
    </row>
    <row r="722" spans="1:2">
      <c r="A722" s="11">
        <f>Returns!A722</f>
        <v>0</v>
      </c>
      <c r="B722" s="1">
        <f>ABS(Portfolios!B722-AVERAGE(Portfolios!$B$2:$B$1004))</f>
        <v>0</v>
      </c>
    </row>
    <row r="723" spans="1:2">
      <c r="A723" s="11">
        <f>Returns!A723</f>
        <v>0</v>
      </c>
      <c r="B723" s="1">
        <f>ABS(Portfolios!B723-AVERAGE(Portfolios!$B$2:$B$1004))</f>
        <v>0</v>
      </c>
    </row>
    <row r="724" spans="1:2">
      <c r="A724" s="11">
        <f>Returns!A724</f>
        <v>0</v>
      </c>
      <c r="B724" s="1">
        <f>ABS(Portfolios!B724-AVERAGE(Portfolios!$B$2:$B$1004))</f>
        <v>0</v>
      </c>
    </row>
    <row r="725" spans="1:2">
      <c r="A725" s="11">
        <f>Returns!A725</f>
        <v>0</v>
      </c>
      <c r="B725" s="1">
        <f>ABS(Portfolios!B725-AVERAGE(Portfolios!$B$2:$B$1004))</f>
        <v>0</v>
      </c>
    </row>
    <row r="726" spans="1:2">
      <c r="A726" s="11">
        <f>Returns!A726</f>
        <v>0</v>
      </c>
      <c r="B726" s="1">
        <f>ABS(Portfolios!B726-AVERAGE(Portfolios!$B$2:$B$1004))</f>
        <v>0</v>
      </c>
    </row>
    <row r="727" spans="1:2">
      <c r="A727" s="11">
        <f>Returns!A727</f>
        <v>0</v>
      </c>
      <c r="B727" s="1">
        <f>ABS(Portfolios!B727-AVERAGE(Portfolios!$B$2:$B$1004))</f>
        <v>0</v>
      </c>
    </row>
    <row r="728" spans="1:2">
      <c r="A728" s="11">
        <f>Returns!A728</f>
        <v>0</v>
      </c>
      <c r="B728" s="1">
        <f>ABS(Portfolios!B728-AVERAGE(Portfolios!$B$2:$B$1004))</f>
        <v>0</v>
      </c>
    </row>
    <row r="729" spans="1:2">
      <c r="A729" s="11">
        <f>Returns!A729</f>
        <v>0</v>
      </c>
      <c r="B729" s="1">
        <f>ABS(Portfolios!B729-AVERAGE(Portfolios!$B$2:$B$1004))</f>
        <v>0</v>
      </c>
    </row>
    <row r="730" spans="1:2">
      <c r="A730" s="11">
        <f>Returns!A730</f>
        <v>0</v>
      </c>
      <c r="B730" s="1">
        <f>ABS(Portfolios!B730-AVERAGE(Portfolios!$B$2:$B$1004))</f>
        <v>0</v>
      </c>
    </row>
    <row r="731" spans="1:2">
      <c r="A731" s="11">
        <f>Returns!A731</f>
        <v>0</v>
      </c>
      <c r="B731" s="1">
        <f>ABS(Portfolios!B731-AVERAGE(Portfolios!$B$2:$B$1004))</f>
        <v>0</v>
      </c>
    </row>
    <row r="732" spans="1:2">
      <c r="A732" s="11">
        <f>Returns!A732</f>
        <v>0</v>
      </c>
      <c r="B732" s="1">
        <f>ABS(Portfolios!B732-AVERAGE(Portfolios!$B$2:$B$1004))</f>
        <v>0</v>
      </c>
    </row>
    <row r="733" spans="1:2">
      <c r="A733" s="11">
        <f>Returns!A733</f>
        <v>0</v>
      </c>
      <c r="B733" s="1">
        <f>ABS(Portfolios!B733-AVERAGE(Portfolios!$B$2:$B$1004))</f>
        <v>0</v>
      </c>
    </row>
    <row r="734" spans="1:2">
      <c r="A734" s="11">
        <f>Returns!A734</f>
        <v>0</v>
      </c>
      <c r="B734" s="1">
        <f>ABS(Portfolios!B734-AVERAGE(Portfolios!$B$2:$B$1004))</f>
        <v>0</v>
      </c>
    </row>
    <row r="735" spans="1:2">
      <c r="A735" s="11">
        <f>Returns!A735</f>
        <v>0</v>
      </c>
      <c r="B735" s="1">
        <f>ABS(Portfolios!B735-AVERAGE(Portfolios!$B$2:$B$1004))</f>
        <v>0</v>
      </c>
    </row>
    <row r="736" spans="1:2">
      <c r="A736" s="11">
        <f>Returns!A736</f>
        <v>0</v>
      </c>
      <c r="B736" s="1">
        <f>ABS(Portfolios!B736-AVERAGE(Portfolios!$B$2:$B$1004))</f>
        <v>0</v>
      </c>
    </row>
    <row r="737" spans="1:2">
      <c r="A737" s="11">
        <f>Returns!A737</f>
        <v>0</v>
      </c>
      <c r="B737" s="1">
        <f>ABS(Portfolios!B737-AVERAGE(Portfolios!$B$2:$B$1004))</f>
        <v>0</v>
      </c>
    </row>
    <row r="738" spans="1:2">
      <c r="A738" s="11">
        <f>Returns!A738</f>
        <v>0</v>
      </c>
      <c r="B738" s="1">
        <f>ABS(Portfolios!B738-AVERAGE(Portfolios!$B$2:$B$1004))</f>
        <v>0</v>
      </c>
    </row>
    <row r="739" spans="1:2">
      <c r="A739" s="11">
        <f>Returns!A739</f>
        <v>0</v>
      </c>
      <c r="B739" s="1">
        <f>ABS(Portfolios!B739-AVERAGE(Portfolios!$B$2:$B$1004))</f>
        <v>0</v>
      </c>
    </row>
    <row r="740" spans="1:2">
      <c r="A740" s="11">
        <f>Returns!A740</f>
        <v>0</v>
      </c>
      <c r="B740" s="1">
        <f>ABS(Portfolios!B740-AVERAGE(Portfolios!$B$2:$B$1004))</f>
        <v>0</v>
      </c>
    </row>
    <row r="741" spans="1:2">
      <c r="A741" s="11">
        <f>Returns!A741</f>
        <v>0</v>
      </c>
      <c r="B741" s="1">
        <f>ABS(Portfolios!B741-AVERAGE(Portfolios!$B$2:$B$1004))</f>
        <v>0</v>
      </c>
    </row>
    <row r="742" spans="1:2">
      <c r="A742" s="11">
        <f>Returns!A742</f>
        <v>0</v>
      </c>
      <c r="B742" s="1">
        <f>ABS(Portfolios!B742-AVERAGE(Portfolios!$B$2:$B$1004))</f>
        <v>0</v>
      </c>
    </row>
    <row r="743" spans="1:2">
      <c r="A743" s="11">
        <f>Returns!A743</f>
        <v>0</v>
      </c>
      <c r="B743" s="1">
        <f>ABS(Portfolios!B743-AVERAGE(Portfolios!$B$2:$B$1004))</f>
        <v>0</v>
      </c>
    </row>
    <row r="744" spans="1:2">
      <c r="A744" s="11">
        <f>Returns!A744</f>
        <v>0</v>
      </c>
      <c r="B744" s="1">
        <f>ABS(Portfolios!B744-AVERAGE(Portfolios!$B$2:$B$1004))</f>
        <v>0</v>
      </c>
    </row>
    <row r="745" spans="1:2">
      <c r="A745" s="11">
        <f>Returns!A745</f>
        <v>0</v>
      </c>
      <c r="B745" s="1">
        <f>ABS(Portfolios!B745-AVERAGE(Portfolios!$B$2:$B$1004))</f>
        <v>0</v>
      </c>
    </row>
    <row r="746" spans="1:2">
      <c r="A746" s="11">
        <f>Returns!A746</f>
        <v>0</v>
      </c>
      <c r="B746" s="1">
        <f>ABS(Portfolios!B746-AVERAGE(Portfolios!$B$2:$B$1004))</f>
        <v>0</v>
      </c>
    </row>
    <row r="747" spans="1:2">
      <c r="A747" s="11">
        <f>Returns!A747</f>
        <v>0</v>
      </c>
      <c r="B747" s="1">
        <f>ABS(Portfolios!B747-AVERAGE(Portfolios!$B$2:$B$1004))</f>
        <v>0</v>
      </c>
    </row>
    <row r="748" spans="1:2">
      <c r="A748" s="11">
        <f>Returns!A748</f>
        <v>0</v>
      </c>
      <c r="B748" s="1">
        <f>ABS(Portfolios!B748-AVERAGE(Portfolios!$B$2:$B$1004))</f>
        <v>0</v>
      </c>
    </row>
    <row r="749" spans="1:2">
      <c r="A749" s="11">
        <f>Returns!A749</f>
        <v>0</v>
      </c>
      <c r="B749" s="1">
        <f>ABS(Portfolios!B749-AVERAGE(Portfolios!$B$2:$B$1004))</f>
        <v>0</v>
      </c>
    </row>
    <row r="750" spans="1:2">
      <c r="A750" s="11">
        <f>Returns!A750</f>
        <v>0</v>
      </c>
      <c r="B750" s="1">
        <f>ABS(Portfolios!B750-AVERAGE(Portfolios!$B$2:$B$1004))</f>
        <v>0</v>
      </c>
    </row>
    <row r="751" spans="1:2">
      <c r="A751" s="11">
        <f>Returns!A751</f>
        <v>0</v>
      </c>
      <c r="B751" s="1">
        <f>ABS(Portfolios!B751-AVERAGE(Portfolios!$B$2:$B$1004))</f>
        <v>0</v>
      </c>
    </row>
    <row r="752" spans="1:2">
      <c r="A752" s="11">
        <f>Returns!A752</f>
        <v>0</v>
      </c>
      <c r="B752" s="1">
        <f>ABS(Portfolios!B752-AVERAGE(Portfolios!$B$2:$B$1004))</f>
        <v>0</v>
      </c>
    </row>
    <row r="753" spans="1:2">
      <c r="A753" s="11">
        <f>Returns!A753</f>
        <v>0</v>
      </c>
      <c r="B753" s="1">
        <f>ABS(Portfolios!B753-AVERAGE(Portfolios!$B$2:$B$1004))</f>
        <v>0</v>
      </c>
    </row>
    <row r="754" spans="1:2">
      <c r="A754" s="11">
        <f>Returns!A754</f>
        <v>0</v>
      </c>
      <c r="B754" s="1">
        <f>ABS(Portfolios!B754-AVERAGE(Portfolios!$B$2:$B$1004))</f>
        <v>0</v>
      </c>
    </row>
    <row r="755" spans="1:2">
      <c r="A755" s="11">
        <f>Returns!A755</f>
        <v>0</v>
      </c>
      <c r="B755" s="1">
        <f>ABS(Portfolios!B755-AVERAGE(Portfolios!$B$2:$B$1004))</f>
        <v>0</v>
      </c>
    </row>
    <row r="756" spans="1:2">
      <c r="A756" s="11">
        <f>Returns!A756</f>
        <v>0</v>
      </c>
      <c r="B756" s="1">
        <f>ABS(Portfolios!B756-AVERAGE(Portfolios!$B$2:$B$1004))</f>
        <v>0</v>
      </c>
    </row>
    <row r="757" spans="1:2">
      <c r="A757" s="11">
        <f>Returns!A757</f>
        <v>0</v>
      </c>
      <c r="B757" s="1">
        <f>ABS(Portfolios!B757-AVERAGE(Portfolios!$B$2:$B$1004))</f>
        <v>0</v>
      </c>
    </row>
    <row r="758" spans="1:2">
      <c r="A758" s="11">
        <f>Returns!A758</f>
        <v>0</v>
      </c>
      <c r="B758" s="1">
        <f>ABS(Portfolios!B758-AVERAGE(Portfolios!$B$2:$B$1004))</f>
        <v>0</v>
      </c>
    </row>
    <row r="759" spans="1:2">
      <c r="A759" s="11">
        <f>Returns!A759</f>
        <v>0</v>
      </c>
      <c r="B759" s="1">
        <f>ABS(Portfolios!B759-AVERAGE(Portfolios!$B$2:$B$1004))</f>
        <v>0</v>
      </c>
    </row>
    <row r="760" spans="1:2">
      <c r="A760" s="11">
        <f>Returns!A760</f>
        <v>0</v>
      </c>
      <c r="B760" s="1">
        <f>ABS(Portfolios!B760-AVERAGE(Portfolios!$B$2:$B$1004))</f>
        <v>0</v>
      </c>
    </row>
    <row r="761" spans="1:2">
      <c r="A761" s="11">
        <f>Returns!A761</f>
        <v>0</v>
      </c>
      <c r="B761" s="1">
        <f>ABS(Portfolios!B761-AVERAGE(Portfolios!$B$2:$B$1004))</f>
        <v>0</v>
      </c>
    </row>
    <row r="762" spans="1:2">
      <c r="A762" s="11">
        <f>Returns!A762</f>
        <v>0</v>
      </c>
      <c r="B762" s="1">
        <f>ABS(Portfolios!B762-AVERAGE(Portfolios!$B$2:$B$1004))</f>
        <v>0</v>
      </c>
    </row>
    <row r="763" spans="1:2">
      <c r="A763" s="11">
        <f>Returns!A763</f>
        <v>0</v>
      </c>
      <c r="B763" s="1">
        <f>ABS(Portfolios!B763-AVERAGE(Portfolios!$B$2:$B$1004))</f>
        <v>0</v>
      </c>
    </row>
    <row r="764" spans="1:2">
      <c r="A764" s="11">
        <f>Returns!A764</f>
        <v>0</v>
      </c>
      <c r="B764" s="1">
        <f>ABS(Portfolios!B764-AVERAGE(Portfolios!$B$2:$B$1004))</f>
        <v>0</v>
      </c>
    </row>
    <row r="765" spans="1:2">
      <c r="A765" s="11">
        <f>Returns!A765</f>
        <v>0</v>
      </c>
      <c r="B765" s="1">
        <f>ABS(Portfolios!B765-AVERAGE(Portfolios!$B$2:$B$1004))</f>
        <v>0</v>
      </c>
    </row>
    <row r="766" spans="1:2">
      <c r="A766" s="11">
        <f>Returns!A766</f>
        <v>0</v>
      </c>
      <c r="B766" s="1">
        <f>ABS(Portfolios!B766-AVERAGE(Portfolios!$B$2:$B$1004))</f>
        <v>0</v>
      </c>
    </row>
    <row r="767" spans="1:2">
      <c r="A767" s="11">
        <f>Returns!A767</f>
        <v>0</v>
      </c>
      <c r="B767" s="1">
        <f>ABS(Portfolios!B767-AVERAGE(Portfolios!$B$2:$B$1004))</f>
        <v>0</v>
      </c>
    </row>
    <row r="768" spans="1:2">
      <c r="A768" s="11">
        <f>Returns!A768</f>
        <v>0</v>
      </c>
      <c r="B768" s="1">
        <f>ABS(Portfolios!B768-AVERAGE(Portfolios!$B$2:$B$1004))</f>
        <v>0</v>
      </c>
    </row>
    <row r="769" spans="1:2">
      <c r="A769" s="11">
        <f>Returns!A769</f>
        <v>0</v>
      </c>
      <c r="B769" s="1">
        <f>ABS(Portfolios!B769-AVERAGE(Portfolios!$B$2:$B$1004))</f>
        <v>0</v>
      </c>
    </row>
    <row r="770" spans="1:2">
      <c r="A770" s="11">
        <f>Returns!A770</f>
        <v>0</v>
      </c>
      <c r="B770" s="1">
        <f>ABS(Portfolios!B770-AVERAGE(Portfolios!$B$2:$B$1004))</f>
        <v>0</v>
      </c>
    </row>
    <row r="771" spans="1:2">
      <c r="A771" s="11">
        <f>Returns!A771</f>
        <v>0</v>
      </c>
      <c r="B771" s="1">
        <f>ABS(Portfolios!B771-AVERAGE(Portfolios!$B$2:$B$1004))</f>
        <v>0</v>
      </c>
    </row>
    <row r="772" spans="1:2">
      <c r="A772" s="11">
        <f>Returns!A772</f>
        <v>0</v>
      </c>
      <c r="B772" s="1">
        <f>ABS(Portfolios!B772-AVERAGE(Portfolios!$B$2:$B$1004))</f>
        <v>0</v>
      </c>
    </row>
    <row r="773" spans="1:2">
      <c r="A773" s="11">
        <f>Returns!A773</f>
        <v>0</v>
      </c>
      <c r="B773" s="1">
        <f>ABS(Portfolios!B773-AVERAGE(Portfolios!$B$2:$B$1004))</f>
        <v>0</v>
      </c>
    </row>
    <row r="774" spans="1:2">
      <c r="A774" s="11">
        <f>Returns!A774</f>
        <v>0</v>
      </c>
      <c r="B774" s="1">
        <f>ABS(Portfolios!B774-AVERAGE(Portfolios!$B$2:$B$1004))</f>
        <v>0</v>
      </c>
    </row>
    <row r="775" spans="1:2">
      <c r="A775" s="11">
        <f>Returns!A775</f>
        <v>0</v>
      </c>
      <c r="B775" s="1">
        <f>ABS(Portfolios!B775-AVERAGE(Portfolios!$B$2:$B$1004))</f>
        <v>0</v>
      </c>
    </row>
    <row r="776" spans="1:2">
      <c r="A776" s="11">
        <f>Returns!A776</f>
        <v>0</v>
      </c>
      <c r="B776" s="1">
        <f>ABS(Portfolios!B776-AVERAGE(Portfolios!$B$2:$B$1004))</f>
        <v>0</v>
      </c>
    </row>
    <row r="777" spans="1:2">
      <c r="A777" s="11">
        <f>Returns!A777</f>
        <v>0</v>
      </c>
      <c r="B777" s="1">
        <f>ABS(Portfolios!B777-AVERAGE(Portfolios!$B$2:$B$1004))</f>
        <v>0</v>
      </c>
    </row>
    <row r="778" spans="1:2">
      <c r="A778" s="11">
        <f>Returns!A778</f>
        <v>0</v>
      </c>
      <c r="B778" s="1">
        <f>ABS(Portfolios!B778-AVERAGE(Portfolios!$B$2:$B$1004))</f>
        <v>0</v>
      </c>
    </row>
    <row r="779" spans="1:2">
      <c r="A779" s="11">
        <f>Returns!A779</f>
        <v>0</v>
      </c>
      <c r="B779" s="1">
        <f>ABS(Portfolios!B779-AVERAGE(Portfolios!$B$2:$B$1004))</f>
        <v>0</v>
      </c>
    </row>
    <row r="780" spans="1:2">
      <c r="A780" s="11">
        <f>Returns!A780</f>
        <v>0</v>
      </c>
      <c r="B780" s="1">
        <f>ABS(Portfolios!B780-AVERAGE(Portfolios!$B$2:$B$1004))</f>
        <v>0</v>
      </c>
    </row>
    <row r="781" spans="1:2">
      <c r="A781" s="11">
        <f>Returns!A781</f>
        <v>0</v>
      </c>
      <c r="B781" s="1">
        <f>ABS(Portfolios!B781-AVERAGE(Portfolios!$B$2:$B$1004))</f>
        <v>0</v>
      </c>
    </row>
    <row r="782" spans="1:2">
      <c r="A782" s="11">
        <f>Returns!A782</f>
        <v>0</v>
      </c>
      <c r="B782" s="1">
        <f>ABS(Portfolios!B782-AVERAGE(Portfolios!$B$2:$B$1004))</f>
        <v>0</v>
      </c>
    </row>
    <row r="783" spans="1:2">
      <c r="A783" s="11">
        <f>Returns!A783</f>
        <v>0</v>
      </c>
      <c r="B783" s="1">
        <f>ABS(Portfolios!B783-AVERAGE(Portfolios!$B$2:$B$1004))</f>
        <v>0</v>
      </c>
    </row>
    <row r="784" spans="1:2">
      <c r="A784" s="11">
        <f>Returns!A784</f>
        <v>0</v>
      </c>
      <c r="B784" s="1">
        <f>ABS(Portfolios!B784-AVERAGE(Portfolios!$B$2:$B$1004))</f>
        <v>0</v>
      </c>
    </row>
    <row r="785" spans="1:2">
      <c r="A785" s="11">
        <f>Returns!A785</f>
        <v>0</v>
      </c>
      <c r="B785" s="1">
        <f>ABS(Portfolios!B785-AVERAGE(Portfolios!$B$2:$B$1004))</f>
        <v>0</v>
      </c>
    </row>
    <row r="786" spans="1:2">
      <c r="A786" s="11">
        <f>Returns!A786</f>
        <v>0</v>
      </c>
      <c r="B786" s="1">
        <f>ABS(Portfolios!B786-AVERAGE(Portfolios!$B$2:$B$1004))</f>
        <v>0</v>
      </c>
    </row>
    <row r="787" spans="1:2">
      <c r="A787" s="11">
        <f>Returns!A787</f>
        <v>0</v>
      </c>
      <c r="B787" s="1">
        <f>ABS(Portfolios!B787-AVERAGE(Portfolios!$B$2:$B$1004))</f>
        <v>0</v>
      </c>
    </row>
    <row r="788" spans="1:2">
      <c r="A788" s="11">
        <f>Returns!A788</f>
        <v>0</v>
      </c>
      <c r="B788" s="1">
        <f>ABS(Portfolios!B788-AVERAGE(Portfolios!$B$2:$B$1004))</f>
        <v>0</v>
      </c>
    </row>
    <row r="789" spans="1:2">
      <c r="A789" s="11">
        <f>Returns!A789</f>
        <v>0</v>
      </c>
      <c r="B789" s="1">
        <f>ABS(Portfolios!B789-AVERAGE(Portfolios!$B$2:$B$1004))</f>
        <v>0</v>
      </c>
    </row>
    <row r="790" spans="1:2">
      <c r="A790" s="11">
        <f>Returns!A790</f>
        <v>0</v>
      </c>
      <c r="B790" s="1">
        <f>ABS(Portfolios!B790-AVERAGE(Portfolios!$B$2:$B$1004))</f>
        <v>0</v>
      </c>
    </row>
    <row r="791" spans="1:2">
      <c r="A791" s="11">
        <f>Returns!A791</f>
        <v>0</v>
      </c>
      <c r="B791" s="1">
        <f>ABS(Portfolios!B791-AVERAGE(Portfolios!$B$2:$B$1004))</f>
        <v>0</v>
      </c>
    </row>
    <row r="792" spans="1:2">
      <c r="A792" s="11">
        <f>Returns!A792</f>
        <v>0</v>
      </c>
      <c r="B792" s="1">
        <f>ABS(Portfolios!B792-AVERAGE(Portfolios!$B$2:$B$1004))</f>
        <v>0</v>
      </c>
    </row>
    <row r="793" spans="1:2">
      <c r="A793" s="11">
        <f>Returns!A793</f>
        <v>0</v>
      </c>
      <c r="B793" s="1">
        <f>ABS(Portfolios!B793-AVERAGE(Portfolios!$B$2:$B$1004))</f>
        <v>0</v>
      </c>
    </row>
    <row r="794" spans="1:2">
      <c r="A794" s="11">
        <f>Returns!A794</f>
        <v>0</v>
      </c>
      <c r="B794" s="1">
        <f>ABS(Portfolios!B794-AVERAGE(Portfolios!$B$2:$B$1004))</f>
        <v>0</v>
      </c>
    </row>
    <row r="795" spans="1:2">
      <c r="A795" s="11">
        <f>Returns!A795</f>
        <v>0</v>
      </c>
      <c r="B795" s="1">
        <f>ABS(Portfolios!B795-AVERAGE(Portfolios!$B$2:$B$1004))</f>
        <v>0</v>
      </c>
    </row>
    <row r="796" spans="1:2">
      <c r="A796" s="11">
        <f>Returns!A796</f>
        <v>0</v>
      </c>
      <c r="B796" s="1">
        <f>ABS(Portfolios!B796-AVERAGE(Portfolios!$B$2:$B$1004))</f>
        <v>0</v>
      </c>
    </row>
    <row r="797" spans="1:2">
      <c r="A797" s="11">
        <f>Returns!A797</f>
        <v>0</v>
      </c>
      <c r="B797" s="1">
        <f>ABS(Portfolios!B797-AVERAGE(Portfolios!$B$2:$B$1004))</f>
        <v>0</v>
      </c>
    </row>
    <row r="798" spans="1:2">
      <c r="A798" s="11">
        <f>Returns!A798</f>
        <v>0</v>
      </c>
      <c r="B798" s="1">
        <f>ABS(Portfolios!B798-AVERAGE(Portfolios!$B$2:$B$1004))</f>
        <v>0</v>
      </c>
    </row>
    <row r="799" spans="1:2">
      <c r="A799" s="11">
        <f>Returns!A799</f>
        <v>0</v>
      </c>
      <c r="B799" s="1">
        <f>ABS(Portfolios!B799-AVERAGE(Portfolios!$B$2:$B$1004))</f>
        <v>0</v>
      </c>
    </row>
    <row r="800" spans="1:2">
      <c r="A800" s="11">
        <f>Returns!A800</f>
        <v>0</v>
      </c>
      <c r="B800" s="1">
        <f>ABS(Portfolios!B800-AVERAGE(Portfolios!$B$2:$B$1004))</f>
        <v>0</v>
      </c>
    </row>
    <row r="801" spans="1:2">
      <c r="A801" s="11">
        <f>Returns!A801</f>
        <v>0</v>
      </c>
      <c r="B801" s="1">
        <f>ABS(Portfolios!B801-AVERAGE(Portfolios!$B$2:$B$1004))</f>
        <v>0</v>
      </c>
    </row>
    <row r="802" spans="1:2">
      <c r="A802" s="11">
        <f>Returns!A802</f>
        <v>0</v>
      </c>
      <c r="B802" s="1">
        <f>ABS(Portfolios!B802-AVERAGE(Portfolios!$B$2:$B$1004))</f>
        <v>0</v>
      </c>
    </row>
    <row r="803" spans="1:2">
      <c r="A803" s="11">
        <f>Returns!A803</f>
        <v>0</v>
      </c>
      <c r="B803" s="1">
        <f>ABS(Portfolios!B803-AVERAGE(Portfolios!$B$2:$B$1004))</f>
        <v>0</v>
      </c>
    </row>
    <row r="804" spans="1:2">
      <c r="A804" s="11">
        <f>Returns!A804</f>
        <v>0</v>
      </c>
      <c r="B804" s="1">
        <f>ABS(Portfolios!B804-AVERAGE(Portfolios!$B$2:$B$1004))</f>
        <v>0</v>
      </c>
    </row>
    <row r="805" spans="1:2">
      <c r="A805" s="11">
        <f>Returns!A805</f>
        <v>0</v>
      </c>
      <c r="B805" s="1">
        <f>ABS(Portfolios!B805-AVERAGE(Portfolios!$B$2:$B$1004))</f>
        <v>0</v>
      </c>
    </row>
    <row r="806" spans="1:2">
      <c r="A806" s="11">
        <f>Returns!A806</f>
        <v>0</v>
      </c>
      <c r="B806" s="1">
        <f>ABS(Portfolios!B806-AVERAGE(Portfolios!$B$2:$B$1004))</f>
        <v>0</v>
      </c>
    </row>
    <row r="807" spans="1:2">
      <c r="A807" s="11">
        <f>Returns!A807</f>
        <v>0</v>
      </c>
      <c r="B807" s="1">
        <f>ABS(Portfolios!B807-AVERAGE(Portfolios!$B$2:$B$1004))</f>
        <v>0</v>
      </c>
    </row>
    <row r="808" spans="1:2">
      <c r="A808" s="11">
        <f>Returns!A808</f>
        <v>0</v>
      </c>
      <c r="B808" s="1">
        <f>ABS(Portfolios!B808-AVERAGE(Portfolios!$B$2:$B$1004))</f>
        <v>0</v>
      </c>
    </row>
    <row r="809" spans="1:2">
      <c r="A809" s="11">
        <f>Returns!A809</f>
        <v>0</v>
      </c>
      <c r="B809" s="1">
        <f>ABS(Portfolios!B809-AVERAGE(Portfolios!$B$2:$B$1004))</f>
        <v>0</v>
      </c>
    </row>
    <row r="810" spans="1:2">
      <c r="A810" s="11">
        <f>Returns!A810</f>
        <v>0</v>
      </c>
      <c r="B810" s="1">
        <f>ABS(Portfolios!B810-AVERAGE(Portfolios!$B$2:$B$1004))</f>
        <v>0</v>
      </c>
    </row>
    <row r="811" spans="1:2">
      <c r="A811" s="11">
        <f>Returns!A811</f>
        <v>0</v>
      </c>
      <c r="B811" s="1">
        <f>ABS(Portfolios!B811-AVERAGE(Portfolios!$B$2:$B$1004))</f>
        <v>0</v>
      </c>
    </row>
    <row r="812" spans="1:2">
      <c r="A812" s="11">
        <f>Returns!A812</f>
        <v>0</v>
      </c>
      <c r="B812" s="1">
        <f>ABS(Portfolios!B812-AVERAGE(Portfolios!$B$2:$B$1004))</f>
        <v>0</v>
      </c>
    </row>
    <row r="813" spans="1:2">
      <c r="A813" s="11">
        <f>Returns!A813</f>
        <v>0</v>
      </c>
      <c r="B813" s="1">
        <f>ABS(Portfolios!B813-AVERAGE(Portfolios!$B$2:$B$1004))</f>
        <v>0</v>
      </c>
    </row>
    <row r="814" spans="1:2">
      <c r="A814" s="11">
        <f>Returns!A814</f>
        <v>0</v>
      </c>
      <c r="B814" s="1">
        <f>ABS(Portfolios!B814-AVERAGE(Portfolios!$B$2:$B$1004))</f>
        <v>0</v>
      </c>
    </row>
    <row r="815" spans="1:2">
      <c r="A815" s="11">
        <f>Returns!A815</f>
        <v>0</v>
      </c>
      <c r="B815" s="1">
        <f>ABS(Portfolios!B815-AVERAGE(Portfolios!$B$2:$B$1004))</f>
        <v>0</v>
      </c>
    </row>
    <row r="816" spans="1:2">
      <c r="A816" s="11">
        <f>Returns!A816</f>
        <v>0</v>
      </c>
      <c r="B816" s="1">
        <f>ABS(Portfolios!B816-AVERAGE(Portfolios!$B$2:$B$1004))</f>
        <v>0</v>
      </c>
    </row>
    <row r="817" spans="1:2">
      <c r="A817" s="11">
        <f>Returns!A817</f>
        <v>0</v>
      </c>
      <c r="B817" s="1">
        <f>ABS(Portfolios!B817-AVERAGE(Portfolios!$B$2:$B$1004))</f>
        <v>0</v>
      </c>
    </row>
    <row r="818" spans="1:2">
      <c r="A818" s="11">
        <f>Returns!A818</f>
        <v>0</v>
      </c>
      <c r="B818" s="1">
        <f>ABS(Portfolios!B818-AVERAGE(Portfolios!$B$2:$B$1004))</f>
        <v>0</v>
      </c>
    </row>
    <row r="819" spans="1:2">
      <c r="A819" s="11">
        <f>Returns!A819</f>
        <v>0</v>
      </c>
      <c r="B819" s="1">
        <f>ABS(Portfolios!B819-AVERAGE(Portfolios!$B$2:$B$1004))</f>
        <v>0</v>
      </c>
    </row>
    <row r="820" spans="1:2">
      <c r="A820" s="11">
        <f>Returns!A820</f>
        <v>0</v>
      </c>
      <c r="B820" s="1">
        <f>ABS(Portfolios!B820-AVERAGE(Portfolios!$B$2:$B$1004))</f>
        <v>0</v>
      </c>
    </row>
    <row r="821" spans="1:2">
      <c r="A821" s="11">
        <f>Returns!A821</f>
        <v>0</v>
      </c>
      <c r="B821" s="1">
        <f>ABS(Portfolios!B821-AVERAGE(Portfolios!$B$2:$B$1004))</f>
        <v>0</v>
      </c>
    </row>
    <row r="822" spans="1:2">
      <c r="A822" s="11">
        <f>Returns!A822</f>
        <v>0</v>
      </c>
      <c r="B822" s="1">
        <f>ABS(Portfolios!B822-AVERAGE(Portfolios!$B$2:$B$1004))</f>
        <v>0</v>
      </c>
    </row>
    <row r="823" spans="1:2">
      <c r="A823" s="11">
        <f>Returns!A823</f>
        <v>0</v>
      </c>
      <c r="B823" s="1">
        <f>ABS(Portfolios!B823-AVERAGE(Portfolios!$B$2:$B$1004))</f>
        <v>0</v>
      </c>
    </row>
    <row r="824" spans="1:2">
      <c r="A824" s="11">
        <f>Returns!A824</f>
        <v>0</v>
      </c>
      <c r="B824" s="1">
        <f>ABS(Portfolios!B824-AVERAGE(Portfolios!$B$2:$B$1004))</f>
        <v>0</v>
      </c>
    </row>
    <row r="825" spans="1:2">
      <c r="A825" s="11">
        <f>Returns!A825</f>
        <v>0</v>
      </c>
      <c r="B825" s="1">
        <f>ABS(Portfolios!B825-AVERAGE(Portfolios!$B$2:$B$1004))</f>
        <v>0</v>
      </c>
    </row>
    <row r="826" spans="1:2">
      <c r="A826" s="11">
        <f>Returns!A826</f>
        <v>0</v>
      </c>
      <c r="B826" s="1">
        <f>ABS(Portfolios!B826-AVERAGE(Portfolios!$B$2:$B$1004))</f>
        <v>0</v>
      </c>
    </row>
    <row r="827" spans="1:2">
      <c r="A827" s="11">
        <f>Returns!A827</f>
        <v>0</v>
      </c>
      <c r="B827" s="1">
        <f>ABS(Portfolios!B827-AVERAGE(Portfolios!$B$2:$B$1004))</f>
        <v>0</v>
      </c>
    </row>
    <row r="828" spans="1:2">
      <c r="A828" s="11">
        <f>Returns!A828</f>
        <v>0</v>
      </c>
      <c r="B828" s="1">
        <f>ABS(Portfolios!B828-AVERAGE(Portfolios!$B$2:$B$1004))</f>
        <v>0</v>
      </c>
    </row>
    <row r="829" spans="1:2">
      <c r="A829" s="11">
        <f>Returns!A829</f>
        <v>0</v>
      </c>
      <c r="B829" s="1">
        <f>ABS(Portfolios!B829-AVERAGE(Portfolios!$B$2:$B$1004))</f>
        <v>0</v>
      </c>
    </row>
    <row r="830" spans="1:2">
      <c r="A830" s="11">
        <f>Returns!A830</f>
        <v>0</v>
      </c>
      <c r="B830" s="1">
        <f>ABS(Portfolios!B830-AVERAGE(Portfolios!$B$2:$B$1004))</f>
        <v>0</v>
      </c>
    </row>
    <row r="831" spans="1:2">
      <c r="A831" s="11">
        <f>Returns!A831</f>
        <v>0</v>
      </c>
      <c r="B831" s="1">
        <f>ABS(Portfolios!B831-AVERAGE(Portfolios!$B$2:$B$1004))</f>
        <v>0</v>
      </c>
    </row>
    <row r="832" spans="1:2">
      <c r="A832" s="11">
        <f>Returns!A832</f>
        <v>0</v>
      </c>
      <c r="B832" s="1">
        <f>ABS(Portfolios!B832-AVERAGE(Portfolios!$B$2:$B$1004))</f>
        <v>0</v>
      </c>
    </row>
    <row r="833" spans="1:2">
      <c r="A833" s="11">
        <f>Returns!A833</f>
        <v>0</v>
      </c>
      <c r="B833" s="1">
        <f>ABS(Portfolios!B833-AVERAGE(Portfolios!$B$2:$B$1004))</f>
        <v>0</v>
      </c>
    </row>
    <row r="834" spans="1:2">
      <c r="A834" s="11">
        <f>Returns!A834</f>
        <v>0</v>
      </c>
      <c r="B834" s="1">
        <f>ABS(Portfolios!B834-AVERAGE(Portfolios!$B$2:$B$1004))</f>
        <v>0</v>
      </c>
    </row>
    <row r="835" spans="1:2">
      <c r="A835" s="11">
        <f>Returns!A835</f>
        <v>0</v>
      </c>
      <c r="B835" s="1">
        <f>ABS(Portfolios!B835-AVERAGE(Portfolios!$B$2:$B$1004))</f>
        <v>0</v>
      </c>
    </row>
    <row r="836" spans="1:2">
      <c r="A836" s="11">
        <f>Returns!A836</f>
        <v>0</v>
      </c>
      <c r="B836" s="1">
        <f>ABS(Portfolios!B836-AVERAGE(Portfolios!$B$2:$B$1004))</f>
        <v>0</v>
      </c>
    </row>
    <row r="837" spans="1:2">
      <c r="A837" s="11">
        <f>Returns!A837</f>
        <v>0</v>
      </c>
      <c r="B837" s="1">
        <f>ABS(Portfolios!B837-AVERAGE(Portfolios!$B$2:$B$1004))</f>
        <v>0</v>
      </c>
    </row>
    <row r="838" spans="1:2">
      <c r="A838" s="11">
        <f>Returns!A838</f>
        <v>0</v>
      </c>
      <c r="B838" s="1">
        <f>ABS(Portfolios!B838-AVERAGE(Portfolios!$B$2:$B$1004))</f>
        <v>0</v>
      </c>
    </row>
    <row r="839" spans="1:2">
      <c r="A839" s="11">
        <f>Returns!A839</f>
        <v>0</v>
      </c>
      <c r="B839" s="1">
        <f>ABS(Portfolios!B839-AVERAGE(Portfolios!$B$2:$B$1004))</f>
        <v>0</v>
      </c>
    </row>
    <row r="840" spans="1:2">
      <c r="A840" s="11">
        <f>Returns!A840</f>
        <v>0</v>
      </c>
      <c r="B840" s="1">
        <f>ABS(Portfolios!B840-AVERAGE(Portfolios!$B$2:$B$1004))</f>
        <v>0</v>
      </c>
    </row>
    <row r="841" spans="1:2">
      <c r="A841" s="11">
        <f>Returns!A841</f>
        <v>0</v>
      </c>
      <c r="B841" s="1">
        <f>ABS(Portfolios!B841-AVERAGE(Portfolios!$B$2:$B$1004))</f>
        <v>0</v>
      </c>
    </row>
    <row r="842" spans="1:2">
      <c r="A842" s="11">
        <f>Returns!A842</f>
        <v>0</v>
      </c>
      <c r="B842" s="1">
        <f>ABS(Portfolios!B842-AVERAGE(Portfolios!$B$2:$B$1004))</f>
        <v>0</v>
      </c>
    </row>
    <row r="843" spans="1:2">
      <c r="A843" s="11">
        <f>Returns!A843</f>
        <v>0</v>
      </c>
      <c r="B843" s="1">
        <f>ABS(Portfolios!B843-AVERAGE(Portfolios!$B$2:$B$1004))</f>
        <v>0</v>
      </c>
    </row>
    <row r="844" spans="1:2">
      <c r="A844" s="11">
        <f>Returns!A844</f>
        <v>0</v>
      </c>
      <c r="B844" s="1">
        <f>ABS(Portfolios!B844-AVERAGE(Portfolios!$B$2:$B$1004))</f>
        <v>0</v>
      </c>
    </row>
    <row r="845" spans="1:2">
      <c r="A845" s="11">
        <f>Returns!A845</f>
        <v>0</v>
      </c>
      <c r="B845" s="1">
        <f>ABS(Portfolios!B845-AVERAGE(Portfolios!$B$2:$B$1004))</f>
        <v>0</v>
      </c>
    </row>
    <row r="846" spans="1:2">
      <c r="A846" s="11">
        <f>Returns!A846</f>
        <v>0</v>
      </c>
      <c r="B846" s="1">
        <f>ABS(Portfolios!B846-AVERAGE(Portfolios!$B$2:$B$1004))</f>
        <v>0</v>
      </c>
    </row>
    <row r="847" spans="1:2">
      <c r="A847" s="11">
        <f>Returns!A847</f>
        <v>0</v>
      </c>
      <c r="B847" s="1">
        <f>ABS(Portfolios!B847-AVERAGE(Portfolios!$B$2:$B$1004))</f>
        <v>0</v>
      </c>
    </row>
    <row r="848" spans="1:2">
      <c r="A848" s="11">
        <f>Returns!A848</f>
        <v>0</v>
      </c>
      <c r="B848" s="1">
        <f>ABS(Portfolios!B848-AVERAGE(Portfolios!$B$2:$B$1004))</f>
        <v>0</v>
      </c>
    </row>
    <row r="849" spans="1:2">
      <c r="A849" s="11">
        <f>Returns!A849</f>
        <v>0</v>
      </c>
      <c r="B849" s="1">
        <f>ABS(Portfolios!B849-AVERAGE(Portfolios!$B$2:$B$1004))</f>
        <v>0</v>
      </c>
    </row>
    <row r="850" spans="1:2">
      <c r="A850" s="11">
        <f>Returns!A850</f>
        <v>0</v>
      </c>
      <c r="B850" s="1">
        <f>ABS(Portfolios!B850-AVERAGE(Portfolios!$B$2:$B$1004))</f>
        <v>0</v>
      </c>
    </row>
    <row r="851" spans="1:2">
      <c r="A851" s="11">
        <f>Returns!A851</f>
        <v>0</v>
      </c>
      <c r="B851" s="1">
        <f>ABS(Portfolios!B851-AVERAGE(Portfolios!$B$2:$B$1004))</f>
        <v>0</v>
      </c>
    </row>
    <row r="852" spans="1:2">
      <c r="A852" s="11">
        <f>Returns!A852</f>
        <v>0</v>
      </c>
      <c r="B852" s="1">
        <f>ABS(Portfolios!B852-AVERAGE(Portfolios!$B$2:$B$1004))</f>
        <v>0</v>
      </c>
    </row>
    <row r="853" spans="1:2">
      <c r="A853" s="11">
        <f>Returns!A853</f>
        <v>0</v>
      </c>
      <c r="B853" s="1">
        <f>ABS(Portfolios!B853-AVERAGE(Portfolios!$B$2:$B$1004))</f>
        <v>0</v>
      </c>
    </row>
    <row r="854" spans="1:2">
      <c r="A854" s="11">
        <f>Returns!A854</f>
        <v>0</v>
      </c>
      <c r="B854" s="1">
        <f>ABS(Portfolios!B854-AVERAGE(Portfolios!$B$2:$B$1004))</f>
        <v>0</v>
      </c>
    </row>
    <row r="855" spans="1:2">
      <c r="A855" s="11">
        <f>Returns!A855</f>
        <v>0</v>
      </c>
      <c r="B855" s="1">
        <f>ABS(Portfolios!B855-AVERAGE(Portfolios!$B$2:$B$1004))</f>
        <v>0</v>
      </c>
    </row>
    <row r="856" spans="1:2">
      <c r="A856" s="11">
        <f>Returns!A856</f>
        <v>0</v>
      </c>
      <c r="B856" s="1">
        <f>ABS(Portfolios!B856-AVERAGE(Portfolios!$B$2:$B$1004))</f>
        <v>0</v>
      </c>
    </row>
    <row r="857" spans="1:2">
      <c r="A857" s="11">
        <f>Returns!A857</f>
        <v>0</v>
      </c>
      <c r="B857" s="1">
        <f>ABS(Portfolios!B857-AVERAGE(Portfolios!$B$2:$B$1004))</f>
        <v>0</v>
      </c>
    </row>
    <row r="858" spans="1:2">
      <c r="A858" s="11">
        <f>Returns!A858</f>
        <v>0</v>
      </c>
      <c r="B858" s="1">
        <f>ABS(Portfolios!B858-AVERAGE(Portfolios!$B$2:$B$1004))</f>
        <v>0</v>
      </c>
    </row>
    <row r="859" spans="1:2">
      <c r="A859" s="11">
        <f>Returns!A859</f>
        <v>0</v>
      </c>
      <c r="B859" s="1">
        <f>ABS(Portfolios!B859-AVERAGE(Portfolios!$B$2:$B$1004))</f>
        <v>0</v>
      </c>
    </row>
    <row r="860" spans="1:2">
      <c r="A860" s="11">
        <f>Returns!A860</f>
        <v>0</v>
      </c>
      <c r="B860" s="1">
        <f>ABS(Portfolios!B860-AVERAGE(Portfolios!$B$2:$B$1004))</f>
        <v>0</v>
      </c>
    </row>
    <row r="861" spans="1:2">
      <c r="A861" s="11">
        <f>Returns!A861</f>
        <v>0</v>
      </c>
      <c r="B861" s="1">
        <f>ABS(Portfolios!B861-AVERAGE(Portfolios!$B$2:$B$1004))</f>
        <v>0</v>
      </c>
    </row>
    <row r="862" spans="1:2">
      <c r="A862" s="11">
        <f>Returns!A862</f>
        <v>0</v>
      </c>
      <c r="B862" s="1">
        <f>ABS(Portfolios!B862-AVERAGE(Portfolios!$B$2:$B$1004))</f>
        <v>0</v>
      </c>
    </row>
    <row r="863" spans="1:2">
      <c r="A863" s="11">
        <f>Returns!A863</f>
        <v>0</v>
      </c>
      <c r="B863" s="1">
        <f>ABS(Portfolios!B863-AVERAGE(Portfolios!$B$2:$B$1004))</f>
        <v>0</v>
      </c>
    </row>
    <row r="864" spans="1:2">
      <c r="A864" s="11">
        <f>Returns!A864</f>
        <v>0</v>
      </c>
      <c r="B864" s="1">
        <f>ABS(Portfolios!B864-AVERAGE(Portfolios!$B$2:$B$1004))</f>
        <v>0</v>
      </c>
    </row>
    <row r="865" spans="1:2">
      <c r="A865" s="11">
        <f>Returns!A865</f>
        <v>0</v>
      </c>
      <c r="B865" s="1">
        <f>ABS(Portfolios!B865-AVERAGE(Portfolios!$B$2:$B$1004))</f>
        <v>0</v>
      </c>
    </row>
    <row r="866" spans="1:2">
      <c r="A866" s="11">
        <f>Returns!A866</f>
        <v>0</v>
      </c>
      <c r="B866" s="1">
        <f>ABS(Portfolios!B866-AVERAGE(Portfolios!$B$2:$B$1004))</f>
        <v>0</v>
      </c>
    </row>
    <row r="867" spans="1:2">
      <c r="A867" s="11">
        <f>Returns!A867</f>
        <v>0</v>
      </c>
      <c r="B867" s="1">
        <f>ABS(Portfolios!B867-AVERAGE(Portfolios!$B$2:$B$1004))</f>
        <v>0</v>
      </c>
    </row>
    <row r="868" spans="1:2">
      <c r="A868" s="11">
        <f>Returns!A868</f>
        <v>0</v>
      </c>
      <c r="B868" s="1">
        <f>ABS(Portfolios!B868-AVERAGE(Portfolios!$B$2:$B$1004))</f>
        <v>0</v>
      </c>
    </row>
    <row r="869" spans="1:2">
      <c r="A869" s="11">
        <f>Returns!A869</f>
        <v>0</v>
      </c>
      <c r="B869" s="1">
        <f>ABS(Portfolios!B869-AVERAGE(Portfolios!$B$2:$B$1004))</f>
        <v>0</v>
      </c>
    </row>
    <row r="870" spans="1:2">
      <c r="A870" s="11">
        <f>Returns!A870</f>
        <v>0</v>
      </c>
      <c r="B870" s="1">
        <f>ABS(Portfolios!B870-AVERAGE(Portfolios!$B$2:$B$1004))</f>
        <v>0</v>
      </c>
    </row>
    <row r="871" spans="1:2">
      <c r="A871" s="11">
        <f>Returns!A871</f>
        <v>0</v>
      </c>
      <c r="B871" s="1">
        <f>ABS(Portfolios!B871-AVERAGE(Portfolios!$B$2:$B$1004))</f>
        <v>0</v>
      </c>
    </row>
    <row r="872" spans="1:2">
      <c r="A872" s="11">
        <f>Returns!A872</f>
        <v>0</v>
      </c>
      <c r="B872" s="1">
        <f>ABS(Portfolios!B872-AVERAGE(Portfolios!$B$2:$B$1004))</f>
        <v>0</v>
      </c>
    </row>
    <row r="873" spans="1:2">
      <c r="A873" s="11">
        <f>Returns!A873</f>
        <v>0</v>
      </c>
      <c r="B873" s="1">
        <f>ABS(Portfolios!B873-AVERAGE(Portfolios!$B$2:$B$1004))</f>
        <v>0</v>
      </c>
    </row>
    <row r="874" spans="1:2">
      <c r="A874" s="11">
        <f>Returns!A874</f>
        <v>0</v>
      </c>
      <c r="B874" s="1">
        <f>ABS(Portfolios!B874-AVERAGE(Portfolios!$B$2:$B$1004))</f>
        <v>0</v>
      </c>
    </row>
    <row r="875" spans="1:2">
      <c r="A875" s="11">
        <f>Returns!A875</f>
        <v>0</v>
      </c>
      <c r="B875" s="1">
        <f>ABS(Portfolios!B875-AVERAGE(Portfolios!$B$2:$B$1004))</f>
        <v>0</v>
      </c>
    </row>
    <row r="876" spans="1:2">
      <c r="A876" s="11">
        <f>Returns!A876</f>
        <v>0</v>
      </c>
      <c r="B876" s="1">
        <f>ABS(Portfolios!B876-AVERAGE(Portfolios!$B$2:$B$1004))</f>
        <v>0</v>
      </c>
    </row>
    <row r="877" spans="1:2">
      <c r="A877" s="11">
        <f>Returns!A877</f>
        <v>0</v>
      </c>
      <c r="B877" s="1">
        <f>ABS(Portfolios!B877-AVERAGE(Portfolios!$B$2:$B$1004))</f>
        <v>0</v>
      </c>
    </row>
    <row r="878" spans="1:2">
      <c r="A878" s="11">
        <f>Returns!A878</f>
        <v>0</v>
      </c>
      <c r="B878" s="1">
        <f>ABS(Portfolios!B878-AVERAGE(Portfolios!$B$2:$B$1004))</f>
        <v>0</v>
      </c>
    </row>
    <row r="879" spans="1:2">
      <c r="A879" s="11">
        <f>Returns!A879</f>
        <v>0</v>
      </c>
      <c r="B879" s="1">
        <f>ABS(Portfolios!B879-AVERAGE(Portfolios!$B$2:$B$1004))</f>
        <v>0</v>
      </c>
    </row>
    <row r="880" spans="1:2">
      <c r="A880" s="11">
        <f>Returns!A880</f>
        <v>0</v>
      </c>
      <c r="B880" s="1">
        <f>ABS(Portfolios!B880-AVERAGE(Portfolios!$B$2:$B$1004))</f>
        <v>0</v>
      </c>
    </row>
    <row r="881" spans="1:2">
      <c r="A881" s="11">
        <f>Returns!A881</f>
        <v>0</v>
      </c>
      <c r="B881" s="1">
        <f>ABS(Portfolios!B881-AVERAGE(Portfolios!$B$2:$B$1004))</f>
        <v>0</v>
      </c>
    </row>
    <row r="882" spans="1:2">
      <c r="A882" s="11">
        <f>Returns!A882</f>
        <v>0</v>
      </c>
      <c r="B882" s="1">
        <f>ABS(Portfolios!B882-AVERAGE(Portfolios!$B$2:$B$1004))</f>
        <v>0</v>
      </c>
    </row>
    <row r="883" spans="1:2">
      <c r="A883" s="11">
        <f>Returns!A883</f>
        <v>0</v>
      </c>
      <c r="B883" s="1">
        <f>ABS(Portfolios!B883-AVERAGE(Portfolios!$B$2:$B$1004))</f>
        <v>0</v>
      </c>
    </row>
    <row r="884" spans="1:2">
      <c r="A884" s="11">
        <f>Returns!A884</f>
        <v>0</v>
      </c>
      <c r="B884" s="1">
        <f>ABS(Portfolios!B884-AVERAGE(Portfolios!$B$2:$B$1004))</f>
        <v>0</v>
      </c>
    </row>
    <row r="885" spans="1:2">
      <c r="A885" s="11">
        <f>Returns!A885</f>
        <v>0</v>
      </c>
      <c r="B885" s="1">
        <f>ABS(Portfolios!B885-AVERAGE(Portfolios!$B$2:$B$1004))</f>
        <v>0</v>
      </c>
    </row>
    <row r="886" spans="1:2">
      <c r="A886" s="11">
        <f>Returns!A886</f>
        <v>0</v>
      </c>
      <c r="B886" s="1">
        <f>ABS(Portfolios!B886-AVERAGE(Portfolios!$B$2:$B$1004))</f>
        <v>0</v>
      </c>
    </row>
    <row r="887" spans="1:2">
      <c r="A887" s="11">
        <f>Returns!A887</f>
        <v>0</v>
      </c>
      <c r="B887" s="1">
        <f>ABS(Portfolios!B887-AVERAGE(Portfolios!$B$2:$B$1004))</f>
        <v>0</v>
      </c>
    </row>
    <row r="888" spans="1:2">
      <c r="A888" s="11">
        <f>Returns!A888</f>
        <v>0</v>
      </c>
      <c r="B888" s="1">
        <f>ABS(Portfolios!B888-AVERAGE(Portfolios!$B$2:$B$1004))</f>
        <v>0</v>
      </c>
    </row>
    <row r="889" spans="1:2">
      <c r="A889" s="11">
        <f>Returns!A889</f>
        <v>0</v>
      </c>
      <c r="B889" s="1">
        <f>ABS(Portfolios!B889-AVERAGE(Portfolios!$B$2:$B$1004))</f>
        <v>0</v>
      </c>
    </row>
    <row r="890" spans="1:2">
      <c r="A890" s="11">
        <f>Returns!A890</f>
        <v>0</v>
      </c>
      <c r="B890" s="1">
        <f>ABS(Portfolios!B890-AVERAGE(Portfolios!$B$2:$B$1004))</f>
        <v>0</v>
      </c>
    </row>
    <row r="891" spans="1:2">
      <c r="A891" s="11">
        <f>Returns!A891</f>
        <v>0</v>
      </c>
      <c r="B891" s="1">
        <f>ABS(Portfolios!B891-AVERAGE(Portfolios!$B$2:$B$1004))</f>
        <v>0</v>
      </c>
    </row>
    <row r="892" spans="1:2">
      <c r="A892" s="11">
        <f>Returns!A892</f>
        <v>0</v>
      </c>
      <c r="B892" s="1">
        <f>ABS(Portfolios!B892-AVERAGE(Portfolios!$B$2:$B$1004))</f>
        <v>0</v>
      </c>
    </row>
    <row r="893" spans="1:2">
      <c r="A893" s="11">
        <f>Returns!A893</f>
        <v>0</v>
      </c>
      <c r="B893" s="1">
        <f>ABS(Portfolios!B893-AVERAGE(Portfolios!$B$2:$B$1004))</f>
        <v>0</v>
      </c>
    </row>
    <row r="894" spans="1:2">
      <c r="A894" s="11">
        <f>Returns!A894</f>
        <v>0</v>
      </c>
      <c r="B894" s="1">
        <f>ABS(Portfolios!B894-AVERAGE(Portfolios!$B$2:$B$1004))</f>
        <v>0</v>
      </c>
    </row>
    <row r="895" spans="1:2">
      <c r="A895" s="11">
        <f>Returns!A895</f>
        <v>0</v>
      </c>
      <c r="B895" s="1">
        <f>ABS(Portfolios!B895-AVERAGE(Portfolios!$B$2:$B$1004))</f>
        <v>0</v>
      </c>
    </row>
    <row r="896" spans="1:2">
      <c r="A896" s="11">
        <f>Returns!A896</f>
        <v>0</v>
      </c>
      <c r="B896" s="1">
        <f>ABS(Portfolios!B896-AVERAGE(Portfolios!$B$2:$B$1004))</f>
        <v>0</v>
      </c>
    </row>
    <row r="897" spans="1:2">
      <c r="A897" s="11">
        <f>Returns!A897</f>
        <v>0</v>
      </c>
      <c r="B897" s="1">
        <f>ABS(Portfolios!B897-AVERAGE(Portfolios!$B$2:$B$1004))</f>
        <v>0</v>
      </c>
    </row>
    <row r="898" spans="1:2">
      <c r="A898" s="11">
        <f>Returns!A898</f>
        <v>0</v>
      </c>
      <c r="B898" s="1">
        <f>ABS(Portfolios!B898-AVERAGE(Portfolios!$B$2:$B$1004))</f>
        <v>0</v>
      </c>
    </row>
    <row r="899" spans="1:2">
      <c r="A899" s="11">
        <f>Returns!A899</f>
        <v>0</v>
      </c>
      <c r="B899" s="1">
        <f>ABS(Portfolios!B899-AVERAGE(Portfolios!$B$2:$B$1004))</f>
        <v>0</v>
      </c>
    </row>
    <row r="900" spans="1:2">
      <c r="A900" s="11">
        <f>Returns!A900</f>
        <v>0</v>
      </c>
      <c r="B900" s="1">
        <f>ABS(Portfolios!B900-AVERAGE(Portfolios!$B$2:$B$1004))</f>
        <v>0</v>
      </c>
    </row>
    <row r="901" spans="1:2">
      <c r="A901" s="11">
        <f>Returns!A901</f>
        <v>0</v>
      </c>
      <c r="B901" s="1">
        <f>ABS(Portfolios!B901-AVERAGE(Portfolios!$B$2:$B$1004))</f>
        <v>0</v>
      </c>
    </row>
    <row r="902" spans="1:2">
      <c r="A902" s="11">
        <f>Returns!A902</f>
        <v>0</v>
      </c>
      <c r="B902" s="1">
        <f>ABS(Portfolios!B902-AVERAGE(Portfolios!$B$2:$B$1004))</f>
        <v>0</v>
      </c>
    </row>
    <row r="903" spans="1:2">
      <c r="A903" s="11">
        <f>Returns!A903</f>
        <v>0</v>
      </c>
      <c r="B903" s="1">
        <f>ABS(Portfolios!B903-AVERAGE(Portfolios!$B$2:$B$1004))</f>
        <v>0</v>
      </c>
    </row>
    <row r="904" spans="1:2">
      <c r="A904" s="11">
        <f>Returns!A904</f>
        <v>0</v>
      </c>
      <c r="B904" s="1">
        <f>ABS(Portfolios!B904-AVERAGE(Portfolios!$B$2:$B$1004))</f>
        <v>0</v>
      </c>
    </row>
    <row r="905" spans="1:2">
      <c r="A905" s="11">
        <f>Returns!A905</f>
        <v>0</v>
      </c>
      <c r="B905" s="1">
        <f>ABS(Portfolios!B905-AVERAGE(Portfolios!$B$2:$B$1004))</f>
        <v>0</v>
      </c>
    </row>
    <row r="906" spans="1:2">
      <c r="A906" s="11">
        <f>Returns!A906</f>
        <v>0</v>
      </c>
      <c r="B906" s="1">
        <f>ABS(Portfolios!B906-AVERAGE(Portfolios!$B$2:$B$1004))</f>
        <v>0</v>
      </c>
    </row>
    <row r="907" spans="1:2">
      <c r="A907" s="11">
        <f>Returns!A907</f>
        <v>0</v>
      </c>
      <c r="B907" s="1">
        <f>ABS(Portfolios!B907-AVERAGE(Portfolios!$B$2:$B$1004))</f>
        <v>0</v>
      </c>
    </row>
    <row r="908" spans="1:2">
      <c r="A908" s="11">
        <f>Returns!A908</f>
        <v>0</v>
      </c>
      <c r="B908" s="1">
        <f>ABS(Portfolios!B908-AVERAGE(Portfolios!$B$2:$B$1004))</f>
        <v>0</v>
      </c>
    </row>
    <row r="909" spans="1:2">
      <c r="A909" s="11">
        <f>Returns!A909</f>
        <v>0</v>
      </c>
      <c r="B909" s="1">
        <f>ABS(Portfolios!B909-AVERAGE(Portfolios!$B$2:$B$1004))</f>
        <v>0</v>
      </c>
    </row>
    <row r="910" spans="1:2">
      <c r="A910" s="11">
        <f>Returns!A910</f>
        <v>0</v>
      </c>
      <c r="B910" s="1">
        <f>ABS(Portfolios!B910-AVERAGE(Portfolios!$B$2:$B$1004))</f>
        <v>0</v>
      </c>
    </row>
    <row r="911" spans="1:2">
      <c r="A911" s="11">
        <f>Returns!A911</f>
        <v>0</v>
      </c>
      <c r="B911" s="1">
        <f>ABS(Portfolios!B911-AVERAGE(Portfolios!$B$2:$B$1004))</f>
        <v>0</v>
      </c>
    </row>
    <row r="912" spans="1:2">
      <c r="A912" s="11">
        <f>Returns!A912</f>
        <v>0</v>
      </c>
      <c r="B912" s="1">
        <f>ABS(Portfolios!B912-AVERAGE(Portfolios!$B$2:$B$1004))</f>
        <v>0</v>
      </c>
    </row>
    <row r="913" spans="1:2">
      <c r="A913" s="11">
        <f>Returns!A913</f>
        <v>0</v>
      </c>
      <c r="B913" s="1">
        <f>ABS(Portfolios!B913-AVERAGE(Portfolios!$B$2:$B$1004))</f>
        <v>0</v>
      </c>
    </row>
    <row r="914" spans="1:2">
      <c r="A914" s="11">
        <f>Returns!A914</f>
        <v>0</v>
      </c>
      <c r="B914" s="1">
        <f>ABS(Portfolios!B914-AVERAGE(Portfolios!$B$2:$B$1004))</f>
        <v>0</v>
      </c>
    </row>
    <row r="915" spans="1:2">
      <c r="A915" s="11">
        <f>Returns!A915</f>
        <v>0</v>
      </c>
      <c r="B915" s="1">
        <f>ABS(Portfolios!B915-AVERAGE(Portfolios!$B$2:$B$1004))</f>
        <v>0</v>
      </c>
    </row>
    <row r="916" spans="1:2">
      <c r="A916" s="11">
        <f>Returns!A916</f>
        <v>0</v>
      </c>
      <c r="B916" s="1">
        <f>ABS(Portfolios!B916-AVERAGE(Portfolios!$B$2:$B$1004))</f>
        <v>0</v>
      </c>
    </row>
    <row r="917" spans="1:2">
      <c r="A917" s="11">
        <f>Returns!A917</f>
        <v>0</v>
      </c>
      <c r="B917" s="1">
        <f>ABS(Portfolios!B917-AVERAGE(Portfolios!$B$2:$B$1004))</f>
        <v>0</v>
      </c>
    </row>
    <row r="918" spans="1:2">
      <c r="A918" s="11">
        <f>Returns!A918</f>
        <v>0</v>
      </c>
      <c r="B918" s="1">
        <f>ABS(Portfolios!B918-AVERAGE(Portfolios!$B$2:$B$1004))</f>
        <v>0</v>
      </c>
    </row>
    <row r="919" spans="1:2">
      <c r="A919" s="11">
        <f>Returns!A919</f>
        <v>0</v>
      </c>
      <c r="B919" s="1">
        <f>ABS(Portfolios!B919-AVERAGE(Portfolios!$B$2:$B$1004))</f>
        <v>0</v>
      </c>
    </row>
    <row r="920" spans="1:2">
      <c r="A920" s="11">
        <f>Returns!A920</f>
        <v>0</v>
      </c>
      <c r="B920" s="1">
        <f>ABS(Portfolios!B920-AVERAGE(Portfolios!$B$2:$B$1004))</f>
        <v>0</v>
      </c>
    </row>
    <row r="921" spans="1:2">
      <c r="A921" s="11">
        <f>Returns!A921</f>
        <v>0</v>
      </c>
      <c r="B921" s="1">
        <f>ABS(Portfolios!B921-AVERAGE(Portfolios!$B$2:$B$1004))</f>
        <v>0</v>
      </c>
    </row>
    <row r="922" spans="1:2">
      <c r="A922" s="11">
        <f>Returns!A922</f>
        <v>0</v>
      </c>
      <c r="B922" s="1">
        <f>ABS(Portfolios!B922-AVERAGE(Portfolios!$B$2:$B$1004))</f>
        <v>0</v>
      </c>
    </row>
    <row r="923" spans="1:2">
      <c r="A923" s="11">
        <f>Returns!A923</f>
        <v>0</v>
      </c>
      <c r="B923" s="1">
        <f>ABS(Portfolios!B923-AVERAGE(Portfolios!$B$2:$B$1004))</f>
        <v>0</v>
      </c>
    </row>
    <row r="924" spans="1:2">
      <c r="A924" s="11">
        <f>Returns!A924</f>
        <v>0</v>
      </c>
      <c r="B924" s="1">
        <f>ABS(Portfolios!B924-AVERAGE(Portfolios!$B$2:$B$1004))</f>
        <v>0</v>
      </c>
    </row>
    <row r="925" spans="1:2">
      <c r="A925" s="11">
        <f>Returns!A925</f>
        <v>0</v>
      </c>
      <c r="B925" s="1">
        <f>ABS(Portfolios!B925-AVERAGE(Portfolios!$B$2:$B$1004))</f>
        <v>0</v>
      </c>
    </row>
    <row r="926" spans="1:2">
      <c r="A926" s="11">
        <f>Returns!A926</f>
        <v>0</v>
      </c>
      <c r="B926" s="1">
        <f>ABS(Portfolios!B926-AVERAGE(Portfolios!$B$2:$B$1004))</f>
        <v>0</v>
      </c>
    </row>
    <row r="927" spans="1:2">
      <c r="A927" s="11">
        <f>Returns!A927</f>
        <v>0</v>
      </c>
      <c r="B927" s="1">
        <f>ABS(Portfolios!B927-AVERAGE(Portfolios!$B$2:$B$1004))</f>
        <v>0</v>
      </c>
    </row>
    <row r="928" spans="1:2">
      <c r="A928" s="11">
        <f>Returns!A928</f>
        <v>0</v>
      </c>
      <c r="B928" s="1">
        <f>ABS(Portfolios!B928-AVERAGE(Portfolios!$B$2:$B$1004))</f>
        <v>0</v>
      </c>
    </row>
    <row r="929" spans="1:2">
      <c r="A929" s="11">
        <f>Returns!A929</f>
        <v>0</v>
      </c>
      <c r="B929" s="1">
        <f>ABS(Portfolios!B929-AVERAGE(Portfolios!$B$2:$B$1004))</f>
        <v>0</v>
      </c>
    </row>
    <row r="930" spans="1:2">
      <c r="A930" s="11">
        <f>Returns!A930</f>
        <v>0</v>
      </c>
      <c r="B930" s="1">
        <f>ABS(Portfolios!B930-AVERAGE(Portfolios!$B$2:$B$1004))</f>
        <v>0</v>
      </c>
    </row>
    <row r="931" spans="1:2">
      <c r="A931" s="11">
        <f>Returns!A931</f>
        <v>0</v>
      </c>
      <c r="B931" s="1">
        <f>ABS(Portfolios!B931-AVERAGE(Portfolios!$B$2:$B$1004))</f>
        <v>0</v>
      </c>
    </row>
    <row r="932" spans="1:2">
      <c r="A932" s="11">
        <f>Returns!A932</f>
        <v>0</v>
      </c>
      <c r="B932" s="1">
        <f>ABS(Portfolios!B932-AVERAGE(Portfolios!$B$2:$B$1004))</f>
        <v>0</v>
      </c>
    </row>
    <row r="933" spans="1:2">
      <c r="A933" s="11">
        <f>Returns!A933</f>
        <v>0</v>
      </c>
      <c r="B933" s="1">
        <f>ABS(Portfolios!B933-AVERAGE(Portfolios!$B$2:$B$1004))</f>
        <v>0</v>
      </c>
    </row>
    <row r="934" spans="1:2">
      <c r="A934" s="11">
        <f>Returns!A934</f>
        <v>0</v>
      </c>
      <c r="B934" s="1">
        <f>ABS(Portfolios!B934-AVERAGE(Portfolios!$B$2:$B$1004))</f>
        <v>0</v>
      </c>
    </row>
    <row r="935" spans="1:2">
      <c r="A935" s="11">
        <f>Returns!A935</f>
        <v>0</v>
      </c>
      <c r="B935" s="1">
        <f>ABS(Portfolios!B935-AVERAGE(Portfolios!$B$2:$B$1004))</f>
        <v>0</v>
      </c>
    </row>
    <row r="936" spans="1:2">
      <c r="A936" s="11">
        <f>Returns!A936</f>
        <v>0</v>
      </c>
      <c r="B936" s="1">
        <f>ABS(Portfolios!B936-AVERAGE(Portfolios!$B$2:$B$1004))</f>
        <v>0</v>
      </c>
    </row>
    <row r="937" spans="1:2">
      <c r="A937" s="11">
        <f>Returns!A937</f>
        <v>0</v>
      </c>
      <c r="B937" s="1">
        <f>ABS(Portfolios!B937-AVERAGE(Portfolios!$B$2:$B$1004))</f>
        <v>0</v>
      </c>
    </row>
    <row r="938" spans="1:2">
      <c r="A938" s="11">
        <f>Returns!A938</f>
        <v>0</v>
      </c>
      <c r="B938" s="1">
        <f>ABS(Portfolios!B938-AVERAGE(Portfolios!$B$2:$B$1004))</f>
        <v>0</v>
      </c>
    </row>
    <row r="939" spans="1:2">
      <c r="A939" s="11">
        <f>Returns!A939</f>
        <v>0</v>
      </c>
      <c r="B939" s="1">
        <f>ABS(Portfolios!B939-AVERAGE(Portfolios!$B$2:$B$1004))</f>
        <v>0</v>
      </c>
    </row>
    <row r="940" spans="1:2">
      <c r="A940" s="11">
        <f>Returns!A940</f>
        <v>0</v>
      </c>
      <c r="B940" s="1">
        <f>ABS(Portfolios!B940-AVERAGE(Portfolios!$B$2:$B$1004))</f>
        <v>0</v>
      </c>
    </row>
    <row r="941" spans="1:2">
      <c r="A941" s="11">
        <f>Returns!A941</f>
        <v>0</v>
      </c>
      <c r="B941" s="1">
        <f>ABS(Portfolios!B941-AVERAGE(Portfolios!$B$2:$B$1004))</f>
        <v>0</v>
      </c>
    </row>
    <row r="942" spans="1:2">
      <c r="A942" s="11">
        <f>Returns!A942</f>
        <v>0</v>
      </c>
      <c r="B942" s="1">
        <f>ABS(Portfolios!B942-AVERAGE(Portfolios!$B$2:$B$1004))</f>
        <v>0</v>
      </c>
    </row>
    <row r="943" spans="1:2">
      <c r="A943" s="11">
        <f>Returns!A943</f>
        <v>0</v>
      </c>
      <c r="B943" s="1">
        <f>ABS(Portfolios!B943-AVERAGE(Portfolios!$B$2:$B$1004))</f>
        <v>0</v>
      </c>
    </row>
    <row r="944" spans="1:2">
      <c r="A944" s="11">
        <f>Returns!A944</f>
        <v>0</v>
      </c>
      <c r="B944" s="1">
        <f>ABS(Portfolios!B944-AVERAGE(Portfolios!$B$2:$B$1004))</f>
        <v>0</v>
      </c>
    </row>
    <row r="945" spans="1:2">
      <c r="A945" s="11">
        <f>Returns!A945</f>
        <v>0</v>
      </c>
      <c r="B945" s="1">
        <f>ABS(Portfolios!B945-AVERAGE(Portfolios!$B$2:$B$1004))</f>
        <v>0</v>
      </c>
    </row>
    <row r="946" spans="1:2">
      <c r="A946" s="11">
        <f>Returns!A946</f>
        <v>0</v>
      </c>
      <c r="B946" s="1">
        <f>ABS(Portfolios!B946-AVERAGE(Portfolios!$B$2:$B$1004))</f>
        <v>0</v>
      </c>
    </row>
    <row r="947" spans="1:2">
      <c r="A947" s="11">
        <f>Returns!A947</f>
        <v>0</v>
      </c>
      <c r="B947" s="1">
        <f>ABS(Portfolios!B947-AVERAGE(Portfolios!$B$2:$B$1004))</f>
        <v>0</v>
      </c>
    </row>
    <row r="948" spans="1:2">
      <c r="A948" s="11">
        <f>Returns!A948</f>
        <v>0</v>
      </c>
      <c r="B948" s="1">
        <f>ABS(Portfolios!B948-AVERAGE(Portfolios!$B$2:$B$1004))</f>
        <v>0</v>
      </c>
    </row>
    <row r="949" spans="1:2">
      <c r="A949" s="11">
        <f>Returns!A949</f>
        <v>0</v>
      </c>
      <c r="B949" s="1">
        <f>ABS(Portfolios!B949-AVERAGE(Portfolios!$B$2:$B$1004))</f>
        <v>0</v>
      </c>
    </row>
    <row r="950" spans="1:2">
      <c r="A950" s="11">
        <f>Returns!A950</f>
        <v>0</v>
      </c>
      <c r="B950" s="1">
        <f>ABS(Portfolios!B950-AVERAGE(Portfolios!$B$2:$B$1004))</f>
        <v>0</v>
      </c>
    </row>
    <row r="951" spans="1:2">
      <c r="A951" s="11">
        <f>Returns!A951</f>
        <v>0</v>
      </c>
      <c r="B951" s="1">
        <f>ABS(Portfolios!B951-AVERAGE(Portfolios!$B$2:$B$1004))</f>
        <v>0</v>
      </c>
    </row>
    <row r="952" spans="1:2">
      <c r="A952" s="11">
        <f>Returns!A952</f>
        <v>0</v>
      </c>
      <c r="B952" s="1">
        <f>ABS(Portfolios!B952-AVERAGE(Portfolios!$B$2:$B$1004))</f>
        <v>0</v>
      </c>
    </row>
    <row r="953" spans="1:2">
      <c r="A953" s="11">
        <f>Returns!A953</f>
        <v>0</v>
      </c>
      <c r="B953" s="1">
        <f>ABS(Portfolios!B953-AVERAGE(Portfolios!$B$2:$B$1004))</f>
        <v>0</v>
      </c>
    </row>
    <row r="954" spans="1:2">
      <c r="A954" s="11">
        <f>Returns!A954</f>
        <v>0</v>
      </c>
      <c r="B954" s="1">
        <f>ABS(Portfolios!B954-AVERAGE(Portfolios!$B$2:$B$1004))</f>
        <v>0</v>
      </c>
    </row>
    <row r="955" spans="1:2">
      <c r="A955" s="11">
        <f>Returns!A955</f>
        <v>0</v>
      </c>
      <c r="B955" s="1">
        <f>ABS(Portfolios!B955-AVERAGE(Portfolios!$B$2:$B$1004))</f>
        <v>0</v>
      </c>
    </row>
    <row r="956" spans="1:2">
      <c r="A956" s="11">
        <f>Returns!A956</f>
        <v>0</v>
      </c>
      <c r="B956" s="1">
        <f>ABS(Portfolios!B956-AVERAGE(Portfolios!$B$2:$B$1004))</f>
        <v>0</v>
      </c>
    </row>
    <row r="957" spans="1:2">
      <c r="A957" s="11">
        <f>Returns!A957</f>
        <v>0</v>
      </c>
      <c r="B957" s="1">
        <f>ABS(Portfolios!B957-AVERAGE(Portfolios!$B$2:$B$1004))</f>
        <v>0</v>
      </c>
    </row>
    <row r="958" spans="1:2">
      <c r="A958" s="11">
        <f>Returns!A958</f>
        <v>0</v>
      </c>
      <c r="B958" s="1">
        <f>ABS(Portfolios!B958-AVERAGE(Portfolios!$B$2:$B$1004))</f>
        <v>0</v>
      </c>
    </row>
    <row r="959" spans="1:2">
      <c r="A959" s="11">
        <f>Returns!A959</f>
        <v>0</v>
      </c>
      <c r="B959" s="1">
        <f>ABS(Portfolios!B959-AVERAGE(Portfolios!$B$2:$B$1004))</f>
        <v>0</v>
      </c>
    </row>
    <row r="960" spans="1:2">
      <c r="A960" s="11">
        <f>Returns!A960</f>
        <v>0</v>
      </c>
      <c r="B960" s="1">
        <f>ABS(Portfolios!B960-AVERAGE(Portfolios!$B$2:$B$1004))</f>
        <v>0</v>
      </c>
    </row>
    <row r="961" spans="1:2">
      <c r="A961" s="11">
        <f>Returns!A961</f>
        <v>0</v>
      </c>
      <c r="B961" s="1">
        <f>ABS(Portfolios!B961-AVERAGE(Portfolios!$B$2:$B$1004))</f>
        <v>0</v>
      </c>
    </row>
    <row r="962" spans="1:2">
      <c r="A962" s="11">
        <f>Returns!A962</f>
        <v>0</v>
      </c>
      <c r="B962" s="1">
        <f>ABS(Portfolios!B962-AVERAGE(Portfolios!$B$2:$B$1004))</f>
        <v>0</v>
      </c>
    </row>
    <row r="963" spans="1:2">
      <c r="A963" s="11">
        <f>Returns!A963</f>
        <v>0</v>
      </c>
      <c r="B963" s="1">
        <f>ABS(Portfolios!B963-AVERAGE(Portfolios!$B$2:$B$1004))</f>
        <v>0</v>
      </c>
    </row>
    <row r="964" spans="1:2">
      <c r="A964" s="11">
        <f>Returns!A964</f>
        <v>0</v>
      </c>
      <c r="B964" s="1">
        <f>ABS(Portfolios!B964-AVERAGE(Portfolios!$B$2:$B$1004))</f>
        <v>0</v>
      </c>
    </row>
    <row r="965" spans="1:2">
      <c r="A965" s="11">
        <f>Returns!A965</f>
        <v>0</v>
      </c>
      <c r="B965" s="1">
        <f>ABS(Portfolios!B965-AVERAGE(Portfolios!$B$2:$B$1004))</f>
        <v>0</v>
      </c>
    </row>
    <row r="966" spans="1:2">
      <c r="A966" s="11">
        <f>Returns!A966</f>
        <v>0</v>
      </c>
      <c r="B966" s="1">
        <f>ABS(Portfolios!B966-AVERAGE(Portfolios!$B$2:$B$1004))</f>
        <v>0</v>
      </c>
    </row>
    <row r="967" spans="1:2">
      <c r="A967" s="11">
        <f>Returns!A967</f>
        <v>0</v>
      </c>
      <c r="B967" s="1">
        <f>ABS(Portfolios!B967-AVERAGE(Portfolios!$B$2:$B$1004))</f>
        <v>0</v>
      </c>
    </row>
    <row r="968" spans="1:2">
      <c r="A968" s="11">
        <f>Returns!A968</f>
        <v>0</v>
      </c>
      <c r="B968" s="1">
        <f>ABS(Portfolios!B968-AVERAGE(Portfolios!$B$2:$B$1004))</f>
        <v>0</v>
      </c>
    </row>
    <row r="969" spans="1:2">
      <c r="A969" s="11">
        <f>Returns!A969</f>
        <v>0</v>
      </c>
      <c r="B969" s="1">
        <f>ABS(Portfolios!B969-AVERAGE(Portfolios!$B$2:$B$1004))</f>
        <v>0</v>
      </c>
    </row>
    <row r="970" spans="1:2">
      <c r="A970" s="11">
        <f>Returns!A970</f>
        <v>0</v>
      </c>
      <c r="B970" s="1">
        <f>ABS(Portfolios!B970-AVERAGE(Portfolios!$B$2:$B$1004))</f>
        <v>0</v>
      </c>
    </row>
    <row r="971" spans="1:2">
      <c r="A971" s="11">
        <f>Returns!A971</f>
        <v>0</v>
      </c>
      <c r="B971" s="1">
        <f>ABS(Portfolios!B971-AVERAGE(Portfolios!$B$2:$B$1004))</f>
        <v>0</v>
      </c>
    </row>
    <row r="972" spans="1:2">
      <c r="A972" s="11">
        <f>Returns!A972</f>
        <v>0</v>
      </c>
      <c r="B972" s="1">
        <f>ABS(Portfolios!B972-AVERAGE(Portfolios!$B$2:$B$1004))</f>
        <v>0</v>
      </c>
    </row>
    <row r="973" spans="1:2">
      <c r="A973" s="11">
        <f>Returns!A973</f>
        <v>0</v>
      </c>
      <c r="B973" s="1">
        <f>ABS(Portfolios!B973-AVERAGE(Portfolios!$B$2:$B$1004))</f>
        <v>0</v>
      </c>
    </row>
    <row r="974" spans="1:2">
      <c r="A974" s="11">
        <f>Returns!A974</f>
        <v>0</v>
      </c>
      <c r="B974" s="1">
        <f>ABS(Portfolios!B974-AVERAGE(Portfolios!$B$2:$B$1004))</f>
        <v>0</v>
      </c>
    </row>
    <row r="975" spans="1:2">
      <c r="A975" s="11">
        <f>Returns!A975</f>
        <v>0</v>
      </c>
      <c r="B975" s="1">
        <f>ABS(Portfolios!B975-AVERAGE(Portfolios!$B$2:$B$1004))</f>
        <v>0</v>
      </c>
    </row>
    <row r="976" spans="1:2">
      <c r="A976" s="11">
        <f>Returns!A976</f>
        <v>0</v>
      </c>
      <c r="B976" s="1">
        <f>ABS(Portfolios!B976-AVERAGE(Portfolios!$B$2:$B$1004))</f>
        <v>0</v>
      </c>
    </row>
    <row r="977" spans="1:2">
      <c r="A977" s="11">
        <f>Returns!A977</f>
        <v>0</v>
      </c>
      <c r="B977" s="1">
        <f>ABS(Portfolios!B977-AVERAGE(Portfolios!$B$2:$B$1004))</f>
        <v>0</v>
      </c>
    </row>
    <row r="978" spans="1:2">
      <c r="A978" s="11">
        <f>Returns!A978</f>
        <v>0</v>
      </c>
      <c r="B978" s="1">
        <f>ABS(Portfolios!B978-AVERAGE(Portfolios!$B$2:$B$1004))</f>
        <v>0</v>
      </c>
    </row>
    <row r="979" spans="1:2">
      <c r="A979" s="11">
        <f>Returns!A979</f>
        <v>0</v>
      </c>
      <c r="B979" s="1">
        <f>ABS(Portfolios!B979-AVERAGE(Portfolios!$B$2:$B$1004))</f>
        <v>0</v>
      </c>
    </row>
    <row r="980" spans="1:2">
      <c r="A980" s="11">
        <f>Returns!A980</f>
        <v>0</v>
      </c>
      <c r="B980" s="1">
        <f>ABS(Portfolios!B980-AVERAGE(Portfolios!$B$2:$B$1004))</f>
        <v>0</v>
      </c>
    </row>
    <row r="981" spans="1:2">
      <c r="A981" s="11">
        <f>Returns!A981</f>
        <v>0</v>
      </c>
      <c r="B981" s="1">
        <f>ABS(Portfolios!B981-AVERAGE(Portfolios!$B$2:$B$1004))</f>
        <v>0</v>
      </c>
    </row>
    <row r="982" spans="1:2">
      <c r="A982" s="11">
        <f>Returns!A982</f>
        <v>0</v>
      </c>
      <c r="B982" s="1">
        <f>ABS(Portfolios!B982-AVERAGE(Portfolios!$B$2:$B$1004))</f>
        <v>0</v>
      </c>
    </row>
    <row r="983" spans="1:2">
      <c r="A983" s="11">
        <f>Returns!A983</f>
        <v>0</v>
      </c>
      <c r="B983" s="1">
        <f>ABS(Portfolios!B983-AVERAGE(Portfolios!$B$2:$B$1004))</f>
        <v>0</v>
      </c>
    </row>
    <row r="984" spans="1:2">
      <c r="A984" s="11">
        <f>Returns!A984</f>
        <v>0</v>
      </c>
      <c r="B984" s="1">
        <f>ABS(Portfolios!B984-AVERAGE(Portfolios!$B$2:$B$1004))</f>
        <v>0</v>
      </c>
    </row>
    <row r="985" spans="1:2">
      <c r="A985" s="11">
        <f>Returns!A985</f>
        <v>0</v>
      </c>
      <c r="B985" s="1">
        <f>ABS(Portfolios!B985-AVERAGE(Portfolios!$B$2:$B$1004))</f>
        <v>0</v>
      </c>
    </row>
    <row r="986" spans="1:2">
      <c r="A986" s="11">
        <f>Returns!A986</f>
        <v>0</v>
      </c>
      <c r="B986" s="1">
        <f>ABS(Portfolios!B986-AVERAGE(Portfolios!$B$2:$B$1004))</f>
        <v>0</v>
      </c>
    </row>
    <row r="987" spans="1:2">
      <c r="A987" s="11">
        <f>Returns!A987</f>
        <v>0</v>
      </c>
      <c r="B987" s="1">
        <f>ABS(Portfolios!B987-AVERAGE(Portfolios!$B$2:$B$1004))</f>
        <v>0</v>
      </c>
    </row>
    <row r="988" spans="1:2">
      <c r="A988" s="11">
        <f>Returns!A988</f>
        <v>0</v>
      </c>
      <c r="B988" s="1">
        <f>ABS(Portfolios!B988-AVERAGE(Portfolios!$B$2:$B$1004))</f>
        <v>0</v>
      </c>
    </row>
    <row r="989" spans="1:2">
      <c r="A989" s="11">
        <f>Returns!A989</f>
        <v>0</v>
      </c>
      <c r="B989" s="1">
        <f>ABS(Portfolios!B989-AVERAGE(Portfolios!$B$2:$B$1004))</f>
        <v>0</v>
      </c>
    </row>
    <row r="990" spans="1:2">
      <c r="A990" s="11">
        <f>Returns!A990</f>
        <v>0</v>
      </c>
      <c r="B990" s="1">
        <f>ABS(Portfolios!B990-AVERAGE(Portfolios!$B$2:$B$1004))</f>
        <v>0</v>
      </c>
    </row>
    <row r="991" spans="1:2">
      <c r="A991" s="11">
        <f>Returns!A991</f>
        <v>0</v>
      </c>
      <c r="B991" s="1">
        <f>ABS(Portfolios!B991-AVERAGE(Portfolios!$B$2:$B$1004))</f>
        <v>0</v>
      </c>
    </row>
    <row r="992" spans="1:2">
      <c r="A992" s="11">
        <f>Returns!A992</f>
        <v>0</v>
      </c>
      <c r="B992" s="1">
        <f>ABS(Portfolios!B992-AVERAGE(Portfolios!$B$2:$B$1004))</f>
        <v>0</v>
      </c>
    </row>
    <row r="993" spans="1:2">
      <c r="A993" s="11">
        <f>Returns!A993</f>
        <v>0</v>
      </c>
      <c r="B993" s="1">
        <f>ABS(Portfolios!B993-AVERAGE(Portfolios!$B$2:$B$1004))</f>
        <v>0</v>
      </c>
    </row>
    <row r="994" spans="1:2">
      <c r="A994" s="11">
        <f>Returns!A994</f>
        <v>0</v>
      </c>
      <c r="B994" s="1">
        <f>ABS(Portfolios!B994-AVERAGE(Portfolios!$B$2:$B$1004))</f>
        <v>0</v>
      </c>
    </row>
    <row r="995" spans="1:2">
      <c r="A995" s="11">
        <f>Returns!A995</f>
        <v>0</v>
      </c>
      <c r="B995" s="1">
        <f>ABS(Portfolios!B995-AVERAGE(Portfolios!$B$2:$B$1004))</f>
        <v>0</v>
      </c>
    </row>
    <row r="996" spans="1:2">
      <c r="A996" s="11">
        <f>Returns!A996</f>
        <v>0</v>
      </c>
      <c r="B996" s="1">
        <f>ABS(Portfolios!B996-AVERAGE(Portfolios!$B$2:$B$1004))</f>
        <v>0</v>
      </c>
    </row>
    <row r="997" spans="1:2">
      <c r="A997" s="11">
        <f>Returns!A997</f>
        <v>0</v>
      </c>
      <c r="B997" s="1">
        <f>ABS(Portfolios!B997-AVERAGE(Portfolios!$B$2:$B$1004))</f>
        <v>0</v>
      </c>
    </row>
    <row r="998" spans="1:2">
      <c r="A998" s="11">
        <f>Returns!A998</f>
        <v>0</v>
      </c>
      <c r="B998" s="1">
        <f>ABS(Portfolios!B998-AVERAGE(Portfolios!$B$2:$B$1004))</f>
        <v>0</v>
      </c>
    </row>
    <row r="999" spans="1:2">
      <c r="A999" s="11">
        <f>Returns!A999</f>
        <v>0</v>
      </c>
      <c r="B999" s="1">
        <f>ABS(Portfolios!B999-AVERAGE(Portfolios!$B$2:$B$1004))</f>
        <v>0</v>
      </c>
    </row>
    <row r="1000" spans="1:2">
      <c r="A1000" s="11">
        <f>Returns!A1000</f>
        <v>0</v>
      </c>
      <c r="B1000" s="1">
        <f>ABS(Portfolios!B1000-AVERAGE(Portfolios!$B$2:$B$1004))</f>
        <v>0</v>
      </c>
    </row>
    <row r="1001" spans="1:2">
      <c r="A1001" s="11">
        <f>Returns!A1001</f>
        <v>0</v>
      </c>
      <c r="B1001" s="1">
        <f>ABS(Portfolios!B1001-AVERAGE(Portfolios!$B$2:$B$1004))</f>
        <v>0</v>
      </c>
    </row>
    <row r="1002" spans="1:2">
      <c r="A1002" s="11">
        <f>Returns!A1002</f>
        <v>0</v>
      </c>
      <c r="B1002" s="1">
        <f>ABS(Portfolios!B1002-AVERAGE(Portfolios!$B$2:$B$1004))</f>
        <v>0</v>
      </c>
    </row>
    <row r="1003" spans="1:2">
      <c r="A1003" s="11">
        <f>Returns!A1003</f>
        <v>0</v>
      </c>
      <c r="B1003" s="1">
        <f>ABS(Portfolios!B1003-AVERAGE(Portfolios!$B$2:$B$1004))</f>
        <v>0</v>
      </c>
    </row>
    <row r="1004" spans="1:2">
      <c r="A1004" s="11">
        <f>Returns!A1004</f>
        <v>0</v>
      </c>
      <c r="B1004" s="1">
        <f>ABS(Portfolios!B1004-AVERAGE(Portfolios!$B$2:$B$1004))</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1004"/>
  <sheetViews>
    <sheetView showGridLines="0" workbookViewId="0"/>
  </sheetViews>
  <sheetFormatPr defaultRowHeight="15"/>
  <cols>
    <col min="1" max="1" width="10.7109375" style="10" customWidth="1"/>
  </cols>
  <sheetData>
    <row r="1" spans="1:2">
      <c r="A1" s="5" t="s">
        <v>26</v>
      </c>
      <c r="B1" s="5" t="s">
        <v>52</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row r="252" spans="1:2">
      <c r="A252" s="11">
        <f>Returns!A252</f>
        <v>0</v>
      </c>
      <c r="B252" s="1">
        <f>SUM(Portfolios!$B$2:$B$252)</f>
        <v>0</v>
      </c>
    </row>
    <row r="253" spans="1:2">
      <c r="A253" s="11">
        <f>Returns!A253</f>
        <v>0</v>
      </c>
      <c r="B253" s="1">
        <f>SUM(Portfolios!$B$2:$B$253)</f>
        <v>0</v>
      </c>
    </row>
    <row r="254" spans="1:2">
      <c r="A254" s="11">
        <f>Returns!A254</f>
        <v>0</v>
      </c>
      <c r="B254" s="1">
        <f>SUM(Portfolios!$B$2:$B$254)</f>
        <v>0</v>
      </c>
    </row>
    <row r="255" spans="1:2">
      <c r="A255" s="11">
        <f>Returns!A255</f>
        <v>0</v>
      </c>
      <c r="B255" s="1">
        <f>SUM(Portfolios!$B$2:$B$255)</f>
        <v>0</v>
      </c>
    </row>
    <row r="256" spans="1:2">
      <c r="A256" s="11">
        <f>Returns!A256</f>
        <v>0</v>
      </c>
      <c r="B256" s="1">
        <f>SUM(Portfolios!$B$2:$B$256)</f>
        <v>0</v>
      </c>
    </row>
    <row r="257" spans="1:2">
      <c r="A257" s="11">
        <f>Returns!A257</f>
        <v>0</v>
      </c>
      <c r="B257" s="1">
        <f>SUM(Portfolios!$B$2:$B$257)</f>
        <v>0</v>
      </c>
    </row>
    <row r="258" spans="1:2">
      <c r="A258" s="11">
        <f>Returns!A258</f>
        <v>0</v>
      </c>
      <c r="B258" s="1">
        <f>SUM(Portfolios!$B$2:$B$258)</f>
        <v>0</v>
      </c>
    </row>
    <row r="259" spans="1:2">
      <c r="A259" s="11">
        <f>Returns!A259</f>
        <v>0</v>
      </c>
      <c r="B259" s="1">
        <f>SUM(Portfolios!$B$2:$B$259)</f>
        <v>0</v>
      </c>
    </row>
    <row r="260" spans="1:2">
      <c r="A260" s="11">
        <f>Returns!A260</f>
        <v>0</v>
      </c>
      <c r="B260" s="1">
        <f>SUM(Portfolios!$B$2:$B$260)</f>
        <v>0</v>
      </c>
    </row>
    <row r="261" spans="1:2">
      <c r="A261" s="11">
        <f>Returns!A261</f>
        <v>0</v>
      </c>
      <c r="B261" s="1">
        <f>SUM(Portfolios!$B$2:$B$261)</f>
        <v>0</v>
      </c>
    </row>
    <row r="262" spans="1:2">
      <c r="A262" s="11">
        <f>Returns!A262</f>
        <v>0</v>
      </c>
      <c r="B262" s="1">
        <f>SUM(Portfolios!$B$2:$B$262)</f>
        <v>0</v>
      </c>
    </row>
    <row r="263" spans="1:2">
      <c r="A263" s="11">
        <f>Returns!A263</f>
        <v>0</v>
      </c>
      <c r="B263" s="1">
        <f>SUM(Portfolios!$B$2:$B$263)</f>
        <v>0</v>
      </c>
    </row>
    <row r="264" spans="1:2">
      <c r="A264" s="11">
        <f>Returns!A264</f>
        <v>0</v>
      </c>
      <c r="B264" s="1">
        <f>SUM(Portfolios!$B$2:$B$264)</f>
        <v>0</v>
      </c>
    </row>
    <row r="265" spans="1:2">
      <c r="A265" s="11">
        <f>Returns!A265</f>
        <v>0</v>
      </c>
      <c r="B265" s="1">
        <f>SUM(Portfolios!$B$2:$B$265)</f>
        <v>0</v>
      </c>
    </row>
    <row r="266" spans="1:2">
      <c r="A266" s="11">
        <f>Returns!A266</f>
        <v>0</v>
      </c>
      <c r="B266" s="1">
        <f>SUM(Portfolios!$B$2:$B$266)</f>
        <v>0</v>
      </c>
    </row>
    <row r="267" spans="1:2">
      <c r="A267" s="11">
        <f>Returns!A267</f>
        <v>0</v>
      </c>
      <c r="B267" s="1">
        <f>SUM(Portfolios!$B$2:$B$267)</f>
        <v>0</v>
      </c>
    </row>
    <row r="268" spans="1:2">
      <c r="A268" s="11">
        <f>Returns!A268</f>
        <v>0</v>
      </c>
      <c r="B268" s="1">
        <f>SUM(Portfolios!$B$2:$B$268)</f>
        <v>0</v>
      </c>
    </row>
    <row r="269" spans="1:2">
      <c r="A269" s="11">
        <f>Returns!A269</f>
        <v>0</v>
      </c>
      <c r="B269" s="1">
        <f>SUM(Portfolios!$B$2:$B$269)</f>
        <v>0</v>
      </c>
    </row>
    <row r="270" spans="1:2">
      <c r="A270" s="11">
        <f>Returns!A270</f>
        <v>0</v>
      </c>
      <c r="B270" s="1">
        <f>SUM(Portfolios!$B$2:$B$270)</f>
        <v>0</v>
      </c>
    </row>
    <row r="271" spans="1:2">
      <c r="A271" s="11">
        <f>Returns!A271</f>
        <v>0</v>
      </c>
      <c r="B271" s="1">
        <f>SUM(Portfolios!$B$2:$B$271)</f>
        <v>0</v>
      </c>
    </row>
    <row r="272" spans="1:2">
      <c r="A272" s="11">
        <f>Returns!A272</f>
        <v>0</v>
      </c>
      <c r="B272" s="1">
        <f>SUM(Portfolios!$B$2:$B$272)</f>
        <v>0</v>
      </c>
    </row>
    <row r="273" spans="1:2">
      <c r="A273" s="11">
        <f>Returns!A273</f>
        <v>0</v>
      </c>
      <c r="B273" s="1">
        <f>SUM(Portfolios!$B$2:$B$273)</f>
        <v>0</v>
      </c>
    </row>
    <row r="274" spans="1:2">
      <c r="A274" s="11">
        <f>Returns!A274</f>
        <v>0</v>
      </c>
      <c r="B274" s="1">
        <f>SUM(Portfolios!$B$2:$B$274)</f>
        <v>0</v>
      </c>
    </row>
    <row r="275" spans="1:2">
      <c r="A275" s="11">
        <f>Returns!A275</f>
        <v>0</v>
      </c>
      <c r="B275" s="1">
        <f>SUM(Portfolios!$B$2:$B$275)</f>
        <v>0</v>
      </c>
    </row>
    <row r="276" spans="1:2">
      <c r="A276" s="11">
        <f>Returns!A276</f>
        <v>0</v>
      </c>
      <c r="B276" s="1">
        <f>SUM(Portfolios!$B$2:$B$276)</f>
        <v>0</v>
      </c>
    </row>
    <row r="277" spans="1:2">
      <c r="A277" s="11">
        <f>Returns!A277</f>
        <v>0</v>
      </c>
      <c r="B277" s="1">
        <f>SUM(Portfolios!$B$2:$B$277)</f>
        <v>0</v>
      </c>
    </row>
    <row r="278" spans="1:2">
      <c r="A278" s="11">
        <f>Returns!A278</f>
        <v>0</v>
      </c>
      <c r="B278" s="1">
        <f>SUM(Portfolios!$B$2:$B$278)</f>
        <v>0</v>
      </c>
    </row>
    <row r="279" spans="1:2">
      <c r="A279" s="11">
        <f>Returns!A279</f>
        <v>0</v>
      </c>
      <c r="B279" s="1">
        <f>SUM(Portfolios!$B$2:$B$279)</f>
        <v>0</v>
      </c>
    </row>
    <row r="280" spans="1:2">
      <c r="A280" s="11">
        <f>Returns!A280</f>
        <v>0</v>
      </c>
      <c r="B280" s="1">
        <f>SUM(Portfolios!$B$2:$B$280)</f>
        <v>0</v>
      </c>
    </row>
    <row r="281" spans="1:2">
      <c r="A281" s="11">
        <f>Returns!A281</f>
        <v>0</v>
      </c>
      <c r="B281" s="1">
        <f>SUM(Portfolios!$B$2:$B$281)</f>
        <v>0</v>
      </c>
    </row>
    <row r="282" spans="1:2">
      <c r="A282" s="11">
        <f>Returns!A282</f>
        <v>0</v>
      </c>
      <c r="B282" s="1">
        <f>SUM(Portfolios!$B$2:$B$282)</f>
        <v>0</v>
      </c>
    </row>
    <row r="283" spans="1:2">
      <c r="A283" s="11">
        <f>Returns!A283</f>
        <v>0</v>
      </c>
      <c r="B283" s="1">
        <f>SUM(Portfolios!$B$2:$B$283)</f>
        <v>0</v>
      </c>
    </row>
    <row r="284" spans="1:2">
      <c r="A284" s="11">
        <f>Returns!A284</f>
        <v>0</v>
      </c>
      <c r="B284" s="1">
        <f>SUM(Portfolios!$B$2:$B$284)</f>
        <v>0</v>
      </c>
    </row>
    <row r="285" spans="1:2">
      <c r="A285" s="11">
        <f>Returns!A285</f>
        <v>0</v>
      </c>
      <c r="B285" s="1">
        <f>SUM(Portfolios!$B$2:$B$285)</f>
        <v>0</v>
      </c>
    </row>
    <row r="286" spans="1:2">
      <c r="A286" s="11">
        <f>Returns!A286</f>
        <v>0</v>
      </c>
      <c r="B286" s="1">
        <f>SUM(Portfolios!$B$2:$B$286)</f>
        <v>0</v>
      </c>
    </row>
    <row r="287" spans="1:2">
      <c r="A287" s="11">
        <f>Returns!A287</f>
        <v>0</v>
      </c>
      <c r="B287" s="1">
        <f>SUM(Portfolios!$B$2:$B$287)</f>
        <v>0</v>
      </c>
    </row>
    <row r="288" spans="1:2">
      <c r="A288" s="11">
        <f>Returns!A288</f>
        <v>0</v>
      </c>
      <c r="B288" s="1">
        <f>SUM(Portfolios!$B$2:$B$288)</f>
        <v>0</v>
      </c>
    </row>
    <row r="289" spans="1:2">
      <c r="A289" s="11">
        <f>Returns!A289</f>
        <v>0</v>
      </c>
      <c r="B289" s="1">
        <f>SUM(Portfolios!$B$2:$B$289)</f>
        <v>0</v>
      </c>
    </row>
    <row r="290" spans="1:2">
      <c r="A290" s="11">
        <f>Returns!A290</f>
        <v>0</v>
      </c>
      <c r="B290" s="1">
        <f>SUM(Portfolios!$B$2:$B$290)</f>
        <v>0</v>
      </c>
    </row>
    <row r="291" spans="1:2">
      <c r="A291" s="11">
        <f>Returns!A291</f>
        <v>0</v>
      </c>
      <c r="B291" s="1">
        <f>SUM(Portfolios!$B$2:$B$291)</f>
        <v>0</v>
      </c>
    </row>
    <row r="292" spans="1:2">
      <c r="A292" s="11">
        <f>Returns!A292</f>
        <v>0</v>
      </c>
      <c r="B292" s="1">
        <f>SUM(Portfolios!$B$2:$B$292)</f>
        <v>0</v>
      </c>
    </row>
    <row r="293" spans="1:2">
      <c r="A293" s="11">
        <f>Returns!A293</f>
        <v>0</v>
      </c>
      <c r="B293" s="1">
        <f>SUM(Portfolios!$B$2:$B$293)</f>
        <v>0</v>
      </c>
    </row>
    <row r="294" spans="1:2">
      <c r="A294" s="11">
        <f>Returns!A294</f>
        <v>0</v>
      </c>
      <c r="B294" s="1">
        <f>SUM(Portfolios!$B$2:$B$294)</f>
        <v>0</v>
      </c>
    </row>
    <row r="295" spans="1:2">
      <c r="A295" s="11">
        <f>Returns!A295</f>
        <v>0</v>
      </c>
      <c r="B295" s="1">
        <f>SUM(Portfolios!$B$2:$B$295)</f>
        <v>0</v>
      </c>
    </row>
    <row r="296" spans="1:2">
      <c r="A296" s="11">
        <f>Returns!A296</f>
        <v>0</v>
      </c>
      <c r="B296" s="1">
        <f>SUM(Portfolios!$B$2:$B$296)</f>
        <v>0</v>
      </c>
    </row>
    <row r="297" spans="1:2">
      <c r="A297" s="11">
        <f>Returns!A297</f>
        <v>0</v>
      </c>
      <c r="B297" s="1">
        <f>SUM(Portfolios!$B$2:$B$297)</f>
        <v>0</v>
      </c>
    </row>
    <row r="298" spans="1:2">
      <c r="A298" s="11">
        <f>Returns!A298</f>
        <v>0</v>
      </c>
      <c r="B298" s="1">
        <f>SUM(Portfolios!$B$2:$B$298)</f>
        <v>0</v>
      </c>
    </row>
    <row r="299" spans="1:2">
      <c r="A299" s="11">
        <f>Returns!A299</f>
        <v>0</v>
      </c>
      <c r="B299" s="1">
        <f>SUM(Portfolios!$B$2:$B$299)</f>
        <v>0</v>
      </c>
    </row>
    <row r="300" spans="1:2">
      <c r="A300" s="11">
        <f>Returns!A300</f>
        <v>0</v>
      </c>
      <c r="B300" s="1">
        <f>SUM(Portfolios!$B$2:$B$300)</f>
        <v>0</v>
      </c>
    </row>
    <row r="301" spans="1:2">
      <c r="A301" s="11">
        <f>Returns!A301</f>
        <v>0</v>
      </c>
      <c r="B301" s="1">
        <f>SUM(Portfolios!$B$2:$B$301)</f>
        <v>0</v>
      </c>
    </row>
    <row r="302" spans="1:2">
      <c r="A302" s="11">
        <f>Returns!A302</f>
        <v>0</v>
      </c>
      <c r="B302" s="1">
        <f>SUM(Portfolios!$B$2:$B$302)</f>
        <v>0</v>
      </c>
    </row>
    <row r="303" spans="1:2">
      <c r="A303" s="11">
        <f>Returns!A303</f>
        <v>0</v>
      </c>
      <c r="B303" s="1">
        <f>SUM(Portfolios!$B$2:$B$303)</f>
        <v>0</v>
      </c>
    </row>
    <row r="304" spans="1:2">
      <c r="A304" s="11">
        <f>Returns!A304</f>
        <v>0</v>
      </c>
      <c r="B304" s="1">
        <f>SUM(Portfolios!$B$2:$B$304)</f>
        <v>0</v>
      </c>
    </row>
    <row r="305" spans="1:2">
      <c r="A305" s="11">
        <f>Returns!A305</f>
        <v>0</v>
      </c>
      <c r="B305" s="1">
        <f>SUM(Portfolios!$B$2:$B$305)</f>
        <v>0</v>
      </c>
    </row>
    <row r="306" spans="1:2">
      <c r="A306" s="11">
        <f>Returns!A306</f>
        <v>0</v>
      </c>
      <c r="B306" s="1">
        <f>SUM(Portfolios!$B$2:$B$306)</f>
        <v>0</v>
      </c>
    </row>
    <row r="307" spans="1:2">
      <c r="A307" s="11">
        <f>Returns!A307</f>
        <v>0</v>
      </c>
      <c r="B307" s="1">
        <f>SUM(Portfolios!$B$2:$B$307)</f>
        <v>0</v>
      </c>
    </row>
    <row r="308" spans="1:2">
      <c r="A308" s="11">
        <f>Returns!A308</f>
        <v>0</v>
      </c>
      <c r="B308" s="1">
        <f>SUM(Portfolios!$B$2:$B$308)</f>
        <v>0</v>
      </c>
    </row>
    <row r="309" spans="1:2">
      <c r="A309" s="11">
        <f>Returns!A309</f>
        <v>0</v>
      </c>
      <c r="B309" s="1">
        <f>SUM(Portfolios!$B$2:$B$309)</f>
        <v>0</v>
      </c>
    </row>
    <row r="310" spans="1:2">
      <c r="A310" s="11">
        <f>Returns!A310</f>
        <v>0</v>
      </c>
      <c r="B310" s="1">
        <f>SUM(Portfolios!$B$2:$B$310)</f>
        <v>0</v>
      </c>
    </row>
    <row r="311" spans="1:2">
      <c r="A311" s="11">
        <f>Returns!A311</f>
        <v>0</v>
      </c>
      <c r="B311" s="1">
        <f>SUM(Portfolios!$B$2:$B$311)</f>
        <v>0</v>
      </c>
    </row>
    <row r="312" spans="1:2">
      <c r="A312" s="11">
        <f>Returns!A312</f>
        <v>0</v>
      </c>
      <c r="B312" s="1">
        <f>SUM(Portfolios!$B$2:$B$312)</f>
        <v>0</v>
      </c>
    </row>
    <row r="313" spans="1:2">
      <c r="A313" s="11">
        <f>Returns!A313</f>
        <v>0</v>
      </c>
      <c r="B313" s="1">
        <f>SUM(Portfolios!$B$2:$B$313)</f>
        <v>0</v>
      </c>
    </row>
    <row r="314" spans="1:2">
      <c r="A314" s="11">
        <f>Returns!A314</f>
        <v>0</v>
      </c>
      <c r="B314" s="1">
        <f>SUM(Portfolios!$B$2:$B$314)</f>
        <v>0</v>
      </c>
    </row>
    <row r="315" spans="1:2">
      <c r="A315" s="11">
        <f>Returns!A315</f>
        <v>0</v>
      </c>
      <c r="B315" s="1">
        <f>SUM(Portfolios!$B$2:$B$315)</f>
        <v>0</v>
      </c>
    </row>
    <row r="316" spans="1:2">
      <c r="A316" s="11">
        <f>Returns!A316</f>
        <v>0</v>
      </c>
      <c r="B316" s="1">
        <f>SUM(Portfolios!$B$2:$B$316)</f>
        <v>0</v>
      </c>
    </row>
    <row r="317" spans="1:2">
      <c r="A317" s="11">
        <f>Returns!A317</f>
        <v>0</v>
      </c>
      <c r="B317" s="1">
        <f>SUM(Portfolios!$B$2:$B$317)</f>
        <v>0</v>
      </c>
    </row>
    <row r="318" spans="1:2">
      <c r="A318" s="11">
        <f>Returns!A318</f>
        <v>0</v>
      </c>
      <c r="B318" s="1">
        <f>SUM(Portfolios!$B$2:$B$318)</f>
        <v>0</v>
      </c>
    </row>
    <row r="319" spans="1:2">
      <c r="A319" s="11">
        <f>Returns!A319</f>
        <v>0</v>
      </c>
      <c r="B319" s="1">
        <f>SUM(Portfolios!$B$2:$B$319)</f>
        <v>0</v>
      </c>
    </row>
    <row r="320" spans="1:2">
      <c r="A320" s="11">
        <f>Returns!A320</f>
        <v>0</v>
      </c>
      <c r="B320" s="1">
        <f>SUM(Portfolios!$B$2:$B$320)</f>
        <v>0</v>
      </c>
    </row>
    <row r="321" spans="1:2">
      <c r="A321" s="11">
        <f>Returns!A321</f>
        <v>0</v>
      </c>
      <c r="B321" s="1">
        <f>SUM(Portfolios!$B$2:$B$321)</f>
        <v>0</v>
      </c>
    </row>
    <row r="322" spans="1:2">
      <c r="A322" s="11">
        <f>Returns!A322</f>
        <v>0</v>
      </c>
      <c r="B322" s="1">
        <f>SUM(Portfolios!$B$2:$B$322)</f>
        <v>0</v>
      </c>
    </row>
    <row r="323" spans="1:2">
      <c r="A323" s="11">
        <f>Returns!A323</f>
        <v>0</v>
      </c>
      <c r="B323" s="1">
        <f>SUM(Portfolios!$B$2:$B$323)</f>
        <v>0</v>
      </c>
    </row>
    <row r="324" spans="1:2">
      <c r="A324" s="11">
        <f>Returns!A324</f>
        <v>0</v>
      </c>
      <c r="B324" s="1">
        <f>SUM(Portfolios!$B$2:$B$324)</f>
        <v>0</v>
      </c>
    </row>
    <row r="325" spans="1:2">
      <c r="A325" s="11">
        <f>Returns!A325</f>
        <v>0</v>
      </c>
      <c r="B325" s="1">
        <f>SUM(Portfolios!$B$2:$B$325)</f>
        <v>0</v>
      </c>
    </row>
    <row r="326" spans="1:2">
      <c r="A326" s="11">
        <f>Returns!A326</f>
        <v>0</v>
      </c>
      <c r="B326" s="1">
        <f>SUM(Portfolios!$B$2:$B$326)</f>
        <v>0</v>
      </c>
    </row>
    <row r="327" spans="1:2">
      <c r="A327" s="11">
        <f>Returns!A327</f>
        <v>0</v>
      </c>
      <c r="B327" s="1">
        <f>SUM(Portfolios!$B$2:$B$327)</f>
        <v>0</v>
      </c>
    </row>
    <row r="328" spans="1:2">
      <c r="A328" s="11">
        <f>Returns!A328</f>
        <v>0</v>
      </c>
      <c r="B328" s="1">
        <f>SUM(Portfolios!$B$2:$B$328)</f>
        <v>0</v>
      </c>
    </row>
    <row r="329" spans="1:2">
      <c r="A329" s="11">
        <f>Returns!A329</f>
        <v>0</v>
      </c>
      <c r="B329" s="1">
        <f>SUM(Portfolios!$B$2:$B$329)</f>
        <v>0</v>
      </c>
    </row>
    <row r="330" spans="1:2">
      <c r="A330" s="11">
        <f>Returns!A330</f>
        <v>0</v>
      </c>
      <c r="B330" s="1">
        <f>SUM(Portfolios!$B$2:$B$330)</f>
        <v>0</v>
      </c>
    </row>
    <row r="331" spans="1:2">
      <c r="A331" s="11">
        <f>Returns!A331</f>
        <v>0</v>
      </c>
      <c r="B331" s="1">
        <f>SUM(Portfolios!$B$2:$B$331)</f>
        <v>0</v>
      </c>
    </row>
    <row r="332" spans="1:2">
      <c r="A332" s="11">
        <f>Returns!A332</f>
        <v>0</v>
      </c>
      <c r="B332" s="1">
        <f>SUM(Portfolios!$B$2:$B$332)</f>
        <v>0</v>
      </c>
    </row>
    <row r="333" spans="1:2">
      <c r="A333" s="11">
        <f>Returns!A333</f>
        <v>0</v>
      </c>
      <c r="B333" s="1">
        <f>SUM(Portfolios!$B$2:$B$333)</f>
        <v>0</v>
      </c>
    </row>
    <row r="334" spans="1:2">
      <c r="A334" s="11">
        <f>Returns!A334</f>
        <v>0</v>
      </c>
      <c r="B334" s="1">
        <f>SUM(Portfolios!$B$2:$B$334)</f>
        <v>0</v>
      </c>
    </row>
    <row r="335" spans="1:2">
      <c r="A335" s="11">
        <f>Returns!A335</f>
        <v>0</v>
      </c>
      <c r="B335" s="1">
        <f>SUM(Portfolios!$B$2:$B$335)</f>
        <v>0</v>
      </c>
    </row>
    <row r="336" spans="1:2">
      <c r="A336" s="11">
        <f>Returns!A336</f>
        <v>0</v>
      </c>
      <c r="B336" s="1">
        <f>SUM(Portfolios!$B$2:$B$336)</f>
        <v>0</v>
      </c>
    </row>
    <row r="337" spans="1:2">
      <c r="A337" s="11">
        <f>Returns!A337</f>
        <v>0</v>
      </c>
      <c r="B337" s="1">
        <f>SUM(Portfolios!$B$2:$B$337)</f>
        <v>0</v>
      </c>
    </row>
    <row r="338" spans="1:2">
      <c r="A338" s="11">
        <f>Returns!A338</f>
        <v>0</v>
      </c>
      <c r="B338" s="1">
        <f>SUM(Portfolios!$B$2:$B$338)</f>
        <v>0</v>
      </c>
    </row>
    <row r="339" spans="1:2">
      <c r="A339" s="11">
        <f>Returns!A339</f>
        <v>0</v>
      </c>
      <c r="B339" s="1">
        <f>SUM(Portfolios!$B$2:$B$339)</f>
        <v>0</v>
      </c>
    </row>
    <row r="340" spans="1:2">
      <c r="A340" s="11">
        <f>Returns!A340</f>
        <v>0</v>
      </c>
      <c r="B340" s="1">
        <f>SUM(Portfolios!$B$2:$B$340)</f>
        <v>0</v>
      </c>
    </row>
    <row r="341" spans="1:2">
      <c r="A341" s="11">
        <f>Returns!A341</f>
        <v>0</v>
      </c>
      <c r="B341" s="1">
        <f>SUM(Portfolios!$B$2:$B$341)</f>
        <v>0</v>
      </c>
    </row>
    <row r="342" spans="1:2">
      <c r="A342" s="11">
        <f>Returns!A342</f>
        <v>0</v>
      </c>
      <c r="B342" s="1">
        <f>SUM(Portfolios!$B$2:$B$342)</f>
        <v>0</v>
      </c>
    </row>
    <row r="343" spans="1:2">
      <c r="A343" s="11">
        <f>Returns!A343</f>
        <v>0</v>
      </c>
      <c r="B343" s="1">
        <f>SUM(Portfolios!$B$2:$B$343)</f>
        <v>0</v>
      </c>
    </row>
    <row r="344" spans="1:2">
      <c r="A344" s="11">
        <f>Returns!A344</f>
        <v>0</v>
      </c>
      <c r="B344" s="1">
        <f>SUM(Portfolios!$B$2:$B$344)</f>
        <v>0</v>
      </c>
    </row>
    <row r="345" spans="1:2">
      <c r="A345" s="11">
        <f>Returns!A345</f>
        <v>0</v>
      </c>
      <c r="B345" s="1">
        <f>SUM(Portfolios!$B$2:$B$345)</f>
        <v>0</v>
      </c>
    </row>
    <row r="346" spans="1:2">
      <c r="A346" s="11">
        <f>Returns!A346</f>
        <v>0</v>
      </c>
      <c r="B346" s="1">
        <f>SUM(Portfolios!$B$2:$B$346)</f>
        <v>0</v>
      </c>
    </row>
    <row r="347" spans="1:2">
      <c r="A347" s="11">
        <f>Returns!A347</f>
        <v>0</v>
      </c>
      <c r="B347" s="1">
        <f>SUM(Portfolios!$B$2:$B$347)</f>
        <v>0</v>
      </c>
    </row>
    <row r="348" spans="1:2">
      <c r="A348" s="11">
        <f>Returns!A348</f>
        <v>0</v>
      </c>
      <c r="B348" s="1">
        <f>SUM(Portfolios!$B$2:$B$348)</f>
        <v>0</v>
      </c>
    </row>
    <row r="349" spans="1:2">
      <c r="A349" s="11">
        <f>Returns!A349</f>
        <v>0</v>
      </c>
      <c r="B349" s="1">
        <f>SUM(Portfolios!$B$2:$B$349)</f>
        <v>0</v>
      </c>
    </row>
    <row r="350" spans="1:2">
      <c r="A350" s="11">
        <f>Returns!A350</f>
        <v>0</v>
      </c>
      <c r="B350" s="1">
        <f>SUM(Portfolios!$B$2:$B$350)</f>
        <v>0</v>
      </c>
    </row>
    <row r="351" spans="1:2">
      <c r="A351" s="11">
        <f>Returns!A351</f>
        <v>0</v>
      </c>
      <c r="B351" s="1">
        <f>SUM(Portfolios!$B$2:$B$351)</f>
        <v>0</v>
      </c>
    </row>
    <row r="352" spans="1:2">
      <c r="A352" s="11">
        <f>Returns!A352</f>
        <v>0</v>
      </c>
      <c r="B352" s="1">
        <f>SUM(Portfolios!$B$2:$B$352)</f>
        <v>0</v>
      </c>
    </row>
    <row r="353" spans="1:2">
      <c r="A353" s="11">
        <f>Returns!A353</f>
        <v>0</v>
      </c>
      <c r="B353" s="1">
        <f>SUM(Portfolios!$B$2:$B$353)</f>
        <v>0</v>
      </c>
    </row>
    <row r="354" spans="1:2">
      <c r="A354" s="11">
        <f>Returns!A354</f>
        <v>0</v>
      </c>
      <c r="B354" s="1">
        <f>SUM(Portfolios!$B$2:$B$354)</f>
        <v>0</v>
      </c>
    </row>
    <row r="355" spans="1:2">
      <c r="A355" s="11">
        <f>Returns!A355</f>
        <v>0</v>
      </c>
      <c r="B355" s="1">
        <f>SUM(Portfolios!$B$2:$B$355)</f>
        <v>0</v>
      </c>
    </row>
    <row r="356" spans="1:2">
      <c r="A356" s="11">
        <f>Returns!A356</f>
        <v>0</v>
      </c>
      <c r="B356" s="1">
        <f>SUM(Portfolios!$B$2:$B$356)</f>
        <v>0</v>
      </c>
    </row>
    <row r="357" spans="1:2">
      <c r="A357" s="11">
        <f>Returns!A357</f>
        <v>0</v>
      </c>
      <c r="B357" s="1">
        <f>SUM(Portfolios!$B$2:$B$357)</f>
        <v>0</v>
      </c>
    </row>
    <row r="358" spans="1:2">
      <c r="A358" s="11">
        <f>Returns!A358</f>
        <v>0</v>
      </c>
      <c r="B358" s="1">
        <f>SUM(Portfolios!$B$2:$B$358)</f>
        <v>0</v>
      </c>
    </row>
    <row r="359" spans="1:2">
      <c r="A359" s="11">
        <f>Returns!A359</f>
        <v>0</v>
      </c>
      <c r="B359" s="1">
        <f>SUM(Portfolios!$B$2:$B$359)</f>
        <v>0</v>
      </c>
    </row>
    <row r="360" spans="1:2">
      <c r="A360" s="11">
        <f>Returns!A360</f>
        <v>0</v>
      </c>
      <c r="B360" s="1">
        <f>SUM(Portfolios!$B$2:$B$360)</f>
        <v>0</v>
      </c>
    </row>
    <row r="361" spans="1:2">
      <c r="A361" s="11">
        <f>Returns!A361</f>
        <v>0</v>
      </c>
      <c r="B361" s="1">
        <f>SUM(Portfolios!$B$2:$B$361)</f>
        <v>0</v>
      </c>
    </row>
    <row r="362" spans="1:2">
      <c r="A362" s="11">
        <f>Returns!A362</f>
        <v>0</v>
      </c>
      <c r="B362" s="1">
        <f>SUM(Portfolios!$B$2:$B$362)</f>
        <v>0</v>
      </c>
    </row>
    <row r="363" spans="1:2">
      <c r="A363" s="11">
        <f>Returns!A363</f>
        <v>0</v>
      </c>
      <c r="B363" s="1">
        <f>SUM(Portfolios!$B$2:$B$363)</f>
        <v>0</v>
      </c>
    </row>
    <row r="364" spans="1:2">
      <c r="A364" s="11">
        <f>Returns!A364</f>
        <v>0</v>
      </c>
      <c r="B364" s="1">
        <f>SUM(Portfolios!$B$2:$B$364)</f>
        <v>0</v>
      </c>
    </row>
    <row r="365" spans="1:2">
      <c r="A365" s="11">
        <f>Returns!A365</f>
        <v>0</v>
      </c>
      <c r="B365" s="1">
        <f>SUM(Portfolios!$B$2:$B$365)</f>
        <v>0</v>
      </c>
    </row>
    <row r="366" spans="1:2">
      <c r="A366" s="11">
        <f>Returns!A366</f>
        <v>0</v>
      </c>
      <c r="B366" s="1">
        <f>SUM(Portfolios!$B$2:$B$366)</f>
        <v>0</v>
      </c>
    </row>
    <row r="367" spans="1:2">
      <c r="A367" s="11">
        <f>Returns!A367</f>
        <v>0</v>
      </c>
      <c r="B367" s="1">
        <f>SUM(Portfolios!$B$2:$B$367)</f>
        <v>0</v>
      </c>
    </row>
    <row r="368" spans="1:2">
      <c r="A368" s="11">
        <f>Returns!A368</f>
        <v>0</v>
      </c>
      <c r="B368" s="1">
        <f>SUM(Portfolios!$B$2:$B$368)</f>
        <v>0</v>
      </c>
    </row>
    <row r="369" spans="1:2">
      <c r="A369" s="11">
        <f>Returns!A369</f>
        <v>0</v>
      </c>
      <c r="B369" s="1">
        <f>SUM(Portfolios!$B$2:$B$369)</f>
        <v>0</v>
      </c>
    </row>
    <row r="370" spans="1:2">
      <c r="A370" s="11">
        <f>Returns!A370</f>
        <v>0</v>
      </c>
      <c r="B370" s="1">
        <f>SUM(Portfolios!$B$2:$B$370)</f>
        <v>0</v>
      </c>
    </row>
    <row r="371" spans="1:2">
      <c r="A371" s="11">
        <f>Returns!A371</f>
        <v>0</v>
      </c>
      <c r="B371" s="1">
        <f>SUM(Portfolios!$B$2:$B$371)</f>
        <v>0</v>
      </c>
    </row>
    <row r="372" spans="1:2">
      <c r="A372" s="11">
        <f>Returns!A372</f>
        <v>0</v>
      </c>
      <c r="B372" s="1">
        <f>SUM(Portfolios!$B$2:$B$372)</f>
        <v>0</v>
      </c>
    </row>
    <row r="373" spans="1:2">
      <c r="A373" s="11">
        <f>Returns!A373</f>
        <v>0</v>
      </c>
      <c r="B373" s="1">
        <f>SUM(Portfolios!$B$2:$B$373)</f>
        <v>0</v>
      </c>
    </row>
    <row r="374" spans="1:2">
      <c r="A374" s="11">
        <f>Returns!A374</f>
        <v>0</v>
      </c>
      <c r="B374" s="1">
        <f>SUM(Portfolios!$B$2:$B$374)</f>
        <v>0</v>
      </c>
    </row>
    <row r="375" spans="1:2">
      <c r="A375" s="11">
        <f>Returns!A375</f>
        <v>0</v>
      </c>
      <c r="B375" s="1">
        <f>SUM(Portfolios!$B$2:$B$375)</f>
        <v>0</v>
      </c>
    </row>
    <row r="376" spans="1:2">
      <c r="A376" s="11">
        <f>Returns!A376</f>
        <v>0</v>
      </c>
      <c r="B376" s="1">
        <f>SUM(Portfolios!$B$2:$B$376)</f>
        <v>0</v>
      </c>
    </row>
    <row r="377" spans="1:2">
      <c r="A377" s="11">
        <f>Returns!A377</f>
        <v>0</v>
      </c>
      <c r="B377" s="1">
        <f>SUM(Portfolios!$B$2:$B$377)</f>
        <v>0</v>
      </c>
    </row>
    <row r="378" spans="1:2">
      <c r="A378" s="11">
        <f>Returns!A378</f>
        <v>0</v>
      </c>
      <c r="B378" s="1">
        <f>SUM(Portfolios!$B$2:$B$378)</f>
        <v>0</v>
      </c>
    </row>
    <row r="379" spans="1:2">
      <c r="A379" s="11">
        <f>Returns!A379</f>
        <v>0</v>
      </c>
      <c r="B379" s="1">
        <f>SUM(Portfolios!$B$2:$B$379)</f>
        <v>0</v>
      </c>
    </row>
    <row r="380" spans="1:2">
      <c r="A380" s="11">
        <f>Returns!A380</f>
        <v>0</v>
      </c>
      <c r="B380" s="1">
        <f>SUM(Portfolios!$B$2:$B$380)</f>
        <v>0</v>
      </c>
    </row>
    <row r="381" spans="1:2">
      <c r="A381" s="11">
        <f>Returns!A381</f>
        <v>0</v>
      </c>
      <c r="B381" s="1">
        <f>SUM(Portfolios!$B$2:$B$381)</f>
        <v>0</v>
      </c>
    </row>
    <row r="382" spans="1:2">
      <c r="A382" s="11">
        <f>Returns!A382</f>
        <v>0</v>
      </c>
      <c r="B382" s="1">
        <f>SUM(Portfolios!$B$2:$B$382)</f>
        <v>0</v>
      </c>
    </row>
    <row r="383" spans="1:2">
      <c r="A383" s="11">
        <f>Returns!A383</f>
        <v>0</v>
      </c>
      <c r="B383" s="1">
        <f>SUM(Portfolios!$B$2:$B$383)</f>
        <v>0</v>
      </c>
    </row>
    <row r="384" spans="1:2">
      <c r="A384" s="11">
        <f>Returns!A384</f>
        <v>0</v>
      </c>
      <c r="B384" s="1">
        <f>SUM(Portfolios!$B$2:$B$384)</f>
        <v>0</v>
      </c>
    </row>
    <row r="385" spans="1:2">
      <c r="A385" s="11">
        <f>Returns!A385</f>
        <v>0</v>
      </c>
      <c r="B385" s="1">
        <f>SUM(Portfolios!$B$2:$B$385)</f>
        <v>0</v>
      </c>
    </row>
    <row r="386" spans="1:2">
      <c r="A386" s="11">
        <f>Returns!A386</f>
        <v>0</v>
      </c>
      <c r="B386" s="1">
        <f>SUM(Portfolios!$B$2:$B$386)</f>
        <v>0</v>
      </c>
    </row>
    <row r="387" spans="1:2">
      <c r="A387" s="11">
        <f>Returns!A387</f>
        <v>0</v>
      </c>
      <c r="B387" s="1">
        <f>SUM(Portfolios!$B$2:$B$387)</f>
        <v>0</v>
      </c>
    </row>
    <row r="388" spans="1:2">
      <c r="A388" s="11">
        <f>Returns!A388</f>
        <v>0</v>
      </c>
      <c r="B388" s="1">
        <f>SUM(Portfolios!$B$2:$B$388)</f>
        <v>0</v>
      </c>
    </row>
    <row r="389" spans="1:2">
      <c r="A389" s="11">
        <f>Returns!A389</f>
        <v>0</v>
      </c>
      <c r="B389" s="1">
        <f>SUM(Portfolios!$B$2:$B$389)</f>
        <v>0</v>
      </c>
    </row>
    <row r="390" spans="1:2">
      <c r="A390" s="11">
        <f>Returns!A390</f>
        <v>0</v>
      </c>
      <c r="B390" s="1">
        <f>SUM(Portfolios!$B$2:$B$390)</f>
        <v>0</v>
      </c>
    </row>
    <row r="391" spans="1:2">
      <c r="A391" s="11">
        <f>Returns!A391</f>
        <v>0</v>
      </c>
      <c r="B391" s="1">
        <f>SUM(Portfolios!$B$2:$B$391)</f>
        <v>0</v>
      </c>
    </row>
    <row r="392" spans="1:2">
      <c r="A392" s="11">
        <f>Returns!A392</f>
        <v>0</v>
      </c>
      <c r="B392" s="1">
        <f>SUM(Portfolios!$B$2:$B$392)</f>
        <v>0</v>
      </c>
    </row>
    <row r="393" spans="1:2">
      <c r="A393" s="11">
        <f>Returns!A393</f>
        <v>0</v>
      </c>
      <c r="B393" s="1">
        <f>SUM(Portfolios!$B$2:$B$393)</f>
        <v>0</v>
      </c>
    </row>
    <row r="394" spans="1:2">
      <c r="A394" s="11">
        <f>Returns!A394</f>
        <v>0</v>
      </c>
      <c r="B394" s="1">
        <f>SUM(Portfolios!$B$2:$B$394)</f>
        <v>0</v>
      </c>
    </row>
    <row r="395" spans="1:2">
      <c r="A395" s="11">
        <f>Returns!A395</f>
        <v>0</v>
      </c>
      <c r="B395" s="1">
        <f>SUM(Portfolios!$B$2:$B$395)</f>
        <v>0</v>
      </c>
    </row>
    <row r="396" spans="1:2">
      <c r="A396" s="11">
        <f>Returns!A396</f>
        <v>0</v>
      </c>
      <c r="B396" s="1">
        <f>SUM(Portfolios!$B$2:$B$396)</f>
        <v>0</v>
      </c>
    </row>
    <row r="397" spans="1:2">
      <c r="A397" s="11">
        <f>Returns!A397</f>
        <v>0</v>
      </c>
      <c r="B397" s="1">
        <f>SUM(Portfolios!$B$2:$B$397)</f>
        <v>0</v>
      </c>
    </row>
    <row r="398" spans="1:2">
      <c r="A398" s="11">
        <f>Returns!A398</f>
        <v>0</v>
      </c>
      <c r="B398" s="1">
        <f>SUM(Portfolios!$B$2:$B$398)</f>
        <v>0</v>
      </c>
    </row>
    <row r="399" spans="1:2">
      <c r="A399" s="11">
        <f>Returns!A399</f>
        <v>0</v>
      </c>
      <c r="B399" s="1">
        <f>SUM(Portfolios!$B$2:$B$399)</f>
        <v>0</v>
      </c>
    </row>
    <row r="400" spans="1:2">
      <c r="A400" s="11">
        <f>Returns!A400</f>
        <v>0</v>
      </c>
      <c r="B400" s="1">
        <f>SUM(Portfolios!$B$2:$B$400)</f>
        <v>0</v>
      </c>
    </row>
    <row r="401" spans="1:2">
      <c r="A401" s="11">
        <f>Returns!A401</f>
        <v>0</v>
      </c>
      <c r="B401" s="1">
        <f>SUM(Portfolios!$B$2:$B$401)</f>
        <v>0</v>
      </c>
    </row>
    <row r="402" spans="1:2">
      <c r="A402" s="11">
        <f>Returns!A402</f>
        <v>0</v>
      </c>
      <c r="B402" s="1">
        <f>SUM(Portfolios!$B$2:$B$402)</f>
        <v>0</v>
      </c>
    </row>
    <row r="403" spans="1:2">
      <c r="A403" s="11">
        <f>Returns!A403</f>
        <v>0</v>
      </c>
      <c r="B403" s="1">
        <f>SUM(Portfolios!$B$2:$B$403)</f>
        <v>0</v>
      </c>
    </row>
    <row r="404" spans="1:2">
      <c r="A404" s="11">
        <f>Returns!A404</f>
        <v>0</v>
      </c>
      <c r="B404" s="1">
        <f>SUM(Portfolios!$B$2:$B$404)</f>
        <v>0</v>
      </c>
    </row>
    <row r="405" spans="1:2">
      <c r="A405" s="11">
        <f>Returns!A405</f>
        <v>0</v>
      </c>
      <c r="B405" s="1">
        <f>SUM(Portfolios!$B$2:$B$405)</f>
        <v>0</v>
      </c>
    </row>
    <row r="406" spans="1:2">
      <c r="A406" s="11">
        <f>Returns!A406</f>
        <v>0</v>
      </c>
      <c r="B406" s="1">
        <f>SUM(Portfolios!$B$2:$B$406)</f>
        <v>0</v>
      </c>
    </row>
    <row r="407" spans="1:2">
      <c r="A407" s="11">
        <f>Returns!A407</f>
        <v>0</v>
      </c>
      <c r="B407" s="1">
        <f>SUM(Portfolios!$B$2:$B$407)</f>
        <v>0</v>
      </c>
    </row>
    <row r="408" spans="1:2">
      <c r="A408" s="11">
        <f>Returns!A408</f>
        <v>0</v>
      </c>
      <c r="B408" s="1">
        <f>SUM(Portfolios!$B$2:$B$408)</f>
        <v>0</v>
      </c>
    </row>
    <row r="409" spans="1:2">
      <c r="A409" s="11">
        <f>Returns!A409</f>
        <v>0</v>
      </c>
      <c r="B409" s="1">
        <f>SUM(Portfolios!$B$2:$B$409)</f>
        <v>0</v>
      </c>
    </row>
    <row r="410" spans="1:2">
      <c r="A410" s="11">
        <f>Returns!A410</f>
        <v>0</v>
      </c>
      <c r="B410" s="1">
        <f>SUM(Portfolios!$B$2:$B$410)</f>
        <v>0</v>
      </c>
    </row>
    <row r="411" spans="1:2">
      <c r="A411" s="11">
        <f>Returns!A411</f>
        <v>0</v>
      </c>
      <c r="B411" s="1">
        <f>SUM(Portfolios!$B$2:$B$411)</f>
        <v>0</v>
      </c>
    </row>
    <row r="412" spans="1:2">
      <c r="A412" s="11">
        <f>Returns!A412</f>
        <v>0</v>
      </c>
      <c r="B412" s="1">
        <f>SUM(Portfolios!$B$2:$B$412)</f>
        <v>0</v>
      </c>
    </row>
    <row r="413" spans="1:2">
      <c r="A413" s="11">
        <f>Returns!A413</f>
        <v>0</v>
      </c>
      <c r="B413" s="1">
        <f>SUM(Portfolios!$B$2:$B$413)</f>
        <v>0</v>
      </c>
    </row>
    <row r="414" spans="1:2">
      <c r="A414" s="11">
        <f>Returns!A414</f>
        <v>0</v>
      </c>
      <c r="B414" s="1">
        <f>SUM(Portfolios!$B$2:$B$414)</f>
        <v>0</v>
      </c>
    </row>
    <row r="415" spans="1:2">
      <c r="A415" s="11">
        <f>Returns!A415</f>
        <v>0</v>
      </c>
      <c r="B415" s="1">
        <f>SUM(Portfolios!$B$2:$B$415)</f>
        <v>0</v>
      </c>
    </row>
    <row r="416" spans="1:2">
      <c r="A416" s="11">
        <f>Returns!A416</f>
        <v>0</v>
      </c>
      <c r="B416" s="1">
        <f>SUM(Portfolios!$B$2:$B$416)</f>
        <v>0</v>
      </c>
    </row>
    <row r="417" spans="1:2">
      <c r="A417" s="11">
        <f>Returns!A417</f>
        <v>0</v>
      </c>
      <c r="B417" s="1">
        <f>SUM(Portfolios!$B$2:$B$417)</f>
        <v>0</v>
      </c>
    </row>
    <row r="418" spans="1:2">
      <c r="A418" s="11">
        <f>Returns!A418</f>
        <v>0</v>
      </c>
      <c r="B418" s="1">
        <f>SUM(Portfolios!$B$2:$B$418)</f>
        <v>0</v>
      </c>
    </row>
    <row r="419" spans="1:2">
      <c r="A419" s="11">
        <f>Returns!A419</f>
        <v>0</v>
      </c>
      <c r="B419" s="1">
        <f>SUM(Portfolios!$B$2:$B$419)</f>
        <v>0</v>
      </c>
    </row>
    <row r="420" spans="1:2">
      <c r="A420" s="11">
        <f>Returns!A420</f>
        <v>0</v>
      </c>
      <c r="B420" s="1">
        <f>SUM(Portfolios!$B$2:$B$420)</f>
        <v>0</v>
      </c>
    </row>
    <row r="421" spans="1:2">
      <c r="A421" s="11">
        <f>Returns!A421</f>
        <v>0</v>
      </c>
      <c r="B421" s="1">
        <f>SUM(Portfolios!$B$2:$B$421)</f>
        <v>0</v>
      </c>
    </row>
    <row r="422" spans="1:2">
      <c r="A422" s="11">
        <f>Returns!A422</f>
        <v>0</v>
      </c>
      <c r="B422" s="1">
        <f>SUM(Portfolios!$B$2:$B$422)</f>
        <v>0</v>
      </c>
    </row>
    <row r="423" spans="1:2">
      <c r="A423" s="11">
        <f>Returns!A423</f>
        <v>0</v>
      </c>
      <c r="B423" s="1">
        <f>SUM(Portfolios!$B$2:$B$423)</f>
        <v>0</v>
      </c>
    </row>
    <row r="424" spans="1:2">
      <c r="A424" s="11">
        <f>Returns!A424</f>
        <v>0</v>
      </c>
      <c r="B424" s="1">
        <f>SUM(Portfolios!$B$2:$B$424)</f>
        <v>0</v>
      </c>
    </row>
    <row r="425" spans="1:2">
      <c r="A425" s="11">
        <f>Returns!A425</f>
        <v>0</v>
      </c>
      <c r="B425" s="1">
        <f>SUM(Portfolios!$B$2:$B$425)</f>
        <v>0</v>
      </c>
    </row>
    <row r="426" spans="1:2">
      <c r="A426" s="11">
        <f>Returns!A426</f>
        <v>0</v>
      </c>
      <c r="B426" s="1">
        <f>SUM(Portfolios!$B$2:$B$426)</f>
        <v>0</v>
      </c>
    </row>
    <row r="427" spans="1:2">
      <c r="A427" s="11">
        <f>Returns!A427</f>
        <v>0</v>
      </c>
      <c r="B427" s="1">
        <f>SUM(Portfolios!$B$2:$B$427)</f>
        <v>0</v>
      </c>
    </row>
    <row r="428" spans="1:2">
      <c r="A428" s="11">
        <f>Returns!A428</f>
        <v>0</v>
      </c>
      <c r="B428" s="1">
        <f>SUM(Portfolios!$B$2:$B$428)</f>
        <v>0</v>
      </c>
    </row>
    <row r="429" spans="1:2">
      <c r="A429" s="11">
        <f>Returns!A429</f>
        <v>0</v>
      </c>
      <c r="B429" s="1">
        <f>SUM(Portfolios!$B$2:$B$429)</f>
        <v>0</v>
      </c>
    </row>
    <row r="430" spans="1:2">
      <c r="A430" s="11">
        <f>Returns!A430</f>
        <v>0</v>
      </c>
      <c r="B430" s="1">
        <f>SUM(Portfolios!$B$2:$B$430)</f>
        <v>0</v>
      </c>
    </row>
    <row r="431" spans="1:2">
      <c r="A431" s="11">
        <f>Returns!A431</f>
        <v>0</v>
      </c>
      <c r="B431" s="1">
        <f>SUM(Portfolios!$B$2:$B$431)</f>
        <v>0</v>
      </c>
    </row>
    <row r="432" spans="1:2">
      <c r="A432" s="11">
        <f>Returns!A432</f>
        <v>0</v>
      </c>
      <c r="B432" s="1">
        <f>SUM(Portfolios!$B$2:$B$432)</f>
        <v>0</v>
      </c>
    </row>
    <row r="433" spans="1:2">
      <c r="A433" s="11">
        <f>Returns!A433</f>
        <v>0</v>
      </c>
      <c r="B433" s="1">
        <f>SUM(Portfolios!$B$2:$B$433)</f>
        <v>0</v>
      </c>
    </row>
    <row r="434" spans="1:2">
      <c r="A434" s="11">
        <f>Returns!A434</f>
        <v>0</v>
      </c>
      <c r="B434" s="1">
        <f>SUM(Portfolios!$B$2:$B$434)</f>
        <v>0</v>
      </c>
    </row>
    <row r="435" spans="1:2">
      <c r="A435" s="11">
        <f>Returns!A435</f>
        <v>0</v>
      </c>
      <c r="B435" s="1">
        <f>SUM(Portfolios!$B$2:$B$435)</f>
        <v>0</v>
      </c>
    </row>
    <row r="436" spans="1:2">
      <c r="A436" s="11">
        <f>Returns!A436</f>
        <v>0</v>
      </c>
      <c r="B436" s="1">
        <f>SUM(Portfolios!$B$2:$B$436)</f>
        <v>0</v>
      </c>
    </row>
    <row r="437" spans="1:2">
      <c r="A437" s="11">
        <f>Returns!A437</f>
        <v>0</v>
      </c>
      <c r="B437" s="1">
        <f>SUM(Portfolios!$B$2:$B$437)</f>
        <v>0</v>
      </c>
    </row>
    <row r="438" spans="1:2">
      <c r="A438" s="11">
        <f>Returns!A438</f>
        <v>0</v>
      </c>
      <c r="B438" s="1">
        <f>SUM(Portfolios!$B$2:$B$438)</f>
        <v>0</v>
      </c>
    </row>
    <row r="439" spans="1:2">
      <c r="A439" s="11">
        <f>Returns!A439</f>
        <v>0</v>
      </c>
      <c r="B439" s="1">
        <f>SUM(Portfolios!$B$2:$B$439)</f>
        <v>0</v>
      </c>
    </row>
    <row r="440" spans="1:2">
      <c r="A440" s="11">
        <f>Returns!A440</f>
        <v>0</v>
      </c>
      <c r="B440" s="1">
        <f>SUM(Portfolios!$B$2:$B$440)</f>
        <v>0</v>
      </c>
    </row>
    <row r="441" spans="1:2">
      <c r="A441" s="11">
        <f>Returns!A441</f>
        <v>0</v>
      </c>
      <c r="B441" s="1">
        <f>SUM(Portfolios!$B$2:$B$441)</f>
        <v>0</v>
      </c>
    </row>
    <row r="442" spans="1:2">
      <c r="A442" s="11">
        <f>Returns!A442</f>
        <v>0</v>
      </c>
      <c r="B442" s="1">
        <f>SUM(Portfolios!$B$2:$B$442)</f>
        <v>0</v>
      </c>
    </row>
    <row r="443" spans="1:2">
      <c r="A443" s="11">
        <f>Returns!A443</f>
        <v>0</v>
      </c>
      <c r="B443" s="1">
        <f>SUM(Portfolios!$B$2:$B$443)</f>
        <v>0</v>
      </c>
    </row>
    <row r="444" spans="1:2">
      <c r="A444" s="11">
        <f>Returns!A444</f>
        <v>0</v>
      </c>
      <c r="B444" s="1">
        <f>SUM(Portfolios!$B$2:$B$444)</f>
        <v>0</v>
      </c>
    </row>
    <row r="445" spans="1:2">
      <c r="A445" s="11">
        <f>Returns!A445</f>
        <v>0</v>
      </c>
      <c r="B445" s="1">
        <f>SUM(Portfolios!$B$2:$B$445)</f>
        <v>0</v>
      </c>
    </row>
    <row r="446" spans="1:2">
      <c r="A446" s="11">
        <f>Returns!A446</f>
        <v>0</v>
      </c>
      <c r="B446" s="1">
        <f>SUM(Portfolios!$B$2:$B$446)</f>
        <v>0</v>
      </c>
    </row>
    <row r="447" spans="1:2">
      <c r="A447" s="11">
        <f>Returns!A447</f>
        <v>0</v>
      </c>
      <c r="B447" s="1">
        <f>SUM(Portfolios!$B$2:$B$447)</f>
        <v>0</v>
      </c>
    </row>
    <row r="448" spans="1:2">
      <c r="A448" s="11">
        <f>Returns!A448</f>
        <v>0</v>
      </c>
      <c r="B448" s="1">
        <f>SUM(Portfolios!$B$2:$B$448)</f>
        <v>0</v>
      </c>
    </row>
    <row r="449" spans="1:2">
      <c r="A449" s="11">
        <f>Returns!A449</f>
        <v>0</v>
      </c>
      <c r="B449" s="1">
        <f>SUM(Portfolios!$B$2:$B$449)</f>
        <v>0</v>
      </c>
    </row>
    <row r="450" spans="1:2">
      <c r="A450" s="11">
        <f>Returns!A450</f>
        <v>0</v>
      </c>
      <c r="B450" s="1">
        <f>SUM(Portfolios!$B$2:$B$450)</f>
        <v>0</v>
      </c>
    </row>
    <row r="451" spans="1:2">
      <c r="A451" s="11">
        <f>Returns!A451</f>
        <v>0</v>
      </c>
      <c r="B451" s="1">
        <f>SUM(Portfolios!$B$2:$B$451)</f>
        <v>0</v>
      </c>
    </row>
    <row r="452" spans="1:2">
      <c r="A452" s="11">
        <f>Returns!A452</f>
        <v>0</v>
      </c>
      <c r="B452" s="1">
        <f>SUM(Portfolios!$B$2:$B$452)</f>
        <v>0</v>
      </c>
    </row>
    <row r="453" spans="1:2">
      <c r="A453" s="11">
        <f>Returns!A453</f>
        <v>0</v>
      </c>
      <c r="B453" s="1">
        <f>SUM(Portfolios!$B$2:$B$453)</f>
        <v>0</v>
      </c>
    </row>
    <row r="454" spans="1:2">
      <c r="A454" s="11">
        <f>Returns!A454</f>
        <v>0</v>
      </c>
      <c r="B454" s="1">
        <f>SUM(Portfolios!$B$2:$B$454)</f>
        <v>0</v>
      </c>
    </row>
    <row r="455" spans="1:2">
      <c r="A455" s="11">
        <f>Returns!A455</f>
        <v>0</v>
      </c>
      <c r="B455" s="1">
        <f>SUM(Portfolios!$B$2:$B$455)</f>
        <v>0</v>
      </c>
    </row>
    <row r="456" spans="1:2">
      <c r="A456" s="11">
        <f>Returns!A456</f>
        <v>0</v>
      </c>
      <c r="B456" s="1">
        <f>SUM(Portfolios!$B$2:$B$456)</f>
        <v>0</v>
      </c>
    </row>
    <row r="457" spans="1:2">
      <c r="A457" s="11">
        <f>Returns!A457</f>
        <v>0</v>
      </c>
      <c r="B457" s="1">
        <f>SUM(Portfolios!$B$2:$B$457)</f>
        <v>0</v>
      </c>
    </row>
    <row r="458" spans="1:2">
      <c r="A458" s="11">
        <f>Returns!A458</f>
        <v>0</v>
      </c>
      <c r="B458" s="1">
        <f>SUM(Portfolios!$B$2:$B$458)</f>
        <v>0</v>
      </c>
    </row>
    <row r="459" spans="1:2">
      <c r="A459" s="11">
        <f>Returns!A459</f>
        <v>0</v>
      </c>
      <c r="B459" s="1">
        <f>SUM(Portfolios!$B$2:$B$459)</f>
        <v>0</v>
      </c>
    </row>
    <row r="460" spans="1:2">
      <c r="A460" s="11">
        <f>Returns!A460</f>
        <v>0</v>
      </c>
      <c r="B460" s="1">
        <f>SUM(Portfolios!$B$2:$B$460)</f>
        <v>0</v>
      </c>
    </row>
    <row r="461" spans="1:2">
      <c r="A461" s="11">
        <f>Returns!A461</f>
        <v>0</v>
      </c>
      <c r="B461" s="1">
        <f>SUM(Portfolios!$B$2:$B$461)</f>
        <v>0</v>
      </c>
    </row>
    <row r="462" spans="1:2">
      <c r="A462" s="11">
        <f>Returns!A462</f>
        <v>0</v>
      </c>
      <c r="B462" s="1">
        <f>SUM(Portfolios!$B$2:$B$462)</f>
        <v>0</v>
      </c>
    </row>
    <row r="463" spans="1:2">
      <c r="A463" s="11">
        <f>Returns!A463</f>
        <v>0</v>
      </c>
      <c r="B463" s="1">
        <f>SUM(Portfolios!$B$2:$B$463)</f>
        <v>0</v>
      </c>
    </row>
    <row r="464" spans="1:2">
      <c r="A464" s="11">
        <f>Returns!A464</f>
        <v>0</v>
      </c>
      <c r="B464" s="1">
        <f>SUM(Portfolios!$B$2:$B$464)</f>
        <v>0</v>
      </c>
    </row>
    <row r="465" spans="1:2">
      <c r="A465" s="11">
        <f>Returns!A465</f>
        <v>0</v>
      </c>
      <c r="B465" s="1">
        <f>SUM(Portfolios!$B$2:$B$465)</f>
        <v>0</v>
      </c>
    </row>
    <row r="466" spans="1:2">
      <c r="A466" s="11">
        <f>Returns!A466</f>
        <v>0</v>
      </c>
      <c r="B466" s="1">
        <f>SUM(Portfolios!$B$2:$B$466)</f>
        <v>0</v>
      </c>
    </row>
    <row r="467" spans="1:2">
      <c r="A467" s="11">
        <f>Returns!A467</f>
        <v>0</v>
      </c>
      <c r="B467" s="1">
        <f>SUM(Portfolios!$B$2:$B$467)</f>
        <v>0</v>
      </c>
    </row>
    <row r="468" spans="1:2">
      <c r="A468" s="11">
        <f>Returns!A468</f>
        <v>0</v>
      </c>
      <c r="B468" s="1">
        <f>SUM(Portfolios!$B$2:$B$468)</f>
        <v>0</v>
      </c>
    </row>
    <row r="469" spans="1:2">
      <c r="A469" s="11">
        <f>Returns!A469</f>
        <v>0</v>
      </c>
      <c r="B469" s="1">
        <f>SUM(Portfolios!$B$2:$B$469)</f>
        <v>0</v>
      </c>
    </row>
    <row r="470" spans="1:2">
      <c r="A470" s="11">
        <f>Returns!A470</f>
        <v>0</v>
      </c>
      <c r="B470" s="1">
        <f>SUM(Portfolios!$B$2:$B$470)</f>
        <v>0</v>
      </c>
    </row>
    <row r="471" spans="1:2">
      <c r="A471" s="11">
        <f>Returns!A471</f>
        <v>0</v>
      </c>
      <c r="B471" s="1">
        <f>SUM(Portfolios!$B$2:$B$471)</f>
        <v>0</v>
      </c>
    </row>
    <row r="472" spans="1:2">
      <c r="A472" s="11">
        <f>Returns!A472</f>
        <v>0</v>
      </c>
      <c r="B472" s="1">
        <f>SUM(Portfolios!$B$2:$B$472)</f>
        <v>0</v>
      </c>
    </row>
    <row r="473" spans="1:2">
      <c r="A473" s="11">
        <f>Returns!A473</f>
        <v>0</v>
      </c>
      <c r="B473" s="1">
        <f>SUM(Portfolios!$B$2:$B$473)</f>
        <v>0</v>
      </c>
    </row>
    <row r="474" spans="1:2">
      <c r="A474" s="11">
        <f>Returns!A474</f>
        <v>0</v>
      </c>
      <c r="B474" s="1">
        <f>SUM(Portfolios!$B$2:$B$474)</f>
        <v>0</v>
      </c>
    </row>
    <row r="475" spans="1:2">
      <c r="A475" s="11">
        <f>Returns!A475</f>
        <v>0</v>
      </c>
      <c r="B475" s="1">
        <f>SUM(Portfolios!$B$2:$B$475)</f>
        <v>0</v>
      </c>
    </row>
    <row r="476" spans="1:2">
      <c r="A476" s="11">
        <f>Returns!A476</f>
        <v>0</v>
      </c>
      <c r="B476" s="1">
        <f>SUM(Portfolios!$B$2:$B$476)</f>
        <v>0</v>
      </c>
    </row>
    <row r="477" spans="1:2">
      <c r="A477" s="11">
        <f>Returns!A477</f>
        <v>0</v>
      </c>
      <c r="B477" s="1">
        <f>SUM(Portfolios!$B$2:$B$477)</f>
        <v>0</v>
      </c>
    </row>
    <row r="478" spans="1:2">
      <c r="A478" s="11">
        <f>Returns!A478</f>
        <v>0</v>
      </c>
      <c r="B478" s="1">
        <f>SUM(Portfolios!$B$2:$B$478)</f>
        <v>0</v>
      </c>
    </row>
    <row r="479" spans="1:2">
      <c r="A479" s="11">
        <f>Returns!A479</f>
        <v>0</v>
      </c>
      <c r="B479" s="1">
        <f>SUM(Portfolios!$B$2:$B$479)</f>
        <v>0</v>
      </c>
    </row>
    <row r="480" spans="1:2">
      <c r="A480" s="11">
        <f>Returns!A480</f>
        <v>0</v>
      </c>
      <c r="B480" s="1">
        <f>SUM(Portfolios!$B$2:$B$480)</f>
        <v>0</v>
      </c>
    </row>
    <row r="481" spans="1:2">
      <c r="A481" s="11">
        <f>Returns!A481</f>
        <v>0</v>
      </c>
      <c r="B481" s="1">
        <f>SUM(Portfolios!$B$2:$B$481)</f>
        <v>0</v>
      </c>
    </row>
    <row r="482" spans="1:2">
      <c r="A482" s="11">
        <f>Returns!A482</f>
        <v>0</v>
      </c>
      <c r="B482" s="1">
        <f>SUM(Portfolios!$B$2:$B$482)</f>
        <v>0</v>
      </c>
    </row>
    <row r="483" spans="1:2">
      <c r="A483" s="11">
        <f>Returns!A483</f>
        <v>0</v>
      </c>
      <c r="B483" s="1">
        <f>SUM(Portfolios!$B$2:$B$483)</f>
        <v>0</v>
      </c>
    </row>
    <row r="484" spans="1:2">
      <c r="A484" s="11">
        <f>Returns!A484</f>
        <v>0</v>
      </c>
      <c r="B484" s="1">
        <f>SUM(Portfolios!$B$2:$B$484)</f>
        <v>0</v>
      </c>
    </row>
    <row r="485" spans="1:2">
      <c r="A485" s="11">
        <f>Returns!A485</f>
        <v>0</v>
      </c>
      <c r="B485" s="1">
        <f>SUM(Portfolios!$B$2:$B$485)</f>
        <v>0</v>
      </c>
    </row>
    <row r="486" spans="1:2">
      <c r="A486" s="11">
        <f>Returns!A486</f>
        <v>0</v>
      </c>
      <c r="B486" s="1">
        <f>SUM(Portfolios!$B$2:$B$486)</f>
        <v>0</v>
      </c>
    </row>
    <row r="487" spans="1:2">
      <c r="A487" s="11">
        <f>Returns!A487</f>
        <v>0</v>
      </c>
      <c r="B487" s="1">
        <f>SUM(Portfolios!$B$2:$B$487)</f>
        <v>0</v>
      </c>
    </row>
    <row r="488" spans="1:2">
      <c r="A488" s="11">
        <f>Returns!A488</f>
        <v>0</v>
      </c>
      <c r="B488" s="1">
        <f>SUM(Portfolios!$B$2:$B$488)</f>
        <v>0</v>
      </c>
    </row>
    <row r="489" spans="1:2">
      <c r="A489" s="11">
        <f>Returns!A489</f>
        <v>0</v>
      </c>
      <c r="B489" s="1">
        <f>SUM(Portfolios!$B$2:$B$489)</f>
        <v>0</v>
      </c>
    </row>
    <row r="490" spans="1:2">
      <c r="A490" s="11">
        <f>Returns!A490</f>
        <v>0</v>
      </c>
      <c r="B490" s="1">
        <f>SUM(Portfolios!$B$2:$B$490)</f>
        <v>0</v>
      </c>
    </row>
    <row r="491" spans="1:2">
      <c r="A491" s="11">
        <f>Returns!A491</f>
        <v>0</v>
      </c>
      <c r="B491" s="1">
        <f>SUM(Portfolios!$B$2:$B$491)</f>
        <v>0</v>
      </c>
    </row>
    <row r="492" spans="1:2">
      <c r="A492" s="11">
        <f>Returns!A492</f>
        <v>0</v>
      </c>
      <c r="B492" s="1">
        <f>SUM(Portfolios!$B$2:$B$492)</f>
        <v>0</v>
      </c>
    </row>
    <row r="493" spans="1:2">
      <c r="A493" s="11">
        <f>Returns!A493</f>
        <v>0</v>
      </c>
      <c r="B493" s="1">
        <f>SUM(Portfolios!$B$2:$B$493)</f>
        <v>0</v>
      </c>
    </row>
    <row r="494" spans="1:2">
      <c r="A494" s="11">
        <f>Returns!A494</f>
        <v>0</v>
      </c>
      <c r="B494" s="1">
        <f>SUM(Portfolios!$B$2:$B$494)</f>
        <v>0</v>
      </c>
    </row>
    <row r="495" spans="1:2">
      <c r="A495" s="11">
        <f>Returns!A495</f>
        <v>0</v>
      </c>
      <c r="B495" s="1">
        <f>SUM(Portfolios!$B$2:$B$495)</f>
        <v>0</v>
      </c>
    </row>
    <row r="496" spans="1:2">
      <c r="A496" s="11">
        <f>Returns!A496</f>
        <v>0</v>
      </c>
      <c r="B496" s="1">
        <f>SUM(Portfolios!$B$2:$B$496)</f>
        <v>0</v>
      </c>
    </row>
    <row r="497" spans="1:2">
      <c r="A497" s="11">
        <f>Returns!A497</f>
        <v>0</v>
      </c>
      <c r="B497" s="1">
        <f>SUM(Portfolios!$B$2:$B$497)</f>
        <v>0</v>
      </c>
    </row>
    <row r="498" spans="1:2">
      <c r="A498" s="11">
        <f>Returns!A498</f>
        <v>0</v>
      </c>
      <c r="B498" s="1">
        <f>SUM(Portfolios!$B$2:$B$498)</f>
        <v>0</v>
      </c>
    </row>
    <row r="499" spans="1:2">
      <c r="A499" s="11">
        <f>Returns!A499</f>
        <v>0</v>
      </c>
      <c r="B499" s="1">
        <f>SUM(Portfolios!$B$2:$B$499)</f>
        <v>0</v>
      </c>
    </row>
    <row r="500" spans="1:2">
      <c r="A500" s="11">
        <f>Returns!A500</f>
        <v>0</v>
      </c>
      <c r="B500" s="1">
        <f>SUM(Portfolios!$B$2:$B$500)</f>
        <v>0</v>
      </c>
    </row>
    <row r="501" spans="1:2">
      <c r="A501" s="11">
        <f>Returns!A501</f>
        <v>0</v>
      </c>
      <c r="B501" s="1">
        <f>SUM(Portfolios!$B$2:$B$501)</f>
        <v>0</v>
      </c>
    </row>
    <row r="502" spans="1:2">
      <c r="A502" s="11">
        <f>Returns!A502</f>
        <v>0</v>
      </c>
      <c r="B502" s="1">
        <f>SUM(Portfolios!$B$2:$B$502)</f>
        <v>0</v>
      </c>
    </row>
    <row r="503" spans="1:2">
      <c r="A503" s="11">
        <f>Returns!A503</f>
        <v>0</v>
      </c>
      <c r="B503" s="1">
        <f>SUM(Portfolios!$B$2:$B$503)</f>
        <v>0</v>
      </c>
    </row>
    <row r="504" spans="1:2">
      <c r="A504" s="11">
        <f>Returns!A504</f>
        <v>0</v>
      </c>
      <c r="B504" s="1">
        <f>SUM(Portfolios!$B$2:$B$504)</f>
        <v>0</v>
      </c>
    </row>
    <row r="505" spans="1:2">
      <c r="A505" s="11">
        <f>Returns!A505</f>
        <v>0</v>
      </c>
      <c r="B505" s="1">
        <f>SUM(Portfolios!$B$2:$B$505)</f>
        <v>0</v>
      </c>
    </row>
    <row r="506" spans="1:2">
      <c r="A506" s="11">
        <f>Returns!A506</f>
        <v>0</v>
      </c>
      <c r="B506" s="1">
        <f>SUM(Portfolios!$B$2:$B$506)</f>
        <v>0</v>
      </c>
    </row>
    <row r="507" spans="1:2">
      <c r="A507" s="11">
        <f>Returns!A507</f>
        <v>0</v>
      </c>
      <c r="B507" s="1">
        <f>SUM(Portfolios!$B$2:$B$507)</f>
        <v>0</v>
      </c>
    </row>
    <row r="508" spans="1:2">
      <c r="A508" s="11">
        <f>Returns!A508</f>
        <v>0</v>
      </c>
      <c r="B508" s="1">
        <f>SUM(Portfolios!$B$2:$B$508)</f>
        <v>0</v>
      </c>
    </row>
    <row r="509" spans="1:2">
      <c r="A509" s="11">
        <f>Returns!A509</f>
        <v>0</v>
      </c>
      <c r="B509" s="1">
        <f>SUM(Portfolios!$B$2:$B$509)</f>
        <v>0</v>
      </c>
    </row>
    <row r="510" spans="1:2">
      <c r="A510" s="11">
        <f>Returns!A510</f>
        <v>0</v>
      </c>
      <c r="B510" s="1">
        <f>SUM(Portfolios!$B$2:$B$510)</f>
        <v>0</v>
      </c>
    </row>
    <row r="511" spans="1:2">
      <c r="A511" s="11">
        <f>Returns!A511</f>
        <v>0</v>
      </c>
      <c r="B511" s="1">
        <f>SUM(Portfolios!$B$2:$B$511)</f>
        <v>0</v>
      </c>
    </row>
    <row r="512" spans="1:2">
      <c r="A512" s="11">
        <f>Returns!A512</f>
        <v>0</v>
      </c>
      <c r="B512" s="1">
        <f>SUM(Portfolios!$B$2:$B$512)</f>
        <v>0</v>
      </c>
    </row>
    <row r="513" spans="1:2">
      <c r="A513" s="11">
        <f>Returns!A513</f>
        <v>0</v>
      </c>
      <c r="B513" s="1">
        <f>SUM(Portfolios!$B$2:$B$513)</f>
        <v>0</v>
      </c>
    </row>
    <row r="514" spans="1:2">
      <c r="A514" s="11">
        <f>Returns!A514</f>
        <v>0</v>
      </c>
      <c r="B514" s="1">
        <f>SUM(Portfolios!$B$2:$B$514)</f>
        <v>0</v>
      </c>
    </row>
    <row r="515" spans="1:2">
      <c r="A515" s="11">
        <f>Returns!A515</f>
        <v>0</v>
      </c>
      <c r="B515" s="1">
        <f>SUM(Portfolios!$B$2:$B$515)</f>
        <v>0</v>
      </c>
    </row>
    <row r="516" spans="1:2">
      <c r="A516" s="11">
        <f>Returns!A516</f>
        <v>0</v>
      </c>
      <c r="B516" s="1">
        <f>SUM(Portfolios!$B$2:$B$516)</f>
        <v>0</v>
      </c>
    </row>
    <row r="517" spans="1:2">
      <c r="A517" s="11">
        <f>Returns!A517</f>
        <v>0</v>
      </c>
      <c r="B517" s="1">
        <f>SUM(Portfolios!$B$2:$B$517)</f>
        <v>0</v>
      </c>
    </row>
    <row r="518" spans="1:2">
      <c r="A518" s="11">
        <f>Returns!A518</f>
        <v>0</v>
      </c>
      <c r="B518" s="1">
        <f>SUM(Portfolios!$B$2:$B$518)</f>
        <v>0</v>
      </c>
    </row>
    <row r="519" spans="1:2">
      <c r="A519" s="11">
        <f>Returns!A519</f>
        <v>0</v>
      </c>
      <c r="B519" s="1">
        <f>SUM(Portfolios!$B$2:$B$519)</f>
        <v>0</v>
      </c>
    </row>
    <row r="520" spans="1:2">
      <c r="A520" s="11">
        <f>Returns!A520</f>
        <v>0</v>
      </c>
      <c r="B520" s="1">
        <f>SUM(Portfolios!$B$2:$B$520)</f>
        <v>0</v>
      </c>
    </row>
    <row r="521" spans="1:2">
      <c r="A521" s="11">
        <f>Returns!A521</f>
        <v>0</v>
      </c>
      <c r="B521" s="1">
        <f>SUM(Portfolios!$B$2:$B$521)</f>
        <v>0</v>
      </c>
    </row>
    <row r="522" spans="1:2">
      <c r="A522" s="11">
        <f>Returns!A522</f>
        <v>0</v>
      </c>
      <c r="B522" s="1">
        <f>SUM(Portfolios!$B$2:$B$522)</f>
        <v>0</v>
      </c>
    </row>
    <row r="523" spans="1:2">
      <c r="A523" s="11">
        <f>Returns!A523</f>
        <v>0</v>
      </c>
      <c r="B523" s="1">
        <f>SUM(Portfolios!$B$2:$B$523)</f>
        <v>0</v>
      </c>
    </row>
    <row r="524" spans="1:2">
      <c r="A524" s="11">
        <f>Returns!A524</f>
        <v>0</v>
      </c>
      <c r="B524" s="1">
        <f>SUM(Portfolios!$B$2:$B$524)</f>
        <v>0</v>
      </c>
    </row>
    <row r="525" spans="1:2">
      <c r="A525" s="11">
        <f>Returns!A525</f>
        <v>0</v>
      </c>
      <c r="B525" s="1">
        <f>SUM(Portfolios!$B$2:$B$525)</f>
        <v>0</v>
      </c>
    </row>
    <row r="526" spans="1:2">
      <c r="A526" s="11">
        <f>Returns!A526</f>
        <v>0</v>
      </c>
      <c r="B526" s="1">
        <f>SUM(Portfolios!$B$2:$B$526)</f>
        <v>0</v>
      </c>
    </row>
    <row r="527" spans="1:2">
      <c r="A527" s="11">
        <f>Returns!A527</f>
        <v>0</v>
      </c>
      <c r="B527" s="1">
        <f>SUM(Portfolios!$B$2:$B$527)</f>
        <v>0</v>
      </c>
    </row>
    <row r="528" spans="1:2">
      <c r="A528" s="11">
        <f>Returns!A528</f>
        <v>0</v>
      </c>
      <c r="B528" s="1">
        <f>SUM(Portfolios!$B$2:$B$528)</f>
        <v>0</v>
      </c>
    </row>
    <row r="529" spans="1:2">
      <c r="A529" s="11">
        <f>Returns!A529</f>
        <v>0</v>
      </c>
      <c r="B529" s="1">
        <f>SUM(Portfolios!$B$2:$B$529)</f>
        <v>0</v>
      </c>
    </row>
    <row r="530" spans="1:2">
      <c r="A530" s="11">
        <f>Returns!A530</f>
        <v>0</v>
      </c>
      <c r="B530" s="1">
        <f>SUM(Portfolios!$B$2:$B$530)</f>
        <v>0</v>
      </c>
    </row>
    <row r="531" spans="1:2">
      <c r="A531" s="11">
        <f>Returns!A531</f>
        <v>0</v>
      </c>
      <c r="B531" s="1">
        <f>SUM(Portfolios!$B$2:$B$531)</f>
        <v>0</v>
      </c>
    </row>
    <row r="532" spans="1:2">
      <c r="A532" s="11">
        <f>Returns!A532</f>
        <v>0</v>
      </c>
      <c r="B532" s="1">
        <f>SUM(Portfolios!$B$2:$B$532)</f>
        <v>0</v>
      </c>
    </row>
    <row r="533" spans="1:2">
      <c r="A533" s="11">
        <f>Returns!A533</f>
        <v>0</v>
      </c>
      <c r="B533" s="1">
        <f>SUM(Portfolios!$B$2:$B$533)</f>
        <v>0</v>
      </c>
    </row>
    <row r="534" spans="1:2">
      <c r="A534" s="11">
        <f>Returns!A534</f>
        <v>0</v>
      </c>
      <c r="B534" s="1">
        <f>SUM(Portfolios!$B$2:$B$534)</f>
        <v>0</v>
      </c>
    </row>
    <row r="535" spans="1:2">
      <c r="A535" s="11">
        <f>Returns!A535</f>
        <v>0</v>
      </c>
      <c r="B535" s="1">
        <f>SUM(Portfolios!$B$2:$B$535)</f>
        <v>0</v>
      </c>
    </row>
    <row r="536" spans="1:2">
      <c r="A536" s="11">
        <f>Returns!A536</f>
        <v>0</v>
      </c>
      <c r="B536" s="1">
        <f>SUM(Portfolios!$B$2:$B$536)</f>
        <v>0</v>
      </c>
    </row>
    <row r="537" spans="1:2">
      <c r="A537" s="11">
        <f>Returns!A537</f>
        <v>0</v>
      </c>
      <c r="B537" s="1">
        <f>SUM(Portfolios!$B$2:$B$537)</f>
        <v>0</v>
      </c>
    </row>
    <row r="538" spans="1:2">
      <c r="A538" s="11">
        <f>Returns!A538</f>
        <v>0</v>
      </c>
      <c r="B538" s="1">
        <f>SUM(Portfolios!$B$2:$B$538)</f>
        <v>0</v>
      </c>
    </row>
    <row r="539" spans="1:2">
      <c r="A539" s="11">
        <f>Returns!A539</f>
        <v>0</v>
      </c>
      <c r="B539" s="1">
        <f>SUM(Portfolios!$B$2:$B$539)</f>
        <v>0</v>
      </c>
    </row>
    <row r="540" spans="1:2">
      <c r="A540" s="11">
        <f>Returns!A540</f>
        <v>0</v>
      </c>
      <c r="B540" s="1">
        <f>SUM(Portfolios!$B$2:$B$540)</f>
        <v>0</v>
      </c>
    </row>
    <row r="541" spans="1:2">
      <c r="A541" s="11">
        <f>Returns!A541</f>
        <v>0</v>
      </c>
      <c r="B541" s="1">
        <f>SUM(Portfolios!$B$2:$B$541)</f>
        <v>0</v>
      </c>
    </row>
    <row r="542" spans="1:2">
      <c r="A542" s="11">
        <f>Returns!A542</f>
        <v>0</v>
      </c>
      <c r="B542" s="1">
        <f>SUM(Portfolios!$B$2:$B$542)</f>
        <v>0</v>
      </c>
    </row>
    <row r="543" spans="1:2">
      <c r="A543" s="11">
        <f>Returns!A543</f>
        <v>0</v>
      </c>
      <c r="B543" s="1">
        <f>SUM(Portfolios!$B$2:$B$543)</f>
        <v>0</v>
      </c>
    </row>
    <row r="544" spans="1:2">
      <c r="A544" s="11">
        <f>Returns!A544</f>
        <v>0</v>
      </c>
      <c r="B544" s="1">
        <f>SUM(Portfolios!$B$2:$B$544)</f>
        <v>0</v>
      </c>
    </row>
    <row r="545" spans="1:2">
      <c r="A545" s="11">
        <f>Returns!A545</f>
        <v>0</v>
      </c>
      <c r="B545" s="1">
        <f>SUM(Portfolios!$B$2:$B$545)</f>
        <v>0</v>
      </c>
    </row>
    <row r="546" spans="1:2">
      <c r="A546" s="11">
        <f>Returns!A546</f>
        <v>0</v>
      </c>
      <c r="B546" s="1">
        <f>SUM(Portfolios!$B$2:$B$546)</f>
        <v>0</v>
      </c>
    </row>
    <row r="547" spans="1:2">
      <c r="A547" s="11">
        <f>Returns!A547</f>
        <v>0</v>
      </c>
      <c r="B547" s="1">
        <f>SUM(Portfolios!$B$2:$B$547)</f>
        <v>0</v>
      </c>
    </row>
    <row r="548" spans="1:2">
      <c r="A548" s="11">
        <f>Returns!A548</f>
        <v>0</v>
      </c>
      <c r="B548" s="1">
        <f>SUM(Portfolios!$B$2:$B$548)</f>
        <v>0</v>
      </c>
    </row>
    <row r="549" spans="1:2">
      <c r="A549" s="11">
        <f>Returns!A549</f>
        <v>0</v>
      </c>
      <c r="B549" s="1">
        <f>SUM(Portfolios!$B$2:$B$549)</f>
        <v>0</v>
      </c>
    </row>
    <row r="550" spans="1:2">
      <c r="A550" s="11">
        <f>Returns!A550</f>
        <v>0</v>
      </c>
      <c r="B550" s="1">
        <f>SUM(Portfolios!$B$2:$B$550)</f>
        <v>0</v>
      </c>
    </row>
    <row r="551" spans="1:2">
      <c r="A551" s="11">
        <f>Returns!A551</f>
        <v>0</v>
      </c>
      <c r="B551" s="1">
        <f>SUM(Portfolios!$B$2:$B$551)</f>
        <v>0</v>
      </c>
    </row>
    <row r="552" spans="1:2">
      <c r="A552" s="11">
        <f>Returns!A552</f>
        <v>0</v>
      </c>
      <c r="B552" s="1">
        <f>SUM(Portfolios!$B$2:$B$552)</f>
        <v>0</v>
      </c>
    </row>
    <row r="553" spans="1:2">
      <c r="A553" s="11">
        <f>Returns!A553</f>
        <v>0</v>
      </c>
      <c r="B553" s="1">
        <f>SUM(Portfolios!$B$2:$B$553)</f>
        <v>0</v>
      </c>
    </row>
    <row r="554" spans="1:2">
      <c r="A554" s="11">
        <f>Returns!A554</f>
        <v>0</v>
      </c>
      <c r="B554" s="1">
        <f>SUM(Portfolios!$B$2:$B$554)</f>
        <v>0</v>
      </c>
    </row>
    <row r="555" spans="1:2">
      <c r="A555" s="11">
        <f>Returns!A555</f>
        <v>0</v>
      </c>
      <c r="B555" s="1">
        <f>SUM(Portfolios!$B$2:$B$555)</f>
        <v>0</v>
      </c>
    </row>
    <row r="556" spans="1:2">
      <c r="A556" s="11">
        <f>Returns!A556</f>
        <v>0</v>
      </c>
      <c r="B556" s="1">
        <f>SUM(Portfolios!$B$2:$B$556)</f>
        <v>0</v>
      </c>
    </row>
    <row r="557" spans="1:2">
      <c r="A557" s="11">
        <f>Returns!A557</f>
        <v>0</v>
      </c>
      <c r="B557" s="1">
        <f>SUM(Portfolios!$B$2:$B$557)</f>
        <v>0</v>
      </c>
    </row>
    <row r="558" spans="1:2">
      <c r="A558" s="11">
        <f>Returns!A558</f>
        <v>0</v>
      </c>
      <c r="B558" s="1">
        <f>SUM(Portfolios!$B$2:$B$558)</f>
        <v>0</v>
      </c>
    </row>
    <row r="559" spans="1:2">
      <c r="A559" s="11">
        <f>Returns!A559</f>
        <v>0</v>
      </c>
      <c r="B559" s="1">
        <f>SUM(Portfolios!$B$2:$B$559)</f>
        <v>0</v>
      </c>
    </row>
    <row r="560" spans="1:2">
      <c r="A560" s="11">
        <f>Returns!A560</f>
        <v>0</v>
      </c>
      <c r="B560" s="1">
        <f>SUM(Portfolios!$B$2:$B$560)</f>
        <v>0</v>
      </c>
    </row>
    <row r="561" spans="1:2">
      <c r="A561" s="11">
        <f>Returns!A561</f>
        <v>0</v>
      </c>
      <c r="B561" s="1">
        <f>SUM(Portfolios!$B$2:$B$561)</f>
        <v>0</v>
      </c>
    </row>
    <row r="562" spans="1:2">
      <c r="A562" s="11">
        <f>Returns!A562</f>
        <v>0</v>
      </c>
      <c r="B562" s="1">
        <f>SUM(Portfolios!$B$2:$B$562)</f>
        <v>0</v>
      </c>
    </row>
    <row r="563" spans="1:2">
      <c r="A563" s="11">
        <f>Returns!A563</f>
        <v>0</v>
      </c>
      <c r="B563" s="1">
        <f>SUM(Portfolios!$B$2:$B$563)</f>
        <v>0</v>
      </c>
    </row>
    <row r="564" spans="1:2">
      <c r="A564" s="11">
        <f>Returns!A564</f>
        <v>0</v>
      </c>
      <c r="B564" s="1">
        <f>SUM(Portfolios!$B$2:$B$564)</f>
        <v>0</v>
      </c>
    </row>
    <row r="565" spans="1:2">
      <c r="A565" s="11">
        <f>Returns!A565</f>
        <v>0</v>
      </c>
      <c r="B565" s="1">
        <f>SUM(Portfolios!$B$2:$B$565)</f>
        <v>0</v>
      </c>
    </row>
    <row r="566" spans="1:2">
      <c r="A566" s="11">
        <f>Returns!A566</f>
        <v>0</v>
      </c>
      <c r="B566" s="1">
        <f>SUM(Portfolios!$B$2:$B$566)</f>
        <v>0</v>
      </c>
    </row>
    <row r="567" spans="1:2">
      <c r="A567" s="11">
        <f>Returns!A567</f>
        <v>0</v>
      </c>
      <c r="B567" s="1">
        <f>SUM(Portfolios!$B$2:$B$567)</f>
        <v>0</v>
      </c>
    </row>
    <row r="568" spans="1:2">
      <c r="A568" s="11">
        <f>Returns!A568</f>
        <v>0</v>
      </c>
      <c r="B568" s="1">
        <f>SUM(Portfolios!$B$2:$B$568)</f>
        <v>0</v>
      </c>
    </row>
    <row r="569" spans="1:2">
      <c r="A569" s="11">
        <f>Returns!A569</f>
        <v>0</v>
      </c>
      <c r="B569" s="1">
        <f>SUM(Portfolios!$B$2:$B$569)</f>
        <v>0</v>
      </c>
    </row>
    <row r="570" spans="1:2">
      <c r="A570" s="11">
        <f>Returns!A570</f>
        <v>0</v>
      </c>
      <c r="B570" s="1">
        <f>SUM(Portfolios!$B$2:$B$570)</f>
        <v>0</v>
      </c>
    </row>
    <row r="571" spans="1:2">
      <c r="A571" s="11">
        <f>Returns!A571</f>
        <v>0</v>
      </c>
      <c r="B571" s="1">
        <f>SUM(Portfolios!$B$2:$B$571)</f>
        <v>0</v>
      </c>
    </row>
    <row r="572" spans="1:2">
      <c r="A572" s="11">
        <f>Returns!A572</f>
        <v>0</v>
      </c>
      <c r="B572" s="1">
        <f>SUM(Portfolios!$B$2:$B$572)</f>
        <v>0</v>
      </c>
    </row>
    <row r="573" spans="1:2">
      <c r="A573" s="11">
        <f>Returns!A573</f>
        <v>0</v>
      </c>
      <c r="B573" s="1">
        <f>SUM(Portfolios!$B$2:$B$573)</f>
        <v>0</v>
      </c>
    </row>
    <row r="574" spans="1:2">
      <c r="A574" s="11">
        <f>Returns!A574</f>
        <v>0</v>
      </c>
      <c r="B574" s="1">
        <f>SUM(Portfolios!$B$2:$B$574)</f>
        <v>0</v>
      </c>
    </row>
    <row r="575" spans="1:2">
      <c r="A575" s="11">
        <f>Returns!A575</f>
        <v>0</v>
      </c>
      <c r="B575" s="1">
        <f>SUM(Portfolios!$B$2:$B$575)</f>
        <v>0</v>
      </c>
    </row>
    <row r="576" spans="1:2">
      <c r="A576" s="11">
        <f>Returns!A576</f>
        <v>0</v>
      </c>
      <c r="B576" s="1">
        <f>SUM(Portfolios!$B$2:$B$576)</f>
        <v>0</v>
      </c>
    </row>
    <row r="577" spans="1:2">
      <c r="A577" s="11">
        <f>Returns!A577</f>
        <v>0</v>
      </c>
      <c r="B577" s="1">
        <f>SUM(Portfolios!$B$2:$B$577)</f>
        <v>0</v>
      </c>
    </row>
    <row r="578" spans="1:2">
      <c r="A578" s="11">
        <f>Returns!A578</f>
        <v>0</v>
      </c>
      <c r="B578" s="1">
        <f>SUM(Portfolios!$B$2:$B$578)</f>
        <v>0</v>
      </c>
    </row>
    <row r="579" spans="1:2">
      <c r="A579" s="11">
        <f>Returns!A579</f>
        <v>0</v>
      </c>
      <c r="B579" s="1">
        <f>SUM(Portfolios!$B$2:$B$579)</f>
        <v>0</v>
      </c>
    </row>
    <row r="580" spans="1:2">
      <c r="A580" s="11">
        <f>Returns!A580</f>
        <v>0</v>
      </c>
      <c r="B580" s="1">
        <f>SUM(Portfolios!$B$2:$B$580)</f>
        <v>0</v>
      </c>
    </row>
    <row r="581" spans="1:2">
      <c r="A581" s="11">
        <f>Returns!A581</f>
        <v>0</v>
      </c>
      <c r="B581" s="1">
        <f>SUM(Portfolios!$B$2:$B$581)</f>
        <v>0</v>
      </c>
    </row>
    <row r="582" spans="1:2">
      <c r="A582" s="11">
        <f>Returns!A582</f>
        <v>0</v>
      </c>
      <c r="B582" s="1">
        <f>SUM(Portfolios!$B$2:$B$582)</f>
        <v>0</v>
      </c>
    </row>
    <row r="583" spans="1:2">
      <c r="A583" s="11">
        <f>Returns!A583</f>
        <v>0</v>
      </c>
      <c r="B583" s="1">
        <f>SUM(Portfolios!$B$2:$B$583)</f>
        <v>0</v>
      </c>
    </row>
    <row r="584" spans="1:2">
      <c r="A584" s="11">
        <f>Returns!A584</f>
        <v>0</v>
      </c>
      <c r="B584" s="1">
        <f>SUM(Portfolios!$B$2:$B$584)</f>
        <v>0</v>
      </c>
    </row>
    <row r="585" spans="1:2">
      <c r="A585" s="11">
        <f>Returns!A585</f>
        <v>0</v>
      </c>
      <c r="B585" s="1">
        <f>SUM(Portfolios!$B$2:$B$585)</f>
        <v>0</v>
      </c>
    </row>
    <row r="586" spans="1:2">
      <c r="A586" s="11">
        <f>Returns!A586</f>
        <v>0</v>
      </c>
      <c r="B586" s="1">
        <f>SUM(Portfolios!$B$2:$B$586)</f>
        <v>0</v>
      </c>
    </row>
    <row r="587" spans="1:2">
      <c r="A587" s="11">
        <f>Returns!A587</f>
        <v>0</v>
      </c>
      <c r="B587" s="1">
        <f>SUM(Portfolios!$B$2:$B$587)</f>
        <v>0</v>
      </c>
    </row>
    <row r="588" spans="1:2">
      <c r="A588" s="11">
        <f>Returns!A588</f>
        <v>0</v>
      </c>
      <c r="B588" s="1">
        <f>SUM(Portfolios!$B$2:$B$588)</f>
        <v>0</v>
      </c>
    </row>
    <row r="589" spans="1:2">
      <c r="A589" s="11">
        <f>Returns!A589</f>
        <v>0</v>
      </c>
      <c r="B589" s="1">
        <f>SUM(Portfolios!$B$2:$B$589)</f>
        <v>0</v>
      </c>
    </row>
    <row r="590" spans="1:2">
      <c r="A590" s="11">
        <f>Returns!A590</f>
        <v>0</v>
      </c>
      <c r="B590" s="1">
        <f>SUM(Portfolios!$B$2:$B$590)</f>
        <v>0</v>
      </c>
    </row>
    <row r="591" spans="1:2">
      <c r="A591" s="11">
        <f>Returns!A591</f>
        <v>0</v>
      </c>
      <c r="B591" s="1">
        <f>SUM(Portfolios!$B$2:$B$591)</f>
        <v>0</v>
      </c>
    </row>
    <row r="592" spans="1:2">
      <c r="A592" s="11">
        <f>Returns!A592</f>
        <v>0</v>
      </c>
      <c r="B592" s="1">
        <f>SUM(Portfolios!$B$2:$B$592)</f>
        <v>0</v>
      </c>
    </row>
    <row r="593" spans="1:2">
      <c r="A593" s="11">
        <f>Returns!A593</f>
        <v>0</v>
      </c>
      <c r="B593" s="1">
        <f>SUM(Portfolios!$B$2:$B$593)</f>
        <v>0</v>
      </c>
    </row>
    <row r="594" spans="1:2">
      <c r="A594" s="11">
        <f>Returns!A594</f>
        <v>0</v>
      </c>
      <c r="B594" s="1">
        <f>SUM(Portfolios!$B$2:$B$594)</f>
        <v>0</v>
      </c>
    </row>
    <row r="595" spans="1:2">
      <c r="A595" s="11">
        <f>Returns!A595</f>
        <v>0</v>
      </c>
      <c r="B595" s="1">
        <f>SUM(Portfolios!$B$2:$B$595)</f>
        <v>0</v>
      </c>
    </row>
    <row r="596" spans="1:2">
      <c r="A596" s="11">
        <f>Returns!A596</f>
        <v>0</v>
      </c>
      <c r="B596" s="1">
        <f>SUM(Portfolios!$B$2:$B$596)</f>
        <v>0</v>
      </c>
    </row>
    <row r="597" spans="1:2">
      <c r="A597" s="11">
        <f>Returns!A597</f>
        <v>0</v>
      </c>
      <c r="B597" s="1">
        <f>SUM(Portfolios!$B$2:$B$597)</f>
        <v>0</v>
      </c>
    </row>
    <row r="598" spans="1:2">
      <c r="A598" s="11">
        <f>Returns!A598</f>
        <v>0</v>
      </c>
      <c r="B598" s="1">
        <f>SUM(Portfolios!$B$2:$B$598)</f>
        <v>0</v>
      </c>
    </row>
    <row r="599" spans="1:2">
      <c r="A599" s="11">
        <f>Returns!A599</f>
        <v>0</v>
      </c>
      <c r="B599" s="1">
        <f>SUM(Portfolios!$B$2:$B$599)</f>
        <v>0</v>
      </c>
    </row>
    <row r="600" spans="1:2">
      <c r="A600" s="11">
        <f>Returns!A600</f>
        <v>0</v>
      </c>
      <c r="B600" s="1">
        <f>SUM(Portfolios!$B$2:$B$600)</f>
        <v>0</v>
      </c>
    </row>
    <row r="601" spans="1:2">
      <c r="A601" s="11">
        <f>Returns!A601</f>
        <v>0</v>
      </c>
      <c r="B601" s="1">
        <f>SUM(Portfolios!$B$2:$B$601)</f>
        <v>0</v>
      </c>
    </row>
    <row r="602" spans="1:2">
      <c r="A602" s="11">
        <f>Returns!A602</f>
        <v>0</v>
      </c>
      <c r="B602" s="1">
        <f>SUM(Portfolios!$B$2:$B$602)</f>
        <v>0</v>
      </c>
    </row>
    <row r="603" spans="1:2">
      <c r="A603" s="11">
        <f>Returns!A603</f>
        <v>0</v>
      </c>
      <c r="B603" s="1">
        <f>SUM(Portfolios!$B$2:$B$603)</f>
        <v>0</v>
      </c>
    </row>
    <row r="604" spans="1:2">
      <c r="A604" s="11">
        <f>Returns!A604</f>
        <v>0</v>
      </c>
      <c r="B604" s="1">
        <f>SUM(Portfolios!$B$2:$B$604)</f>
        <v>0</v>
      </c>
    </row>
    <row r="605" spans="1:2">
      <c r="A605" s="11">
        <f>Returns!A605</f>
        <v>0</v>
      </c>
      <c r="B605" s="1">
        <f>SUM(Portfolios!$B$2:$B$605)</f>
        <v>0</v>
      </c>
    </row>
    <row r="606" spans="1:2">
      <c r="A606" s="11">
        <f>Returns!A606</f>
        <v>0</v>
      </c>
      <c r="B606" s="1">
        <f>SUM(Portfolios!$B$2:$B$606)</f>
        <v>0</v>
      </c>
    </row>
    <row r="607" spans="1:2">
      <c r="A607" s="11">
        <f>Returns!A607</f>
        <v>0</v>
      </c>
      <c r="B607" s="1">
        <f>SUM(Portfolios!$B$2:$B$607)</f>
        <v>0</v>
      </c>
    </row>
    <row r="608" spans="1:2">
      <c r="A608" s="11">
        <f>Returns!A608</f>
        <v>0</v>
      </c>
      <c r="B608" s="1">
        <f>SUM(Portfolios!$B$2:$B$608)</f>
        <v>0</v>
      </c>
    </row>
    <row r="609" spans="1:2">
      <c r="A609" s="11">
        <f>Returns!A609</f>
        <v>0</v>
      </c>
      <c r="B609" s="1">
        <f>SUM(Portfolios!$B$2:$B$609)</f>
        <v>0</v>
      </c>
    </row>
    <row r="610" spans="1:2">
      <c r="A610" s="11">
        <f>Returns!A610</f>
        <v>0</v>
      </c>
      <c r="B610" s="1">
        <f>SUM(Portfolios!$B$2:$B$610)</f>
        <v>0</v>
      </c>
    </row>
    <row r="611" spans="1:2">
      <c r="A611" s="11">
        <f>Returns!A611</f>
        <v>0</v>
      </c>
      <c r="B611" s="1">
        <f>SUM(Portfolios!$B$2:$B$611)</f>
        <v>0</v>
      </c>
    </row>
    <row r="612" spans="1:2">
      <c r="A612" s="11">
        <f>Returns!A612</f>
        <v>0</v>
      </c>
      <c r="B612" s="1">
        <f>SUM(Portfolios!$B$2:$B$612)</f>
        <v>0</v>
      </c>
    </row>
    <row r="613" spans="1:2">
      <c r="A613" s="11">
        <f>Returns!A613</f>
        <v>0</v>
      </c>
      <c r="B613" s="1">
        <f>SUM(Portfolios!$B$2:$B$613)</f>
        <v>0</v>
      </c>
    </row>
    <row r="614" spans="1:2">
      <c r="A614" s="11">
        <f>Returns!A614</f>
        <v>0</v>
      </c>
      <c r="B614" s="1">
        <f>SUM(Portfolios!$B$2:$B$614)</f>
        <v>0</v>
      </c>
    </row>
    <row r="615" spans="1:2">
      <c r="A615" s="11">
        <f>Returns!A615</f>
        <v>0</v>
      </c>
      <c r="B615" s="1">
        <f>SUM(Portfolios!$B$2:$B$615)</f>
        <v>0</v>
      </c>
    </row>
    <row r="616" spans="1:2">
      <c r="A616" s="11">
        <f>Returns!A616</f>
        <v>0</v>
      </c>
      <c r="B616" s="1">
        <f>SUM(Portfolios!$B$2:$B$616)</f>
        <v>0</v>
      </c>
    </row>
    <row r="617" spans="1:2">
      <c r="A617" s="11">
        <f>Returns!A617</f>
        <v>0</v>
      </c>
      <c r="B617" s="1">
        <f>SUM(Portfolios!$B$2:$B$617)</f>
        <v>0</v>
      </c>
    </row>
    <row r="618" spans="1:2">
      <c r="A618" s="11">
        <f>Returns!A618</f>
        <v>0</v>
      </c>
      <c r="B618" s="1">
        <f>SUM(Portfolios!$B$2:$B$618)</f>
        <v>0</v>
      </c>
    </row>
    <row r="619" spans="1:2">
      <c r="A619" s="11">
        <f>Returns!A619</f>
        <v>0</v>
      </c>
      <c r="B619" s="1">
        <f>SUM(Portfolios!$B$2:$B$619)</f>
        <v>0</v>
      </c>
    </row>
    <row r="620" spans="1:2">
      <c r="A620" s="11">
        <f>Returns!A620</f>
        <v>0</v>
      </c>
      <c r="B620" s="1">
        <f>SUM(Portfolios!$B$2:$B$620)</f>
        <v>0</v>
      </c>
    </row>
    <row r="621" spans="1:2">
      <c r="A621" s="11">
        <f>Returns!A621</f>
        <v>0</v>
      </c>
      <c r="B621" s="1">
        <f>SUM(Portfolios!$B$2:$B$621)</f>
        <v>0</v>
      </c>
    </row>
    <row r="622" spans="1:2">
      <c r="A622" s="11">
        <f>Returns!A622</f>
        <v>0</v>
      </c>
      <c r="B622" s="1">
        <f>SUM(Portfolios!$B$2:$B$622)</f>
        <v>0</v>
      </c>
    </row>
    <row r="623" spans="1:2">
      <c r="A623" s="11">
        <f>Returns!A623</f>
        <v>0</v>
      </c>
      <c r="B623" s="1">
        <f>SUM(Portfolios!$B$2:$B$623)</f>
        <v>0</v>
      </c>
    </row>
    <row r="624" spans="1:2">
      <c r="A624" s="11">
        <f>Returns!A624</f>
        <v>0</v>
      </c>
      <c r="B624" s="1">
        <f>SUM(Portfolios!$B$2:$B$624)</f>
        <v>0</v>
      </c>
    </row>
    <row r="625" spans="1:2">
      <c r="A625" s="11">
        <f>Returns!A625</f>
        <v>0</v>
      </c>
      <c r="B625" s="1">
        <f>SUM(Portfolios!$B$2:$B$625)</f>
        <v>0</v>
      </c>
    </row>
    <row r="626" spans="1:2">
      <c r="A626" s="11">
        <f>Returns!A626</f>
        <v>0</v>
      </c>
      <c r="B626" s="1">
        <f>SUM(Portfolios!$B$2:$B$626)</f>
        <v>0</v>
      </c>
    </row>
    <row r="627" spans="1:2">
      <c r="A627" s="11">
        <f>Returns!A627</f>
        <v>0</v>
      </c>
      <c r="B627" s="1">
        <f>SUM(Portfolios!$B$2:$B$627)</f>
        <v>0</v>
      </c>
    </row>
    <row r="628" spans="1:2">
      <c r="A628" s="11">
        <f>Returns!A628</f>
        <v>0</v>
      </c>
      <c r="B628" s="1">
        <f>SUM(Portfolios!$B$2:$B$628)</f>
        <v>0</v>
      </c>
    </row>
    <row r="629" spans="1:2">
      <c r="A629" s="11">
        <f>Returns!A629</f>
        <v>0</v>
      </c>
      <c r="B629" s="1">
        <f>SUM(Portfolios!$B$2:$B$629)</f>
        <v>0</v>
      </c>
    </row>
    <row r="630" spans="1:2">
      <c r="A630" s="11">
        <f>Returns!A630</f>
        <v>0</v>
      </c>
      <c r="B630" s="1">
        <f>SUM(Portfolios!$B$2:$B$630)</f>
        <v>0</v>
      </c>
    </row>
    <row r="631" spans="1:2">
      <c r="A631" s="11">
        <f>Returns!A631</f>
        <v>0</v>
      </c>
      <c r="B631" s="1">
        <f>SUM(Portfolios!$B$2:$B$631)</f>
        <v>0</v>
      </c>
    </row>
    <row r="632" spans="1:2">
      <c r="A632" s="11">
        <f>Returns!A632</f>
        <v>0</v>
      </c>
      <c r="B632" s="1">
        <f>SUM(Portfolios!$B$2:$B$632)</f>
        <v>0</v>
      </c>
    </row>
    <row r="633" spans="1:2">
      <c r="A633" s="11">
        <f>Returns!A633</f>
        <v>0</v>
      </c>
      <c r="B633" s="1">
        <f>SUM(Portfolios!$B$2:$B$633)</f>
        <v>0</v>
      </c>
    </row>
    <row r="634" spans="1:2">
      <c r="A634" s="11">
        <f>Returns!A634</f>
        <v>0</v>
      </c>
      <c r="B634" s="1">
        <f>SUM(Portfolios!$B$2:$B$634)</f>
        <v>0</v>
      </c>
    </row>
    <row r="635" spans="1:2">
      <c r="A635" s="11">
        <f>Returns!A635</f>
        <v>0</v>
      </c>
      <c r="B635" s="1">
        <f>SUM(Portfolios!$B$2:$B$635)</f>
        <v>0</v>
      </c>
    </row>
    <row r="636" spans="1:2">
      <c r="A636" s="11">
        <f>Returns!A636</f>
        <v>0</v>
      </c>
      <c r="B636" s="1">
        <f>SUM(Portfolios!$B$2:$B$636)</f>
        <v>0</v>
      </c>
    </row>
    <row r="637" spans="1:2">
      <c r="A637" s="11">
        <f>Returns!A637</f>
        <v>0</v>
      </c>
      <c r="B637" s="1">
        <f>SUM(Portfolios!$B$2:$B$637)</f>
        <v>0</v>
      </c>
    </row>
    <row r="638" spans="1:2">
      <c r="A638" s="11">
        <f>Returns!A638</f>
        <v>0</v>
      </c>
      <c r="B638" s="1">
        <f>SUM(Portfolios!$B$2:$B$638)</f>
        <v>0</v>
      </c>
    </row>
    <row r="639" spans="1:2">
      <c r="A639" s="11">
        <f>Returns!A639</f>
        <v>0</v>
      </c>
      <c r="B639" s="1">
        <f>SUM(Portfolios!$B$2:$B$639)</f>
        <v>0</v>
      </c>
    </row>
    <row r="640" spans="1:2">
      <c r="A640" s="11">
        <f>Returns!A640</f>
        <v>0</v>
      </c>
      <c r="B640" s="1">
        <f>SUM(Portfolios!$B$2:$B$640)</f>
        <v>0</v>
      </c>
    </row>
    <row r="641" spans="1:2">
      <c r="A641" s="11">
        <f>Returns!A641</f>
        <v>0</v>
      </c>
      <c r="B641" s="1">
        <f>SUM(Portfolios!$B$2:$B$641)</f>
        <v>0</v>
      </c>
    </row>
    <row r="642" spans="1:2">
      <c r="A642" s="11">
        <f>Returns!A642</f>
        <v>0</v>
      </c>
      <c r="B642" s="1">
        <f>SUM(Portfolios!$B$2:$B$642)</f>
        <v>0</v>
      </c>
    </row>
    <row r="643" spans="1:2">
      <c r="A643" s="11">
        <f>Returns!A643</f>
        <v>0</v>
      </c>
      <c r="B643" s="1">
        <f>SUM(Portfolios!$B$2:$B$643)</f>
        <v>0</v>
      </c>
    </row>
    <row r="644" spans="1:2">
      <c r="A644" s="11">
        <f>Returns!A644</f>
        <v>0</v>
      </c>
      <c r="B644" s="1">
        <f>SUM(Portfolios!$B$2:$B$644)</f>
        <v>0</v>
      </c>
    </row>
    <row r="645" spans="1:2">
      <c r="A645" s="11">
        <f>Returns!A645</f>
        <v>0</v>
      </c>
      <c r="B645" s="1">
        <f>SUM(Portfolios!$B$2:$B$645)</f>
        <v>0</v>
      </c>
    </row>
    <row r="646" spans="1:2">
      <c r="A646" s="11">
        <f>Returns!A646</f>
        <v>0</v>
      </c>
      <c r="B646" s="1">
        <f>SUM(Portfolios!$B$2:$B$646)</f>
        <v>0</v>
      </c>
    </row>
    <row r="647" spans="1:2">
      <c r="A647" s="11">
        <f>Returns!A647</f>
        <v>0</v>
      </c>
      <c r="B647" s="1">
        <f>SUM(Portfolios!$B$2:$B$647)</f>
        <v>0</v>
      </c>
    </row>
    <row r="648" spans="1:2">
      <c r="A648" s="11">
        <f>Returns!A648</f>
        <v>0</v>
      </c>
      <c r="B648" s="1">
        <f>SUM(Portfolios!$B$2:$B$648)</f>
        <v>0</v>
      </c>
    </row>
    <row r="649" spans="1:2">
      <c r="A649" s="11">
        <f>Returns!A649</f>
        <v>0</v>
      </c>
      <c r="B649" s="1">
        <f>SUM(Portfolios!$B$2:$B$649)</f>
        <v>0</v>
      </c>
    </row>
    <row r="650" spans="1:2">
      <c r="A650" s="11">
        <f>Returns!A650</f>
        <v>0</v>
      </c>
      <c r="B650" s="1">
        <f>SUM(Portfolios!$B$2:$B$650)</f>
        <v>0</v>
      </c>
    </row>
    <row r="651" spans="1:2">
      <c r="A651" s="11">
        <f>Returns!A651</f>
        <v>0</v>
      </c>
      <c r="B651" s="1">
        <f>SUM(Portfolios!$B$2:$B$651)</f>
        <v>0</v>
      </c>
    </row>
    <row r="652" spans="1:2">
      <c r="A652" s="11">
        <f>Returns!A652</f>
        <v>0</v>
      </c>
      <c r="B652" s="1">
        <f>SUM(Portfolios!$B$2:$B$652)</f>
        <v>0</v>
      </c>
    </row>
    <row r="653" spans="1:2">
      <c r="A653" s="11">
        <f>Returns!A653</f>
        <v>0</v>
      </c>
      <c r="B653" s="1">
        <f>SUM(Portfolios!$B$2:$B$653)</f>
        <v>0</v>
      </c>
    </row>
    <row r="654" spans="1:2">
      <c r="A654" s="11">
        <f>Returns!A654</f>
        <v>0</v>
      </c>
      <c r="B654" s="1">
        <f>SUM(Portfolios!$B$2:$B$654)</f>
        <v>0</v>
      </c>
    </row>
    <row r="655" spans="1:2">
      <c r="A655" s="11">
        <f>Returns!A655</f>
        <v>0</v>
      </c>
      <c r="B655" s="1">
        <f>SUM(Portfolios!$B$2:$B$655)</f>
        <v>0</v>
      </c>
    </row>
    <row r="656" spans="1:2">
      <c r="A656" s="11">
        <f>Returns!A656</f>
        <v>0</v>
      </c>
      <c r="B656" s="1">
        <f>SUM(Portfolios!$B$2:$B$656)</f>
        <v>0</v>
      </c>
    </row>
    <row r="657" spans="1:2">
      <c r="A657" s="11">
        <f>Returns!A657</f>
        <v>0</v>
      </c>
      <c r="B657" s="1">
        <f>SUM(Portfolios!$B$2:$B$657)</f>
        <v>0</v>
      </c>
    </row>
    <row r="658" spans="1:2">
      <c r="A658" s="11">
        <f>Returns!A658</f>
        <v>0</v>
      </c>
      <c r="B658" s="1">
        <f>SUM(Portfolios!$B$2:$B$658)</f>
        <v>0</v>
      </c>
    </row>
    <row r="659" spans="1:2">
      <c r="A659" s="11">
        <f>Returns!A659</f>
        <v>0</v>
      </c>
      <c r="B659" s="1">
        <f>SUM(Portfolios!$B$2:$B$659)</f>
        <v>0</v>
      </c>
    </row>
    <row r="660" spans="1:2">
      <c r="A660" s="11">
        <f>Returns!A660</f>
        <v>0</v>
      </c>
      <c r="B660" s="1">
        <f>SUM(Portfolios!$B$2:$B$660)</f>
        <v>0</v>
      </c>
    </row>
    <row r="661" spans="1:2">
      <c r="A661" s="11">
        <f>Returns!A661</f>
        <v>0</v>
      </c>
      <c r="B661" s="1">
        <f>SUM(Portfolios!$B$2:$B$661)</f>
        <v>0</v>
      </c>
    </row>
    <row r="662" spans="1:2">
      <c r="A662" s="11">
        <f>Returns!A662</f>
        <v>0</v>
      </c>
      <c r="B662" s="1">
        <f>SUM(Portfolios!$B$2:$B$662)</f>
        <v>0</v>
      </c>
    </row>
    <row r="663" spans="1:2">
      <c r="A663" s="11">
        <f>Returns!A663</f>
        <v>0</v>
      </c>
      <c r="B663" s="1">
        <f>SUM(Portfolios!$B$2:$B$663)</f>
        <v>0</v>
      </c>
    </row>
    <row r="664" spans="1:2">
      <c r="A664" s="11">
        <f>Returns!A664</f>
        <v>0</v>
      </c>
      <c r="B664" s="1">
        <f>SUM(Portfolios!$B$2:$B$664)</f>
        <v>0</v>
      </c>
    </row>
    <row r="665" spans="1:2">
      <c r="A665" s="11">
        <f>Returns!A665</f>
        <v>0</v>
      </c>
      <c r="B665" s="1">
        <f>SUM(Portfolios!$B$2:$B$665)</f>
        <v>0</v>
      </c>
    </row>
    <row r="666" spans="1:2">
      <c r="A666" s="11">
        <f>Returns!A666</f>
        <v>0</v>
      </c>
      <c r="B666" s="1">
        <f>SUM(Portfolios!$B$2:$B$666)</f>
        <v>0</v>
      </c>
    </row>
    <row r="667" spans="1:2">
      <c r="A667" s="11">
        <f>Returns!A667</f>
        <v>0</v>
      </c>
      <c r="B667" s="1">
        <f>SUM(Portfolios!$B$2:$B$667)</f>
        <v>0</v>
      </c>
    </row>
    <row r="668" spans="1:2">
      <c r="A668" s="11">
        <f>Returns!A668</f>
        <v>0</v>
      </c>
      <c r="B668" s="1">
        <f>SUM(Portfolios!$B$2:$B$668)</f>
        <v>0</v>
      </c>
    </row>
    <row r="669" spans="1:2">
      <c r="A669" s="11">
        <f>Returns!A669</f>
        <v>0</v>
      </c>
      <c r="B669" s="1">
        <f>SUM(Portfolios!$B$2:$B$669)</f>
        <v>0</v>
      </c>
    </row>
    <row r="670" spans="1:2">
      <c r="A670" s="11">
        <f>Returns!A670</f>
        <v>0</v>
      </c>
      <c r="B670" s="1">
        <f>SUM(Portfolios!$B$2:$B$670)</f>
        <v>0</v>
      </c>
    </row>
    <row r="671" spans="1:2">
      <c r="A671" s="11">
        <f>Returns!A671</f>
        <v>0</v>
      </c>
      <c r="B671" s="1">
        <f>SUM(Portfolios!$B$2:$B$671)</f>
        <v>0</v>
      </c>
    </row>
    <row r="672" spans="1:2">
      <c r="A672" s="11">
        <f>Returns!A672</f>
        <v>0</v>
      </c>
      <c r="B672" s="1">
        <f>SUM(Portfolios!$B$2:$B$672)</f>
        <v>0</v>
      </c>
    </row>
    <row r="673" spans="1:2">
      <c r="A673" s="11">
        <f>Returns!A673</f>
        <v>0</v>
      </c>
      <c r="B673" s="1">
        <f>SUM(Portfolios!$B$2:$B$673)</f>
        <v>0</v>
      </c>
    </row>
    <row r="674" spans="1:2">
      <c r="A674" s="11">
        <f>Returns!A674</f>
        <v>0</v>
      </c>
      <c r="B674" s="1">
        <f>SUM(Portfolios!$B$2:$B$674)</f>
        <v>0</v>
      </c>
    </row>
    <row r="675" spans="1:2">
      <c r="A675" s="11">
        <f>Returns!A675</f>
        <v>0</v>
      </c>
      <c r="B675" s="1">
        <f>SUM(Portfolios!$B$2:$B$675)</f>
        <v>0</v>
      </c>
    </row>
    <row r="676" spans="1:2">
      <c r="A676" s="11">
        <f>Returns!A676</f>
        <v>0</v>
      </c>
      <c r="B676" s="1">
        <f>SUM(Portfolios!$B$2:$B$676)</f>
        <v>0</v>
      </c>
    </row>
    <row r="677" spans="1:2">
      <c r="A677" s="11">
        <f>Returns!A677</f>
        <v>0</v>
      </c>
      <c r="B677" s="1">
        <f>SUM(Portfolios!$B$2:$B$677)</f>
        <v>0</v>
      </c>
    </row>
    <row r="678" spans="1:2">
      <c r="A678" s="11">
        <f>Returns!A678</f>
        <v>0</v>
      </c>
      <c r="B678" s="1">
        <f>SUM(Portfolios!$B$2:$B$678)</f>
        <v>0</v>
      </c>
    </row>
    <row r="679" spans="1:2">
      <c r="A679" s="11">
        <f>Returns!A679</f>
        <v>0</v>
      </c>
      <c r="B679" s="1">
        <f>SUM(Portfolios!$B$2:$B$679)</f>
        <v>0</v>
      </c>
    </row>
    <row r="680" spans="1:2">
      <c r="A680" s="11">
        <f>Returns!A680</f>
        <v>0</v>
      </c>
      <c r="B680" s="1">
        <f>SUM(Portfolios!$B$2:$B$680)</f>
        <v>0</v>
      </c>
    </row>
    <row r="681" spans="1:2">
      <c r="A681" s="11">
        <f>Returns!A681</f>
        <v>0</v>
      </c>
      <c r="B681" s="1">
        <f>SUM(Portfolios!$B$2:$B$681)</f>
        <v>0</v>
      </c>
    </row>
    <row r="682" spans="1:2">
      <c r="A682" s="11">
        <f>Returns!A682</f>
        <v>0</v>
      </c>
      <c r="B682" s="1">
        <f>SUM(Portfolios!$B$2:$B$682)</f>
        <v>0</v>
      </c>
    </row>
    <row r="683" spans="1:2">
      <c r="A683" s="11">
        <f>Returns!A683</f>
        <v>0</v>
      </c>
      <c r="B683" s="1">
        <f>SUM(Portfolios!$B$2:$B$683)</f>
        <v>0</v>
      </c>
    </row>
    <row r="684" spans="1:2">
      <c r="A684" s="11">
        <f>Returns!A684</f>
        <v>0</v>
      </c>
      <c r="B684" s="1">
        <f>SUM(Portfolios!$B$2:$B$684)</f>
        <v>0</v>
      </c>
    </row>
    <row r="685" spans="1:2">
      <c r="A685" s="11">
        <f>Returns!A685</f>
        <v>0</v>
      </c>
      <c r="B685" s="1">
        <f>SUM(Portfolios!$B$2:$B$685)</f>
        <v>0</v>
      </c>
    </row>
    <row r="686" spans="1:2">
      <c r="A686" s="11">
        <f>Returns!A686</f>
        <v>0</v>
      </c>
      <c r="B686" s="1">
        <f>SUM(Portfolios!$B$2:$B$686)</f>
        <v>0</v>
      </c>
    </row>
    <row r="687" spans="1:2">
      <c r="A687" s="11">
        <f>Returns!A687</f>
        <v>0</v>
      </c>
      <c r="B687" s="1">
        <f>SUM(Portfolios!$B$2:$B$687)</f>
        <v>0</v>
      </c>
    </row>
    <row r="688" spans="1:2">
      <c r="A688" s="11">
        <f>Returns!A688</f>
        <v>0</v>
      </c>
      <c r="B688" s="1">
        <f>SUM(Portfolios!$B$2:$B$688)</f>
        <v>0</v>
      </c>
    </row>
    <row r="689" spans="1:2">
      <c r="A689" s="11">
        <f>Returns!A689</f>
        <v>0</v>
      </c>
      <c r="B689" s="1">
        <f>SUM(Portfolios!$B$2:$B$689)</f>
        <v>0</v>
      </c>
    </row>
    <row r="690" spans="1:2">
      <c r="A690" s="11">
        <f>Returns!A690</f>
        <v>0</v>
      </c>
      <c r="B690" s="1">
        <f>SUM(Portfolios!$B$2:$B$690)</f>
        <v>0</v>
      </c>
    </row>
    <row r="691" spans="1:2">
      <c r="A691" s="11">
        <f>Returns!A691</f>
        <v>0</v>
      </c>
      <c r="B691" s="1">
        <f>SUM(Portfolios!$B$2:$B$691)</f>
        <v>0</v>
      </c>
    </row>
    <row r="692" spans="1:2">
      <c r="A692" s="11">
        <f>Returns!A692</f>
        <v>0</v>
      </c>
      <c r="B692" s="1">
        <f>SUM(Portfolios!$B$2:$B$692)</f>
        <v>0</v>
      </c>
    </row>
    <row r="693" spans="1:2">
      <c r="A693" s="11">
        <f>Returns!A693</f>
        <v>0</v>
      </c>
      <c r="B693" s="1">
        <f>SUM(Portfolios!$B$2:$B$693)</f>
        <v>0</v>
      </c>
    </row>
    <row r="694" spans="1:2">
      <c r="A694" s="11">
        <f>Returns!A694</f>
        <v>0</v>
      </c>
      <c r="B694" s="1">
        <f>SUM(Portfolios!$B$2:$B$694)</f>
        <v>0</v>
      </c>
    </row>
    <row r="695" spans="1:2">
      <c r="A695" s="11">
        <f>Returns!A695</f>
        <v>0</v>
      </c>
      <c r="B695" s="1">
        <f>SUM(Portfolios!$B$2:$B$695)</f>
        <v>0</v>
      </c>
    </row>
    <row r="696" spans="1:2">
      <c r="A696" s="11">
        <f>Returns!A696</f>
        <v>0</v>
      </c>
      <c r="B696" s="1">
        <f>SUM(Portfolios!$B$2:$B$696)</f>
        <v>0</v>
      </c>
    </row>
    <row r="697" spans="1:2">
      <c r="A697" s="11">
        <f>Returns!A697</f>
        <v>0</v>
      </c>
      <c r="B697" s="1">
        <f>SUM(Portfolios!$B$2:$B$697)</f>
        <v>0</v>
      </c>
    </row>
    <row r="698" spans="1:2">
      <c r="A698" s="11">
        <f>Returns!A698</f>
        <v>0</v>
      </c>
      <c r="B698" s="1">
        <f>SUM(Portfolios!$B$2:$B$698)</f>
        <v>0</v>
      </c>
    </row>
    <row r="699" spans="1:2">
      <c r="A699" s="11">
        <f>Returns!A699</f>
        <v>0</v>
      </c>
      <c r="B699" s="1">
        <f>SUM(Portfolios!$B$2:$B$699)</f>
        <v>0</v>
      </c>
    </row>
    <row r="700" spans="1:2">
      <c r="A700" s="11">
        <f>Returns!A700</f>
        <v>0</v>
      </c>
      <c r="B700" s="1">
        <f>SUM(Portfolios!$B$2:$B$700)</f>
        <v>0</v>
      </c>
    </row>
    <row r="701" spans="1:2">
      <c r="A701" s="11">
        <f>Returns!A701</f>
        <v>0</v>
      </c>
      <c r="B701" s="1">
        <f>SUM(Portfolios!$B$2:$B$701)</f>
        <v>0</v>
      </c>
    </row>
    <row r="702" spans="1:2">
      <c r="A702" s="11">
        <f>Returns!A702</f>
        <v>0</v>
      </c>
      <c r="B702" s="1">
        <f>SUM(Portfolios!$B$2:$B$702)</f>
        <v>0</v>
      </c>
    </row>
    <row r="703" spans="1:2">
      <c r="A703" s="11">
        <f>Returns!A703</f>
        <v>0</v>
      </c>
      <c r="B703" s="1">
        <f>SUM(Portfolios!$B$2:$B$703)</f>
        <v>0</v>
      </c>
    </row>
    <row r="704" spans="1:2">
      <c r="A704" s="11">
        <f>Returns!A704</f>
        <v>0</v>
      </c>
      <c r="B704" s="1">
        <f>SUM(Portfolios!$B$2:$B$704)</f>
        <v>0</v>
      </c>
    </row>
    <row r="705" spans="1:2">
      <c r="A705" s="11">
        <f>Returns!A705</f>
        <v>0</v>
      </c>
      <c r="B705" s="1">
        <f>SUM(Portfolios!$B$2:$B$705)</f>
        <v>0</v>
      </c>
    </row>
    <row r="706" spans="1:2">
      <c r="A706" s="11">
        <f>Returns!A706</f>
        <v>0</v>
      </c>
      <c r="B706" s="1">
        <f>SUM(Portfolios!$B$2:$B$706)</f>
        <v>0</v>
      </c>
    </row>
    <row r="707" spans="1:2">
      <c r="A707" s="11">
        <f>Returns!A707</f>
        <v>0</v>
      </c>
      <c r="B707" s="1">
        <f>SUM(Portfolios!$B$2:$B$707)</f>
        <v>0</v>
      </c>
    </row>
    <row r="708" spans="1:2">
      <c r="A708" s="11">
        <f>Returns!A708</f>
        <v>0</v>
      </c>
      <c r="B708" s="1">
        <f>SUM(Portfolios!$B$2:$B$708)</f>
        <v>0</v>
      </c>
    </row>
    <row r="709" spans="1:2">
      <c r="A709" s="11">
        <f>Returns!A709</f>
        <v>0</v>
      </c>
      <c r="B709" s="1">
        <f>SUM(Portfolios!$B$2:$B$709)</f>
        <v>0</v>
      </c>
    </row>
    <row r="710" spans="1:2">
      <c r="A710" s="11">
        <f>Returns!A710</f>
        <v>0</v>
      </c>
      <c r="B710" s="1">
        <f>SUM(Portfolios!$B$2:$B$710)</f>
        <v>0</v>
      </c>
    </row>
    <row r="711" spans="1:2">
      <c r="A711" s="11">
        <f>Returns!A711</f>
        <v>0</v>
      </c>
      <c r="B711" s="1">
        <f>SUM(Portfolios!$B$2:$B$711)</f>
        <v>0</v>
      </c>
    </row>
    <row r="712" spans="1:2">
      <c r="A712" s="11">
        <f>Returns!A712</f>
        <v>0</v>
      </c>
      <c r="B712" s="1">
        <f>SUM(Portfolios!$B$2:$B$712)</f>
        <v>0</v>
      </c>
    </row>
    <row r="713" spans="1:2">
      <c r="A713" s="11">
        <f>Returns!A713</f>
        <v>0</v>
      </c>
      <c r="B713" s="1">
        <f>SUM(Portfolios!$B$2:$B$713)</f>
        <v>0</v>
      </c>
    </row>
    <row r="714" spans="1:2">
      <c r="A714" s="11">
        <f>Returns!A714</f>
        <v>0</v>
      </c>
      <c r="B714" s="1">
        <f>SUM(Portfolios!$B$2:$B$714)</f>
        <v>0</v>
      </c>
    </row>
    <row r="715" spans="1:2">
      <c r="A715" s="11">
        <f>Returns!A715</f>
        <v>0</v>
      </c>
      <c r="B715" s="1">
        <f>SUM(Portfolios!$B$2:$B$715)</f>
        <v>0</v>
      </c>
    </row>
    <row r="716" spans="1:2">
      <c r="A716" s="11">
        <f>Returns!A716</f>
        <v>0</v>
      </c>
      <c r="B716" s="1">
        <f>SUM(Portfolios!$B$2:$B$716)</f>
        <v>0</v>
      </c>
    </row>
    <row r="717" spans="1:2">
      <c r="A717" s="11">
        <f>Returns!A717</f>
        <v>0</v>
      </c>
      <c r="B717" s="1">
        <f>SUM(Portfolios!$B$2:$B$717)</f>
        <v>0</v>
      </c>
    </row>
    <row r="718" spans="1:2">
      <c r="A718" s="11">
        <f>Returns!A718</f>
        <v>0</v>
      </c>
      <c r="B718" s="1">
        <f>SUM(Portfolios!$B$2:$B$718)</f>
        <v>0</v>
      </c>
    </row>
    <row r="719" spans="1:2">
      <c r="A719" s="11">
        <f>Returns!A719</f>
        <v>0</v>
      </c>
      <c r="B719" s="1">
        <f>SUM(Portfolios!$B$2:$B$719)</f>
        <v>0</v>
      </c>
    </row>
    <row r="720" spans="1:2">
      <c r="A720" s="11">
        <f>Returns!A720</f>
        <v>0</v>
      </c>
      <c r="B720" s="1">
        <f>SUM(Portfolios!$B$2:$B$720)</f>
        <v>0</v>
      </c>
    </row>
    <row r="721" spans="1:2">
      <c r="A721" s="11">
        <f>Returns!A721</f>
        <v>0</v>
      </c>
      <c r="B721" s="1">
        <f>SUM(Portfolios!$B$2:$B$721)</f>
        <v>0</v>
      </c>
    </row>
    <row r="722" spans="1:2">
      <c r="A722" s="11">
        <f>Returns!A722</f>
        <v>0</v>
      </c>
      <c r="B722" s="1">
        <f>SUM(Portfolios!$B$2:$B$722)</f>
        <v>0</v>
      </c>
    </row>
    <row r="723" spans="1:2">
      <c r="A723" s="11">
        <f>Returns!A723</f>
        <v>0</v>
      </c>
      <c r="B723" s="1">
        <f>SUM(Portfolios!$B$2:$B$723)</f>
        <v>0</v>
      </c>
    </row>
    <row r="724" spans="1:2">
      <c r="A724" s="11">
        <f>Returns!A724</f>
        <v>0</v>
      </c>
      <c r="B724" s="1">
        <f>SUM(Portfolios!$B$2:$B$724)</f>
        <v>0</v>
      </c>
    </row>
    <row r="725" spans="1:2">
      <c r="A725" s="11">
        <f>Returns!A725</f>
        <v>0</v>
      </c>
      <c r="B725" s="1">
        <f>SUM(Portfolios!$B$2:$B$725)</f>
        <v>0</v>
      </c>
    </row>
    <row r="726" spans="1:2">
      <c r="A726" s="11">
        <f>Returns!A726</f>
        <v>0</v>
      </c>
      <c r="B726" s="1">
        <f>SUM(Portfolios!$B$2:$B$726)</f>
        <v>0</v>
      </c>
    </row>
    <row r="727" spans="1:2">
      <c r="A727" s="11">
        <f>Returns!A727</f>
        <v>0</v>
      </c>
      <c r="B727" s="1">
        <f>SUM(Portfolios!$B$2:$B$727)</f>
        <v>0</v>
      </c>
    </row>
    <row r="728" spans="1:2">
      <c r="A728" s="11">
        <f>Returns!A728</f>
        <v>0</v>
      </c>
      <c r="B728" s="1">
        <f>SUM(Portfolios!$B$2:$B$728)</f>
        <v>0</v>
      </c>
    </row>
    <row r="729" spans="1:2">
      <c r="A729" s="11">
        <f>Returns!A729</f>
        <v>0</v>
      </c>
      <c r="B729" s="1">
        <f>SUM(Portfolios!$B$2:$B$729)</f>
        <v>0</v>
      </c>
    </row>
    <row r="730" spans="1:2">
      <c r="A730" s="11">
        <f>Returns!A730</f>
        <v>0</v>
      </c>
      <c r="B730" s="1">
        <f>SUM(Portfolios!$B$2:$B$730)</f>
        <v>0</v>
      </c>
    </row>
    <row r="731" spans="1:2">
      <c r="A731" s="11">
        <f>Returns!A731</f>
        <v>0</v>
      </c>
      <c r="B731" s="1">
        <f>SUM(Portfolios!$B$2:$B$731)</f>
        <v>0</v>
      </c>
    </row>
    <row r="732" spans="1:2">
      <c r="A732" s="11">
        <f>Returns!A732</f>
        <v>0</v>
      </c>
      <c r="B732" s="1">
        <f>SUM(Portfolios!$B$2:$B$732)</f>
        <v>0</v>
      </c>
    </row>
    <row r="733" spans="1:2">
      <c r="A733" s="11">
        <f>Returns!A733</f>
        <v>0</v>
      </c>
      <c r="B733" s="1">
        <f>SUM(Portfolios!$B$2:$B$733)</f>
        <v>0</v>
      </c>
    </row>
    <row r="734" spans="1:2">
      <c r="A734" s="11">
        <f>Returns!A734</f>
        <v>0</v>
      </c>
      <c r="B734" s="1">
        <f>SUM(Portfolios!$B$2:$B$734)</f>
        <v>0</v>
      </c>
    </row>
    <row r="735" spans="1:2">
      <c r="A735" s="11">
        <f>Returns!A735</f>
        <v>0</v>
      </c>
      <c r="B735" s="1">
        <f>SUM(Portfolios!$B$2:$B$735)</f>
        <v>0</v>
      </c>
    </row>
    <row r="736" spans="1:2">
      <c r="A736" s="11">
        <f>Returns!A736</f>
        <v>0</v>
      </c>
      <c r="B736" s="1">
        <f>SUM(Portfolios!$B$2:$B$736)</f>
        <v>0</v>
      </c>
    </row>
    <row r="737" spans="1:2">
      <c r="A737" s="11">
        <f>Returns!A737</f>
        <v>0</v>
      </c>
      <c r="B737" s="1">
        <f>SUM(Portfolios!$B$2:$B$737)</f>
        <v>0</v>
      </c>
    </row>
    <row r="738" spans="1:2">
      <c r="A738" s="11">
        <f>Returns!A738</f>
        <v>0</v>
      </c>
      <c r="B738" s="1">
        <f>SUM(Portfolios!$B$2:$B$738)</f>
        <v>0</v>
      </c>
    </row>
    <row r="739" spans="1:2">
      <c r="A739" s="11">
        <f>Returns!A739</f>
        <v>0</v>
      </c>
      <c r="B739" s="1">
        <f>SUM(Portfolios!$B$2:$B$739)</f>
        <v>0</v>
      </c>
    </row>
    <row r="740" spans="1:2">
      <c r="A740" s="11">
        <f>Returns!A740</f>
        <v>0</v>
      </c>
      <c r="B740" s="1">
        <f>SUM(Portfolios!$B$2:$B$740)</f>
        <v>0</v>
      </c>
    </row>
    <row r="741" spans="1:2">
      <c r="A741" s="11">
        <f>Returns!A741</f>
        <v>0</v>
      </c>
      <c r="B741" s="1">
        <f>SUM(Portfolios!$B$2:$B$741)</f>
        <v>0</v>
      </c>
    </row>
    <row r="742" spans="1:2">
      <c r="A742" s="11">
        <f>Returns!A742</f>
        <v>0</v>
      </c>
      <c r="B742" s="1">
        <f>SUM(Portfolios!$B$2:$B$742)</f>
        <v>0</v>
      </c>
    </row>
    <row r="743" spans="1:2">
      <c r="A743" s="11">
        <f>Returns!A743</f>
        <v>0</v>
      </c>
      <c r="B743" s="1">
        <f>SUM(Portfolios!$B$2:$B$743)</f>
        <v>0</v>
      </c>
    </row>
    <row r="744" spans="1:2">
      <c r="A744" s="11">
        <f>Returns!A744</f>
        <v>0</v>
      </c>
      <c r="B744" s="1">
        <f>SUM(Portfolios!$B$2:$B$744)</f>
        <v>0</v>
      </c>
    </row>
    <row r="745" spans="1:2">
      <c r="A745" s="11">
        <f>Returns!A745</f>
        <v>0</v>
      </c>
      <c r="B745" s="1">
        <f>SUM(Portfolios!$B$2:$B$745)</f>
        <v>0</v>
      </c>
    </row>
    <row r="746" spans="1:2">
      <c r="A746" s="11">
        <f>Returns!A746</f>
        <v>0</v>
      </c>
      <c r="B746" s="1">
        <f>SUM(Portfolios!$B$2:$B$746)</f>
        <v>0</v>
      </c>
    </row>
    <row r="747" spans="1:2">
      <c r="A747" s="11">
        <f>Returns!A747</f>
        <v>0</v>
      </c>
      <c r="B747" s="1">
        <f>SUM(Portfolios!$B$2:$B$747)</f>
        <v>0</v>
      </c>
    </row>
    <row r="748" spans="1:2">
      <c r="A748" s="11">
        <f>Returns!A748</f>
        <v>0</v>
      </c>
      <c r="B748" s="1">
        <f>SUM(Portfolios!$B$2:$B$748)</f>
        <v>0</v>
      </c>
    </row>
    <row r="749" spans="1:2">
      <c r="A749" s="11">
        <f>Returns!A749</f>
        <v>0</v>
      </c>
      <c r="B749" s="1">
        <f>SUM(Portfolios!$B$2:$B$749)</f>
        <v>0</v>
      </c>
    </row>
    <row r="750" spans="1:2">
      <c r="A750" s="11">
        <f>Returns!A750</f>
        <v>0</v>
      </c>
      <c r="B750" s="1">
        <f>SUM(Portfolios!$B$2:$B$750)</f>
        <v>0</v>
      </c>
    </row>
    <row r="751" spans="1:2">
      <c r="A751" s="11">
        <f>Returns!A751</f>
        <v>0</v>
      </c>
      <c r="B751" s="1">
        <f>SUM(Portfolios!$B$2:$B$751)</f>
        <v>0</v>
      </c>
    </row>
    <row r="752" spans="1:2">
      <c r="A752" s="11">
        <f>Returns!A752</f>
        <v>0</v>
      </c>
      <c r="B752" s="1">
        <f>SUM(Portfolios!$B$2:$B$752)</f>
        <v>0</v>
      </c>
    </row>
    <row r="753" spans="1:2">
      <c r="A753" s="11">
        <f>Returns!A753</f>
        <v>0</v>
      </c>
      <c r="B753" s="1">
        <f>SUM(Portfolios!$B$2:$B$753)</f>
        <v>0</v>
      </c>
    </row>
    <row r="754" spans="1:2">
      <c r="A754" s="11">
        <f>Returns!A754</f>
        <v>0</v>
      </c>
      <c r="B754" s="1">
        <f>SUM(Portfolios!$B$2:$B$754)</f>
        <v>0</v>
      </c>
    </row>
    <row r="755" spans="1:2">
      <c r="A755" s="11">
        <f>Returns!A755</f>
        <v>0</v>
      </c>
      <c r="B755" s="1">
        <f>SUM(Portfolios!$B$2:$B$755)</f>
        <v>0</v>
      </c>
    </row>
    <row r="756" spans="1:2">
      <c r="A756" s="11">
        <f>Returns!A756</f>
        <v>0</v>
      </c>
      <c r="B756" s="1">
        <f>SUM(Portfolios!$B$2:$B$756)</f>
        <v>0</v>
      </c>
    </row>
    <row r="757" spans="1:2">
      <c r="A757" s="11">
        <f>Returns!A757</f>
        <v>0</v>
      </c>
      <c r="B757" s="1">
        <f>SUM(Portfolios!$B$2:$B$757)</f>
        <v>0</v>
      </c>
    </row>
    <row r="758" spans="1:2">
      <c r="A758" s="11">
        <f>Returns!A758</f>
        <v>0</v>
      </c>
      <c r="B758" s="1">
        <f>SUM(Portfolios!$B$2:$B$758)</f>
        <v>0</v>
      </c>
    </row>
    <row r="759" spans="1:2">
      <c r="A759" s="11">
        <f>Returns!A759</f>
        <v>0</v>
      </c>
      <c r="B759" s="1">
        <f>SUM(Portfolios!$B$2:$B$759)</f>
        <v>0</v>
      </c>
    </row>
    <row r="760" spans="1:2">
      <c r="A760" s="11">
        <f>Returns!A760</f>
        <v>0</v>
      </c>
      <c r="B760" s="1">
        <f>SUM(Portfolios!$B$2:$B$760)</f>
        <v>0</v>
      </c>
    </row>
    <row r="761" spans="1:2">
      <c r="A761" s="11">
        <f>Returns!A761</f>
        <v>0</v>
      </c>
      <c r="B761" s="1">
        <f>SUM(Portfolios!$B$2:$B$761)</f>
        <v>0</v>
      </c>
    </row>
    <row r="762" spans="1:2">
      <c r="A762" s="11">
        <f>Returns!A762</f>
        <v>0</v>
      </c>
      <c r="B762" s="1">
        <f>SUM(Portfolios!$B$2:$B$762)</f>
        <v>0</v>
      </c>
    </row>
    <row r="763" spans="1:2">
      <c r="A763" s="11">
        <f>Returns!A763</f>
        <v>0</v>
      </c>
      <c r="B763" s="1">
        <f>SUM(Portfolios!$B$2:$B$763)</f>
        <v>0</v>
      </c>
    </row>
    <row r="764" spans="1:2">
      <c r="A764" s="11">
        <f>Returns!A764</f>
        <v>0</v>
      </c>
      <c r="B764" s="1">
        <f>SUM(Portfolios!$B$2:$B$764)</f>
        <v>0</v>
      </c>
    </row>
    <row r="765" spans="1:2">
      <c r="A765" s="11">
        <f>Returns!A765</f>
        <v>0</v>
      </c>
      <c r="B765" s="1">
        <f>SUM(Portfolios!$B$2:$B$765)</f>
        <v>0</v>
      </c>
    </row>
    <row r="766" spans="1:2">
      <c r="A766" s="11">
        <f>Returns!A766</f>
        <v>0</v>
      </c>
      <c r="B766" s="1">
        <f>SUM(Portfolios!$B$2:$B$766)</f>
        <v>0</v>
      </c>
    </row>
    <row r="767" spans="1:2">
      <c r="A767" s="11">
        <f>Returns!A767</f>
        <v>0</v>
      </c>
      <c r="B767" s="1">
        <f>SUM(Portfolios!$B$2:$B$767)</f>
        <v>0</v>
      </c>
    </row>
    <row r="768" spans="1:2">
      <c r="A768" s="11">
        <f>Returns!A768</f>
        <v>0</v>
      </c>
      <c r="B768" s="1">
        <f>SUM(Portfolios!$B$2:$B$768)</f>
        <v>0</v>
      </c>
    </row>
    <row r="769" spans="1:2">
      <c r="A769" s="11">
        <f>Returns!A769</f>
        <v>0</v>
      </c>
      <c r="B769" s="1">
        <f>SUM(Portfolios!$B$2:$B$769)</f>
        <v>0</v>
      </c>
    </row>
    <row r="770" spans="1:2">
      <c r="A770" s="11">
        <f>Returns!A770</f>
        <v>0</v>
      </c>
      <c r="B770" s="1">
        <f>SUM(Portfolios!$B$2:$B$770)</f>
        <v>0</v>
      </c>
    </row>
    <row r="771" spans="1:2">
      <c r="A771" s="11">
        <f>Returns!A771</f>
        <v>0</v>
      </c>
      <c r="B771" s="1">
        <f>SUM(Portfolios!$B$2:$B$771)</f>
        <v>0</v>
      </c>
    </row>
    <row r="772" spans="1:2">
      <c r="A772" s="11">
        <f>Returns!A772</f>
        <v>0</v>
      </c>
      <c r="B772" s="1">
        <f>SUM(Portfolios!$B$2:$B$772)</f>
        <v>0</v>
      </c>
    </row>
    <row r="773" spans="1:2">
      <c r="A773" s="11">
        <f>Returns!A773</f>
        <v>0</v>
      </c>
      <c r="B773" s="1">
        <f>SUM(Portfolios!$B$2:$B$773)</f>
        <v>0</v>
      </c>
    </row>
    <row r="774" spans="1:2">
      <c r="A774" s="11">
        <f>Returns!A774</f>
        <v>0</v>
      </c>
      <c r="B774" s="1">
        <f>SUM(Portfolios!$B$2:$B$774)</f>
        <v>0</v>
      </c>
    </row>
    <row r="775" spans="1:2">
      <c r="A775" s="11">
        <f>Returns!A775</f>
        <v>0</v>
      </c>
      <c r="B775" s="1">
        <f>SUM(Portfolios!$B$2:$B$775)</f>
        <v>0</v>
      </c>
    </row>
    <row r="776" spans="1:2">
      <c r="A776" s="11">
        <f>Returns!A776</f>
        <v>0</v>
      </c>
      <c r="B776" s="1">
        <f>SUM(Portfolios!$B$2:$B$776)</f>
        <v>0</v>
      </c>
    </row>
    <row r="777" spans="1:2">
      <c r="A777" s="11">
        <f>Returns!A777</f>
        <v>0</v>
      </c>
      <c r="B777" s="1">
        <f>SUM(Portfolios!$B$2:$B$777)</f>
        <v>0</v>
      </c>
    </row>
    <row r="778" spans="1:2">
      <c r="A778" s="11">
        <f>Returns!A778</f>
        <v>0</v>
      </c>
      <c r="B778" s="1">
        <f>SUM(Portfolios!$B$2:$B$778)</f>
        <v>0</v>
      </c>
    </row>
    <row r="779" spans="1:2">
      <c r="A779" s="11">
        <f>Returns!A779</f>
        <v>0</v>
      </c>
      <c r="B779" s="1">
        <f>SUM(Portfolios!$B$2:$B$779)</f>
        <v>0</v>
      </c>
    </row>
    <row r="780" spans="1:2">
      <c r="A780" s="11">
        <f>Returns!A780</f>
        <v>0</v>
      </c>
      <c r="B780" s="1">
        <f>SUM(Portfolios!$B$2:$B$780)</f>
        <v>0</v>
      </c>
    </row>
    <row r="781" spans="1:2">
      <c r="A781" s="11">
        <f>Returns!A781</f>
        <v>0</v>
      </c>
      <c r="B781" s="1">
        <f>SUM(Portfolios!$B$2:$B$781)</f>
        <v>0</v>
      </c>
    </row>
    <row r="782" spans="1:2">
      <c r="A782" s="11">
        <f>Returns!A782</f>
        <v>0</v>
      </c>
      <c r="B782" s="1">
        <f>SUM(Portfolios!$B$2:$B$782)</f>
        <v>0</v>
      </c>
    </row>
    <row r="783" spans="1:2">
      <c r="A783" s="11">
        <f>Returns!A783</f>
        <v>0</v>
      </c>
      <c r="B783" s="1">
        <f>SUM(Portfolios!$B$2:$B$783)</f>
        <v>0</v>
      </c>
    </row>
    <row r="784" spans="1:2">
      <c r="A784" s="11">
        <f>Returns!A784</f>
        <v>0</v>
      </c>
      <c r="B784" s="1">
        <f>SUM(Portfolios!$B$2:$B$784)</f>
        <v>0</v>
      </c>
    </row>
    <row r="785" spans="1:2">
      <c r="A785" s="11">
        <f>Returns!A785</f>
        <v>0</v>
      </c>
      <c r="B785" s="1">
        <f>SUM(Portfolios!$B$2:$B$785)</f>
        <v>0</v>
      </c>
    </row>
    <row r="786" spans="1:2">
      <c r="A786" s="11">
        <f>Returns!A786</f>
        <v>0</v>
      </c>
      <c r="B786" s="1">
        <f>SUM(Portfolios!$B$2:$B$786)</f>
        <v>0</v>
      </c>
    </row>
    <row r="787" spans="1:2">
      <c r="A787" s="11">
        <f>Returns!A787</f>
        <v>0</v>
      </c>
      <c r="B787" s="1">
        <f>SUM(Portfolios!$B$2:$B$787)</f>
        <v>0</v>
      </c>
    </row>
    <row r="788" spans="1:2">
      <c r="A788" s="11">
        <f>Returns!A788</f>
        <v>0</v>
      </c>
      <c r="B788" s="1">
        <f>SUM(Portfolios!$B$2:$B$788)</f>
        <v>0</v>
      </c>
    </row>
    <row r="789" spans="1:2">
      <c r="A789" s="11">
        <f>Returns!A789</f>
        <v>0</v>
      </c>
      <c r="B789" s="1">
        <f>SUM(Portfolios!$B$2:$B$789)</f>
        <v>0</v>
      </c>
    </row>
    <row r="790" spans="1:2">
      <c r="A790" s="11">
        <f>Returns!A790</f>
        <v>0</v>
      </c>
      <c r="B790" s="1">
        <f>SUM(Portfolios!$B$2:$B$790)</f>
        <v>0</v>
      </c>
    </row>
    <row r="791" spans="1:2">
      <c r="A791" s="11">
        <f>Returns!A791</f>
        <v>0</v>
      </c>
      <c r="B791" s="1">
        <f>SUM(Portfolios!$B$2:$B$791)</f>
        <v>0</v>
      </c>
    </row>
    <row r="792" spans="1:2">
      <c r="A792" s="11">
        <f>Returns!A792</f>
        <v>0</v>
      </c>
      <c r="B792" s="1">
        <f>SUM(Portfolios!$B$2:$B$792)</f>
        <v>0</v>
      </c>
    </row>
    <row r="793" spans="1:2">
      <c r="A793" s="11">
        <f>Returns!A793</f>
        <v>0</v>
      </c>
      <c r="B793" s="1">
        <f>SUM(Portfolios!$B$2:$B$793)</f>
        <v>0</v>
      </c>
    </row>
    <row r="794" spans="1:2">
      <c r="A794" s="11">
        <f>Returns!A794</f>
        <v>0</v>
      </c>
      <c r="B794" s="1">
        <f>SUM(Portfolios!$B$2:$B$794)</f>
        <v>0</v>
      </c>
    </row>
    <row r="795" spans="1:2">
      <c r="A795" s="11">
        <f>Returns!A795</f>
        <v>0</v>
      </c>
      <c r="B795" s="1">
        <f>SUM(Portfolios!$B$2:$B$795)</f>
        <v>0</v>
      </c>
    </row>
    <row r="796" spans="1:2">
      <c r="A796" s="11">
        <f>Returns!A796</f>
        <v>0</v>
      </c>
      <c r="B796" s="1">
        <f>SUM(Portfolios!$B$2:$B$796)</f>
        <v>0</v>
      </c>
    </row>
    <row r="797" spans="1:2">
      <c r="A797" s="11">
        <f>Returns!A797</f>
        <v>0</v>
      </c>
      <c r="B797" s="1">
        <f>SUM(Portfolios!$B$2:$B$797)</f>
        <v>0</v>
      </c>
    </row>
    <row r="798" spans="1:2">
      <c r="A798" s="11">
        <f>Returns!A798</f>
        <v>0</v>
      </c>
      <c r="B798" s="1">
        <f>SUM(Portfolios!$B$2:$B$798)</f>
        <v>0</v>
      </c>
    </row>
    <row r="799" spans="1:2">
      <c r="A799" s="11">
        <f>Returns!A799</f>
        <v>0</v>
      </c>
      <c r="B799" s="1">
        <f>SUM(Portfolios!$B$2:$B$799)</f>
        <v>0</v>
      </c>
    </row>
    <row r="800" spans="1:2">
      <c r="A800" s="11">
        <f>Returns!A800</f>
        <v>0</v>
      </c>
      <c r="B800" s="1">
        <f>SUM(Portfolios!$B$2:$B$800)</f>
        <v>0</v>
      </c>
    </row>
    <row r="801" spans="1:2">
      <c r="A801" s="11">
        <f>Returns!A801</f>
        <v>0</v>
      </c>
      <c r="B801" s="1">
        <f>SUM(Portfolios!$B$2:$B$801)</f>
        <v>0</v>
      </c>
    </row>
    <row r="802" spans="1:2">
      <c r="A802" s="11">
        <f>Returns!A802</f>
        <v>0</v>
      </c>
      <c r="B802" s="1">
        <f>SUM(Portfolios!$B$2:$B$802)</f>
        <v>0</v>
      </c>
    </row>
    <row r="803" spans="1:2">
      <c r="A803" s="11">
        <f>Returns!A803</f>
        <v>0</v>
      </c>
      <c r="B803" s="1">
        <f>SUM(Portfolios!$B$2:$B$803)</f>
        <v>0</v>
      </c>
    </row>
    <row r="804" spans="1:2">
      <c r="A804" s="11">
        <f>Returns!A804</f>
        <v>0</v>
      </c>
      <c r="B804" s="1">
        <f>SUM(Portfolios!$B$2:$B$804)</f>
        <v>0</v>
      </c>
    </row>
    <row r="805" spans="1:2">
      <c r="A805" s="11">
        <f>Returns!A805</f>
        <v>0</v>
      </c>
      <c r="B805" s="1">
        <f>SUM(Portfolios!$B$2:$B$805)</f>
        <v>0</v>
      </c>
    </row>
    <row r="806" spans="1:2">
      <c r="A806" s="11">
        <f>Returns!A806</f>
        <v>0</v>
      </c>
      <c r="B806" s="1">
        <f>SUM(Portfolios!$B$2:$B$806)</f>
        <v>0</v>
      </c>
    </row>
    <row r="807" spans="1:2">
      <c r="A807" s="11">
        <f>Returns!A807</f>
        <v>0</v>
      </c>
      <c r="B807" s="1">
        <f>SUM(Portfolios!$B$2:$B$807)</f>
        <v>0</v>
      </c>
    </row>
    <row r="808" spans="1:2">
      <c r="A808" s="11">
        <f>Returns!A808</f>
        <v>0</v>
      </c>
      <c r="B808" s="1">
        <f>SUM(Portfolios!$B$2:$B$808)</f>
        <v>0</v>
      </c>
    </row>
    <row r="809" spans="1:2">
      <c r="A809" s="11">
        <f>Returns!A809</f>
        <v>0</v>
      </c>
      <c r="B809" s="1">
        <f>SUM(Portfolios!$B$2:$B$809)</f>
        <v>0</v>
      </c>
    </row>
    <row r="810" spans="1:2">
      <c r="A810" s="11">
        <f>Returns!A810</f>
        <v>0</v>
      </c>
      <c r="B810" s="1">
        <f>SUM(Portfolios!$B$2:$B$810)</f>
        <v>0</v>
      </c>
    </row>
    <row r="811" spans="1:2">
      <c r="A811" s="11">
        <f>Returns!A811</f>
        <v>0</v>
      </c>
      <c r="B811" s="1">
        <f>SUM(Portfolios!$B$2:$B$811)</f>
        <v>0</v>
      </c>
    </row>
    <row r="812" spans="1:2">
      <c r="A812" s="11">
        <f>Returns!A812</f>
        <v>0</v>
      </c>
      <c r="B812" s="1">
        <f>SUM(Portfolios!$B$2:$B$812)</f>
        <v>0</v>
      </c>
    </row>
    <row r="813" spans="1:2">
      <c r="A813" s="11">
        <f>Returns!A813</f>
        <v>0</v>
      </c>
      <c r="B813" s="1">
        <f>SUM(Portfolios!$B$2:$B$813)</f>
        <v>0</v>
      </c>
    </row>
    <row r="814" spans="1:2">
      <c r="A814" s="11">
        <f>Returns!A814</f>
        <v>0</v>
      </c>
      <c r="B814" s="1">
        <f>SUM(Portfolios!$B$2:$B$814)</f>
        <v>0</v>
      </c>
    </row>
    <row r="815" spans="1:2">
      <c r="A815" s="11">
        <f>Returns!A815</f>
        <v>0</v>
      </c>
      <c r="B815" s="1">
        <f>SUM(Portfolios!$B$2:$B$815)</f>
        <v>0</v>
      </c>
    </row>
    <row r="816" spans="1:2">
      <c r="A816" s="11">
        <f>Returns!A816</f>
        <v>0</v>
      </c>
      <c r="B816" s="1">
        <f>SUM(Portfolios!$B$2:$B$816)</f>
        <v>0</v>
      </c>
    </row>
    <row r="817" spans="1:2">
      <c r="A817" s="11">
        <f>Returns!A817</f>
        <v>0</v>
      </c>
      <c r="B817" s="1">
        <f>SUM(Portfolios!$B$2:$B$817)</f>
        <v>0</v>
      </c>
    </row>
    <row r="818" spans="1:2">
      <c r="A818" s="11">
        <f>Returns!A818</f>
        <v>0</v>
      </c>
      <c r="B818" s="1">
        <f>SUM(Portfolios!$B$2:$B$818)</f>
        <v>0</v>
      </c>
    </row>
    <row r="819" spans="1:2">
      <c r="A819" s="11">
        <f>Returns!A819</f>
        <v>0</v>
      </c>
      <c r="B819" s="1">
        <f>SUM(Portfolios!$B$2:$B$819)</f>
        <v>0</v>
      </c>
    </row>
    <row r="820" spans="1:2">
      <c r="A820" s="11">
        <f>Returns!A820</f>
        <v>0</v>
      </c>
      <c r="B820" s="1">
        <f>SUM(Portfolios!$B$2:$B$820)</f>
        <v>0</v>
      </c>
    </row>
    <row r="821" spans="1:2">
      <c r="A821" s="11">
        <f>Returns!A821</f>
        <v>0</v>
      </c>
      <c r="B821" s="1">
        <f>SUM(Portfolios!$B$2:$B$821)</f>
        <v>0</v>
      </c>
    </row>
    <row r="822" spans="1:2">
      <c r="A822" s="11">
        <f>Returns!A822</f>
        <v>0</v>
      </c>
      <c r="B822" s="1">
        <f>SUM(Portfolios!$B$2:$B$822)</f>
        <v>0</v>
      </c>
    </row>
    <row r="823" spans="1:2">
      <c r="A823" s="11">
        <f>Returns!A823</f>
        <v>0</v>
      </c>
      <c r="B823" s="1">
        <f>SUM(Portfolios!$B$2:$B$823)</f>
        <v>0</v>
      </c>
    </row>
    <row r="824" spans="1:2">
      <c r="A824" s="11">
        <f>Returns!A824</f>
        <v>0</v>
      </c>
      <c r="B824" s="1">
        <f>SUM(Portfolios!$B$2:$B$824)</f>
        <v>0</v>
      </c>
    </row>
    <row r="825" spans="1:2">
      <c r="A825" s="11">
        <f>Returns!A825</f>
        <v>0</v>
      </c>
      <c r="B825" s="1">
        <f>SUM(Portfolios!$B$2:$B$825)</f>
        <v>0</v>
      </c>
    </row>
    <row r="826" spans="1:2">
      <c r="A826" s="11">
        <f>Returns!A826</f>
        <v>0</v>
      </c>
      <c r="B826" s="1">
        <f>SUM(Portfolios!$B$2:$B$826)</f>
        <v>0</v>
      </c>
    </row>
    <row r="827" spans="1:2">
      <c r="A827" s="11">
        <f>Returns!A827</f>
        <v>0</v>
      </c>
      <c r="B827" s="1">
        <f>SUM(Portfolios!$B$2:$B$827)</f>
        <v>0</v>
      </c>
    </row>
    <row r="828" spans="1:2">
      <c r="A828" s="11">
        <f>Returns!A828</f>
        <v>0</v>
      </c>
      <c r="B828" s="1">
        <f>SUM(Portfolios!$B$2:$B$828)</f>
        <v>0</v>
      </c>
    </row>
    <row r="829" spans="1:2">
      <c r="A829" s="11">
        <f>Returns!A829</f>
        <v>0</v>
      </c>
      <c r="B829" s="1">
        <f>SUM(Portfolios!$B$2:$B$829)</f>
        <v>0</v>
      </c>
    </row>
    <row r="830" spans="1:2">
      <c r="A830" s="11">
        <f>Returns!A830</f>
        <v>0</v>
      </c>
      <c r="B830" s="1">
        <f>SUM(Portfolios!$B$2:$B$830)</f>
        <v>0</v>
      </c>
    </row>
    <row r="831" spans="1:2">
      <c r="A831" s="11">
        <f>Returns!A831</f>
        <v>0</v>
      </c>
      <c r="B831" s="1">
        <f>SUM(Portfolios!$B$2:$B$831)</f>
        <v>0</v>
      </c>
    </row>
    <row r="832" spans="1:2">
      <c r="A832" s="11">
        <f>Returns!A832</f>
        <v>0</v>
      </c>
      <c r="B832" s="1">
        <f>SUM(Portfolios!$B$2:$B$832)</f>
        <v>0</v>
      </c>
    </row>
    <row r="833" spans="1:2">
      <c r="A833" s="11">
        <f>Returns!A833</f>
        <v>0</v>
      </c>
      <c r="B833" s="1">
        <f>SUM(Portfolios!$B$2:$B$833)</f>
        <v>0</v>
      </c>
    </row>
    <row r="834" spans="1:2">
      <c r="A834" s="11">
        <f>Returns!A834</f>
        <v>0</v>
      </c>
      <c r="B834" s="1">
        <f>SUM(Portfolios!$B$2:$B$834)</f>
        <v>0</v>
      </c>
    </row>
    <row r="835" spans="1:2">
      <c r="A835" s="11">
        <f>Returns!A835</f>
        <v>0</v>
      </c>
      <c r="B835" s="1">
        <f>SUM(Portfolios!$B$2:$B$835)</f>
        <v>0</v>
      </c>
    </row>
    <row r="836" spans="1:2">
      <c r="A836" s="11">
        <f>Returns!A836</f>
        <v>0</v>
      </c>
      <c r="B836" s="1">
        <f>SUM(Portfolios!$B$2:$B$836)</f>
        <v>0</v>
      </c>
    </row>
    <row r="837" spans="1:2">
      <c r="A837" s="11">
        <f>Returns!A837</f>
        <v>0</v>
      </c>
      <c r="B837" s="1">
        <f>SUM(Portfolios!$B$2:$B$837)</f>
        <v>0</v>
      </c>
    </row>
    <row r="838" spans="1:2">
      <c r="A838" s="11">
        <f>Returns!A838</f>
        <v>0</v>
      </c>
      <c r="B838" s="1">
        <f>SUM(Portfolios!$B$2:$B$838)</f>
        <v>0</v>
      </c>
    </row>
    <row r="839" spans="1:2">
      <c r="A839" s="11">
        <f>Returns!A839</f>
        <v>0</v>
      </c>
      <c r="B839" s="1">
        <f>SUM(Portfolios!$B$2:$B$839)</f>
        <v>0</v>
      </c>
    </row>
    <row r="840" spans="1:2">
      <c r="A840" s="11">
        <f>Returns!A840</f>
        <v>0</v>
      </c>
      <c r="B840" s="1">
        <f>SUM(Portfolios!$B$2:$B$840)</f>
        <v>0</v>
      </c>
    </row>
    <row r="841" spans="1:2">
      <c r="A841" s="11">
        <f>Returns!A841</f>
        <v>0</v>
      </c>
      <c r="B841" s="1">
        <f>SUM(Portfolios!$B$2:$B$841)</f>
        <v>0</v>
      </c>
    </row>
    <row r="842" spans="1:2">
      <c r="A842" s="11">
        <f>Returns!A842</f>
        <v>0</v>
      </c>
      <c r="B842" s="1">
        <f>SUM(Portfolios!$B$2:$B$842)</f>
        <v>0</v>
      </c>
    </row>
    <row r="843" spans="1:2">
      <c r="A843" s="11">
        <f>Returns!A843</f>
        <v>0</v>
      </c>
      <c r="B843" s="1">
        <f>SUM(Portfolios!$B$2:$B$843)</f>
        <v>0</v>
      </c>
    </row>
    <row r="844" spans="1:2">
      <c r="A844" s="11">
        <f>Returns!A844</f>
        <v>0</v>
      </c>
      <c r="B844" s="1">
        <f>SUM(Portfolios!$B$2:$B$844)</f>
        <v>0</v>
      </c>
    </row>
    <row r="845" spans="1:2">
      <c r="A845" s="11">
        <f>Returns!A845</f>
        <v>0</v>
      </c>
      <c r="B845" s="1">
        <f>SUM(Portfolios!$B$2:$B$845)</f>
        <v>0</v>
      </c>
    </row>
    <row r="846" spans="1:2">
      <c r="A846" s="11">
        <f>Returns!A846</f>
        <v>0</v>
      </c>
      <c r="B846" s="1">
        <f>SUM(Portfolios!$B$2:$B$846)</f>
        <v>0</v>
      </c>
    </row>
    <row r="847" spans="1:2">
      <c r="A847" s="11">
        <f>Returns!A847</f>
        <v>0</v>
      </c>
      <c r="B847" s="1">
        <f>SUM(Portfolios!$B$2:$B$847)</f>
        <v>0</v>
      </c>
    </row>
    <row r="848" spans="1:2">
      <c r="A848" s="11">
        <f>Returns!A848</f>
        <v>0</v>
      </c>
      <c r="B848" s="1">
        <f>SUM(Portfolios!$B$2:$B$848)</f>
        <v>0</v>
      </c>
    </row>
    <row r="849" spans="1:2">
      <c r="A849" s="11">
        <f>Returns!A849</f>
        <v>0</v>
      </c>
      <c r="B849" s="1">
        <f>SUM(Portfolios!$B$2:$B$849)</f>
        <v>0</v>
      </c>
    </row>
    <row r="850" spans="1:2">
      <c r="A850" s="11">
        <f>Returns!A850</f>
        <v>0</v>
      </c>
      <c r="B850" s="1">
        <f>SUM(Portfolios!$B$2:$B$850)</f>
        <v>0</v>
      </c>
    </row>
    <row r="851" spans="1:2">
      <c r="A851" s="11">
        <f>Returns!A851</f>
        <v>0</v>
      </c>
      <c r="B851" s="1">
        <f>SUM(Portfolios!$B$2:$B$851)</f>
        <v>0</v>
      </c>
    </row>
    <row r="852" spans="1:2">
      <c r="A852" s="11">
        <f>Returns!A852</f>
        <v>0</v>
      </c>
      <c r="B852" s="1">
        <f>SUM(Portfolios!$B$2:$B$852)</f>
        <v>0</v>
      </c>
    </row>
    <row r="853" spans="1:2">
      <c r="A853" s="11">
        <f>Returns!A853</f>
        <v>0</v>
      </c>
      <c r="B853" s="1">
        <f>SUM(Portfolios!$B$2:$B$853)</f>
        <v>0</v>
      </c>
    </row>
    <row r="854" spans="1:2">
      <c r="A854" s="11">
        <f>Returns!A854</f>
        <v>0</v>
      </c>
      <c r="B854" s="1">
        <f>SUM(Portfolios!$B$2:$B$854)</f>
        <v>0</v>
      </c>
    </row>
    <row r="855" spans="1:2">
      <c r="A855" s="11">
        <f>Returns!A855</f>
        <v>0</v>
      </c>
      <c r="B855" s="1">
        <f>SUM(Portfolios!$B$2:$B$855)</f>
        <v>0</v>
      </c>
    </row>
    <row r="856" spans="1:2">
      <c r="A856" s="11">
        <f>Returns!A856</f>
        <v>0</v>
      </c>
      <c r="B856" s="1">
        <f>SUM(Portfolios!$B$2:$B$856)</f>
        <v>0</v>
      </c>
    </row>
    <row r="857" spans="1:2">
      <c r="A857" s="11">
        <f>Returns!A857</f>
        <v>0</v>
      </c>
      <c r="B857" s="1">
        <f>SUM(Portfolios!$B$2:$B$857)</f>
        <v>0</v>
      </c>
    </row>
    <row r="858" spans="1:2">
      <c r="A858" s="11">
        <f>Returns!A858</f>
        <v>0</v>
      </c>
      <c r="B858" s="1">
        <f>SUM(Portfolios!$B$2:$B$858)</f>
        <v>0</v>
      </c>
    </row>
    <row r="859" spans="1:2">
      <c r="A859" s="11">
        <f>Returns!A859</f>
        <v>0</v>
      </c>
      <c r="B859" s="1">
        <f>SUM(Portfolios!$B$2:$B$859)</f>
        <v>0</v>
      </c>
    </row>
    <row r="860" spans="1:2">
      <c r="A860" s="11">
        <f>Returns!A860</f>
        <v>0</v>
      </c>
      <c r="B860" s="1">
        <f>SUM(Portfolios!$B$2:$B$860)</f>
        <v>0</v>
      </c>
    </row>
    <row r="861" spans="1:2">
      <c r="A861" s="11">
        <f>Returns!A861</f>
        <v>0</v>
      </c>
      <c r="B861" s="1">
        <f>SUM(Portfolios!$B$2:$B$861)</f>
        <v>0</v>
      </c>
    </row>
    <row r="862" spans="1:2">
      <c r="A862" s="11">
        <f>Returns!A862</f>
        <v>0</v>
      </c>
      <c r="B862" s="1">
        <f>SUM(Portfolios!$B$2:$B$862)</f>
        <v>0</v>
      </c>
    </row>
    <row r="863" spans="1:2">
      <c r="A863" s="11">
        <f>Returns!A863</f>
        <v>0</v>
      </c>
      <c r="B863" s="1">
        <f>SUM(Portfolios!$B$2:$B$863)</f>
        <v>0</v>
      </c>
    </row>
    <row r="864" spans="1:2">
      <c r="A864" s="11">
        <f>Returns!A864</f>
        <v>0</v>
      </c>
      <c r="B864" s="1">
        <f>SUM(Portfolios!$B$2:$B$864)</f>
        <v>0</v>
      </c>
    </row>
    <row r="865" spans="1:2">
      <c r="A865" s="11">
        <f>Returns!A865</f>
        <v>0</v>
      </c>
      <c r="B865" s="1">
        <f>SUM(Portfolios!$B$2:$B$865)</f>
        <v>0</v>
      </c>
    </row>
    <row r="866" spans="1:2">
      <c r="A866" s="11">
        <f>Returns!A866</f>
        <v>0</v>
      </c>
      <c r="B866" s="1">
        <f>SUM(Portfolios!$B$2:$B$866)</f>
        <v>0</v>
      </c>
    </row>
    <row r="867" spans="1:2">
      <c r="A867" s="11">
        <f>Returns!A867</f>
        <v>0</v>
      </c>
      <c r="B867" s="1">
        <f>SUM(Portfolios!$B$2:$B$867)</f>
        <v>0</v>
      </c>
    </row>
    <row r="868" spans="1:2">
      <c r="A868" s="11">
        <f>Returns!A868</f>
        <v>0</v>
      </c>
      <c r="B868" s="1">
        <f>SUM(Portfolios!$B$2:$B$868)</f>
        <v>0</v>
      </c>
    </row>
    <row r="869" spans="1:2">
      <c r="A869" s="11">
        <f>Returns!A869</f>
        <v>0</v>
      </c>
      <c r="B869" s="1">
        <f>SUM(Portfolios!$B$2:$B$869)</f>
        <v>0</v>
      </c>
    </row>
    <row r="870" spans="1:2">
      <c r="A870" s="11">
        <f>Returns!A870</f>
        <v>0</v>
      </c>
      <c r="B870" s="1">
        <f>SUM(Portfolios!$B$2:$B$870)</f>
        <v>0</v>
      </c>
    </row>
    <row r="871" spans="1:2">
      <c r="A871" s="11">
        <f>Returns!A871</f>
        <v>0</v>
      </c>
      <c r="B871" s="1">
        <f>SUM(Portfolios!$B$2:$B$871)</f>
        <v>0</v>
      </c>
    </row>
    <row r="872" spans="1:2">
      <c r="A872" s="11">
        <f>Returns!A872</f>
        <v>0</v>
      </c>
      <c r="B872" s="1">
        <f>SUM(Portfolios!$B$2:$B$872)</f>
        <v>0</v>
      </c>
    </row>
    <row r="873" spans="1:2">
      <c r="A873" s="11">
        <f>Returns!A873</f>
        <v>0</v>
      </c>
      <c r="B873" s="1">
        <f>SUM(Portfolios!$B$2:$B$873)</f>
        <v>0</v>
      </c>
    </row>
    <row r="874" spans="1:2">
      <c r="A874" s="11">
        <f>Returns!A874</f>
        <v>0</v>
      </c>
      <c r="B874" s="1">
        <f>SUM(Portfolios!$B$2:$B$874)</f>
        <v>0</v>
      </c>
    </row>
    <row r="875" spans="1:2">
      <c r="A875" s="11">
        <f>Returns!A875</f>
        <v>0</v>
      </c>
      <c r="B875" s="1">
        <f>SUM(Portfolios!$B$2:$B$875)</f>
        <v>0</v>
      </c>
    </row>
    <row r="876" spans="1:2">
      <c r="A876" s="11">
        <f>Returns!A876</f>
        <v>0</v>
      </c>
      <c r="B876" s="1">
        <f>SUM(Portfolios!$B$2:$B$876)</f>
        <v>0</v>
      </c>
    </row>
    <row r="877" spans="1:2">
      <c r="A877" s="11">
        <f>Returns!A877</f>
        <v>0</v>
      </c>
      <c r="B877" s="1">
        <f>SUM(Portfolios!$B$2:$B$877)</f>
        <v>0</v>
      </c>
    </row>
    <row r="878" spans="1:2">
      <c r="A878" s="11">
        <f>Returns!A878</f>
        <v>0</v>
      </c>
      <c r="B878" s="1">
        <f>SUM(Portfolios!$B$2:$B$878)</f>
        <v>0</v>
      </c>
    </row>
    <row r="879" spans="1:2">
      <c r="A879" s="11">
        <f>Returns!A879</f>
        <v>0</v>
      </c>
      <c r="B879" s="1">
        <f>SUM(Portfolios!$B$2:$B$879)</f>
        <v>0</v>
      </c>
    </row>
    <row r="880" spans="1:2">
      <c r="A880" s="11">
        <f>Returns!A880</f>
        <v>0</v>
      </c>
      <c r="B880" s="1">
        <f>SUM(Portfolios!$B$2:$B$880)</f>
        <v>0</v>
      </c>
    </row>
    <row r="881" spans="1:2">
      <c r="A881" s="11">
        <f>Returns!A881</f>
        <v>0</v>
      </c>
      <c r="B881" s="1">
        <f>SUM(Portfolios!$B$2:$B$881)</f>
        <v>0</v>
      </c>
    </row>
    <row r="882" spans="1:2">
      <c r="A882" s="11">
        <f>Returns!A882</f>
        <v>0</v>
      </c>
      <c r="B882" s="1">
        <f>SUM(Portfolios!$B$2:$B$882)</f>
        <v>0</v>
      </c>
    </row>
    <row r="883" spans="1:2">
      <c r="A883" s="11">
        <f>Returns!A883</f>
        <v>0</v>
      </c>
      <c r="B883" s="1">
        <f>SUM(Portfolios!$B$2:$B$883)</f>
        <v>0</v>
      </c>
    </row>
    <row r="884" spans="1:2">
      <c r="A884" s="11">
        <f>Returns!A884</f>
        <v>0</v>
      </c>
      <c r="B884" s="1">
        <f>SUM(Portfolios!$B$2:$B$884)</f>
        <v>0</v>
      </c>
    </row>
    <row r="885" spans="1:2">
      <c r="A885" s="11">
        <f>Returns!A885</f>
        <v>0</v>
      </c>
      <c r="B885" s="1">
        <f>SUM(Portfolios!$B$2:$B$885)</f>
        <v>0</v>
      </c>
    </row>
    <row r="886" spans="1:2">
      <c r="A886" s="11">
        <f>Returns!A886</f>
        <v>0</v>
      </c>
      <c r="B886" s="1">
        <f>SUM(Portfolios!$B$2:$B$886)</f>
        <v>0</v>
      </c>
    </row>
    <row r="887" spans="1:2">
      <c r="A887" s="11">
        <f>Returns!A887</f>
        <v>0</v>
      </c>
      <c r="B887" s="1">
        <f>SUM(Portfolios!$B$2:$B$887)</f>
        <v>0</v>
      </c>
    </row>
    <row r="888" spans="1:2">
      <c r="A888" s="11">
        <f>Returns!A888</f>
        <v>0</v>
      </c>
      <c r="B888" s="1">
        <f>SUM(Portfolios!$B$2:$B$888)</f>
        <v>0</v>
      </c>
    </row>
    <row r="889" spans="1:2">
      <c r="A889" s="11">
        <f>Returns!A889</f>
        <v>0</v>
      </c>
      <c r="B889" s="1">
        <f>SUM(Portfolios!$B$2:$B$889)</f>
        <v>0</v>
      </c>
    </row>
    <row r="890" spans="1:2">
      <c r="A890" s="11">
        <f>Returns!A890</f>
        <v>0</v>
      </c>
      <c r="B890" s="1">
        <f>SUM(Portfolios!$B$2:$B$890)</f>
        <v>0</v>
      </c>
    </row>
    <row r="891" spans="1:2">
      <c r="A891" s="11">
        <f>Returns!A891</f>
        <v>0</v>
      </c>
      <c r="B891" s="1">
        <f>SUM(Portfolios!$B$2:$B$891)</f>
        <v>0</v>
      </c>
    </row>
    <row r="892" spans="1:2">
      <c r="A892" s="11">
        <f>Returns!A892</f>
        <v>0</v>
      </c>
      <c r="B892" s="1">
        <f>SUM(Portfolios!$B$2:$B$892)</f>
        <v>0</v>
      </c>
    </row>
    <row r="893" spans="1:2">
      <c r="A893" s="11">
        <f>Returns!A893</f>
        <v>0</v>
      </c>
      <c r="B893" s="1">
        <f>SUM(Portfolios!$B$2:$B$893)</f>
        <v>0</v>
      </c>
    </row>
    <row r="894" spans="1:2">
      <c r="A894" s="11">
        <f>Returns!A894</f>
        <v>0</v>
      </c>
      <c r="B894" s="1">
        <f>SUM(Portfolios!$B$2:$B$894)</f>
        <v>0</v>
      </c>
    </row>
    <row r="895" spans="1:2">
      <c r="A895" s="11">
        <f>Returns!A895</f>
        <v>0</v>
      </c>
      <c r="B895" s="1">
        <f>SUM(Portfolios!$B$2:$B$895)</f>
        <v>0</v>
      </c>
    </row>
    <row r="896" spans="1:2">
      <c r="A896" s="11">
        <f>Returns!A896</f>
        <v>0</v>
      </c>
      <c r="B896" s="1">
        <f>SUM(Portfolios!$B$2:$B$896)</f>
        <v>0</v>
      </c>
    </row>
    <row r="897" spans="1:2">
      <c r="A897" s="11">
        <f>Returns!A897</f>
        <v>0</v>
      </c>
      <c r="B897" s="1">
        <f>SUM(Portfolios!$B$2:$B$897)</f>
        <v>0</v>
      </c>
    </row>
    <row r="898" spans="1:2">
      <c r="A898" s="11">
        <f>Returns!A898</f>
        <v>0</v>
      </c>
      <c r="B898" s="1">
        <f>SUM(Portfolios!$B$2:$B$898)</f>
        <v>0</v>
      </c>
    </row>
    <row r="899" spans="1:2">
      <c r="A899" s="11">
        <f>Returns!A899</f>
        <v>0</v>
      </c>
      <c r="B899" s="1">
        <f>SUM(Portfolios!$B$2:$B$899)</f>
        <v>0</v>
      </c>
    </row>
    <row r="900" spans="1:2">
      <c r="A900" s="11">
        <f>Returns!A900</f>
        <v>0</v>
      </c>
      <c r="B900" s="1">
        <f>SUM(Portfolios!$B$2:$B$900)</f>
        <v>0</v>
      </c>
    </row>
    <row r="901" spans="1:2">
      <c r="A901" s="11">
        <f>Returns!A901</f>
        <v>0</v>
      </c>
      <c r="B901" s="1">
        <f>SUM(Portfolios!$B$2:$B$901)</f>
        <v>0</v>
      </c>
    </row>
    <row r="902" spans="1:2">
      <c r="A902" s="11">
        <f>Returns!A902</f>
        <v>0</v>
      </c>
      <c r="B902" s="1">
        <f>SUM(Portfolios!$B$2:$B$902)</f>
        <v>0</v>
      </c>
    </row>
    <row r="903" spans="1:2">
      <c r="A903" s="11">
        <f>Returns!A903</f>
        <v>0</v>
      </c>
      <c r="B903" s="1">
        <f>SUM(Portfolios!$B$2:$B$903)</f>
        <v>0</v>
      </c>
    </row>
    <row r="904" spans="1:2">
      <c r="A904" s="11">
        <f>Returns!A904</f>
        <v>0</v>
      </c>
      <c r="B904" s="1">
        <f>SUM(Portfolios!$B$2:$B$904)</f>
        <v>0</v>
      </c>
    </row>
    <row r="905" spans="1:2">
      <c r="A905" s="11">
        <f>Returns!A905</f>
        <v>0</v>
      </c>
      <c r="B905" s="1">
        <f>SUM(Portfolios!$B$2:$B$905)</f>
        <v>0</v>
      </c>
    </row>
    <row r="906" spans="1:2">
      <c r="A906" s="11">
        <f>Returns!A906</f>
        <v>0</v>
      </c>
      <c r="B906" s="1">
        <f>SUM(Portfolios!$B$2:$B$906)</f>
        <v>0</v>
      </c>
    </row>
    <row r="907" spans="1:2">
      <c r="A907" s="11">
        <f>Returns!A907</f>
        <v>0</v>
      </c>
      <c r="B907" s="1">
        <f>SUM(Portfolios!$B$2:$B$907)</f>
        <v>0</v>
      </c>
    </row>
    <row r="908" spans="1:2">
      <c r="A908" s="11">
        <f>Returns!A908</f>
        <v>0</v>
      </c>
      <c r="B908" s="1">
        <f>SUM(Portfolios!$B$2:$B$908)</f>
        <v>0</v>
      </c>
    </row>
    <row r="909" spans="1:2">
      <c r="A909" s="11">
        <f>Returns!A909</f>
        <v>0</v>
      </c>
      <c r="B909" s="1">
        <f>SUM(Portfolios!$B$2:$B$909)</f>
        <v>0</v>
      </c>
    </row>
    <row r="910" spans="1:2">
      <c r="A910" s="11">
        <f>Returns!A910</f>
        <v>0</v>
      </c>
      <c r="B910" s="1">
        <f>SUM(Portfolios!$B$2:$B$910)</f>
        <v>0</v>
      </c>
    </row>
    <row r="911" spans="1:2">
      <c r="A911" s="11">
        <f>Returns!A911</f>
        <v>0</v>
      </c>
      <c r="B911" s="1">
        <f>SUM(Portfolios!$B$2:$B$911)</f>
        <v>0</v>
      </c>
    </row>
    <row r="912" spans="1:2">
      <c r="A912" s="11">
        <f>Returns!A912</f>
        <v>0</v>
      </c>
      <c r="B912" s="1">
        <f>SUM(Portfolios!$B$2:$B$912)</f>
        <v>0</v>
      </c>
    </row>
    <row r="913" spans="1:2">
      <c r="A913" s="11">
        <f>Returns!A913</f>
        <v>0</v>
      </c>
      <c r="B913" s="1">
        <f>SUM(Portfolios!$B$2:$B$913)</f>
        <v>0</v>
      </c>
    </row>
    <row r="914" spans="1:2">
      <c r="A914" s="11">
        <f>Returns!A914</f>
        <v>0</v>
      </c>
      <c r="B914" s="1">
        <f>SUM(Portfolios!$B$2:$B$914)</f>
        <v>0</v>
      </c>
    </row>
    <row r="915" spans="1:2">
      <c r="A915" s="11">
        <f>Returns!A915</f>
        <v>0</v>
      </c>
      <c r="B915" s="1">
        <f>SUM(Portfolios!$B$2:$B$915)</f>
        <v>0</v>
      </c>
    </row>
    <row r="916" spans="1:2">
      <c r="A916" s="11">
        <f>Returns!A916</f>
        <v>0</v>
      </c>
      <c r="B916" s="1">
        <f>SUM(Portfolios!$B$2:$B$916)</f>
        <v>0</v>
      </c>
    </row>
    <row r="917" spans="1:2">
      <c r="A917" s="11">
        <f>Returns!A917</f>
        <v>0</v>
      </c>
      <c r="B917" s="1">
        <f>SUM(Portfolios!$B$2:$B$917)</f>
        <v>0</v>
      </c>
    </row>
    <row r="918" spans="1:2">
      <c r="A918" s="11">
        <f>Returns!A918</f>
        <v>0</v>
      </c>
      <c r="B918" s="1">
        <f>SUM(Portfolios!$B$2:$B$918)</f>
        <v>0</v>
      </c>
    </row>
    <row r="919" spans="1:2">
      <c r="A919" s="11">
        <f>Returns!A919</f>
        <v>0</v>
      </c>
      <c r="B919" s="1">
        <f>SUM(Portfolios!$B$2:$B$919)</f>
        <v>0</v>
      </c>
    </row>
    <row r="920" spans="1:2">
      <c r="A920" s="11">
        <f>Returns!A920</f>
        <v>0</v>
      </c>
      <c r="B920" s="1">
        <f>SUM(Portfolios!$B$2:$B$920)</f>
        <v>0</v>
      </c>
    </row>
    <row r="921" spans="1:2">
      <c r="A921" s="11">
        <f>Returns!A921</f>
        <v>0</v>
      </c>
      <c r="B921" s="1">
        <f>SUM(Portfolios!$B$2:$B$921)</f>
        <v>0</v>
      </c>
    </row>
    <row r="922" spans="1:2">
      <c r="A922" s="11">
        <f>Returns!A922</f>
        <v>0</v>
      </c>
      <c r="B922" s="1">
        <f>SUM(Portfolios!$B$2:$B$922)</f>
        <v>0</v>
      </c>
    </row>
    <row r="923" spans="1:2">
      <c r="A923" s="11">
        <f>Returns!A923</f>
        <v>0</v>
      </c>
      <c r="B923" s="1">
        <f>SUM(Portfolios!$B$2:$B$923)</f>
        <v>0</v>
      </c>
    </row>
    <row r="924" spans="1:2">
      <c r="A924" s="11">
        <f>Returns!A924</f>
        <v>0</v>
      </c>
      <c r="B924" s="1">
        <f>SUM(Portfolios!$B$2:$B$924)</f>
        <v>0</v>
      </c>
    </row>
    <row r="925" spans="1:2">
      <c r="A925" s="11">
        <f>Returns!A925</f>
        <v>0</v>
      </c>
      <c r="B925" s="1">
        <f>SUM(Portfolios!$B$2:$B$925)</f>
        <v>0</v>
      </c>
    </row>
    <row r="926" spans="1:2">
      <c r="A926" s="11">
        <f>Returns!A926</f>
        <v>0</v>
      </c>
      <c r="B926" s="1">
        <f>SUM(Portfolios!$B$2:$B$926)</f>
        <v>0</v>
      </c>
    </row>
    <row r="927" spans="1:2">
      <c r="A927" s="11">
        <f>Returns!A927</f>
        <v>0</v>
      </c>
      <c r="B927" s="1">
        <f>SUM(Portfolios!$B$2:$B$927)</f>
        <v>0</v>
      </c>
    </row>
    <row r="928" spans="1:2">
      <c r="A928" s="11">
        <f>Returns!A928</f>
        <v>0</v>
      </c>
      <c r="B928" s="1">
        <f>SUM(Portfolios!$B$2:$B$928)</f>
        <v>0</v>
      </c>
    </row>
    <row r="929" spans="1:2">
      <c r="A929" s="11">
        <f>Returns!A929</f>
        <v>0</v>
      </c>
      <c r="B929" s="1">
        <f>SUM(Portfolios!$B$2:$B$929)</f>
        <v>0</v>
      </c>
    </row>
    <row r="930" spans="1:2">
      <c r="A930" s="11">
        <f>Returns!A930</f>
        <v>0</v>
      </c>
      <c r="B930" s="1">
        <f>SUM(Portfolios!$B$2:$B$930)</f>
        <v>0</v>
      </c>
    </row>
    <row r="931" spans="1:2">
      <c r="A931" s="11">
        <f>Returns!A931</f>
        <v>0</v>
      </c>
      <c r="B931" s="1">
        <f>SUM(Portfolios!$B$2:$B$931)</f>
        <v>0</v>
      </c>
    </row>
    <row r="932" spans="1:2">
      <c r="A932" s="11">
        <f>Returns!A932</f>
        <v>0</v>
      </c>
      <c r="B932" s="1">
        <f>SUM(Portfolios!$B$2:$B$932)</f>
        <v>0</v>
      </c>
    </row>
    <row r="933" spans="1:2">
      <c r="A933" s="11">
        <f>Returns!A933</f>
        <v>0</v>
      </c>
      <c r="B933" s="1">
        <f>SUM(Portfolios!$B$2:$B$933)</f>
        <v>0</v>
      </c>
    </row>
    <row r="934" spans="1:2">
      <c r="A934" s="11">
        <f>Returns!A934</f>
        <v>0</v>
      </c>
      <c r="B934" s="1">
        <f>SUM(Portfolios!$B$2:$B$934)</f>
        <v>0</v>
      </c>
    </row>
    <row r="935" spans="1:2">
      <c r="A935" s="11">
        <f>Returns!A935</f>
        <v>0</v>
      </c>
      <c r="B935" s="1">
        <f>SUM(Portfolios!$B$2:$B$935)</f>
        <v>0</v>
      </c>
    </row>
    <row r="936" spans="1:2">
      <c r="A936" s="11">
        <f>Returns!A936</f>
        <v>0</v>
      </c>
      <c r="B936" s="1">
        <f>SUM(Portfolios!$B$2:$B$936)</f>
        <v>0</v>
      </c>
    </row>
    <row r="937" spans="1:2">
      <c r="A937" s="11">
        <f>Returns!A937</f>
        <v>0</v>
      </c>
      <c r="B937" s="1">
        <f>SUM(Portfolios!$B$2:$B$937)</f>
        <v>0</v>
      </c>
    </row>
    <row r="938" spans="1:2">
      <c r="A938" s="11">
        <f>Returns!A938</f>
        <v>0</v>
      </c>
      <c r="B938" s="1">
        <f>SUM(Portfolios!$B$2:$B$938)</f>
        <v>0</v>
      </c>
    </row>
    <row r="939" spans="1:2">
      <c r="A939" s="11">
        <f>Returns!A939</f>
        <v>0</v>
      </c>
      <c r="B939" s="1">
        <f>SUM(Portfolios!$B$2:$B$939)</f>
        <v>0</v>
      </c>
    </row>
    <row r="940" spans="1:2">
      <c r="A940" s="11">
        <f>Returns!A940</f>
        <v>0</v>
      </c>
      <c r="B940" s="1">
        <f>SUM(Portfolios!$B$2:$B$940)</f>
        <v>0</v>
      </c>
    </row>
    <row r="941" spans="1:2">
      <c r="A941" s="11">
        <f>Returns!A941</f>
        <v>0</v>
      </c>
      <c r="B941" s="1">
        <f>SUM(Portfolios!$B$2:$B$941)</f>
        <v>0</v>
      </c>
    </row>
    <row r="942" spans="1:2">
      <c r="A942" s="11">
        <f>Returns!A942</f>
        <v>0</v>
      </c>
      <c r="B942" s="1">
        <f>SUM(Portfolios!$B$2:$B$942)</f>
        <v>0</v>
      </c>
    </row>
    <row r="943" spans="1:2">
      <c r="A943" s="11">
        <f>Returns!A943</f>
        <v>0</v>
      </c>
      <c r="B943" s="1">
        <f>SUM(Portfolios!$B$2:$B$943)</f>
        <v>0</v>
      </c>
    </row>
    <row r="944" spans="1:2">
      <c r="A944" s="11">
        <f>Returns!A944</f>
        <v>0</v>
      </c>
      <c r="B944" s="1">
        <f>SUM(Portfolios!$B$2:$B$944)</f>
        <v>0</v>
      </c>
    </row>
    <row r="945" spans="1:2">
      <c r="A945" s="11">
        <f>Returns!A945</f>
        <v>0</v>
      </c>
      <c r="B945" s="1">
        <f>SUM(Portfolios!$B$2:$B$945)</f>
        <v>0</v>
      </c>
    </row>
    <row r="946" spans="1:2">
      <c r="A946" s="11">
        <f>Returns!A946</f>
        <v>0</v>
      </c>
      <c r="B946" s="1">
        <f>SUM(Portfolios!$B$2:$B$946)</f>
        <v>0</v>
      </c>
    </row>
    <row r="947" spans="1:2">
      <c r="A947" s="11">
        <f>Returns!A947</f>
        <v>0</v>
      </c>
      <c r="B947" s="1">
        <f>SUM(Portfolios!$B$2:$B$947)</f>
        <v>0</v>
      </c>
    </row>
    <row r="948" spans="1:2">
      <c r="A948" s="11">
        <f>Returns!A948</f>
        <v>0</v>
      </c>
      <c r="B948" s="1">
        <f>SUM(Portfolios!$B$2:$B$948)</f>
        <v>0</v>
      </c>
    </row>
    <row r="949" spans="1:2">
      <c r="A949" s="11">
        <f>Returns!A949</f>
        <v>0</v>
      </c>
      <c r="B949" s="1">
        <f>SUM(Portfolios!$B$2:$B$949)</f>
        <v>0</v>
      </c>
    </row>
    <row r="950" spans="1:2">
      <c r="A950" s="11">
        <f>Returns!A950</f>
        <v>0</v>
      </c>
      <c r="B950" s="1">
        <f>SUM(Portfolios!$B$2:$B$950)</f>
        <v>0</v>
      </c>
    </row>
    <row r="951" spans="1:2">
      <c r="A951" s="11">
        <f>Returns!A951</f>
        <v>0</v>
      </c>
      <c r="B951" s="1">
        <f>SUM(Portfolios!$B$2:$B$951)</f>
        <v>0</v>
      </c>
    </row>
    <row r="952" spans="1:2">
      <c r="A952" s="11">
        <f>Returns!A952</f>
        <v>0</v>
      </c>
      <c r="B952" s="1">
        <f>SUM(Portfolios!$B$2:$B$952)</f>
        <v>0</v>
      </c>
    </row>
    <row r="953" spans="1:2">
      <c r="A953" s="11">
        <f>Returns!A953</f>
        <v>0</v>
      </c>
      <c r="B953" s="1">
        <f>SUM(Portfolios!$B$2:$B$953)</f>
        <v>0</v>
      </c>
    </row>
    <row r="954" spans="1:2">
      <c r="A954" s="11">
        <f>Returns!A954</f>
        <v>0</v>
      </c>
      <c r="B954" s="1">
        <f>SUM(Portfolios!$B$2:$B$954)</f>
        <v>0</v>
      </c>
    </row>
    <row r="955" spans="1:2">
      <c r="A955" s="11">
        <f>Returns!A955</f>
        <v>0</v>
      </c>
      <c r="B955" s="1">
        <f>SUM(Portfolios!$B$2:$B$955)</f>
        <v>0</v>
      </c>
    </row>
    <row r="956" spans="1:2">
      <c r="A956" s="11">
        <f>Returns!A956</f>
        <v>0</v>
      </c>
      <c r="B956" s="1">
        <f>SUM(Portfolios!$B$2:$B$956)</f>
        <v>0</v>
      </c>
    </row>
    <row r="957" spans="1:2">
      <c r="A957" s="11">
        <f>Returns!A957</f>
        <v>0</v>
      </c>
      <c r="B957" s="1">
        <f>SUM(Portfolios!$B$2:$B$957)</f>
        <v>0</v>
      </c>
    </row>
    <row r="958" spans="1:2">
      <c r="A958" s="11">
        <f>Returns!A958</f>
        <v>0</v>
      </c>
      <c r="B958" s="1">
        <f>SUM(Portfolios!$B$2:$B$958)</f>
        <v>0</v>
      </c>
    </row>
    <row r="959" spans="1:2">
      <c r="A959" s="11">
        <f>Returns!A959</f>
        <v>0</v>
      </c>
      <c r="B959" s="1">
        <f>SUM(Portfolios!$B$2:$B$959)</f>
        <v>0</v>
      </c>
    </row>
    <row r="960" spans="1:2">
      <c r="A960" s="11">
        <f>Returns!A960</f>
        <v>0</v>
      </c>
      <c r="B960" s="1">
        <f>SUM(Portfolios!$B$2:$B$960)</f>
        <v>0</v>
      </c>
    </row>
    <row r="961" spans="1:2">
      <c r="A961" s="11">
        <f>Returns!A961</f>
        <v>0</v>
      </c>
      <c r="B961" s="1">
        <f>SUM(Portfolios!$B$2:$B$961)</f>
        <v>0</v>
      </c>
    </row>
    <row r="962" spans="1:2">
      <c r="A962" s="11">
        <f>Returns!A962</f>
        <v>0</v>
      </c>
      <c r="B962" s="1">
        <f>SUM(Portfolios!$B$2:$B$962)</f>
        <v>0</v>
      </c>
    </row>
    <row r="963" spans="1:2">
      <c r="A963" s="11">
        <f>Returns!A963</f>
        <v>0</v>
      </c>
      <c r="B963" s="1">
        <f>SUM(Portfolios!$B$2:$B$963)</f>
        <v>0</v>
      </c>
    </row>
    <row r="964" spans="1:2">
      <c r="A964" s="11">
        <f>Returns!A964</f>
        <v>0</v>
      </c>
      <c r="B964" s="1">
        <f>SUM(Portfolios!$B$2:$B$964)</f>
        <v>0</v>
      </c>
    </row>
    <row r="965" spans="1:2">
      <c r="A965" s="11">
        <f>Returns!A965</f>
        <v>0</v>
      </c>
      <c r="B965" s="1">
        <f>SUM(Portfolios!$B$2:$B$965)</f>
        <v>0</v>
      </c>
    </row>
    <row r="966" spans="1:2">
      <c r="A966" s="11">
        <f>Returns!A966</f>
        <v>0</v>
      </c>
      <c r="B966" s="1">
        <f>SUM(Portfolios!$B$2:$B$966)</f>
        <v>0</v>
      </c>
    </row>
    <row r="967" spans="1:2">
      <c r="A967" s="11">
        <f>Returns!A967</f>
        <v>0</v>
      </c>
      <c r="B967" s="1">
        <f>SUM(Portfolios!$B$2:$B$967)</f>
        <v>0</v>
      </c>
    </row>
    <row r="968" spans="1:2">
      <c r="A968" s="11">
        <f>Returns!A968</f>
        <v>0</v>
      </c>
      <c r="B968" s="1">
        <f>SUM(Portfolios!$B$2:$B$968)</f>
        <v>0</v>
      </c>
    </row>
    <row r="969" spans="1:2">
      <c r="A969" s="11">
        <f>Returns!A969</f>
        <v>0</v>
      </c>
      <c r="B969" s="1">
        <f>SUM(Portfolios!$B$2:$B$969)</f>
        <v>0</v>
      </c>
    </row>
    <row r="970" spans="1:2">
      <c r="A970" s="11">
        <f>Returns!A970</f>
        <v>0</v>
      </c>
      <c r="B970" s="1">
        <f>SUM(Portfolios!$B$2:$B$970)</f>
        <v>0</v>
      </c>
    </row>
    <row r="971" spans="1:2">
      <c r="A971" s="11">
        <f>Returns!A971</f>
        <v>0</v>
      </c>
      <c r="B971" s="1">
        <f>SUM(Portfolios!$B$2:$B$971)</f>
        <v>0</v>
      </c>
    </row>
    <row r="972" spans="1:2">
      <c r="A972" s="11">
        <f>Returns!A972</f>
        <v>0</v>
      </c>
      <c r="B972" s="1">
        <f>SUM(Portfolios!$B$2:$B$972)</f>
        <v>0</v>
      </c>
    </row>
    <row r="973" spans="1:2">
      <c r="A973" s="11">
        <f>Returns!A973</f>
        <v>0</v>
      </c>
      <c r="B973" s="1">
        <f>SUM(Portfolios!$B$2:$B$973)</f>
        <v>0</v>
      </c>
    </row>
    <row r="974" spans="1:2">
      <c r="A974" s="11">
        <f>Returns!A974</f>
        <v>0</v>
      </c>
      <c r="B974" s="1">
        <f>SUM(Portfolios!$B$2:$B$974)</f>
        <v>0</v>
      </c>
    </row>
    <row r="975" spans="1:2">
      <c r="A975" s="11">
        <f>Returns!A975</f>
        <v>0</v>
      </c>
      <c r="B975" s="1">
        <f>SUM(Portfolios!$B$2:$B$975)</f>
        <v>0</v>
      </c>
    </row>
    <row r="976" spans="1:2">
      <c r="A976" s="11">
        <f>Returns!A976</f>
        <v>0</v>
      </c>
      <c r="B976" s="1">
        <f>SUM(Portfolios!$B$2:$B$976)</f>
        <v>0</v>
      </c>
    </row>
    <row r="977" spans="1:2">
      <c r="A977" s="11">
        <f>Returns!A977</f>
        <v>0</v>
      </c>
      <c r="B977" s="1">
        <f>SUM(Portfolios!$B$2:$B$977)</f>
        <v>0</v>
      </c>
    </row>
    <row r="978" spans="1:2">
      <c r="A978" s="11">
        <f>Returns!A978</f>
        <v>0</v>
      </c>
      <c r="B978" s="1">
        <f>SUM(Portfolios!$B$2:$B$978)</f>
        <v>0</v>
      </c>
    </row>
    <row r="979" spans="1:2">
      <c r="A979" s="11">
        <f>Returns!A979</f>
        <v>0</v>
      </c>
      <c r="B979" s="1">
        <f>SUM(Portfolios!$B$2:$B$979)</f>
        <v>0</v>
      </c>
    </row>
    <row r="980" spans="1:2">
      <c r="A980" s="11">
        <f>Returns!A980</f>
        <v>0</v>
      </c>
      <c r="B980" s="1">
        <f>SUM(Portfolios!$B$2:$B$980)</f>
        <v>0</v>
      </c>
    </row>
    <row r="981" spans="1:2">
      <c r="A981" s="11">
        <f>Returns!A981</f>
        <v>0</v>
      </c>
      <c r="B981" s="1">
        <f>SUM(Portfolios!$B$2:$B$981)</f>
        <v>0</v>
      </c>
    </row>
    <row r="982" spans="1:2">
      <c r="A982" s="11">
        <f>Returns!A982</f>
        <v>0</v>
      </c>
      <c r="B982" s="1">
        <f>SUM(Portfolios!$B$2:$B$982)</f>
        <v>0</v>
      </c>
    </row>
    <row r="983" spans="1:2">
      <c r="A983" s="11">
        <f>Returns!A983</f>
        <v>0</v>
      </c>
      <c r="B983" s="1">
        <f>SUM(Portfolios!$B$2:$B$983)</f>
        <v>0</v>
      </c>
    </row>
    <row r="984" spans="1:2">
      <c r="A984" s="11">
        <f>Returns!A984</f>
        <v>0</v>
      </c>
      <c r="B984" s="1">
        <f>SUM(Portfolios!$B$2:$B$984)</f>
        <v>0</v>
      </c>
    </row>
    <row r="985" spans="1:2">
      <c r="A985" s="11">
        <f>Returns!A985</f>
        <v>0</v>
      </c>
      <c r="B985" s="1">
        <f>SUM(Portfolios!$B$2:$B$985)</f>
        <v>0</v>
      </c>
    </row>
    <row r="986" spans="1:2">
      <c r="A986" s="11">
        <f>Returns!A986</f>
        <v>0</v>
      </c>
      <c r="B986" s="1">
        <f>SUM(Portfolios!$B$2:$B$986)</f>
        <v>0</v>
      </c>
    </row>
    <row r="987" spans="1:2">
      <c r="A987" s="11">
        <f>Returns!A987</f>
        <v>0</v>
      </c>
      <c r="B987" s="1">
        <f>SUM(Portfolios!$B$2:$B$987)</f>
        <v>0</v>
      </c>
    </row>
    <row r="988" spans="1:2">
      <c r="A988" s="11">
        <f>Returns!A988</f>
        <v>0</v>
      </c>
      <c r="B988" s="1">
        <f>SUM(Portfolios!$B$2:$B$988)</f>
        <v>0</v>
      </c>
    </row>
    <row r="989" spans="1:2">
      <c r="A989" s="11">
        <f>Returns!A989</f>
        <v>0</v>
      </c>
      <c r="B989" s="1">
        <f>SUM(Portfolios!$B$2:$B$989)</f>
        <v>0</v>
      </c>
    </row>
    <row r="990" spans="1:2">
      <c r="A990" s="11">
        <f>Returns!A990</f>
        <v>0</v>
      </c>
      <c r="B990" s="1">
        <f>SUM(Portfolios!$B$2:$B$990)</f>
        <v>0</v>
      </c>
    </row>
    <row r="991" spans="1:2">
      <c r="A991" s="11">
        <f>Returns!A991</f>
        <v>0</v>
      </c>
      <c r="B991" s="1">
        <f>SUM(Portfolios!$B$2:$B$991)</f>
        <v>0</v>
      </c>
    </row>
    <row r="992" spans="1:2">
      <c r="A992" s="11">
        <f>Returns!A992</f>
        <v>0</v>
      </c>
      <c r="B992" s="1">
        <f>SUM(Portfolios!$B$2:$B$992)</f>
        <v>0</v>
      </c>
    </row>
    <row r="993" spans="1:2">
      <c r="A993" s="11">
        <f>Returns!A993</f>
        <v>0</v>
      </c>
      <c r="B993" s="1">
        <f>SUM(Portfolios!$B$2:$B$993)</f>
        <v>0</v>
      </c>
    </row>
    <row r="994" spans="1:2">
      <c r="A994" s="11">
        <f>Returns!A994</f>
        <v>0</v>
      </c>
      <c r="B994" s="1">
        <f>SUM(Portfolios!$B$2:$B$994)</f>
        <v>0</v>
      </c>
    </row>
    <row r="995" spans="1:2">
      <c r="A995" s="11">
        <f>Returns!A995</f>
        <v>0</v>
      </c>
      <c r="B995" s="1">
        <f>SUM(Portfolios!$B$2:$B$995)</f>
        <v>0</v>
      </c>
    </row>
    <row r="996" spans="1:2">
      <c r="A996" s="11">
        <f>Returns!A996</f>
        <v>0</v>
      </c>
      <c r="B996" s="1">
        <f>SUM(Portfolios!$B$2:$B$996)</f>
        <v>0</v>
      </c>
    </row>
    <row r="997" spans="1:2">
      <c r="A997" s="11">
        <f>Returns!A997</f>
        <v>0</v>
      </c>
      <c r="B997" s="1">
        <f>SUM(Portfolios!$B$2:$B$997)</f>
        <v>0</v>
      </c>
    </row>
    <row r="998" spans="1:2">
      <c r="A998" s="11">
        <f>Returns!A998</f>
        <v>0</v>
      </c>
      <c r="B998" s="1">
        <f>SUM(Portfolios!$B$2:$B$998)</f>
        <v>0</v>
      </c>
    </row>
    <row r="999" spans="1:2">
      <c r="A999" s="11">
        <f>Returns!A999</f>
        <v>0</v>
      </c>
      <c r="B999" s="1">
        <f>SUM(Portfolios!$B$2:$B$999)</f>
        <v>0</v>
      </c>
    </row>
    <row r="1000" spans="1:2">
      <c r="A1000" s="11">
        <f>Returns!A1000</f>
        <v>0</v>
      </c>
      <c r="B1000" s="1">
        <f>SUM(Portfolios!$B$2:$B$1000)</f>
        <v>0</v>
      </c>
    </row>
    <row r="1001" spans="1:2">
      <c r="A1001" s="11">
        <f>Returns!A1001</f>
        <v>0</v>
      </c>
      <c r="B1001" s="1">
        <f>SUM(Portfolios!$B$2:$B$1001)</f>
        <v>0</v>
      </c>
    </row>
    <row r="1002" spans="1:2">
      <c r="A1002" s="11">
        <f>Returns!A1002</f>
        <v>0</v>
      </c>
      <c r="B1002" s="1">
        <f>SUM(Portfolios!$B$2:$B$1002)</f>
        <v>0</v>
      </c>
    </row>
    <row r="1003" spans="1:2">
      <c r="A1003" s="11">
        <f>Returns!A1003</f>
        <v>0</v>
      </c>
      <c r="B1003" s="1">
        <f>SUM(Portfolios!$B$2:$B$1003)</f>
        <v>0</v>
      </c>
    </row>
    <row r="1004" spans="1:2">
      <c r="A1004" s="11">
        <f>Returns!A1004</f>
        <v>0</v>
      </c>
      <c r="B1004" s="1">
        <f>SUM(Portfolios!$B$2:$B$1004)</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04"/>
  <sheetViews>
    <sheetView showGridLines="0" workbookViewId="0"/>
  </sheetViews>
  <sheetFormatPr defaultRowHeight="15"/>
  <cols>
    <col min="1" max="1" width="10.7109375" style="10" customWidth="1"/>
  </cols>
  <sheetData>
    <row r="1" spans="1:2">
      <c r="A1" s="5" t="s">
        <v>26</v>
      </c>
      <c r="B1" s="5" t="s">
        <v>52</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row r="252" spans="1:2">
      <c r="A252" s="11">
        <f>Returns!A252</f>
        <v>0</v>
      </c>
      <c r="B252" s="1">
        <f>MAX(CumRet!$B$2:$B$252)-CumRet!B252</f>
        <v>0</v>
      </c>
    </row>
    <row r="253" spans="1:2">
      <c r="A253" s="11">
        <f>Returns!A253</f>
        <v>0</v>
      </c>
      <c r="B253" s="1">
        <f>MAX(CumRet!$B$2:$B$253)-CumRet!B253</f>
        <v>0</v>
      </c>
    </row>
    <row r="254" spans="1:2">
      <c r="A254" s="11">
        <f>Returns!A254</f>
        <v>0</v>
      </c>
      <c r="B254" s="1">
        <f>MAX(CumRet!$B$2:$B$254)-CumRet!B254</f>
        <v>0</v>
      </c>
    </row>
    <row r="255" spans="1:2">
      <c r="A255" s="11">
        <f>Returns!A255</f>
        <v>0</v>
      </c>
      <c r="B255" s="1">
        <f>MAX(CumRet!$B$2:$B$255)-CumRet!B255</f>
        <v>0</v>
      </c>
    </row>
    <row r="256" spans="1:2">
      <c r="A256" s="11">
        <f>Returns!A256</f>
        <v>0</v>
      </c>
      <c r="B256" s="1">
        <f>MAX(CumRet!$B$2:$B$256)-CumRet!B256</f>
        <v>0</v>
      </c>
    </row>
    <row r="257" spans="1:2">
      <c r="A257" s="11">
        <f>Returns!A257</f>
        <v>0</v>
      </c>
      <c r="B257" s="1">
        <f>MAX(CumRet!$B$2:$B$257)-CumRet!B257</f>
        <v>0</v>
      </c>
    </row>
    <row r="258" spans="1:2">
      <c r="A258" s="11">
        <f>Returns!A258</f>
        <v>0</v>
      </c>
      <c r="B258" s="1">
        <f>MAX(CumRet!$B$2:$B$258)-CumRet!B258</f>
        <v>0</v>
      </c>
    </row>
    <row r="259" spans="1:2">
      <c r="A259" s="11">
        <f>Returns!A259</f>
        <v>0</v>
      </c>
      <c r="B259" s="1">
        <f>MAX(CumRet!$B$2:$B$259)-CumRet!B259</f>
        <v>0</v>
      </c>
    </row>
    <row r="260" spans="1:2">
      <c r="A260" s="11">
        <f>Returns!A260</f>
        <v>0</v>
      </c>
      <c r="B260" s="1">
        <f>MAX(CumRet!$B$2:$B$260)-CumRet!B260</f>
        <v>0</v>
      </c>
    </row>
    <row r="261" spans="1:2">
      <c r="A261" s="11">
        <f>Returns!A261</f>
        <v>0</v>
      </c>
      <c r="B261" s="1">
        <f>MAX(CumRet!$B$2:$B$261)-CumRet!B261</f>
        <v>0</v>
      </c>
    </row>
    <row r="262" spans="1:2">
      <c r="A262" s="11">
        <f>Returns!A262</f>
        <v>0</v>
      </c>
      <c r="B262" s="1">
        <f>MAX(CumRet!$B$2:$B$262)-CumRet!B262</f>
        <v>0</v>
      </c>
    </row>
    <row r="263" spans="1:2">
      <c r="A263" s="11">
        <f>Returns!A263</f>
        <v>0</v>
      </c>
      <c r="B263" s="1">
        <f>MAX(CumRet!$B$2:$B$263)-CumRet!B263</f>
        <v>0</v>
      </c>
    </row>
    <row r="264" spans="1:2">
      <c r="A264" s="11">
        <f>Returns!A264</f>
        <v>0</v>
      </c>
      <c r="B264" s="1">
        <f>MAX(CumRet!$B$2:$B$264)-CumRet!B264</f>
        <v>0</v>
      </c>
    </row>
    <row r="265" spans="1:2">
      <c r="A265" s="11">
        <f>Returns!A265</f>
        <v>0</v>
      </c>
      <c r="B265" s="1">
        <f>MAX(CumRet!$B$2:$B$265)-CumRet!B265</f>
        <v>0</v>
      </c>
    </row>
    <row r="266" spans="1:2">
      <c r="A266" s="11">
        <f>Returns!A266</f>
        <v>0</v>
      </c>
      <c r="B266" s="1">
        <f>MAX(CumRet!$B$2:$B$266)-CumRet!B266</f>
        <v>0</v>
      </c>
    </row>
    <row r="267" spans="1:2">
      <c r="A267" s="11">
        <f>Returns!A267</f>
        <v>0</v>
      </c>
      <c r="B267" s="1">
        <f>MAX(CumRet!$B$2:$B$267)-CumRet!B267</f>
        <v>0</v>
      </c>
    </row>
    <row r="268" spans="1:2">
      <c r="A268" s="11">
        <f>Returns!A268</f>
        <v>0</v>
      </c>
      <c r="B268" s="1">
        <f>MAX(CumRet!$B$2:$B$268)-CumRet!B268</f>
        <v>0</v>
      </c>
    </row>
    <row r="269" spans="1:2">
      <c r="A269" s="11">
        <f>Returns!A269</f>
        <v>0</v>
      </c>
      <c r="B269" s="1">
        <f>MAX(CumRet!$B$2:$B$269)-CumRet!B269</f>
        <v>0</v>
      </c>
    </row>
    <row r="270" spans="1:2">
      <c r="A270" s="11">
        <f>Returns!A270</f>
        <v>0</v>
      </c>
      <c r="B270" s="1">
        <f>MAX(CumRet!$B$2:$B$270)-CumRet!B270</f>
        <v>0</v>
      </c>
    </row>
    <row r="271" spans="1:2">
      <c r="A271" s="11">
        <f>Returns!A271</f>
        <v>0</v>
      </c>
      <c r="B271" s="1">
        <f>MAX(CumRet!$B$2:$B$271)-CumRet!B271</f>
        <v>0</v>
      </c>
    </row>
    <row r="272" spans="1:2">
      <c r="A272" s="11">
        <f>Returns!A272</f>
        <v>0</v>
      </c>
      <c r="B272" s="1">
        <f>MAX(CumRet!$B$2:$B$272)-CumRet!B272</f>
        <v>0</v>
      </c>
    </row>
    <row r="273" spans="1:2">
      <c r="A273" s="11">
        <f>Returns!A273</f>
        <v>0</v>
      </c>
      <c r="B273" s="1">
        <f>MAX(CumRet!$B$2:$B$273)-CumRet!B273</f>
        <v>0</v>
      </c>
    </row>
    <row r="274" spans="1:2">
      <c r="A274" s="11">
        <f>Returns!A274</f>
        <v>0</v>
      </c>
      <c r="B274" s="1">
        <f>MAX(CumRet!$B$2:$B$274)-CumRet!B274</f>
        <v>0</v>
      </c>
    </row>
    <row r="275" spans="1:2">
      <c r="A275" s="11">
        <f>Returns!A275</f>
        <v>0</v>
      </c>
      <c r="B275" s="1">
        <f>MAX(CumRet!$B$2:$B$275)-CumRet!B275</f>
        <v>0</v>
      </c>
    </row>
    <row r="276" spans="1:2">
      <c r="A276" s="11">
        <f>Returns!A276</f>
        <v>0</v>
      </c>
      <c r="B276" s="1">
        <f>MAX(CumRet!$B$2:$B$276)-CumRet!B276</f>
        <v>0</v>
      </c>
    </row>
    <row r="277" spans="1:2">
      <c r="A277" s="11">
        <f>Returns!A277</f>
        <v>0</v>
      </c>
      <c r="B277" s="1">
        <f>MAX(CumRet!$B$2:$B$277)-CumRet!B277</f>
        <v>0</v>
      </c>
    </row>
    <row r="278" spans="1:2">
      <c r="A278" s="11">
        <f>Returns!A278</f>
        <v>0</v>
      </c>
      <c r="B278" s="1">
        <f>MAX(CumRet!$B$2:$B$278)-CumRet!B278</f>
        <v>0</v>
      </c>
    </row>
    <row r="279" spans="1:2">
      <c r="A279" s="11">
        <f>Returns!A279</f>
        <v>0</v>
      </c>
      <c r="B279" s="1">
        <f>MAX(CumRet!$B$2:$B$279)-CumRet!B279</f>
        <v>0</v>
      </c>
    </row>
    <row r="280" spans="1:2">
      <c r="A280" s="11">
        <f>Returns!A280</f>
        <v>0</v>
      </c>
      <c r="B280" s="1">
        <f>MAX(CumRet!$B$2:$B$280)-CumRet!B280</f>
        <v>0</v>
      </c>
    </row>
    <row r="281" spans="1:2">
      <c r="A281" s="11">
        <f>Returns!A281</f>
        <v>0</v>
      </c>
      <c r="B281" s="1">
        <f>MAX(CumRet!$B$2:$B$281)-CumRet!B281</f>
        <v>0</v>
      </c>
    </row>
    <row r="282" spans="1:2">
      <c r="A282" s="11">
        <f>Returns!A282</f>
        <v>0</v>
      </c>
      <c r="B282" s="1">
        <f>MAX(CumRet!$B$2:$B$282)-CumRet!B282</f>
        <v>0</v>
      </c>
    </row>
    <row r="283" spans="1:2">
      <c r="A283" s="11">
        <f>Returns!A283</f>
        <v>0</v>
      </c>
      <c r="B283" s="1">
        <f>MAX(CumRet!$B$2:$B$283)-CumRet!B283</f>
        <v>0</v>
      </c>
    </row>
    <row r="284" spans="1:2">
      <c r="A284" s="11">
        <f>Returns!A284</f>
        <v>0</v>
      </c>
      <c r="B284" s="1">
        <f>MAX(CumRet!$B$2:$B$284)-CumRet!B284</f>
        <v>0</v>
      </c>
    </row>
    <row r="285" spans="1:2">
      <c r="A285" s="11">
        <f>Returns!A285</f>
        <v>0</v>
      </c>
      <c r="B285" s="1">
        <f>MAX(CumRet!$B$2:$B$285)-CumRet!B285</f>
        <v>0</v>
      </c>
    </row>
    <row r="286" spans="1:2">
      <c r="A286" s="11">
        <f>Returns!A286</f>
        <v>0</v>
      </c>
      <c r="B286" s="1">
        <f>MAX(CumRet!$B$2:$B$286)-CumRet!B286</f>
        <v>0</v>
      </c>
    </row>
    <row r="287" spans="1:2">
      <c r="A287" s="11">
        <f>Returns!A287</f>
        <v>0</v>
      </c>
      <c r="B287" s="1">
        <f>MAX(CumRet!$B$2:$B$287)-CumRet!B287</f>
        <v>0</v>
      </c>
    </row>
    <row r="288" spans="1:2">
      <c r="A288" s="11">
        <f>Returns!A288</f>
        <v>0</v>
      </c>
      <c r="B288" s="1">
        <f>MAX(CumRet!$B$2:$B$288)-CumRet!B288</f>
        <v>0</v>
      </c>
    </row>
    <row r="289" spans="1:2">
      <c r="A289" s="11">
        <f>Returns!A289</f>
        <v>0</v>
      </c>
      <c r="B289" s="1">
        <f>MAX(CumRet!$B$2:$B$289)-CumRet!B289</f>
        <v>0</v>
      </c>
    </row>
    <row r="290" spans="1:2">
      <c r="A290" s="11">
        <f>Returns!A290</f>
        <v>0</v>
      </c>
      <c r="B290" s="1">
        <f>MAX(CumRet!$B$2:$B$290)-CumRet!B290</f>
        <v>0</v>
      </c>
    </row>
    <row r="291" spans="1:2">
      <c r="A291" s="11">
        <f>Returns!A291</f>
        <v>0</v>
      </c>
      <c r="B291" s="1">
        <f>MAX(CumRet!$B$2:$B$291)-CumRet!B291</f>
        <v>0</v>
      </c>
    </row>
    <row r="292" spans="1:2">
      <c r="A292" s="11">
        <f>Returns!A292</f>
        <v>0</v>
      </c>
      <c r="B292" s="1">
        <f>MAX(CumRet!$B$2:$B$292)-CumRet!B292</f>
        <v>0</v>
      </c>
    </row>
    <row r="293" spans="1:2">
      <c r="A293" s="11">
        <f>Returns!A293</f>
        <v>0</v>
      </c>
      <c r="B293" s="1">
        <f>MAX(CumRet!$B$2:$B$293)-CumRet!B293</f>
        <v>0</v>
      </c>
    </row>
    <row r="294" spans="1:2">
      <c r="A294" s="11">
        <f>Returns!A294</f>
        <v>0</v>
      </c>
      <c r="B294" s="1">
        <f>MAX(CumRet!$B$2:$B$294)-CumRet!B294</f>
        <v>0</v>
      </c>
    </row>
    <row r="295" spans="1:2">
      <c r="A295" s="11">
        <f>Returns!A295</f>
        <v>0</v>
      </c>
      <c r="B295" s="1">
        <f>MAX(CumRet!$B$2:$B$295)-CumRet!B295</f>
        <v>0</v>
      </c>
    </row>
    <row r="296" spans="1:2">
      <c r="A296" s="11">
        <f>Returns!A296</f>
        <v>0</v>
      </c>
      <c r="B296" s="1">
        <f>MAX(CumRet!$B$2:$B$296)-CumRet!B296</f>
        <v>0</v>
      </c>
    </row>
    <row r="297" spans="1:2">
      <c r="A297" s="11">
        <f>Returns!A297</f>
        <v>0</v>
      </c>
      <c r="B297" s="1">
        <f>MAX(CumRet!$B$2:$B$297)-CumRet!B297</f>
        <v>0</v>
      </c>
    </row>
    <row r="298" spans="1:2">
      <c r="A298" s="11">
        <f>Returns!A298</f>
        <v>0</v>
      </c>
      <c r="B298" s="1">
        <f>MAX(CumRet!$B$2:$B$298)-CumRet!B298</f>
        <v>0</v>
      </c>
    </row>
    <row r="299" spans="1:2">
      <c r="A299" s="11">
        <f>Returns!A299</f>
        <v>0</v>
      </c>
      <c r="B299" s="1">
        <f>MAX(CumRet!$B$2:$B$299)-CumRet!B299</f>
        <v>0</v>
      </c>
    </row>
    <row r="300" spans="1:2">
      <c r="A300" s="11">
        <f>Returns!A300</f>
        <v>0</v>
      </c>
      <c r="B300" s="1">
        <f>MAX(CumRet!$B$2:$B$300)-CumRet!B300</f>
        <v>0</v>
      </c>
    </row>
    <row r="301" spans="1:2">
      <c r="A301" s="11">
        <f>Returns!A301</f>
        <v>0</v>
      </c>
      <c r="B301" s="1">
        <f>MAX(CumRet!$B$2:$B$301)-CumRet!B301</f>
        <v>0</v>
      </c>
    </row>
    <row r="302" spans="1:2">
      <c r="A302" s="11">
        <f>Returns!A302</f>
        <v>0</v>
      </c>
      <c r="B302" s="1">
        <f>MAX(CumRet!$B$2:$B$302)-CumRet!B302</f>
        <v>0</v>
      </c>
    </row>
    <row r="303" spans="1:2">
      <c r="A303" s="11">
        <f>Returns!A303</f>
        <v>0</v>
      </c>
      <c r="B303" s="1">
        <f>MAX(CumRet!$B$2:$B$303)-CumRet!B303</f>
        <v>0</v>
      </c>
    </row>
    <row r="304" spans="1:2">
      <c r="A304" s="11">
        <f>Returns!A304</f>
        <v>0</v>
      </c>
      <c r="B304" s="1">
        <f>MAX(CumRet!$B$2:$B$304)-CumRet!B304</f>
        <v>0</v>
      </c>
    </row>
    <row r="305" spans="1:2">
      <c r="A305" s="11">
        <f>Returns!A305</f>
        <v>0</v>
      </c>
      <c r="B305" s="1">
        <f>MAX(CumRet!$B$2:$B$305)-CumRet!B305</f>
        <v>0</v>
      </c>
    </row>
    <row r="306" spans="1:2">
      <c r="A306" s="11">
        <f>Returns!A306</f>
        <v>0</v>
      </c>
      <c r="B306" s="1">
        <f>MAX(CumRet!$B$2:$B$306)-CumRet!B306</f>
        <v>0</v>
      </c>
    </row>
    <row r="307" spans="1:2">
      <c r="A307" s="11">
        <f>Returns!A307</f>
        <v>0</v>
      </c>
      <c r="B307" s="1">
        <f>MAX(CumRet!$B$2:$B$307)-CumRet!B307</f>
        <v>0</v>
      </c>
    </row>
    <row r="308" spans="1:2">
      <c r="A308" s="11">
        <f>Returns!A308</f>
        <v>0</v>
      </c>
      <c r="B308" s="1">
        <f>MAX(CumRet!$B$2:$B$308)-CumRet!B308</f>
        <v>0</v>
      </c>
    </row>
    <row r="309" spans="1:2">
      <c r="A309" s="11">
        <f>Returns!A309</f>
        <v>0</v>
      </c>
      <c r="B309" s="1">
        <f>MAX(CumRet!$B$2:$B$309)-CumRet!B309</f>
        <v>0</v>
      </c>
    </row>
    <row r="310" spans="1:2">
      <c r="A310" s="11">
        <f>Returns!A310</f>
        <v>0</v>
      </c>
      <c r="B310" s="1">
        <f>MAX(CumRet!$B$2:$B$310)-CumRet!B310</f>
        <v>0</v>
      </c>
    </row>
    <row r="311" spans="1:2">
      <c r="A311" s="11">
        <f>Returns!A311</f>
        <v>0</v>
      </c>
      <c r="B311" s="1">
        <f>MAX(CumRet!$B$2:$B$311)-CumRet!B311</f>
        <v>0</v>
      </c>
    </row>
    <row r="312" spans="1:2">
      <c r="A312" s="11">
        <f>Returns!A312</f>
        <v>0</v>
      </c>
      <c r="B312" s="1">
        <f>MAX(CumRet!$B$2:$B$312)-CumRet!B312</f>
        <v>0</v>
      </c>
    </row>
    <row r="313" spans="1:2">
      <c r="A313" s="11">
        <f>Returns!A313</f>
        <v>0</v>
      </c>
      <c r="B313" s="1">
        <f>MAX(CumRet!$B$2:$B$313)-CumRet!B313</f>
        <v>0</v>
      </c>
    </row>
    <row r="314" spans="1:2">
      <c r="A314" s="11">
        <f>Returns!A314</f>
        <v>0</v>
      </c>
      <c r="B314" s="1">
        <f>MAX(CumRet!$B$2:$B$314)-CumRet!B314</f>
        <v>0</v>
      </c>
    </row>
    <row r="315" spans="1:2">
      <c r="A315" s="11">
        <f>Returns!A315</f>
        <v>0</v>
      </c>
      <c r="B315" s="1">
        <f>MAX(CumRet!$B$2:$B$315)-CumRet!B315</f>
        <v>0</v>
      </c>
    </row>
    <row r="316" spans="1:2">
      <c r="A316" s="11">
        <f>Returns!A316</f>
        <v>0</v>
      </c>
      <c r="B316" s="1">
        <f>MAX(CumRet!$B$2:$B$316)-CumRet!B316</f>
        <v>0</v>
      </c>
    </row>
    <row r="317" spans="1:2">
      <c r="A317" s="11">
        <f>Returns!A317</f>
        <v>0</v>
      </c>
      <c r="B317" s="1">
        <f>MAX(CumRet!$B$2:$B$317)-CumRet!B317</f>
        <v>0</v>
      </c>
    </row>
    <row r="318" spans="1:2">
      <c r="A318" s="11">
        <f>Returns!A318</f>
        <v>0</v>
      </c>
      <c r="B318" s="1">
        <f>MAX(CumRet!$B$2:$B$318)-CumRet!B318</f>
        <v>0</v>
      </c>
    </row>
    <row r="319" spans="1:2">
      <c r="A319" s="11">
        <f>Returns!A319</f>
        <v>0</v>
      </c>
      <c r="B319" s="1">
        <f>MAX(CumRet!$B$2:$B$319)-CumRet!B319</f>
        <v>0</v>
      </c>
    </row>
    <row r="320" spans="1:2">
      <c r="A320" s="11">
        <f>Returns!A320</f>
        <v>0</v>
      </c>
      <c r="B320" s="1">
        <f>MAX(CumRet!$B$2:$B$320)-CumRet!B320</f>
        <v>0</v>
      </c>
    </row>
    <row r="321" spans="1:2">
      <c r="A321" s="11">
        <f>Returns!A321</f>
        <v>0</v>
      </c>
      <c r="B321" s="1">
        <f>MAX(CumRet!$B$2:$B$321)-CumRet!B321</f>
        <v>0</v>
      </c>
    </row>
    <row r="322" spans="1:2">
      <c r="A322" s="11">
        <f>Returns!A322</f>
        <v>0</v>
      </c>
      <c r="B322" s="1">
        <f>MAX(CumRet!$B$2:$B$322)-CumRet!B322</f>
        <v>0</v>
      </c>
    </row>
    <row r="323" spans="1:2">
      <c r="A323" s="11">
        <f>Returns!A323</f>
        <v>0</v>
      </c>
      <c r="B323" s="1">
        <f>MAX(CumRet!$B$2:$B$323)-CumRet!B323</f>
        <v>0</v>
      </c>
    </row>
    <row r="324" spans="1:2">
      <c r="A324" s="11">
        <f>Returns!A324</f>
        <v>0</v>
      </c>
      <c r="B324" s="1">
        <f>MAX(CumRet!$B$2:$B$324)-CumRet!B324</f>
        <v>0</v>
      </c>
    </row>
    <row r="325" spans="1:2">
      <c r="A325" s="11">
        <f>Returns!A325</f>
        <v>0</v>
      </c>
      <c r="B325" s="1">
        <f>MAX(CumRet!$B$2:$B$325)-CumRet!B325</f>
        <v>0</v>
      </c>
    </row>
    <row r="326" spans="1:2">
      <c r="A326" s="11">
        <f>Returns!A326</f>
        <v>0</v>
      </c>
      <c r="B326" s="1">
        <f>MAX(CumRet!$B$2:$B$326)-CumRet!B326</f>
        <v>0</v>
      </c>
    </row>
    <row r="327" spans="1:2">
      <c r="A327" s="11">
        <f>Returns!A327</f>
        <v>0</v>
      </c>
      <c r="B327" s="1">
        <f>MAX(CumRet!$B$2:$B$327)-CumRet!B327</f>
        <v>0</v>
      </c>
    </row>
    <row r="328" spans="1:2">
      <c r="A328" s="11">
        <f>Returns!A328</f>
        <v>0</v>
      </c>
      <c r="B328" s="1">
        <f>MAX(CumRet!$B$2:$B$328)-CumRet!B328</f>
        <v>0</v>
      </c>
    </row>
    <row r="329" spans="1:2">
      <c r="A329" s="11">
        <f>Returns!A329</f>
        <v>0</v>
      </c>
      <c r="B329" s="1">
        <f>MAX(CumRet!$B$2:$B$329)-CumRet!B329</f>
        <v>0</v>
      </c>
    </row>
    <row r="330" spans="1:2">
      <c r="A330" s="11">
        <f>Returns!A330</f>
        <v>0</v>
      </c>
      <c r="B330" s="1">
        <f>MAX(CumRet!$B$2:$B$330)-CumRet!B330</f>
        <v>0</v>
      </c>
    </row>
    <row r="331" spans="1:2">
      <c r="A331" s="11">
        <f>Returns!A331</f>
        <v>0</v>
      </c>
      <c r="B331" s="1">
        <f>MAX(CumRet!$B$2:$B$331)-CumRet!B331</f>
        <v>0</v>
      </c>
    </row>
    <row r="332" spans="1:2">
      <c r="A332" s="11">
        <f>Returns!A332</f>
        <v>0</v>
      </c>
      <c r="B332" s="1">
        <f>MAX(CumRet!$B$2:$B$332)-CumRet!B332</f>
        <v>0</v>
      </c>
    </row>
    <row r="333" spans="1:2">
      <c r="A333" s="11">
        <f>Returns!A333</f>
        <v>0</v>
      </c>
      <c r="B333" s="1">
        <f>MAX(CumRet!$B$2:$B$333)-CumRet!B333</f>
        <v>0</v>
      </c>
    </row>
    <row r="334" spans="1:2">
      <c r="A334" s="11">
        <f>Returns!A334</f>
        <v>0</v>
      </c>
      <c r="B334" s="1">
        <f>MAX(CumRet!$B$2:$B$334)-CumRet!B334</f>
        <v>0</v>
      </c>
    </row>
    <row r="335" spans="1:2">
      <c r="A335" s="11">
        <f>Returns!A335</f>
        <v>0</v>
      </c>
      <c r="B335" s="1">
        <f>MAX(CumRet!$B$2:$B$335)-CumRet!B335</f>
        <v>0</v>
      </c>
    </row>
    <row r="336" spans="1:2">
      <c r="A336" s="11">
        <f>Returns!A336</f>
        <v>0</v>
      </c>
      <c r="B336" s="1">
        <f>MAX(CumRet!$B$2:$B$336)-CumRet!B336</f>
        <v>0</v>
      </c>
    </row>
    <row r="337" spans="1:2">
      <c r="A337" s="11">
        <f>Returns!A337</f>
        <v>0</v>
      </c>
      <c r="B337" s="1">
        <f>MAX(CumRet!$B$2:$B$337)-CumRet!B337</f>
        <v>0</v>
      </c>
    </row>
    <row r="338" spans="1:2">
      <c r="A338" s="11">
        <f>Returns!A338</f>
        <v>0</v>
      </c>
      <c r="B338" s="1">
        <f>MAX(CumRet!$B$2:$B$338)-CumRet!B338</f>
        <v>0</v>
      </c>
    </row>
    <row r="339" spans="1:2">
      <c r="A339" s="11">
        <f>Returns!A339</f>
        <v>0</v>
      </c>
      <c r="B339" s="1">
        <f>MAX(CumRet!$B$2:$B$339)-CumRet!B339</f>
        <v>0</v>
      </c>
    </row>
    <row r="340" spans="1:2">
      <c r="A340" s="11">
        <f>Returns!A340</f>
        <v>0</v>
      </c>
      <c r="B340" s="1">
        <f>MAX(CumRet!$B$2:$B$340)-CumRet!B340</f>
        <v>0</v>
      </c>
    </row>
    <row r="341" spans="1:2">
      <c r="A341" s="11">
        <f>Returns!A341</f>
        <v>0</v>
      </c>
      <c r="B341" s="1">
        <f>MAX(CumRet!$B$2:$B$341)-CumRet!B341</f>
        <v>0</v>
      </c>
    </row>
    <row r="342" spans="1:2">
      <c r="A342" s="11">
        <f>Returns!A342</f>
        <v>0</v>
      </c>
      <c r="B342" s="1">
        <f>MAX(CumRet!$B$2:$B$342)-CumRet!B342</f>
        <v>0</v>
      </c>
    </row>
    <row r="343" spans="1:2">
      <c r="A343" s="11">
        <f>Returns!A343</f>
        <v>0</v>
      </c>
      <c r="B343" s="1">
        <f>MAX(CumRet!$B$2:$B$343)-CumRet!B343</f>
        <v>0</v>
      </c>
    </row>
    <row r="344" spans="1:2">
      <c r="A344" s="11">
        <f>Returns!A344</f>
        <v>0</v>
      </c>
      <c r="B344" s="1">
        <f>MAX(CumRet!$B$2:$B$344)-CumRet!B344</f>
        <v>0</v>
      </c>
    </row>
    <row r="345" spans="1:2">
      <c r="A345" s="11">
        <f>Returns!A345</f>
        <v>0</v>
      </c>
      <c r="B345" s="1">
        <f>MAX(CumRet!$B$2:$B$345)-CumRet!B345</f>
        <v>0</v>
      </c>
    </row>
    <row r="346" spans="1:2">
      <c r="A346" s="11">
        <f>Returns!A346</f>
        <v>0</v>
      </c>
      <c r="B346" s="1">
        <f>MAX(CumRet!$B$2:$B$346)-CumRet!B346</f>
        <v>0</v>
      </c>
    </row>
    <row r="347" spans="1:2">
      <c r="A347" s="11">
        <f>Returns!A347</f>
        <v>0</v>
      </c>
      <c r="B347" s="1">
        <f>MAX(CumRet!$B$2:$B$347)-CumRet!B347</f>
        <v>0</v>
      </c>
    </row>
    <row r="348" spans="1:2">
      <c r="A348" s="11">
        <f>Returns!A348</f>
        <v>0</v>
      </c>
      <c r="B348" s="1">
        <f>MAX(CumRet!$B$2:$B$348)-CumRet!B348</f>
        <v>0</v>
      </c>
    </row>
    <row r="349" spans="1:2">
      <c r="A349" s="11">
        <f>Returns!A349</f>
        <v>0</v>
      </c>
      <c r="B349" s="1">
        <f>MAX(CumRet!$B$2:$B$349)-CumRet!B349</f>
        <v>0</v>
      </c>
    </row>
    <row r="350" spans="1:2">
      <c r="A350" s="11">
        <f>Returns!A350</f>
        <v>0</v>
      </c>
      <c r="B350" s="1">
        <f>MAX(CumRet!$B$2:$B$350)-CumRet!B350</f>
        <v>0</v>
      </c>
    </row>
    <row r="351" spans="1:2">
      <c r="A351" s="11">
        <f>Returns!A351</f>
        <v>0</v>
      </c>
      <c r="B351" s="1">
        <f>MAX(CumRet!$B$2:$B$351)-CumRet!B351</f>
        <v>0</v>
      </c>
    </row>
    <row r="352" spans="1:2">
      <c r="A352" s="11">
        <f>Returns!A352</f>
        <v>0</v>
      </c>
      <c r="B352" s="1">
        <f>MAX(CumRet!$B$2:$B$352)-CumRet!B352</f>
        <v>0</v>
      </c>
    </row>
    <row r="353" spans="1:2">
      <c r="A353" s="11">
        <f>Returns!A353</f>
        <v>0</v>
      </c>
      <c r="B353" s="1">
        <f>MAX(CumRet!$B$2:$B$353)-CumRet!B353</f>
        <v>0</v>
      </c>
    </row>
    <row r="354" spans="1:2">
      <c r="A354" s="11">
        <f>Returns!A354</f>
        <v>0</v>
      </c>
      <c r="B354" s="1">
        <f>MAX(CumRet!$B$2:$B$354)-CumRet!B354</f>
        <v>0</v>
      </c>
    </row>
    <row r="355" spans="1:2">
      <c r="A355" s="11">
        <f>Returns!A355</f>
        <v>0</v>
      </c>
      <c r="B355" s="1">
        <f>MAX(CumRet!$B$2:$B$355)-CumRet!B355</f>
        <v>0</v>
      </c>
    </row>
    <row r="356" spans="1:2">
      <c r="A356" s="11">
        <f>Returns!A356</f>
        <v>0</v>
      </c>
      <c r="B356" s="1">
        <f>MAX(CumRet!$B$2:$B$356)-CumRet!B356</f>
        <v>0</v>
      </c>
    </row>
    <row r="357" spans="1:2">
      <c r="A357" s="11">
        <f>Returns!A357</f>
        <v>0</v>
      </c>
      <c r="B357" s="1">
        <f>MAX(CumRet!$B$2:$B$357)-CumRet!B357</f>
        <v>0</v>
      </c>
    </row>
    <row r="358" spans="1:2">
      <c r="A358" s="11">
        <f>Returns!A358</f>
        <v>0</v>
      </c>
      <c r="B358" s="1">
        <f>MAX(CumRet!$B$2:$B$358)-CumRet!B358</f>
        <v>0</v>
      </c>
    </row>
    <row r="359" spans="1:2">
      <c r="A359" s="11">
        <f>Returns!A359</f>
        <v>0</v>
      </c>
      <c r="B359" s="1">
        <f>MAX(CumRet!$B$2:$B$359)-CumRet!B359</f>
        <v>0</v>
      </c>
    </row>
    <row r="360" spans="1:2">
      <c r="A360" s="11">
        <f>Returns!A360</f>
        <v>0</v>
      </c>
      <c r="B360" s="1">
        <f>MAX(CumRet!$B$2:$B$360)-CumRet!B360</f>
        <v>0</v>
      </c>
    </row>
    <row r="361" spans="1:2">
      <c r="A361" s="11">
        <f>Returns!A361</f>
        <v>0</v>
      </c>
      <c r="B361" s="1">
        <f>MAX(CumRet!$B$2:$B$361)-CumRet!B361</f>
        <v>0</v>
      </c>
    </row>
    <row r="362" spans="1:2">
      <c r="A362" s="11">
        <f>Returns!A362</f>
        <v>0</v>
      </c>
      <c r="B362" s="1">
        <f>MAX(CumRet!$B$2:$B$362)-CumRet!B362</f>
        <v>0</v>
      </c>
    </row>
    <row r="363" spans="1:2">
      <c r="A363" s="11">
        <f>Returns!A363</f>
        <v>0</v>
      </c>
      <c r="B363" s="1">
        <f>MAX(CumRet!$B$2:$B$363)-CumRet!B363</f>
        <v>0</v>
      </c>
    </row>
    <row r="364" spans="1:2">
      <c r="A364" s="11">
        <f>Returns!A364</f>
        <v>0</v>
      </c>
      <c r="B364" s="1">
        <f>MAX(CumRet!$B$2:$B$364)-CumRet!B364</f>
        <v>0</v>
      </c>
    </row>
    <row r="365" spans="1:2">
      <c r="A365" s="11">
        <f>Returns!A365</f>
        <v>0</v>
      </c>
      <c r="B365" s="1">
        <f>MAX(CumRet!$B$2:$B$365)-CumRet!B365</f>
        <v>0</v>
      </c>
    </row>
    <row r="366" spans="1:2">
      <c r="A366" s="11">
        <f>Returns!A366</f>
        <v>0</v>
      </c>
      <c r="B366" s="1">
        <f>MAX(CumRet!$B$2:$B$366)-CumRet!B366</f>
        <v>0</v>
      </c>
    </row>
    <row r="367" spans="1:2">
      <c r="A367" s="11">
        <f>Returns!A367</f>
        <v>0</v>
      </c>
      <c r="B367" s="1">
        <f>MAX(CumRet!$B$2:$B$367)-CumRet!B367</f>
        <v>0</v>
      </c>
    </row>
    <row r="368" spans="1:2">
      <c r="A368" s="11">
        <f>Returns!A368</f>
        <v>0</v>
      </c>
      <c r="B368" s="1">
        <f>MAX(CumRet!$B$2:$B$368)-CumRet!B368</f>
        <v>0</v>
      </c>
    </row>
    <row r="369" spans="1:2">
      <c r="A369" s="11">
        <f>Returns!A369</f>
        <v>0</v>
      </c>
      <c r="B369" s="1">
        <f>MAX(CumRet!$B$2:$B$369)-CumRet!B369</f>
        <v>0</v>
      </c>
    </row>
    <row r="370" spans="1:2">
      <c r="A370" s="11">
        <f>Returns!A370</f>
        <v>0</v>
      </c>
      <c r="B370" s="1">
        <f>MAX(CumRet!$B$2:$B$370)-CumRet!B370</f>
        <v>0</v>
      </c>
    </row>
    <row r="371" spans="1:2">
      <c r="A371" s="11">
        <f>Returns!A371</f>
        <v>0</v>
      </c>
      <c r="B371" s="1">
        <f>MAX(CumRet!$B$2:$B$371)-CumRet!B371</f>
        <v>0</v>
      </c>
    </row>
    <row r="372" spans="1:2">
      <c r="A372" s="11">
        <f>Returns!A372</f>
        <v>0</v>
      </c>
      <c r="B372" s="1">
        <f>MAX(CumRet!$B$2:$B$372)-CumRet!B372</f>
        <v>0</v>
      </c>
    </row>
    <row r="373" spans="1:2">
      <c r="A373" s="11">
        <f>Returns!A373</f>
        <v>0</v>
      </c>
      <c r="B373" s="1">
        <f>MAX(CumRet!$B$2:$B$373)-CumRet!B373</f>
        <v>0</v>
      </c>
    </row>
    <row r="374" spans="1:2">
      <c r="A374" s="11">
        <f>Returns!A374</f>
        <v>0</v>
      </c>
      <c r="B374" s="1">
        <f>MAX(CumRet!$B$2:$B$374)-CumRet!B374</f>
        <v>0</v>
      </c>
    </row>
    <row r="375" spans="1:2">
      <c r="A375" s="11">
        <f>Returns!A375</f>
        <v>0</v>
      </c>
      <c r="B375" s="1">
        <f>MAX(CumRet!$B$2:$B$375)-CumRet!B375</f>
        <v>0</v>
      </c>
    </row>
    <row r="376" spans="1:2">
      <c r="A376" s="11">
        <f>Returns!A376</f>
        <v>0</v>
      </c>
      <c r="B376" s="1">
        <f>MAX(CumRet!$B$2:$B$376)-CumRet!B376</f>
        <v>0</v>
      </c>
    </row>
    <row r="377" spans="1:2">
      <c r="A377" s="11">
        <f>Returns!A377</f>
        <v>0</v>
      </c>
      <c r="B377" s="1">
        <f>MAX(CumRet!$B$2:$B$377)-CumRet!B377</f>
        <v>0</v>
      </c>
    </row>
    <row r="378" spans="1:2">
      <c r="A378" s="11">
        <f>Returns!A378</f>
        <v>0</v>
      </c>
      <c r="B378" s="1">
        <f>MAX(CumRet!$B$2:$B$378)-CumRet!B378</f>
        <v>0</v>
      </c>
    </row>
    <row r="379" spans="1:2">
      <c r="A379" s="11">
        <f>Returns!A379</f>
        <v>0</v>
      </c>
      <c r="B379" s="1">
        <f>MAX(CumRet!$B$2:$B$379)-CumRet!B379</f>
        <v>0</v>
      </c>
    </row>
    <row r="380" spans="1:2">
      <c r="A380" s="11">
        <f>Returns!A380</f>
        <v>0</v>
      </c>
      <c r="B380" s="1">
        <f>MAX(CumRet!$B$2:$B$380)-CumRet!B380</f>
        <v>0</v>
      </c>
    </row>
    <row r="381" spans="1:2">
      <c r="A381" s="11">
        <f>Returns!A381</f>
        <v>0</v>
      </c>
      <c r="B381" s="1">
        <f>MAX(CumRet!$B$2:$B$381)-CumRet!B381</f>
        <v>0</v>
      </c>
    </row>
    <row r="382" spans="1:2">
      <c r="A382" s="11">
        <f>Returns!A382</f>
        <v>0</v>
      </c>
      <c r="B382" s="1">
        <f>MAX(CumRet!$B$2:$B$382)-CumRet!B382</f>
        <v>0</v>
      </c>
    </row>
    <row r="383" spans="1:2">
      <c r="A383" s="11">
        <f>Returns!A383</f>
        <v>0</v>
      </c>
      <c r="B383" s="1">
        <f>MAX(CumRet!$B$2:$B$383)-CumRet!B383</f>
        <v>0</v>
      </c>
    </row>
    <row r="384" spans="1:2">
      <c r="A384" s="11">
        <f>Returns!A384</f>
        <v>0</v>
      </c>
      <c r="B384" s="1">
        <f>MAX(CumRet!$B$2:$B$384)-CumRet!B384</f>
        <v>0</v>
      </c>
    </row>
    <row r="385" spans="1:2">
      <c r="A385" s="11">
        <f>Returns!A385</f>
        <v>0</v>
      </c>
      <c r="B385" s="1">
        <f>MAX(CumRet!$B$2:$B$385)-CumRet!B385</f>
        <v>0</v>
      </c>
    </row>
    <row r="386" spans="1:2">
      <c r="A386" s="11">
        <f>Returns!A386</f>
        <v>0</v>
      </c>
      <c r="B386" s="1">
        <f>MAX(CumRet!$B$2:$B$386)-CumRet!B386</f>
        <v>0</v>
      </c>
    </row>
    <row r="387" spans="1:2">
      <c r="A387" s="11">
        <f>Returns!A387</f>
        <v>0</v>
      </c>
      <c r="B387" s="1">
        <f>MAX(CumRet!$B$2:$B$387)-CumRet!B387</f>
        <v>0</v>
      </c>
    </row>
    <row r="388" spans="1:2">
      <c r="A388" s="11">
        <f>Returns!A388</f>
        <v>0</v>
      </c>
      <c r="B388" s="1">
        <f>MAX(CumRet!$B$2:$B$388)-CumRet!B388</f>
        <v>0</v>
      </c>
    </row>
    <row r="389" spans="1:2">
      <c r="A389" s="11">
        <f>Returns!A389</f>
        <v>0</v>
      </c>
      <c r="B389" s="1">
        <f>MAX(CumRet!$B$2:$B$389)-CumRet!B389</f>
        <v>0</v>
      </c>
    </row>
    <row r="390" spans="1:2">
      <c r="A390" s="11">
        <f>Returns!A390</f>
        <v>0</v>
      </c>
      <c r="B390" s="1">
        <f>MAX(CumRet!$B$2:$B$390)-CumRet!B390</f>
        <v>0</v>
      </c>
    </row>
    <row r="391" spans="1:2">
      <c r="A391" s="11">
        <f>Returns!A391</f>
        <v>0</v>
      </c>
      <c r="B391" s="1">
        <f>MAX(CumRet!$B$2:$B$391)-CumRet!B391</f>
        <v>0</v>
      </c>
    </row>
    <row r="392" spans="1:2">
      <c r="A392" s="11">
        <f>Returns!A392</f>
        <v>0</v>
      </c>
      <c r="B392" s="1">
        <f>MAX(CumRet!$B$2:$B$392)-CumRet!B392</f>
        <v>0</v>
      </c>
    </row>
    <row r="393" spans="1:2">
      <c r="A393" s="11">
        <f>Returns!A393</f>
        <v>0</v>
      </c>
      <c r="B393" s="1">
        <f>MAX(CumRet!$B$2:$B$393)-CumRet!B393</f>
        <v>0</v>
      </c>
    </row>
    <row r="394" spans="1:2">
      <c r="A394" s="11">
        <f>Returns!A394</f>
        <v>0</v>
      </c>
      <c r="B394" s="1">
        <f>MAX(CumRet!$B$2:$B$394)-CumRet!B394</f>
        <v>0</v>
      </c>
    </row>
    <row r="395" spans="1:2">
      <c r="A395" s="11">
        <f>Returns!A395</f>
        <v>0</v>
      </c>
      <c r="B395" s="1">
        <f>MAX(CumRet!$B$2:$B$395)-CumRet!B395</f>
        <v>0</v>
      </c>
    </row>
    <row r="396" spans="1:2">
      <c r="A396" s="11">
        <f>Returns!A396</f>
        <v>0</v>
      </c>
      <c r="B396" s="1">
        <f>MAX(CumRet!$B$2:$B$396)-CumRet!B396</f>
        <v>0</v>
      </c>
    </row>
    <row r="397" spans="1:2">
      <c r="A397" s="11">
        <f>Returns!A397</f>
        <v>0</v>
      </c>
      <c r="B397" s="1">
        <f>MAX(CumRet!$B$2:$B$397)-CumRet!B397</f>
        <v>0</v>
      </c>
    </row>
    <row r="398" spans="1:2">
      <c r="A398" s="11">
        <f>Returns!A398</f>
        <v>0</v>
      </c>
      <c r="B398" s="1">
        <f>MAX(CumRet!$B$2:$B$398)-CumRet!B398</f>
        <v>0</v>
      </c>
    </row>
    <row r="399" spans="1:2">
      <c r="A399" s="11">
        <f>Returns!A399</f>
        <v>0</v>
      </c>
      <c r="B399" s="1">
        <f>MAX(CumRet!$B$2:$B$399)-CumRet!B399</f>
        <v>0</v>
      </c>
    </row>
    <row r="400" spans="1:2">
      <c r="A400" s="11">
        <f>Returns!A400</f>
        <v>0</v>
      </c>
      <c r="B400" s="1">
        <f>MAX(CumRet!$B$2:$B$400)-CumRet!B400</f>
        <v>0</v>
      </c>
    </row>
    <row r="401" spans="1:2">
      <c r="A401" s="11">
        <f>Returns!A401</f>
        <v>0</v>
      </c>
      <c r="B401" s="1">
        <f>MAX(CumRet!$B$2:$B$401)-CumRet!B401</f>
        <v>0</v>
      </c>
    </row>
    <row r="402" spans="1:2">
      <c r="A402" s="11">
        <f>Returns!A402</f>
        <v>0</v>
      </c>
      <c r="B402" s="1">
        <f>MAX(CumRet!$B$2:$B$402)-CumRet!B402</f>
        <v>0</v>
      </c>
    </row>
    <row r="403" spans="1:2">
      <c r="A403" s="11">
        <f>Returns!A403</f>
        <v>0</v>
      </c>
      <c r="B403" s="1">
        <f>MAX(CumRet!$B$2:$B$403)-CumRet!B403</f>
        <v>0</v>
      </c>
    </row>
    <row r="404" spans="1:2">
      <c r="A404" s="11">
        <f>Returns!A404</f>
        <v>0</v>
      </c>
      <c r="B404" s="1">
        <f>MAX(CumRet!$B$2:$B$404)-CumRet!B404</f>
        <v>0</v>
      </c>
    </row>
    <row r="405" spans="1:2">
      <c r="A405" s="11">
        <f>Returns!A405</f>
        <v>0</v>
      </c>
      <c r="B405" s="1">
        <f>MAX(CumRet!$B$2:$B$405)-CumRet!B405</f>
        <v>0</v>
      </c>
    </row>
    <row r="406" spans="1:2">
      <c r="A406" s="11">
        <f>Returns!A406</f>
        <v>0</v>
      </c>
      <c r="B406" s="1">
        <f>MAX(CumRet!$B$2:$B$406)-CumRet!B406</f>
        <v>0</v>
      </c>
    </row>
    <row r="407" spans="1:2">
      <c r="A407" s="11">
        <f>Returns!A407</f>
        <v>0</v>
      </c>
      <c r="B407" s="1">
        <f>MAX(CumRet!$B$2:$B$407)-CumRet!B407</f>
        <v>0</v>
      </c>
    </row>
    <row r="408" spans="1:2">
      <c r="A408" s="11">
        <f>Returns!A408</f>
        <v>0</v>
      </c>
      <c r="B408" s="1">
        <f>MAX(CumRet!$B$2:$B$408)-CumRet!B408</f>
        <v>0</v>
      </c>
    </row>
    <row r="409" spans="1:2">
      <c r="A409" s="11">
        <f>Returns!A409</f>
        <v>0</v>
      </c>
      <c r="B409" s="1">
        <f>MAX(CumRet!$B$2:$B$409)-CumRet!B409</f>
        <v>0</v>
      </c>
    </row>
    <row r="410" spans="1:2">
      <c r="A410" s="11">
        <f>Returns!A410</f>
        <v>0</v>
      </c>
      <c r="B410" s="1">
        <f>MAX(CumRet!$B$2:$B$410)-CumRet!B410</f>
        <v>0</v>
      </c>
    </row>
    <row r="411" spans="1:2">
      <c r="A411" s="11">
        <f>Returns!A411</f>
        <v>0</v>
      </c>
      <c r="B411" s="1">
        <f>MAX(CumRet!$B$2:$B$411)-CumRet!B411</f>
        <v>0</v>
      </c>
    </row>
    <row r="412" spans="1:2">
      <c r="A412" s="11">
        <f>Returns!A412</f>
        <v>0</v>
      </c>
      <c r="B412" s="1">
        <f>MAX(CumRet!$B$2:$B$412)-CumRet!B412</f>
        <v>0</v>
      </c>
    </row>
    <row r="413" spans="1:2">
      <c r="A413" s="11">
        <f>Returns!A413</f>
        <v>0</v>
      </c>
      <c r="B413" s="1">
        <f>MAX(CumRet!$B$2:$B$413)-CumRet!B413</f>
        <v>0</v>
      </c>
    </row>
    <row r="414" spans="1:2">
      <c r="A414" s="11">
        <f>Returns!A414</f>
        <v>0</v>
      </c>
      <c r="B414" s="1">
        <f>MAX(CumRet!$B$2:$B$414)-CumRet!B414</f>
        <v>0</v>
      </c>
    </row>
    <row r="415" spans="1:2">
      <c r="A415" s="11">
        <f>Returns!A415</f>
        <v>0</v>
      </c>
      <c r="B415" s="1">
        <f>MAX(CumRet!$B$2:$B$415)-CumRet!B415</f>
        <v>0</v>
      </c>
    </row>
    <row r="416" spans="1:2">
      <c r="A416" s="11">
        <f>Returns!A416</f>
        <v>0</v>
      </c>
      <c r="B416" s="1">
        <f>MAX(CumRet!$B$2:$B$416)-CumRet!B416</f>
        <v>0</v>
      </c>
    </row>
    <row r="417" spans="1:2">
      <c r="A417" s="11">
        <f>Returns!A417</f>
        <v>0</v>
      </c>
      <c r="B417" s="1">
        <f>MAX(CumRet!$B$2:$B$417)-CumRet!B417</f>
        <v>0</v>
      </c>
    </row>
    <row r="418" spans="1:2">
      <c r="A418" s="11">
        <f>Returns!A418</f>
        <v>0</v>
      </c>
      <c r="B418" s="1">
        <f>MAX(CumRet!$B$2:$B$418)-CumRet!B418</f>
        <v>0</v>
      </c>
    </row>
    <row r="419" spans="1:2">
      <c r="A419" s="11">
        <f>Returns!A419</f>
        <v>0</v>
      </c>
      <c r="B419" s="1">
        <f>MAX(CumRet!$B$2:$B$419)-CumRet!B419</f>
        <v>0</v>
      </c>
    </row>
    <row r="420" spans="1:2">
      <c r="A420" s="11">
        <f>Returns!A420</f>
        <v>0</v>
      </c>
      <c r="B420" s="1">
        <f>MAX(CumRet!$B$2:$B$420)-CumRet!B420</f>
        <v>0</v>
      </c>
    </row>
    <row r="421" spans="1:2">
      <c r="A421" s="11">
        <f>Returns!A421</f>
        <v>0</v>
      </c>
      <c r="B421" s="1">
        <f>MAX(CumRet!$B$2:$B$421)-CumRet!B421</f>
        <v>0</v>
      </c>
    </row>
    <row r="422" spans="1:2">
      <c r="A422" s="11">
        <f>Returns!A422</f>
        <v>0</v>
      </c>
      <c r="B422" s="1">
        <f>MAX(CumRet!$B$2:$B$422)-CumRet!B422</f>
        <v>0</v>
      </c>
    </row>
    <row r="423" spans="1:2">
      <c r="A423" s="11">
        <f>Returns!A423</f>
        <v>0</v>
      </c>
      <c r="B423" s="1">
        <f>MAX(CumRet!$B$2:$B$423)-CumRet!B423</f>
        <v>0</v>
      </c>
    </row>
    <row r="424" spans="1:2">
      <c r="A424" s="11">
        <f>Returns!A424</f>
        <v>0</v>
      </c>
      <c r="B424" s="1">
        <f>MAX(CumRet!$B$2:$B$424)-CumRet!B424</f>
        <v>0</v>
      </c>
    </row>
    <row r="425" spans="1:2">
      <c r="A425" s="11">
        <f>Returns!A425</f>
        <v>0</v>
      </c>
      <c r="B425" s="1">
        <f>MAX(CumRet!$B$2:$B$425)-CumRet!B425</f>
        <v>0</v>
      </c>
    </row>
    <row r="426" spans="1:2">
      <c r="A426" s="11">
        <f>Returns!A426</f>
        <v>0</v>
      </c>
      <c r="B426" s="1">
        <f>MAX(CumRet!$B$2:$B$426)-CumRet!B426</f>
        <v>0</v>
      </c>
    </row>
    <row r="427" spans="1:2">
      <c r="A427" s="11">
        <f>Returns!A427</f>
        <v>0</v>
      </c>
      <c r="B427" s="1">
        <f>MAX(CumRet!$B$2:$B$427)-CumRet!B427</f>
        <v>0</v>
      </c>
    </row>
    <row r="428" spans="1:2">
      <c r="A428" s="11">
        <f>Returns!A428</f>
        <v>0</v>
      </c>
      <c r="B428" s="1">
        <f>MAX(CumRet!$B$2:$B$428)-CumRet!B428</f>
        <v>0</v>
      </c>
    </row>
    <row r="429" spans="1:2">
      <c r="A429" s="11">
        <f>Returns!A429</f>
        <v>0</v>
      </c>
      <c r="B429" s="1">
        <f>MAX(CumRet!$B$2:$B$429)-CumRet!B429</f>
        <v>0</v>
      </c>
    </row>
    <row r="430" spans="1:2">
      <c r="A430" s="11">
        <f>Returns!A430</f>
        <v>0</v>
      </c>
      <c r="B430" s="1">
        <f>MAX(CumRet!$B$2:$B$430)-CumRet!B430</f>
        <v>0</v>
      </c>
    </row>
    <row r="431" spans="1:2">
      <c r="A431" s="11">
        <f>Returns!A431</f>
        <v>0</v>
      </c>
      <c r="B431" s="1">
        <f>MAX(CumRet!$B$2:$B$431)-CumRet!B431</f>
        <v>0</v>
      </c>
    </row>
    <row r="432" spans="1:2">
      <c r="A432" s="11">
        <f>Returns!A432</f>
        <v>0</v>
      </c>
      <c r="B432" s="1">
        <f>MAX(CumRet!$B$2:$B$432)-CumRet!B432</f>
        <v>0</v>
      </c>
    </row>
    <row r="433" spans="1:2">
      <c r="A433" s="11">
        <f>Returns!A433</f>
        <v>0</v>
      </c>
      <c r="B433" s="1">
        <f>MAX(CumRet!$B$2:$B$433)-CumRet!B433</f>
        <v>0</v>
      </c>
    </row>
    <row r="434" spans="1:2">
      <c r="A434" s="11">
        <f>Returns!A434</f>
        <v>0</v>
      </c>
      <c r="B434" s="1">
        <f>MAX(CumRet!$B$2:$B$434)-CumRet!B434</f>
        <v>0</v>
      </c>
    </row>
    <row r="435" spans="1:2">
      <c r="A435" s="11">
        <f>Returns!A435</f>
        <v>0</v>
      </c>
      <c r="B435" s="1">
        <f>MAX(CumRet!$B$2:$B$435)-CumRet!B435</f>
        <v>0</v>
      </c>
    </row>
    <row r="436" spans="1:2">
      <c r="A436" s="11">
        <f>Returns!A436</f>
        <v>0</v>
      </c>
      <c r="B436" s="1">
        <f>MAX(CumRet!$B$2:$B$436)-CumRet!B436</f>
        <v>0</v>
      </c>
    </row>
    <row r="437" spans="1:2">
      <c r="A437" s="11">
        <f>Returns!A437</f>
        <v>0</v>
      </c>
      <c r="B437" s="1">
        <f>MAX(CumRet!$B$2:$B$437)-CumRet!B437</f>
        <v>0</v>
      </c>
    </row>
    <row r="438" spans="1:2">
      <c r="A438" s="11">
        <f>Returns!A438</f>
        <v>0</v>
      </c>
      <c r="B438" s="1">
        <f>MAX(CumRet!$B$2:$B$438)-CumRet!B438</f>
        <v>0</v>
      </c>
    </row>
    <row r="439" spans="1:2">
      <c r="A439" s="11">
        <f>Returns!A439</f>
        <v>0</v>
      </c>
      <c r="B439" s="1">
        <f>MAX(CumRet!$B$2:$B$439)-CumRet!B439</f>
        <v>0</v>
      </c>
    </row>
    <row r="440" spans="1:2">
      <c r="A440" s="11">
        <f>Returns!A440</f>
        <v>0</v>
      </c>
      <c r="B440" s="1">
        <f>MAX(CumRet!$B$2:$B$440)-CumRet!B440</f>
        <v>0</v>
      </c>
    </row>
    <row r="441" spans="1:2">
      <c r="A441" s="11">
        <f>Returns!A441</f>
        <v>0</v>
      </c>
      <c r="B441" s="1">
        <f>MAX(CumRet!$B$2:$B$441)-CumRet!B441</f>
        <v>0</v>
      </c>
    </row>
    <row r="442" spans="1:2">
      <c r="A442" s="11">
        <f>Returns!A442</f>
        <v>0</v>
      </c>
      <c r="B442" s="1">
        <f>MAX(CumRet!$B$2:$B$442)-CumRet!B442</f>
        <v>0</v>
      </c>
    </row>
    <row r="443" spans="1:2">
      <c r="A443" s="11">
        <f>Returns!A443</f>
        <v>0</v>
      </c>
      <c r="B443" s="1">
        <f>MAX(CumRet!$B$2:$B$443)-CumRet!B443</f>
        <v>0</v>
      </c>
    </row>
    <row r="444" spans="1:2">
      <c r="A444" s="11">
        <f>Returns!A444</f>
        <v>0</v>
      </c>
      <c r="B444" s="1">
        <f>MAX(CumRet!$B$2:$B$444)-CumRet!B444</f>
        <v>0</v>
      </c>
    </row>
    <row r="445" spans="1:2">
      <c r="A445" s="11">
        <f>Returns!A445</f>
        <v>0</v>
      </c>
      <c r="B445" s="1">
        <f>MAX(CumRet!$B$2:$B$445)-CumRet!B445</f>
        <v>0</v>
      </c>
    </row>
    <row r="446" spans="1:2">
      <c r="A446" s="11">
        <f>Returns!A446</f>
        <v>0</v>
      </c>
      <c r="B446" s="1">
        <f>MAX(CumRet!$B$2:$B$446)-CumRet!B446</f>
        <v>0</v>
      </c>
    </row>
    <row r="447" spans="1:2">
      <c r="A447" s="11">
        <f>Returns!A447</f>
        <v>0</v>
      </c>
      <c r="B447" s="1">
        <f>MAX(CumRet!$B$2:$B$447)-CumRet!B447</f>
        <v>0</v>
      </c>
    </row>
    <row r="448" spans="1:2">
      <c r="A448" s="11">
        <f>Returns!A448</f>
        <v>0</v>
      </c>
      <c r="B448" s="1">
        <f>MAX(CumRet!$B$2:$B$448)-CumRet!B448</f>
        <v>0</v>
      </c>
    </row>
    <row r="449" spans="1:2">
      <c r="A449" s="11">
        <f>Returns!A449</f>
        <v>0</v>
      </c>
      <c r="B449" s="1">
        <f>MAX(CumRet!$B$2:$B$449)-CumRet!B449</f>
        <v>0</v>
      </c>
    </row>
    <row r="450" spans="1:2">
      <c r="A450" s="11">
        <f>Returns!A450</f>
        <v>0</v>
      </c>
      <c r="B450" s="1">
        <f>MAX(CumRet!$B$2:$B$450)-CumRet!B450</f>
        <v>0</v>
      </c>
    </row>
    <row r="451" spans="1:2">
      <c r="A451" s="11">
        <f>Returns!A451</f>
        <v>0</v>
      </c>
      <c r="B451" s="1">
        <f>MAX(CumRet!$B$2:$B$451)-CumRet!B451</f>
        <v>0</v>
      </c>
    </row>
    <row r="452" spans="1:2">
      <c r="A452" s="11">
        <f>Returns!A452</f>
        <v>0</v>
      </c>
      <c r="B452" s="1">
        <f>MAX(CumRet!$B$2:$B$452)-CumRet!B452</f>
        <v>0</v>
      </c>
    </row>
    <row r="453" spans="1:2">
      <c r="A453" s="11">
        <f>Returns!A453</f>
        <v>0</v>
      </c>
      <c r="B453" s="1">
        <f>MAX(CumRet!$B$2:$B$453)-CumRet!B453</f>
        <v>0</v>
      </c>
    </row>
    <row r="454" spans="1:2">
      <c r="A454" s="11">
        <f>Returns!A454</f>
        <v>0</v>
      </c>
      <c r="B454" s="1">
        <f>MAX(CumRet!$B$2:$B$454)-CumRet!B454</f>
        <v>0</v>
      </c>
    </row>
    <row r="455" spans="1:2">
      <c r="A455" s="11">
        <f>Returns!A455</f>
        <v>0</v>
      </c>
      <c r="B455" s="1">
        <f>MAX(CumRet!$B$2:$B$455)-CumRet!B455</f>
        <v>0</v>
      </c>
    </row>
    <row r="456" spans="1:2">
      <c r="A456" s="11">
        <f>Returns!A456</f>
        <v>0</v>
      </c>
      <c r="B456" s="1">
        <f>MAX(CumRet!$B$2:$B$456)-CumRet!B456</f>
        <v>0</v>
      </c>
    </row>
    <row r="457" spans="1:2">
      <c r="A457" s="11">
        <f>Returns!A457</f>
        <v>0</v>
      </c>
      <c r="B457" s="1">
        <f>MAX(CumRet!$B$2:$B$457)-CumRet!B457</f>
        <v>0</v>
      </c>
    </row>
    <row r="458" spans="1:2">
      <c r="A458" s="11">
        <f>Returns!A458</f>
        <v>0</v>
      </c>
      <c r="B458" s="1">
        <f>MAX(CumRet!$B$2:$B$458)-CumRet!B458</f>
        <v>0</v>
      </c>
    </row>
    <row r="459" spans="1:2">
      <c r="A459" s="11">
        <f>Returns!A459</f>
        <v>0</v>
      </c>
      <c r="B459" s="1">
        <f>MAX(CumRet!$B$2:$B$459)-CumRet!B459</f>
        <v>0</v>
      </c>
    </row>
    <row r="460" spans="1:2">
      <c r="A460" s="11">
        <f>Returns!A460</f>
        <v>0</v>
      </c>
      <c r="B460" s="1">
        <f>MAX(CumRet!$B$2:$B$460)-CumRet!B460</f>
        <v>0</v>
      </c>
    </row>
    <row r="461" spans="1:2">
      <c r="A461" s="11">
        <f>Returns!A461</f>
        <v>0</v>
      </c>
      <c r="B461" s="1">
        <f>MAX(CumRet!$B$2:$B$461)-CumRet!B461</f>
        <v>0</v>
      </c>
    </row>
    <row r="462" spans="1:2">
      <c r="A462" s="11">
        <f>Returns!A462</f>
        <v>0</v>
      </c>
      <c r="B462" s="1">
        <f>MAX(CumRet!$B$2:$B$462)-CumRet!B462</f>
        <v>0</v>
      </c>
    </row>
    <row r="463" spans="1:2">
      <c r="A463" s="11">
        <f>Returns!A463</f>
        <v>0</v>
      </c>
      <c r="B463" s="1">
        <f>MAX(CumRet!$B$2:$B$463)-CumRet!B463</f>
        <v>0</v>
      </c>
    </row>
    <row r="464" spans="1:2">
      <c r="A464" s="11">
        <f>Returns!A464</f>
        <v>0</v>
      </c>
      <c r="B464" s="1">
        <f>MAX(CumRet!$B$2:$B$464)-CumRet!B464</f>
        <v>0</v>
      </c>
    </row>
    <row r="465" spans="1:2">
      <c r="A465" s="11">
        <f>Returns!A465</f>
        <v>0</v>
      </c>
      <c r="B465" s="1">
        <f>MAX(CumRet!$B$2:$B$465)-CumRet!B465</f>
        <v>0</v>
      </c>
    </row>
    <row r="466" spans="1:2">
      <c r="A466" s="11">
        <f>Returns!A466</f>
        <v>0</v>
      </c>
      <c r="B466" s="1">
        <f>MAX(CumRet!$B$2:$B$466)-CumRet!B466</f>
        <v>0</v>
      </c>
    </row>
    <row r="467" spans="1:2">
      <c r="A467" s="11">
        <f>Returns!A467</f>
        <v>0</v>
      </c>
      <c r="B467" s="1">
        <f>MAX(CumRet!$B$2:$B$467)-CumRet!B467</f>
        <v>0</v>
      </c>
    </row>
    <row r="468" spans="1:2">
      <c r="A468" s="11">
        <f>Returns!A468</f>
        <v>0</v>
      </c>
      <c r="B468" s="1">
        <f>MAX(CumRet!$B$2:$B$468)-CumRet!B468</f>
        <v>0</v>
      </c>
    </row>
    <row r="469" spans="1:2">
      <c r="A469" s="11">
        <f>Returns!A469</f>
        <v>0</v>
      </c>
      <c r="B469" s="1">
        <f>MAX(CumRet!$B$2:$B$469)-CumRet!B469</f>
        <v>0</v>
      </c>
    </row>
    <row r="470" spans="1:2">
      <c r="A470" s="11">
        <f>Returns!A470</f>
        <v>0</v>
      </c>
      <c r="B470" s="1">
        <f>MAX(CumRet!$B$2:$B$470)-CumRet!B470</f>
        <v>0</v>
      </c>
    </row>
    <row r="471" spans="1:2">
      <c r="A471" s="11">
        <f>Returns!A471</f>
        <v>0</v>
      </c>
      <c r="B471" s="1">
        <f>MAX(CumRet!$B$2:$B$471)-CumRet!B471</f>
        <v>0</v>
      </c>
    </row>
    <row r="472" spans="1:2">
      <c r="A472" s="11">
        <f>Returns!A472</f>
        <v>0</v>
      </c>
      <c r="B472" s="1">
        <f>MAX(CumRet!$B$2:$B$472)-CumRet!B472</f>
        <v>0</v>
      </c>
    </row>
    <row r="473" spans="1:2">
      <c r="A473" s="11">
        <f>Returns!A473</f>
        <v>0</v>
      </c>
      <c r="B473" s="1">
        <f>MAX(CumRet!$B$2:$B$473)-CumRet!B473</f>
        <v>0</v>
      </c>
    </row>
    <row r="474" spans="1:2">
      <c r="A474" s="11">
        <f>Returns!A474</f>
        <v>0</v>
      </c>
      <c r="B474" s="1">
        <f>MAX(CumRet!$B$2:$B$474)-CumRet!B474</f>
        <v>0</v>
      </c>
    </row>
    <row r="475" spans="1:2">
      <c r="A475" s="11">
        <f>Returns!A475</f>
        <v>0</v>
      </c>
      <c r="B475" s="1">
        <f>MAX(CumRet!$B$2:$B$475)-CumRet!B475</f>
        <v>0</v>
      </c>
    </row>
    <row r="476" spans="1:2">
      <c r="A476" s="11">
        <f>Returns!A476</f>
        <v>0</v>
      </c>
      <c r="B476" s="1">
        <f>MAX(CumRet!$B$2:$B$476)-CumRet!B476</f>
        <v>0</v>
      </c>
    </row>
    <row r="477" spans="1:2">
      <c r="A477" s="11">
        <f>Returns!A477</f>
        <v>0</v>
      </c>
      <c r="B477" s="1">
        <f>MAX(CumRet!$B$2:$B$477)-CumRet!B477</f>
        <v>0</v>
      </c>
    </row>
    <row r="478" spans="1:2">
      <c r="A478" s="11">
        <f>Returns!A478</f>
        <v>0</v>
      </c>
      <c r="B478" s="1">
        <f>MAX(CumRet!$B$2:$B$478)-CumRet!B478</f>
        <v>0</v>
      </c>
    </row>
    <row r="479" spans="1:2">
      <c r="A479" s="11">
        <f>Returns!A479</f>
        <v>0</v>
      </c>
      <c r="B479" s="1">
        <f>MAX(CumRet!$B$2:$B$479)-CumRet!B479</f>
        <v>0</v>
      </c>
    </row>
    <row r="480" spans="1:2">
      <c r="A480" s="11">
        <f>Returns!A480</f>
        <v>0</v>
      </c>
      <c r="B480" s="1">
        <f>MAX(CumRet!$B$2:$B$480)-CumRet!B480</f>
        <v>0</v>
      </c>
    </row>
    <row r="481" spans="1:2">
      <c r="A481" s="11">
        <f>Returns!A481</f>
        <v>0</v>
      </c>
      <c r="B481" s="1">
        <f>MAX(CumRet!$B$2:$B$481)-CumRet!B481</f>
        <v>0</v>
      </c>
    </row>
    <row r="482" spans="1:2">
      <c r="A482" s="11">
        <f>Returns!A482</f>
        <v>0</v>
      </c>
      <c r="B482" s="1">
        <f>MAX(CumRet!$B$2:$B$482)-CumRet!B482</f>
        <v>0</v>
      </c>
    </row>
    <row r="483" spans="1:2">
      <c r="A483" s="11">
        <f>Returns!A483</f>
        <v>0</v>
      </c>
      <c r="B483" s="1">
        <f>MAX(CumRet!$B$2:$B$483)-CumRet!B483</f>
        <v>0</v>
      </c>
    </row>
    <row r="484" spans="1:2">
      <c r="A484" s="11">
        <f>Returns!A484</f>
        <v>0</v>
      </c>
      <c r="B484" s="1">
        <f>MAX(CumRet!$B$2:$B$484)-CumRet!B484</f>
        <v>0</v>
      </c>
    </row>
    <row r="485" spans="1:2">
      <c r="A485" s="11">
        <f>Returns!A485</f>
        <v>0</v>
      </c>
      <c r="B485" s="1">
        <f>MAX(CumRet!$B$2:$B$485)-CumRet!B485</f>
        <v>0</v>
      </c>
    </row>
    <row r="486" spans="1:2">
      <c r="A486" s="11">
        <f>Returns!A486</f>
        <v>0</v>
      </c>
      <c r="B486" s="1">
        <f>MAX(CumRet!$B$2:$B$486)-CumRet!B486</f>
        <v>0</v>
      </c>
    </row>
    <row r="487" spans="1:2">
      <c r="A487" s="11">
        <f>Returns!A487</f>
        <v>0</v>
      </c>
      <c r="B487" s="1">
        <f>MAX(CumRet!$B$2:$B$487)-CumRet!B487</f>
        <v>0</v>
      </c>
    </row>
    <row r="488" spans="1:2">
      <c r="A488" s="11">
        <f>Returns!A488</f>
        <v>0</v>
      </c>
      <c r="B488" s="1">
        <f>MAX(CumRet!$B$2:$B$488)-CumRet!B488</f>
        <v>0</v>
      </c>
    </row>
    <row r="489" spans="1:2">
      <c r="A489" s="11">
        <f>Returns!A489</f>
        <v>0</v>
      </c>
      <c r="B489" s="1">
        <f>MAX(CumRet!$B$2:$B$489)-CumRet!B489</f>
        <v>0</v>
      </c>
    </row>
    <row r="490" spans="1:2">
      <c r="A490" s="11">
        <f>Returns!A490</f>
        <v>0</v>
      </c>
      <c r="B490" s="1">
        <f>MAX(CumRet!$B$2:$B$490)-CumRet!B490</f>
        <v>0</v>
      </c>
    </row>
    <row r="491" spans="1:2">
      <c r="A491" s="11">
        <f>Returns!A491</f>
        <v>0</v>
      </c>
      <c r="B491" s="1">
        <f>MAX(CumRet!$B$2:$B$491)-CumRet!B491</f>
        <v>0</v>
      </c>
    </row>
    <row r="492" spans="1:2">
      <c r="A492" s="11">
        <f>Returns!A492</f>
        <v>0</v>
      </c>
      <c r="B492" s="1">
        <f>MAX(CumRet!$B$2:$B$492)-CumRet!B492</f>
        <v>0</v>
      </c>
    </row>
    <row r="493" spans="1:2">
      <c r="A493" s="11">
        <f>Returns!A493</f>
        <v>0</v>
      </c>
      <c r="B493" s="1">
        <f>MAX(CumRet!$B$2:$B$493)-CumRet!B493</f>
        <v>0</v>
      </c>
    </row>
    <row r="494" spans="1:2">
      <c r="A494" s="11">
        <f>Returns!A494</f>
        <v>0</v>
      </c>
      <c r="B494" s="1">
        <f>MAX(CumRet!$B$2:$B$494)-CumRet!B494</f>
        <v>0</v>
      </c>
    </row>
    <row r="495" spans="1:2">
      <c r="A495" s="11">
        <f>Returns!A495</f>
        <v>0</v>
      </c>
      <c r="B495" s="1">
        <f>MAX(CumRet!$B$2:$B$495)-CumRet!B495</f>
        <v>0</v>
      </c>
    </row>
    <row r="496" spans="1:2">
      <c r="A496" s="11">
        <f>Returns!A496</f>
        <v>0</v>
      </c>
      <c r="B496" s="1">
        <f>MAX(CumRet!$B$2:$B$496)-CumRet!B496</f>
        <v>0</v>
      </c>
    </row>
    <row r="497" spans="1:2">
      <c r="A497" s="11">
        <f>Returns!A497</f>
        <v>0</v>
      </c>
      <c r="B497" s="1">
        <f>MAX(CumRet!$B$2:$B$497)-CumRet!B497</f>
        <v>0</v>
      </c>
    </row>
    <row r="498" spans="1:2">
      <c r="A498" s="11">
        <f>Returns!A498</f>
        <v>0</v>
      </c>
      <c r="B498" s="1">
        <f>MAX(CumRet!$B$2:$B$498)-CumRet!B498</f>
        <v>0</v>
      </c>
    </row>
    <row r="499" spans="1:2">
      <c r="A499" s="11">
        <f>Returns!A499</f>
        <v>0</v>
      </c>
      <c r="B499" s="1">
        <f>MAX(CumRet!$B$2:$B$499)-CumRet!B499</f>
        <v>0</v>
      </c>
    </row>
    <row r="500" spans="1:2">
      <c r="A500" s="11">
        <f>Returns!A500</f>
        <v>0</v>
      </c>
      <c r="B500" s="1">
        <f>MAX(CumRet!$B$2:$B$500)-CumRet!B500</f>
        <v>0</v>
      </c>
    </row>
    <row r="501" spans="1:2">
      <c r="A501" s="11">
        <f>Returns!A501</f>
        <v>0</v>
      </c>
      <c r="B501" s="1">
        <f>MAX(CumRet!$B$2:$B$501)-CumRet!B501</f>
        <v>0</v>
      </c>
    </row>
    <row r="502" spans="1:2">
      <c r="A502" s="11">
        <f>Returns!A502</f>
        <v>0</v>
      </c>
      <c r="B502" s="1">
        <f>MAX(CumRet!$B$2:$B$502)-CumRet!B502</f>
        <v>0</v>
      </c>
    </row>
    <row r="503" spans="1:2">
      <c r="A503" s="11">
        <f>Returns!A503</f>
        <v>0</v>
      </c>
      <c r="B503" s="1">
        <f>MAX(CumRet!$B$2:$B$503)-CumRet!B503</f>
        <v>0</v>
      </c>
    </row>
    <row r="504" spans="1:2">
      <c r="A504" s="11">
        <f>Returns!A504</f>
        <v>0</v>
      </c>
      <c r="B504" s="1">
        <f>MAX(CumRet!$B$2:$B$504)-CumRet!B504</f>
        <v>0</v>
      </c>
    </row>
    <row r="505" spans="1:2">
      <c r="A505" s="11">
        <f>Returns!A505</f>
        <v>0</v>
      </c>
      <c r="B505" s="1">
        <f>MAX(CumRet!$B$2:$B$505)-CumRet!B505</f>
        <v>0</v>
      </c>
    </row>
    <row r="506" spans="1:2">
      <c r="A506" s="11">
        <f>Returns!A506</f>
        <v>0</v>
      </c>
      <c r="B506" s="1">
        <f>MAX(CumRet!$B$2:$B$506)-CumRet!B506</f>
        <v>0</v>
      </c>
    </row>
    <row r="507" spans="1:2">
      <c r="A507" s="11">
        <f>Returns!A507</f>
        <v>0</v>
      </c>
      <c r="B507" s="1">
        <f>MAX(CumRet!$B$2:$B$507)-CumRet!B507</f>
        <v>0</v>
      </c>
    </row>
    <row r="508" spans="1:2">
      <c r="A508" s="11">
        <f>Returns!A508</f>
        <v>0</v>
      </c>
      <c r="B508" s="1">
        <f>MAX(CumRet!$B$2:$B$508)-CumRet!B508</f>
        <v>0</v>
      </c>
    </row>
    <row r="509" spans="1:2">
      <c r="A509" s="11">
        <f>Returns!A509</f>
        <v>0</v>
      </c>
      <c r="B509" s="1">
        <f>MAX(CumRet!$B$2:$B$509)-CumRet!B509</f>
        <v>0</v>
      </c>
    </row>
    <row r="510" spans="1:2">
      <c r="A510" s="11">
        <f>Returns!A510</f>
        <v>0</v>
      </c>
      <c r="B510" s="1">
        <f>MAX(CumRet!$B$2:$B$510)-CumRet!B510</f>
        <v>0</v>
      </c>
    </row>
    <row r="511" spans="1:2">
      <c r="A511" s="11">
        <f>Returns!A511</f>
        <v>0</v>
      </c>
      <c r="B511" s="1">
        <f>MAX(CumRet!$B$2:$B$511)-CumRet!B511</f>
        <v>0</v>
      </c>
    </row>
    <row r="512" spans="1:2">
      <c r="A512" s="11">
        <f>Returns!A512</f>
        <v>0</v>
      </c>
      <c r="B512" s="1">
        <f>MAX(CumRet!$B$2:$B$512)-CumRet!B512</f>
        <v>0</v>
      </c>
    </row>
    <row r="513" spans="1:2">
      <c r="A513" s="11">
        <f>Returns!A513</f>
        <v>0</v>
      </c>
      <c r="B513" s="1">
        <f>MAX(CumRet!$B$2:$B$513)-CumRet!B513</f>
        <v>0</v>
      </c>
    </row>
    <row r="514" spans="1:2">
      <c r="A514" s="11">
        <f>Returns!A514</f>
        <v>0</v>
      </c>
      <c r="B514" s="1">
        <f>MAX(CumRet!$B$2:$B$514)-CumRet!B514</f>
        <v>0</v>
      </c>
    </row>
    <row r="515" spans="1:2">
      <c r="A515" s="11">
        <f>Returns!A515</f>
        <v>0</v>
      </c>
      <c r="B515" s="1">
        <f>MAX(CumRet!$B$2:$B$515)-CumRet!B515</f>
        <v>0</v>
      </c>
    </row>
    <row r="516" spans="1:2">
      <c r="A516" s="11">
        <f>Returns!A516</f>
        <v>0</v>
      </c>
      <c r="B516" s="1">
        <f>MAX(CumRet!$B$2:$B$516)-CumRet!B516</f>
        <v>0</v>
      </c>
    </row>
    <row r="517" spans="1:2">
      <c r="A517" s="11">
        <f>Returns!A517</f>
        <v>0</v>
      </c>
      <c r="B517" s="1">
        <f>MAX(CumRet!$B$2:$B$517)-CumRet!B517</f>
        <v>0</v>
      </c>
    </row>
    <row r="518" spans="1:2">
      <c r="A518" s="11">
        <f>Returns!A518</f>
        <v>0</v>
      </c>
      <c r="B518" s="1">
        <f>MAX(CumRet!$B$2:$B$518)-CumRet!B518</f>
        <v>0</v>
      </c>
    </row>
    <row r="519" spans="1:2">
      <c r="A519" s="11">
        <f>Returns!A519</f>
        <v>0</v>
      </c>
      <c r="B519" s="1">
        <f>MAX(CumRet!$B$2:$B$519)-CumRet!B519</f>
        <v>0</v>
      </c>
    </row>
    <row r="520" spans="1:2">
      <c r="A520" s="11">
        <f>Returns!A520</f>
        <v>0</v>
      </c>
      <c r="B520" s="1">
        <f>MAX(CumRet!$B$2:$B$520)-CumRet!B520</f>
        <v>0</v>
      </c>
    </row>
    <row r="521" spans="1:2">
      <c r="A521" s="11">
        <f>Returns!A521</f>
        <v>0</v>
      </c>
      <c r="B521" s="1">
        <f>MAX(CumRet!$B$2:$B$521)-CumRet!B521</f>
        <v>0</v>
      </c>
    </row>
    <row r="522" spans="1:2">
      <c r="A522" s="11">
        <f>Returns!A522</f>
        <v>0</v>
      </c>
      <c r="B522" s="1">
        <f>MAX(CumRet!$B$2:$B$522)-CumRet!B522</f>
        <v>0</v>
      </c>
    </row>
    <row r="523" spans="1:2">
      <c r="A523" s="11">
        <f>Returns!A523</f>
        <v>0</v>
      </c>
      <c r="B523" s="1">
        <f>MAX(CumRet!$B$2:$B$523)-CumRet!B523</f>
        <v>0</v>
      </c>
    </row>
    <row r="524" spans="1:2">
      <c r="A524" s="11">
        <f>Returns!A524</f>
        <v>0</v>
      </c>
      <c r="B524" s="1">
        <f>MAX(CumRet!$B$2:$B$524)-CumRet!B524</f>
        <v>0</v>
      </c>
    </row>
    <row r="525" spans="1:2">
      <c r="A525" s="11">
        <f>Returns!A525</f>
        <v>0</v>
      </c>
      <c r="B525" s="1">
        <f>MAX(CumRet!$B$2:$B$525)-CumRet!B525</f>
        <v>0</v>
      </c>
    </row>
    <row r="526" spans="1:2">
      <c r="A526" s="11">
        <f>Returns!A526</f>
        <v>0</v>
      </c>
      <c r="B526" s="1">
        <f>MAX(CumRet!$B$2:$B$526)-CumRet!B526</f>
        <v>0</v>
      </c>
    </row>
    <row r="527" spans="1:2">
      <c r="A527" s="11">
        <f>Returns!A527</f>
        <v>0</v>
      </c>
      <c r="B527" s="1">
        <f>MAX(CumRet!$B$2:$B$527)-CumRet!B527</f>
        <v>0</v>
      </c>
    </row>
    <row r="528" spans="1:2">
      <c r="A528" s="11">
        <f>Returns!A528</f>
        <v>0</v>
      </c>
      <c r="B528" s="1">
        <f>MAX(CumRet!$B$2:$B$528)-CumRet!B528</f>
        <v>0</v>
      </c>
    </row>
    <row r="529" spans="1:2">
      <c r="A529" s="11">
        <f>Returns!A529</f>
        <v>0</v>
      </c>
      <c r="B529" s="1">
        <f>MAX(CumRet!$B$2:$B$529)-CumRet!B529</f>
        <v>0</v>
      </c>
    </row>
    <row r="530" spans="1:2">
      <c r="A530" s="11">
        <f>Returns!A530</f>
        <v>0</v>
      </c>
      <c r="B530" s="1">
        <f>MAX(CumRet!$B$2:$B$530)-CumRet!B530</f>
        <v>0</v>
      </c>
    </row>
    <row r="531" spans="1:2">
      <c r="A531" s="11">
        <f>Returns!A531</f>
        <v>0</v>
      </c>
      <c r="B531" s="1">
        <f>MAX(CumRet!$B$2:$B$531)-CumRet!B531</f>
        <v>0</v>
      </c>
    </row>
    <row r="532" spans="1:2">
      <c r="A532" s="11">
        <f>Returns!A532</f>
        <v>0</v>
      </c>
      <c r="B532" s="1">
        <f>MAX(CumRet!$B$2:$B$532)-CumRet!B532</f>
        <v>0</v>
      </c>
    </row>
    <row r="533" spans="1:2">
      <c r="A533" s="11">
        <f>Returns!A533</f>
        <v>0</v>
      </c>
      <c r="B533" s="1">
        <f>MAX(CumRet!$B$2:$B$533)-CumRet!B533</f>
        <v>0</v>
      </c>
    </row>
    <row r="534" spans="1:2">
      <c r="A534" s="11">
        <f>Returns!A534</f>
        <v>0</v>
      </c>
      <c r="B534" s="1">
        <f>MAX(CumRet!$B$2:$B$534)-CumRet!B534</f>
        <v>0</v>
      </c>
    </row>
    <row r="535" spans="1:2">
      <c r="A535" s="11">
        <f>Returns!A535</f>
        <v>0</v>
      </c>
      <c r="B535" s="1">
        <f>MAX(CumRet!$B$2:$B$535)-CumRet!B535</f>
        <v>0</v>
      </c>
    </row>
    <row r="536" spans="1:2">
      <c r="A536" s="11">
        <f>Returns!A536</f>
        <v>0</v>
      </c>
      <c r="B536" s="1">
        <f>MAX(CumRet!$B$2:$B$536)-CumRet!B536</f>
        <v>0</v>
      </c>
    </row>
    <row r="537" spans="1:2">
      <c r="A537" s="11">
        <f>Returns!A537</f>
        <v>0</v>
      </c>
      <c r="B537" s="1">
        <f>MAX(CumRet!$B$2:$B$537)-CumRet!B537</f>
        <v>0</v>
      </c>
    </row>
    <row r="538" spans="1:2">
      <c r="A538" s="11">
        <f>Returns!A538</f>
        <v>0</v>
      </c>
      <c r="B538" s="1">
        <f>MAX(CumRet!$B$2:$B$538)-CumRet!B538</f>
        <v>0</v>
      </c>
    </row>
    <row r="539" spans="1:2">
      <c r="A539" s="11">
        <f>Returns!A539</f>
        <v>0</v>
      </c>
      <c r="B539" s="1">
        <f>MAX(CumRet!$B$2:$B$539)-CumRet!B539</f>
        <v>0</v>
      </c>
    </row>
    <row r="540" spans="1:2">
      <c r="A540" s="11">
        <f>Returns!A540</f>
        <v>0</v>
      </c>
      <c r="B540" s="1">
        <f>MAX(CumRet!$B$2:$B$540)-CumRet!B540</f>
        <v>0</v>
      </c>
    </row>
    <row r="541" spans="1:2">
      <c r="A541" s="11">
        <f>Returns!A541</f>
        <v>0</v>
      </c>
      <c r="B541" s="1">
        <f>MAX(CumRet!$B$2:$B$541)-CumRet!B541</f>
        <v>0</v>
      </c>
    </row>
    <row r="542" spans="1:2">
      <c r="A542" s="11">
        <f>Returns!A542</f>
        <v>0</v>
      </c>
      <c r="B542" s="1">
        <f>MAX(CumRet!$B$2:$B$542)-CumRet!B542</f>
        <v>0</v>
      </c>
    </row>
    <row r="543" spans="1:2">
      <c r="A543" s="11">
        <f>Returns!A543</f>
        <v>0</v>
      </c>
      <c r="B543" s="1">
        <f>MAX(CumRet!$B$2:$B$543)-CumRet!B543</f>
        <v>0</v>
      </c>
    </row>
    <row r="544" spans="1:2">
      <c r="A544" s="11">
        <f>Returns!A544</f>
        <v>0</v>
      </c>
      <c r="B544" s="1">
        <f>MAX(CumRet!$B$2:$B$544)-CumRet!B544</f>
        <v>0</v>
      </c>
    </row>
    <row r="545" spans="1:2">
      <c r="A545" s="11">
        <f>Returns!A545</f>
        <v>0</v>
      </c>
      <c r="B545" s="1">
        <f>MAX(CumRet!$B$2:$B$545)-CumRet!B545</f>
        <v>0</v>
      </c>
    </row>
    <row r="546" spans="1:2">
      <c r="A546" s="11">
        <f>Returns!A546</f>
        <v>0</v>
      </c>
      <c r="B546" s="1">
        <f>MAX(CumRet!$B$2:$B$546)-CumRet!B546</f>
        <v>0</v>
      </c>
    </row>
    <row r="547" spans="1:2">
      <c r="A547" s="11">
        <f>Returns!A547</f>
        <v>0</v>
      </c>
      <c r="B547" s="1">
        <f>MAX(CumRet!$B$2:$B$547)-CumRet!B547</f>
        <v>0</v>
      </c>
    </row>
    <row r="548" spans="1:2">
      <c r="A548" s="11">
        <f>Returns!A548</f>
        <v>0</v>
      </c>
      <c r="B548" s="1">
        <f>MAX(CumRet!$B$2:$B$548)-CumRet!B548</f>
        <v>0</v>
      </c>
    </row>
    <row r="549" spans="1:2">
      <c r="A549" s="11">
        <f>Returns!A549</f>
        <v>0</v>
      </c>
      <c r="B549" s="1">
        <f>MAX(CumRet!$B$2:$B$549)-CumRet!B549</f>
        <v>0</v>
      </c>
    </row>
    <row r="550" spans="1:2">
      <c r="A550" s="11">
        <f>Returns!A550</f>
        <v>0</v>
      </c>
      <c r="B550" s="1">
        <f>MAX(CumRet!$B$2:$B$550)-CumRet!B550</f>
        <v>0</v>
      </c>
    </row>
    <row r="551" spans="1:2">
      <c r="A551" s="11">
        <f>Returns!A551</f>
        <v>0</v>
      </c>
      <c r="B551" s="1">
        <f>MAX(CumRet!$B$2:$B$551)-CumRet!B551</f>
        <v>0</v>
      </c>
    </row>
    <row r="552" spans="1:2">
      <c r="A552" s="11">
        <f>Returns!A552</f>
        <v>0</v>
      </c>
      <c r="B552" s="1">
        <f>MAX(CumRet!$B$2:$B$552)-CumRet!B552</f>
        <v>0</v>
      </c>
    </row>
    <row r="553" spans="1:2">
      <c r="A553" s="11">
        <f>Returns!A553</f>
        <v>0</v>
      </c>
      <c r="B553" s="1">
        <f>MAX(CumRet!$B$2:$B$553)-CumRet!B553</f>
        <v>0</v>
      </c>
    </row>
    <row r="554" spans="1:2">
      <c r="A554" s="11">
        <f>Returns!A554</f>
        <v>0</v>
      </c>
      <c r="B554" s="1">
        <f>MAX(CumRet!$B$2:$B$554)-CumRet!B554</f>
        <v>0</v>
      </c>
    </row>
    <row r="555" spans="1:2">
      <c r="A555" s="11">
        <f>Returns!A555</f>
        <v>0</v>
      </c>
      <c r="B555" s="1">
        <f>MAX(CumRet!$B$2:$B$555)-CumRet!B555</f>
        <v>0</v>
      </c>
    </row>
    <row r="556" spans="1:2">
      <c r="A556" s="11">
        <f>Returns!A556</f>
        <v>0</v>
      </c>
      <c r="B556" s="1">
        <f>MAX(CumRet!$B$2:$B$556)-CumRet!B556</f>
        <v>0</v>
      </c>
    </row>
    <row r="557" spans="1:2">
      <c r="A557" s="11">
        <f>Returns!A557</f>
        <v>0</v>
      </c>
      <c r="B557" s="1">
        <f>MAX(CumRet!$B$2:$B$557)-CumRet!B557</f>
        <v>0</v>
      </c>
    </row>
    <row r="558" spans="1:2">
      <c r="A558" s="11">
        <f>Returns!A558</f>
        <v>0</v>
      </c>
      <c r="B558" s="1">
        <f>MAX(CumRet!$B$2:$B$558)-CumRet!B558</f>
        <v>0</v>
      </c>
    </row>
    <row r="559" spans="1:2">
      <c r="A559" s="11">
        <f>Returns!A559</f>
        <v>0</v>
      </c>
      <c r="B559" s="1">
        <f>MAX(CumRet!$B$2:$B$559)-CumRet!B559</f>
        <v>0</v>
      </c>
    </row>
    <row r="560" spans="1:2">
      <c r="A560" s="11">
        <f>Returns!A560</f>
        <v>0</v>
      </c>
      <c r="B560" s="1">
        <f>MAX(CumRet!$B$2:$B$560)-CumRet!B560</f>
        <v>0</v>
      </c>
    </row>
    <row r="561" spans="1:2">
      <c r="A561" s="11">
        <f>Returns!A561</f>
        <v>0</v>
      </c>
      <c r="B561" s="1">
        <f>MAX(CumRet!$B$2:$B$561)-CumRet!B561</f>
        <v>0</v>
      </c>
    </row>
    <row r="562" spans="1:2">
      <c r="A562" s="11">
        <f>Returns!A562</f>
        <v>0</v>
      </c>
      <c r="B562" s="1">
        <f>MAX(CumRet!$B$2:$B$562)-CumRet!B562</f>
        <v>0</v>
      </c>
    </row>
    <row r="563" spans="1:2">
      <c r="A563" s="11">
        <f>Returns!A563</f>
        <v>0</v>
      </c>
      <c r="B563" s="1">
        <f>MAX(CumRet!$B$2:$B$563)-CumRet!B563</f>
        <v>0</v>
      </c>
    </row>
    <row r="564" spans="1:2">
      <c r="A564" s="11">
        <f>Returns!A564</f>
        <v>0</v>
      </c>
      <c r="B564" s="1">
        <f>MAX(CumRet!$B$2:$B$564)-CumRet!B564</f>
        <v>0</v>
      </c>
    </row>
    <row r="565" spans="1:2">
      <c r="A565" s="11">
        <f>Returns!A565</f>
        <v>0</v>
      </c>
      <c r="B565" s="1">
        <f>MAX(CumRet!$B$2:$B$565)-CumRet!B565</f>
        <v>0</v>
      </c>
    </row>
    <row r="566" spans="1:2">
      <c r="A566" s="11">
        <f>Returns!A566</f>
        <v>0</v>
      </c>
      <c r="B566" s="1">
        <f>MAX(CumRet!$B$2:$B$566)-CumRet!B566</f>
        <v>0</v>
      </c>
    </row>
    <row r="567" spans="1:2">
      <c r="A567" s="11">
        <f>Returns!A567</f>
        <v>0</v>
      </c>
      <c r="B567" s="1">
        <f>MAX(CumRet!$B$2:$B$567)-CumRet!B567</f>
        <v>0</v>
      </c>
    </row>
    <row r="568" spans="1:2">
      <c r="A568" s="11">
        <f>Returns!A568</f>
        <v>0</v>
      </c>
      <c r="B568" s="1">
        <f>MAX(CumRet!$B$2:$B$568)-CumRet!B568</f>
        <v>0</v>
      </c>
    </row>
    <row r="569" spans="1:2">
      <c r="A569" s="11">
        <f>Returns!A569</f>
        <v>0</v>
      </c>
      <c r="B569" s="1">
        <f>MAX(CumRet!$B$2:$B$569)-CumRet!B569</f>
        <v>0</v>
      </c>
    </row>
    <row r="570" spans="1:2">
      <c r="A570" s="11">
        <f>Returns!A570</f>
        <v>0</v>
      </c>
      <c r="B570" s="1">
        <f>MAX(CumRet!$B$2:$B$570)-CumRet!B570</f>
        <v>0</v>
      </c>
    </row>
    <row r="571" spans="1:2">
      <c r="A571" s="11">
        <f>Returns!A571</f>
        <v>0</v>
      </c>
      <c r="B571" s="1">
        <f>MAX(CumRet!$B$2:$B$571)-CumRet!B571</f>
        <v>0</v>
      </c>
    </row>
    <row r="572" spans="1:2">
      <c r="A572" s="11">
        <f>Returns!A572</f>
        <v>0</v>
      </c>
      <c r="B572" s="1">
        <f>MAX(CumRet!$B$2:$B$572)-CumRet!B572</f>
        <v>0</v>
      </c>
    </row>
    <row r="573" spans="1:2">
      <c r="A573" s="11">
        <f>Returns!A573</f>
        <v>0</v>
      </c>
      <c r="B573" s="1">
        <f>MAX(CumRet!$B$2:$B$573)-CumRet!B573</f>
        <v>0</v>
      </c>
    </row>
    <row r="574" spans="1:2">
      <c r="A574" s="11">
        <f>Returns!A574</f>
        <v>0</v>
      </c>
      <c r="B574" s="1">
        <f>MAX(CumRet!$B$2:$B$574)-CumRet!B574</f>
        <v>0</v>
      </c>
    </row>
    <row r="575" spans="1:2">
      <c r="A575" s="11">
        <f>Returns!A575</f>
        <v>0</v>
      </c>
      <c r="B575" s="1">
        <f>MAX(CumRet!$B$2:$B$575)-CumRet!B575</f>
        <v>0</v>
      </c>
    </row>
    <row r="576" spans="1:2">
      <c r="A576" s="11">
        <f>Returns!A576</f>
        <v>0</v>
      </c>
      <c r="B576" s="1">
        <f>MAX(CumRet!$B$2:$B$576)-CumRet!B576</f>
        <v>0</v>
      </c>
    </row>
    <row r="577" spans="1:2">
      <c r="A577" s="11">
        <f>Returns!A577</f>
        <v>0</v>
      </c>
      <c r="B577" s="1">
        <f>MAX(CumRet!$B$2:$B$577)-CumRet!B577</f>
        <v>0</v>
      </c>
    </row>
    <row r="578" spans="1:2">
      <c r="A578" s="11">
        <f>Returns!A578</f>
        <v>0</v>
      </c>
      <c r="B578" s="1">
        <f>MAX(CumRet!$B$2:$B$578)-CumRet!B578</f>
        <v>0</v>
      </c>
    </row>
    <row r="579" spans="1:2">
      <c r="A579" s="11">
        <f>Returns!A579</f>
        <v>0</v>
      </c>
      <c r="B579" s="1">
        <f>MAX(CumRet!$B$2:$B$579)-CumRet!B579</f>
        <v>0</v>
      </c>
    </row>
    <row r="580" spans="1:2">
      <c r="A580" s="11">
        <f>Returns!A580</f>
        <v>0</v>
      </c>
      <c r="B580" s="1">
        <f>MAX(CumRet!$B$2:$B$580)-CumRet!B580</f>
        <v>0</v>
      </c>
    </row>
    <row r="581" spans="1:2">
      <c r="A581" s="11">
        <f>Returns!A581</f>
        <v>0</v>
      </c>
      <c r="B581" s="1">
        <f>MAX(CumRet!$B$2:$B$581)-CumRet!B581</f>
        <v>0</v>
      </c>
    </row>
    <row r="582" spans="1:2">
      <c r="A582" s="11">
        <f>Returns!A582</f>
        <v>0</v>
      </c>
      <c r="B582" s="1">
        <f>MAX(CumRet!$B$2:$B$582)-CumRet!B582</f>
        <v>0</v>
      </c>
    </row>
    <row r="583" spans="1:2">
      <c r="A583" s="11">
        <f>Returns!A583</f>
        <v>0</v>
      </c>
      <c r="B583" s="1">
        <f>MAX(CumRet!$B$2:$B$583)-CumRet!B583</f>
        <v>0</v>
      </c>
    </row>
    <row r="584" spans="1:2">
      <c r="A584" s="11">
        <f>Returns!A584</f>
        <v>0</v>
      </c>
      <c r="B584" s="1">
        <f>MAX(CumRet!$B$2:$B$584)-CumRet!B584</f>
        <v>0</v>
      </c>
    </row>
    <row r="585" spans="1:2">
      <c r="A585" s="11">
        <f>Returns!A585</f>
        <v>0</v>
      </c>
      <c r="B585" s="1">
        <f>MAX(CumRet!$B$2:$B$585)-CumRet!B585</f>
        <v>0</v>
      </c>
    </row>
    <row r="586" spans="1:2">
      <c r="A586" s="11">
        <f>Returns!A586</f>
        <v>0</v>
      </c>
      <c r="B586" s="1">
        <f>MAX(CumRet!$B$2:$B$586)-CumRet!B586</f>
        <v>0</v>
      </c>
    </row>
    <row r="587" spans="1:2">
      <c r="A587" s="11">
        <f>Returns!A587</f>
        <v>0</v>
      </c>
      <c r="B587" s="1">
        <f>MAX(CumRet!$B$2:$B$587)-CumRet!B587</f>
        <v>0</v>
      </c>
    </row>
    <row r="588" spans="1:2">
      <c r="A588" s="11">
        <f>Returns!A588</f>
        <v>0</v>
      </c>
      <c r="B588" s="1">
        <f>MAX(CumRet!$B$2:$B$588)-CumRet!B588</f>
        <v>0</v>
      </c>
    </row>
    <row r="589" spans="1:2">
      <c r="A589" s="11">
        <f>Returns!A589</f>
        <v>0</v>
      </c>
      <c r="B589" s="1">
        <f>MAX(CumRet!$B$2:$B$589)-CumRet!B589</f>
        <v>0</v>
      </c>
    </row>
    <row r="590" spans="1:2">
      <c r="A590" s="11">
        <f>Returns!A590</f>
        <v>0</v>
      </c>
      <c r="B590" s="1">
        <f>MAX(CumRet!$B$2:$B$590)-CumRet!B590</f>
        <v>0</v>
      </c>
    </row>
    <row r="591" spans="1:2">
      <c r="A591" s="11">
        <f>Returns!A591</f>
        <v>0</v>
      </c>
      <c r="B591" s="1">
        <f>MAX(CumRet!$B$2:$B$591)-CumRet!B591</f>
        <v>0</v>
      </c>
    </row>
    <row r="592" spans="1:2">
      <c r="A592" s="11">
        <f>Returns!A592</f>
        <v>0</v>
      </c>
      <c r="B592" s="1">
        <f>MAX(CumRet!$B$2:$B$592)-CumRet!B592</f>
        <v>0</v>
      </c>
    </row>
    <row r="593" spans="1:2">
      <c r="A593" s="11">
        <f>Returns!A593</f>
        <v>0</v>
      </c>
      <c r="B593" s="1">
        <f>MAX(CumRet!$B$2:$B$593)-CumRet!B593</f>
        <v>0</v>
      </c>
    </row>
    <row r="594" spans="1:2">
      <c r="A594" s="11">
        <f>Returns!A594</f>
        <v>0</v>
      </c>
      <c r="B594" s="1">
        <f>MAX(CumRet!$B$2:$B$594)-CumRet!B594</f>
        <v>0</v>
      </c>
    </row>
    <row r="595" spans="1:2">
      <c r="A595" s="11">
        <f>Returns!A595</f>
        <v>0</v>
      </c>
      <c r="B595" s="1">
        <f>MAX(CumRet!$B$2:$B$595)-CumRet!B595</f>
        <v>0</v>
      </c>
    </row>
    <row r="596" spans="1:2">
      <c r="A596" s="11">
        <f>Returns!A596</f>
        <v>0</v>
      </c>
      <c r="B596" s="1">
        <f>MAX(CumRet!$B$2:$B$596)-CumRet!B596</f>
        <v>0</v>
      </c>
    </row>
    <row r="597" spans="1:2">
      <c r="A597" s="11">
        <f>Returns!A597</f>
        <v>0</v>
      </c>
      <c r="B597" s="1">
        <f>MAX(CumRet!$B$2:$B$597)-CumRet!B597</f>
        <v>0</v>
      </c>
    </row>
    <row r="598" spans="1:2">
      <c r="A598" s="11">
        <f>Returns!A598</f>
        <v>0</v>
      </c>
      <c r="B598" s="1">
        <f>MAX(CumRet!$B$2:$B$598)-CumRet!B598</f>
        <v>0</v>
      </c>
    </row>
    <row r="599" spans="1:2">
      <c r="A599" s="11">
        <f>Returns!A599</f>
        <v>0</v>
      </c>
      <c r="B599" s="1">
        <f>MAX(CumRet!$B$2:$B$599)-CumRet!B599</f>
        <v>0</v>
      </c>
    </row>
    <row r="600" spans="1:2">
      <c r="A600" s="11">
        <f>Returns!A600</f>
        <v>0</v>
      </c>
      <c r="B600" s="1">
        <f>MAX(CumRet!$B$2:$B$600)-CumRet!B600</f>
        <v>0</v>
      </c>
    </row>
    <row r="601" spans="1:2">
      <c r="A601" s="11">
        <f>Returns!A601</f>
        <v>0</v>
      </c>
      <c r="B601" s="1">
        <f>MAX(CumRet!$B$2:$B$601)-CumRet!B601</f>
        <v>0</v>
      </c>
    </row>
    <row r="602" spans="1:2">
      <c r="A602" s="11">
        <f>Returns!A602</f>
        <v>0</v>
      </c>
      <c r="B602" s="1">
        <f>MAX(CumRet!$B$2:$B$602)-CumRet!B602</f>
        <v>0</v>
      </c>
    </row>
    <row r="603" spans="1:2">
      <c r="A603" s="11">
        <f>Returns!A603</f>
        <v>0</v>
      </c>
      <c r="B603" s="1">
        <f>MAX(CumRet!$B$2:$B$603)-CumRet!B603</f>
        <v>0</v>
      </c>
    </row>
    <row r="604" spans="1:2">
      <c r="A604" s="11">
        <f>Returns!A604</f>
        <v>0</v>
      </c>
      <c r="B604" s="1">
        <f>MAX(CumRet!$B$2:$B$604)-CumRet!B604</f>
        <v>0</v>
      </c>
    </row>
    <row r="605" spans="1:2">
      <c r="A605" s="11">
        <f>Returns!A605</f>
        <v>0</v>
      </c>
      <c r="B605" s="1">
        <f>MAX(CumRet!$B$2:$B$605)-CumRet!B605</f>
        <v>0</v>
      </c>
    </row>
    <row r="606" spans="1:2">
      <c r="A606" s="11">
        <f>Returns!A606</f>
        <v>0</v>
      </c>
      <c r="B606" s="1">
        <f>MAX(CumRet!$B$2:$B$606)-CumRet!B606</f>
        <v>0</v>
      </c>
    </row>
    <row r="607" spans="1:2">
      <c r="A607" s="11">
        <f>Returns!A607</f>
        <v>0</v>
      </c>
      <c r="B607" s="1">
        <f>MAX(CumRet!$B$2:$B$607)-CumRet!B607</f>
        <v>0</v>
      </c>
    </row>
    <row r="608" spans="1:2">
      <c r="A608" s="11">
        <f>Returns!A608</f>
        <v>0</v>
      </c>
      <c r="B608" s="1">
        <f>MAX(CumRet!$B$2:$B$608)-CumRet!B608</f>
        <v>0</v>
      </c>
    </row>
    <row r="609" spans="1:2">
      <c r="A609" s="11">
        <f>Returns!A609</f>
        <v>0</v>
      </c>
      <c r="B609" s="1">
        <f>MAX(CumRet!$B$2:$B$609)-CumRet!B609</f>
        <v>0</v>
      </c>
    </row>
    <row r="610" spans="1:2">
      <c r="A610" s="11">
        <f>Returns!A610</f>
        <v>0</v>
      </c>
      <c r="B610" s="1">
        <f>MAX(CumRet!$B$2:$B$610)-CumRet!B610</f>
        <v>0</v>
      </c>
    </row>
    <row r="611" spans="1:2">
      <c r="A611" s="11">
        <f>Returns!A611</f>
        <v>0</v>
      </c>
      <c r="B611" s="1">
        <f>MAX(CumRet!$B$2:$B$611)-CumRet!B611</f>
        <v>0</v>
      </c>
    </row>
    <row r="612" spans="1:2">
      <c r="A612" s="11">
        <f>Returns!A612</f>
        <v>0</v>
      </c>
      <c r="B612" s="1">
        <f>MAX(CumRet!$B$2:$B$612)-CumRet!B612</f>
        <v>0</v>
      </c>
    </row>
    <row r="613" spans="1:2">
      <c r="A613" s="11">
        <f>Returns!A613</f>
        <v>0</v>
      </c>
      <c r="B613" s="1">
        <f>MAX(CumRet!$B$2:$B$613)-CumRet!B613</f>
        <v>0</v>
      </c>
    </row>
    <row r="614" spans="1:2">
      <c r="A614" s="11">
        <f>Returns!A614</f>
        <v>0</v>
      </c>
      <c r="B614" s="1">
        <f>MAX(CumRet!$B$2:$B$614)-CumRet!B614</f>
        <v>0</v>
      </c>
    </row>
    <row r="615" spans="1:2">
      <c r="A615" s="11">
        <f>Returns!A615</f>
        <v>0</v>
      </c>
      <c r="B615" s="1">
        <f>MAX(CumRet!$B$2:$B$615)-CumRet!B615</f>
        <v>0</v>
      </c>
    </row>
    <row r="616" spans="1:2">
      <c r="A616" s="11">
        <f>Returns!A616</f>
        <v>0</v>
      </c>
      <c r="B616" s="1">
        <f>MAX(CumRet!$B$2:$B$616)-CumRet!B616</f>
        <v>0</v>
      </c>
    </row>
    <row r="617" spans="1:2">
      <c r="A617" s="11">
        <f>Returns!A617</f>
        <v>0</v>
      </c>
      <c r="B617" s="1">
        <f>MAX(CumRet!$B$2:$B$617)-CumRet!B617</f>
        <v>0</v>
      </c>
    </row>
    <row r="618" spans="1:2">
      <c r="A618" s="11">
        <f>Returns!A618</f>
        <v>0</v>
      </c>
      <c r="B618" s="1">
        <f>MAX(CumRet!$B$2:$B$618)-CumRet!B618</f>
        <v>0</v>
      </c>
    </row>
    <row r="619" spans="1:2">
      <c r="A619" s="11">
        <f>Returns!A619</f>
        <v>0</v>
      </c>
      <c r="B619" s="1">
        <f>MAX(CumRet!$B$2:$B$619)-CumRet!B619</f>
        <v>0</v>
      </c>
    </row>
    <row r="620" spans="1:2">
      <c r="A620" s="11">
        <f>Returns!A620</f>
        <v>0</v>
      </c>
      <c r="B620" s="1">
        <f>MAX(CumRet!$B$2:$B$620)-CumRet!B620</f>
        <v>0</v>
      </c>
    </row>
    <row r="621" spans="1:2">
      <c r="A621" s="11">
        <f>Returns!A621</f>
        <v>0</v>
      </c>
      <c r="B621" s="1">
        <f>MAX(CumRet!$B$2:$B$621)-CumRet!B621</f>
        <v>0</v>
      </c>
    </row>
    <row r="622" spans="1:2">
      <c r="A622" s="11">
        <f>Returns!A622</f>
        <v>0</v>
      </c>
      <c r="B622" s="1">
        <f>MAX(CumRet!$B$2:$B$622)-CumRet!B622</f>
        <v>0</v>
      </c>
    </row>
    <row r="623" spans="1:2">
      <c r="A623" s="11">
        <f>Returns!A623</f>
        <v>0</v>
      </c>
      <c r="B623" s="1">
        <f>MAX(CumRet!$B$2:$B$623)-CumRet!B623</f>
        <v>0</v>
      </c>
    </row>
    <row r="624" spans="1:2">
      <c r="A624" s="11">
        <f>Returns!A624</f>
        <v>0</v>
      </c>
      <c r="B624" s="1">
        <f>MAX(CumRet!$B$2:$B$624)-CumRet!B624</f>
        <v>0</v>
      </c>
    </row>
    <row r="625" spans="1:2">
      <c r="A625" s="11">
        <f>Returns!A625</f>
        <v>0</v>
      </c>
      <c r="B625" s="1">
        <f>MAX(CumRet!$B$2:$B$625)-CumRet!B625</f>
        <v>0</v>
      </c>
    </row>
    <row r="626" spans="1:2">
      <c r="A626" s="11">
        <f>Returns!A626</f>
        <v>0</v>
      </c>
      <c r="B626" s="1">
        <f>MAX(CumRet!$B$2:$B$626)-CumRet!B626</f>
        <v>0</v>
      </c>
    </row>
    <row r="627" spans="1:2">
      <c r="A627" s="11">
        <f>Returns!A627</f>
        <v>0</v>
      </c>
      <c r="B627" s="1">
        <f>MAX(CumRet!$B$2:$B$627)-CumRet!B627</f>
        <v>0</v>
      </c>
    </row>
    <row r="628" spans="1:2">
      <c r="A628" s="11">
        <f>Returns!A628</f>
        <v>0</v>
      </c>
      <c r="B628" s="1">
        <f>MAX(CumRet!$B$2:$B$628)-CumRet!B628</f>
        <v>0</v>
      </c>
    </row>
    <row r="629" spans="1:2">
      <c r="A629" s="11">
        <f>Returns!A629</f>
        <v>0</v>
      </c>
      <c r="B629" s="1">
        <f>MAX(CumRet!$B$2:$B$629)-CumRet!B629</f>
        <v>0</v>
      </c>
    </row>
    <row r="630" spans="1:2">
      <c r="A630" s="11">
        <f>Returns!A630</f>
        <v>0</v>
      </c>
      <c r="B630" s="1">
        <f>MAX(CumRet!$B$2:$B$630)-CumRet!B630</f>
        <v>0</v>
      </c>
    </row>
    <row r="631" spans="1:2">
      <c r="A631" s="11">
        <f>Returns!A631</f>
        <v>0</v>
      </c>
      <c r="B631" s="1">
        <f>MAX(CumRet!$B$2:$B$631)-CumRet!B631</f>
        <v>0</v>
      </c>
    </row>
    <row r="632" spans="1:2">
      <c r="A632" s="11">
        <f>Returns!A632</f>
        <v>0</v>
      </c>
      <c r="B632" s="1">
        <f>MAX(CumRet!$B$2:$B$632)-CumRet!B632</f>
        <v>0</v>
      </c>
    </row>
    <row r="633" spans="1:2">
      <c r="A633" s="11">
        <f>Returns!A633</f>
        <v>0</v>
      </c>
      <c r="B633" s="1">
        <f>MAX(CumRet!$B$2:$B$633)-CumRet!B633</f>
        <v>0</v>
      </c>
    </row>
    <row r="634" spans="1:2">
      <c r="A634" s="11">
        <f>Returns!A634</f>
        <v>0</v>
      </c>
      <c r="B634" s="1">
        <f>MAX(CumRet!$B$2:$B$634)-CumRet!B634</f>
        <v>0</v>
      </c>
    </row>
    <row r="635" spans="1:2">
      <c r="A635" s="11">
        <f>Returns!A635</f>
        <v>0</v>
      </c>
      <c r="B635" s="1">
        <f>MAX(CumRet!$B$2:$B$635)-CumRet!B635</f>
        <v>0</v>
      </c>
    </row>
    <row r="636" spans="1:2">
      <c r="A636" s="11">
        <f>Returns!A636</f>
        <v>0</v>
      </c>
      <c r="B636" s="1">
        <f>MAX(CumRet!$B$2:$B$636)-CumRet!B636</f>
        <v>0</v>
      </c>
    </row>
    <row r="637" spans="1:2">
      <c r="A637" s="11">
        <f>Returns!A637</f>
        <v>0</v>
      </c>
      <c r="B637" s="1">
        <f>MAX(CumRet!$B$2:$B$637)-CumRet!B637</f>
        <v>0</v>
      </c>
    </row>
    <row r="638" spans="1:2">
      <c r="A638" s="11">
        <f>Returns!A638</f>
        <v>0</v>
      </c>
      <c r="B638" s="1">
        <f>MAX(CumRet!$B$2:$B$638)-CumRet!B638</f>
        <v>0</v>
      </c>
    </row>
    <row r="639" spans="1:2">
      <c r="A639" s="11">
        <f>Returns!A639</f>
        <v>0</v>
      </c>
      <c r="B639" s="1">
        <f>MAX(CumRet!$B$2:$B$639)-CumRet!B639</f>
        <v>0</v>
      </c>
    </row>
    <row r="640" spans="1:2">
      <c r="A640" s="11">
        <f>Returns!A640</f>
        <v>0</v>
      </c>
      <c r="B640" s="1">
        <f>MAX(CumRet!$B$2:$B$640)-CumRet!B640</f>
        <v>0</v>
      </c>
    </row>
    <row r="641" spans="1:2">
      <c r="A641" s="11">
        <f>Returns!A641</f>
        <v>0</v>
      </c>
      <c r="B641" s="1">
        <f>MAX(CumRet!$B$2:$B$641)-CumRet!B641</f>
        <v>0</v>
      </c>
    </row>
    <row r="642" spans="1:2">
      <c r="A642" s="11">
        <f>Returns!A642</f>
        <v>0</v>
      </c>
      <c r="B642" s="1">
        <f>MAX(CumRet!$B$2:$B$642)-CumRet!B642</f>
        <v>0</v>
      </c>
    </row>
    <row r="643" spans="1:2">
      <c r="A643" s="11">
        <f>Returns!A643</f>
        <v>0</v>
      </c>
      <c r="B643" s="1">
        <f>MAX(CumRet!$B$2:$B$643)-CumRet!B643</f>
        <v>0</v>
      </c>
    </row>
    <row r="644" spans="1:2">
      <c r="A644" s="11">
        <f>Returns!A644</f>
        <v>0</v>
      </c>
      <c r="B644" s="1">
        <f>MAX(CumRet!$B$2:$B$644)-CumRet!B644</f>
        <v>0</v>
      </c>
    </row>
    <row r="645" spans="1:2">
      <c r="A645" s="11">
        <f>Returns!A645</f>
        <v>0</v>
      </c>
      <c r="B645" s="1">
        <f>MAX(CumRet!$B$2:$B$645)-CumRet!B645</f>
        <v>0</v>
      </c>
    </row>
    <row r="646" spans="1:2">
      <c r="A646" s="11">
        <f>Returns!A646</f>
        <v>0</v>
      </c>
      <c r="B646" s="1">
        <f>MAX(CumRet!$B$2:$B$646)-CumRet!B646</f>
        <v>0</v>
      </c>
    </row>
    <row r="647" spans="1:2">
      <c r="A647" s="11">
        <f>Returns!A647</f>
        <v>0</v>
      </c>
      <c r="B647" s="1">
        <f>MAX(CumRet!$B$2:$B$647)-CumRet!B647</f>
        <v>0</v>
      </c>
    </row>
    <row r="648" spans="1:2">
      <c r="A648" s="11">
        <f>Returns!A648</f>
        <v>0</v>
      </c>
      <c r="B648" s="1">
        <f>MAX(CumRet!$B$2:$B$648)-CumRet!B648</f>
        <v>0</v>
      </c>
    </row>
    <row r="649" spans="1:2">
      <c r="A649" s="11">
        <f>Returns!A649</f>
        <v>0</v>
      </c>
      <c r="B649" s="1">
        <f>MAX(CumRet!$B$2:$B$649)-CumRet!B649</f>
        <v>0</v>
      </c>
    </row>
    <row r="650" spans="1:2">
      <c r="A650" s="11">
        <f>Returns!A650</f>
        <v>0</v>
      </c>
      <c r="B650" s="1">
        <f>MAX(CumRet!$B$2:$B$650)-CumRet!B650</f>
        <v>0</v>
      </c>
    </row>
    <row r="651" spans="1:2">
      <c r="A651" s="11">
        <f>Returns!A651</f>
        <v>0</v>
      </c>
      <c r="B651" s="1">
        <f>MAX(CumRet!$B$2:$B$651)-CumRet!B651</f>
        <v>0</v>
      </c>
    </row>
    <row r="652" spans="1:2">
      <c r="A652" s="11">
        <f>Returns!A652</f>
        <v>0</v>
      </c>
      <c r="B652" s="1">
        <f>MAX(CumRet!$B$2:$B$652)-CumRet!B652</f>
        <v>0</v>
      </c>
    </row>
    <row r="653" spans="1:2">
      <c r="A653" s="11">
        <f>Returns!A653</f>
        <v>0</v>
      </c>
      <c r="B653" s="1">
        <f>MAX(CumRet!$B$2:$B$653)-CumRet!B653</f>
        <v>0</v>
      </c>
    </row>
    <row r="654" spans="1:2">
      <c r="A654" s="11">
        <f>Returns!A654</f>
        <v>0</v>
      </c>
      <c r="B654" s="1">
        <f>MAX(CumRet!$B$2:$B$654)-CumRet!B654</f>
        <v>0</v>
      </c>
    </row>
    <row r="655" spans="1:2">
      <c r="A655" s="11">
        <f>Returns!A655</f>
        <v>0</v>
      </c>
      <c r="B655" s="1">
        <f>MAX(CumRet!$B$2:$B$655)-CumRet!B655</f>
        <v>0</v>
      </c>
    </row>
    <row r="656" spans="1:2">
      <c r="A656" s="11">
        <f>Returns!A656</f>
        <v>0</v>
      </c>
      <c r="B656" s="1">
        <f>MAX(CumRet!$B$2:$B$656)-CumRet!B656</f>
        <v>0</v>
      </c>
    </row>
    <row r="657" spans="1:2">
      <c r="A657" s="11">
        <f>Returns!A657</f>
        <v>0</v>
      </c>
      <c r="B657" s="1">
        <f>MAX(CumRet!$B$2:$B$657)-CumRet!B657</f>
        <v>0</v>
      </c>
    </row>
    <row r="658" spans="1:2">
      <c r="A658" s="11">
        <f>Returns!A658</f>
        <v>0</v>
      </c>
      <c r="B658" s="1">
        <f>MAX(CumRet!$B$2:$B$658)-CumRet!B658</f>
        <v>0</v>
      </c>
    </row>
    <row r="659" spans="1:2">
      <c r="A659" s="11">
        <f>Returns!A659</f>
        <v>0</v>
      </c>
      <c r="B659" s="1">
        <f>MAX(CumRet!$B$2:$B$659)-CumRet!B659</f>
        <v>0</v>
      </c>
    </row>
    <row r="660" spans="1:2">
      <c r="A660" s="11">
        <f>Returns!A660</f>
        <v>0</v>
      </c>
      <c r="B660" s="1">
        <f>MAX(CumRet!$B$2:$B$660)-CumRet!B660</f>
        <v>0</v>
      </c>
    </row>
    <row r="661" spans="1:2">
      <c r="A661" s="11">
        <f>Returns!A661</f>
        <v>0</v>
      </c>
      <c r="B661" s="1">
        <f>MAX(CumRet!$B$2:$B$661)-CumRet!B661</f>
        <v>0</v>
      </c>
    </row>
    <row r="662" spans="1:2">
      <c r="A662" s="11">
        <f>Returns!A662</f>
        <v>0</v>
      </c>
      <c r="B662" s="1">
        <f>MAX(CumRet!$B$2:$B$662)-CumRet!B662</f>
        <v>0</v>
      </c>
    </row>
    <row r="663" spans="1:2">
      <c r="A663" s="11">
        <f>Returns!A663</f>
        <v>0</v>
      </c>
      <c r="B663" s="1">
        <f>MAX(CumRet!$B$2:$B$663)-CumRet!B663</f>
        <v>0</v>
      </c>
    </row>
    <row r="664" spans="1:2">
      <c r="A664" s="11">
        <f>Returns!A664</f>
        <v>0</v>
      </c>
      <c r="B664" s="1">
        <f>MAX(CumRet!$B$2:$B$664)-CumRet!B664</f>
        <v>0</v>
      </c>
    </row>
    <row r="665" spans="1:2">
      <c r="A665" s="11">
        <f>Returns!A665</f>
        <v>0</v>
      </c>
      <c r="B665" s="1">
        <f>MAX(CumRet!$B$2:$B$665)-CumRet!B665</f>
        <v>0</v>
      </c>
    </row>
    <row r="666" spans="1:2">
      <c r="A666" s="11">
        <f>Returns!A666</f>
        <v>0</v>
      </c>
      <c r="B666" s="1">
        <f>MAX(CumRet!$B$2:$B$666)-CumRet!B666</f>
        <v>0</v>
      </c>
    </row>
    <row r="667" spans="1:2">
      <c r="A667" s="11">
        <f>Returns!A667</f>
        <v>0</v>
      </c>
      <c r="B667" s="1">
        <f>MAX(CumRet!$B$2:$B$667)-CumRet!B667</f>
        <v>0</v>
      </c>
    </row>
    <row r="668" spans="1:2">
      <c r="A668" s="11">
        <f>Returns!A668</f>
        <v>0</v>
      </c>
      <c r="B668" s="1">
        <f>MAX(CumRet!$B$2:$B$668)-CumRet!B668</f>
        <v>0</v>
      </c>
    </row>
    <row r="669" spans="1:2">
      <c r="A669" s="11">
        <f>Returns!A669</f>
        <v>0</v>
      </c>
      <c r="B669" s="1">
        <f>MAX(CumRet!$B$2:$B$669)-CumRet!B669</f>
        <v>0</v>
      </c>
    </row>
    <row r="670" spans="1:2">
      <c r="A670" s="11">
        <f>Returns!A670</f>
        <v>0</v>
      </c>
      <c r="B670" s="1">
        <f>MAX(CumRet!$B$2:$B$670)-CumRet!B670</f>
        <v>0</v>
      </c>
    </row>
    <row r="671" spans="1:2">
      <c r="A671" s="11">
        <f>Returns!A671</f>
        <v>0</v>
      </c>
      <c r="B671" s="1">
        <f>MAX(CumRet!$B$2:$B$671)-CumRet!B671</f>
        <v>0</v>
      </c>
    </row>
    <row r="672" spans="1:2">
      <c r="A672" s="11">
        <f>Returns!A672</f>
        <v>0</v>
      </c>
      <c r="B672" s="1">
        <f>MAX(CumRet!$B$2:$B$672)-CumRet!B672</f>
        <v>0</v>
      </c>
    </row>
    <row r="673" spans="1:2">
      <c r="A673" s="11">
        <f>Returns!A673</f>
        <v>0</v>
      </c>
      <c r="B673" s="1">
        <f>MAX(CumRet!$B$2:$B$673)-CumRet!B673</f>
        <v>0</v>
      </c>
    </row>
    <row r="674" spans="1:2">
      <c r="A674" s="11">
        <f>Returns!A674</f>
        <v>0</v>
      </c>
      <c r="B674" s="1">
        <f>MAX(CumRet!$B$2:$B$674)-CumRet!B674</f>
        <v>0</v>
      </c>
    </row>
    <row r="675" spans="1:2">
      <c r="A675" s="11">
        <f>Returns!A675</f>
        <v>0</v>
      </c>
      <c r="B675" s="1">
        <f>MAX(CumRet!$B$2:$B$675)-CumRet!B675</f>
        <v>0</v>
      </c>
    </row>
    <row r="676" spans="1:2">
      <c r="A676" s="11">
        <f>Returns!A676</f>
        <v>0</v>
      </c>
      <c r="B676" s="1">
        <f>MAX(CumRet!$B$2:$B$676)-CumRet!B676</f>
        <v>0</v>
      </c>
    </row>
    <row r="677" spans="1:2">
      <c r="A677" s="11">
        <f>Returns!A677</f>
        <v>0</v>
      </c>
      <c r="B677" s="1">
        <f>MAX(CumRet!$B$2:$B$677)-CumRet!B677</f>
        <v>0</v>
      </c>
    </row>
    <row r="678" spans="1:2">
      <c r="A678" s="11">
        <f>Returns!A678</f>
        <v>0</v>
      </c>
      <c r="B678" s="1">
        <f>MAX(CumRet!$B$2:$B$678)-CumRet!B678</f>
        <v>0</v>
      </c>
    </row>
    <row r="679" spans="1:2">
      <c r="A679" s="11">
        <f>Returns!A679</f>
        <v>0</v>
      </c>
      <c r="B679" s="1">
        <f>MAX(CumRet!$B$2:$B$679)-CumRet!B679</f>
        <v>0</v>
      </c>
    </row>
    <row r="680" spans="1:2">
      <c r="A680" s="11">
        <f>Returns!A680</f>
        <v>0</v>
      </c>
      <c r="B680" s="1">
        <f>MAX(CumRet!$B$2:$B$680)-CumRet!B680</f>
        <v>0</v>
      </c>
    </row>
    <row r="681" spans="1:2">
      <c r="A681" s="11">
        <f>Returns!A681</f>
        <v>0</v>
      </c>
      <c r="B681" s="1">
        <f>MAX(CumRet!$B$2:$B$681)-CumRet!B681</f>
        <v>0</v>
      </c>
    </row>
    <row r="682" spans="1:2">
      <c r="A682" s="11">
        <f>Returns!A682</f>
        <v>0</v>
      </c>
      <c r="B682" s="1">
        <f>MAX(CumRet!$B$2:$B$682)-CumRet!B682</f>
        <v>0</v>
      </c>
    </row>
    <row r="683" spans="1:2">
      <c r="A683" s="11">
        <f>Returns!A683</f>
        <v>0</v>
      </c>
      <c r="B683" s="1">
        <f>MAX(CumRet!$B$2:$B$683)-CumRet!B683</f>
        <v>0</v>
      </c>
    </row>
    <row r="684" spans="1:2">
      <c r="A684" s="11">
        <f>Returns!A684</f>
        <v>0</v>
      </c>
      <c r="B684" s="1">
        <f>MAX(CumRet!$B$2:$B$684)-CumRet!B684</f>
        <v>0</v>
      </c>
    </row>
    <row r="685" spans="1:2">
      <c r="A685" s="11">
        <f>Returns!A685</f>
        <v>0</v>
      </c>
      <c r="B685" s="1">
        <f>MAX(CumRet!$B$2:$B$685)-CumRet!B685</f>
        <v>0</v>
      </c>
    </row>
    <row r="686" spans="1:2">
      <c r="A686" s="11">
        <f>Returns!A686</f>
        <v>0</v>
      </c>
      <c r="B686" s="1">
        <f>MAX(CumRet!$B$2:$B$686)-CumRet!B686</f>
        <v>0</v>
      </c>
    </row>
    <row r="687" spans="1:2">
      <c r="A687" s="11">
        <f>Returns!A687</f>
        <v>0</v>
      </c>
      <c r="B687" s="1">
        <f>MAX(CumRet!$B$2:$B$687)-CumRet!B687</f>
        <v>0</v>
      </c>
    </row>
    <row r="688" spans="1:2">
      <c r="A688" s="11">
        <f>Returns!A688</f>
        <v>0</v>
      </c>
      <c r="B688" s="1">
        <f>MAX(CumRet!$B$2:$B$688)-CumRet!B688</f>
        <v>0</v>
      </c>
    </row>
    <row r="689" spans="1:2">
      <c r="A689" s="11">
        <f>Returns!A689</f>
        <v>0</v>
      </c>
      <c r="B689" s="1">
        <f>MAX(CumRet!$B$2:$B$689)-CumRet!B689</f>
        <v>0</v>
      </c>
    </row>
    <row r="690" spans="1:2">
      <c r="A690" s="11">
        <f>Returns!A690</f>
        <v>0</v>
      </c>
      <c r="B690" s="1">
        <f>MAX(CumRet!$B$2:$B$690)-CumRet!B690</f>
        <v>0</v>
      </c>
    </row>
    <row r="691" spans="1:2">
      <c r="A691" s="11">
        <f>Returns!A691</f>
        <v>0</v>
      </c>
      <c r="B691" s="1">
        <f>MAX(CumRet!$B$2:$B$691)-CumRet!B691</f>
        <v>0</v>
      </c>
    </row>
    <row r="692" spans="1:2">
      <c r="A692" s="11">
        <f>Returns!A692</f>
        <v>0</v>
      </c>
      <c r="B692" s="1">
        <f>MAX(CumRet!$B$2:$B$692)-CumRet!B692</f>
        <v>0</v>
      </c>
    </row>
    <row r="693" spans="1:2">
      <c r="A693" s="11">
        <f>Returns!A693</f>
        <v>0</v>
      </c>
      <c r="B693" s="1">
        <f>MAX(CumRet!$B$2:$B$693)-CumRet!B693</f>
        <v>0</v>
      </c>
    </row>
    <row r="694" spans="1:2">
      <c r="A694" s="11">
        <f>Returns!A694</f>
        <v>0</v>
      </c>
      <c r="B694" s="1">
        <f>MAX(CumRet!$B$2:$B$694)-CumRet!B694</f>
        <v>0</v>
      </c>
    </row>
    <row r="695" spans="1:2">
      <c r="A695" s="11">
        <f>Returns!A695</f>
        <v>0</v>
      </c>
      <c r="B695" s="1">
        <f>MAX(CumRet!$B$2:$B$695)-CumRet!B695</f>
        <v>0</v>
      </c>
    </row>
    <row r="696" spans="1:2">
      <c r="A696" s="11">
        <f>Returns!A696</f>
        <v>0</v>
      </c>
      <c r="B696" s="1">
        <f>MAX(CumRet!$B$2:$B$696)-CumRet!B696</f>
        <v>0</v>
      </c>
    </row>
    <row r="697" spans="1:2">
      <c r="A697" s="11">
        <f>Returns!A697</f>
        <v>0</v>
      </c>
      <c r="B697" s="1">
        <f>MAX(CumRet!$B$2:$B$697)-CumRet!B697</f>
        <v>0</v>
      </c>
    </row>
    <row r="698" spans="1:2">
      <c r="A698" s="11">
        <f>Returns!A698</f>
        <v>0</v>
      </c>
      <c r="B698" s="1">
        <f>MAX(CumRet!$B$2:$B$698)-CumRet!B698</f>
        <v>0</v>
      </c>
    </row>
    <row r="699" spans="1:2">
      <c r="A699" s="11">
        <f>Returns!A699</f>
        <v>0</v>
      </c>
      <c r="B699" s="1">
        <f>MAX(CumRet!$B$2:$B$699)-CumRet!B699</f>
        <v>0</v>
      </c>
    </row>
    <row r="700" spans="1:2">
      <c r="A700" s="11">
        <f>Returns!A700</f>
        <v>0</v>
      </c>
      <c r="B700" s="1">
        <f>MAX(CumRet!$B$2:$B$700)-CumRet!B700</f>
        <v>0</v>
      </c>
    </row>
    <row r="701" spans="1:2">
      <c r="A701" s="11">
        <f>Returns!A701</f>
        <v>0</v>
      </c>
      <c r="B701" s="1">
        <f>MAX(CumRet!$B$2:$B$701)-CumRet!B701</f>
        <v>0</v>
      </c>
    </row>
    <row r="702" spans="1:2">
      <c r="A702" s="11">
        <f>Returns!A702</f>
        <v>0</v>
      </c>
      <c r="B702" s="1">
        <f>MAX(CumRet!$B$2:$B$702)-CumRet!B702</f>
        <v>0</v>
      </c>
    </row>
    <row r="703" spans="1:2">
      <c r="A703" s="11">
        <f>Returns!A703</f>
        <v>0</v>
      </c>
      <c r="B703" s="1">
        <f>MAX(CumRet!$B$2:$B$703)-CumRet!B703</f>
        <v>0</v>
      </c>
    </row>
    <row r="704" spans="1:2">
      <c r="A704" s="11">
        <f>Returns!A704</f>
        <v>0</v>
      </c>
      <c r="B704" s="1">
        <f>MAX(CumRet!$B$2:$B$704)-CumRet!B704</f>
        <v>0</v>
      </c>
    </row>
    <row r="705" spans="1:2">
      <c r="A705" s="11">
        <f>Returns!A705</f>
        <v>0</v>
      </c>
      <c r="B705" s="1">
        <f>MAX(CumRet!$B$2:$B$705)-CumRet!B705</f>
        <v>0</v>
      </c>
    </row>
    <row r="706" spans="1:2">
      <c r="A706" s="11">
        <f>Returns!A706</f>
        <v>0</v>
      </c>
      <c r="B706" s="1">
        <f>MAX(CumRet!$B$2:$B$706)-CumRet!B706</f>
        <v>0</v>
      </c>
    </row>
    <row r="707" spans="1:2">
      <c r="A707" s="11">
        <f>Returns!A707</f>
        <v>0</v>
      </c>
      <c r="B707" s="1">
        <f>MAX(CumRet!$B$2:$B$707)-CumRet!B707</f>
        <v>0</v>
      </c>
    </row>
    <row r="708" spans="1:2">
      <c r="A708" s="11">
        <f>Returns!A708</f>
        <v>0</v>
      </c>
      <c r="B708" s="1">
        <f>MAX(CumRet!$B$2:$B$708)-CumRet!B708</f>
        <v>0</v>
      </c>
    </row>
    <row r="709" spans="1:2">
      <c r="A709" s="11">
        <f>Returns!A709</f>
        <v>0</v>
      </c>
      <c r="B709" s="1">
        <f>MAX(CumRet!$B$2:$B$709)-CumRet!B709</f>
        <v>0</v>
      </c>
    </row>
    <row r="710" spans="1:2">
      <c r="A710" s="11">
        <f>Returns!A710</f>
        <v>0</v>
      </c>
      <c r="B710" s="1">
        <f>MAX(CumRet!$B$2:$B$710)-CumRet!B710</f>
        <v>0</v>
      </c>
    </row>
    <row r="711" spans="1:2">
      <c r="A711" s="11">
        <f>Returns!A711</f>
        <v>0</v>
      </c>
      <c r="B711" s="1">
        <f>MAX(CumRet!$B$2:$B$711)-CumRet!B711</f>
        <v>0</v>
      </c>
    </row>
    <row r="712" spans="1:2">
      <c r="A712" s="11">
        <f>Returns!A712</f>
        <v>0</v>
      </c>
      <c r="B712" s="1">
        <f>MAX(CumRet!$B$2:$B$712)-CumRet!B712</f>
        <v>0</v>
      </c>
    </row>
    <row r="713" spans="1:2">
      <c r="A713" s="11">
        <f>Returns!A713</f>
        <v>0</v>
      </c>
      <c r="B713" s="1">
        <f>MAX(CumRet!$B$2:$B$713)-CumRet!B713</f>
        <v>0</v>
      </c>
    </row>
    <row r="714" spans="1:2">
      <c r="A714" s="11">
        <f>Returns!A714</f>
        <v>0</v>
      </c>
      <c r="B714" s="1">
        <f>MAX(CumRet!$B$2:$B$714)-CumRet!B714</f>
        <v>0</v>
      </c>
    </row>
    <row r="715" spans="1:2">
      <c r="A715" s="11">
        <f>Returns!A715</f>
        <v>0</v>
      </c>
      <c r="B715" s="1">
        <f>MAX(CumRet!$B$2:$B$715)-CumRet!B715</f>
        <v>0</v>
      </c>
    </row>
    <row r="716" spans="1:2">
      <c r="A716" s="11">
        <f>Returns!A716</f>
        <v>0</v>
      </c>
      <c r="B716" s="1">
        <f>MAX(CumRet!$B$2:$B$716)-CumRet!B716</f>
        <v>0</v>
      </c>
    </row>
    <row r="717" spans="1:2">
      <c r="A717" s="11">
        <f>Returns!A717</f>
        <v>0</v>
      </c>
      <c r="B717" s="1">
        <f>MAX(CumRet!$B$2:$B$717)-CumRet!B717</f>
        <v>0</v>
      </c>
    </row>
    <row r="718" spans="1:2">
      <c r="A718" s="11">
        <f>Returns!A718</f>
        <v>0</v>
      </c>
      <c r="B718" s="1">
        <f>MAX(CumRet!$B$2:$B$718)-CumRet!B718</f>
        <v>0</v>
      </c>
    </row>
    <row r="719" spans="1:2">
      <c r="A719" s="11">
        <f>Returns!A719</f>
        <v>0</v>
      </c>
      <c r="B719" s="1">
        <f>MAX(CumRet!$B$2:$B$719)-CumRet!B719</f>
        <v>0</v>
      </c>
    </row>
    <row r="720" spans="1:2">
      <c r="A720" s="11">
        <f>Returns!A720</f>
        <v>0</v>
      </c>
      <c r="B720" s="1">
        <f>MAX(CumRet!$B$2:$B$720)-CumRet!B720</f>
        <v>0</v>
      </c>
    </row>
    <row r="721" spans="1:2">
      <c r="A721" s="11">
        <f>Returns!A721</f>
        <v>0</v>
      </c>
      <c r="B721" s="1">
        <f>MAX(CumRet!$B$2:$B$721)-CumRet!B721</f>
        <v>0</v>
      </c>
    </row>
    <row r="722" spans="1:2">
      <c r="A722" s="11">
        <f>Returns!A722</f>
        <v>0</v>
      </c>
      <c r="B722" s="1">
        <f>MAX(CumRet!$B$2:$B$722)-CumRet!B722</f>
        <v>0</v>
      </c>
    </row>
    <row r="723" spans="1:2">
      <c r="A723" s="11">
        <f>Returns!A723</f>
        <v>0</v>
      </c>
      <c r="B723" s="1">
        <f>MAX(CumRet!$B$2:$B$723)-CumRet!B723</f>
        <v>0</v>
      </c>
    </row>
    <row r="724" spans="1:2">
      <c r="A724" s="11">
        <f>Returns!A724</f>
        <v>0</v>
      </c>
      <c r="B724" s="1">
        <f>MAX(CumRet!$B$2:$B$724)-CumRet!B724</f>
        <v>0</v>
      </c>
    </row>
    <row r="725" spans="1:2">
      <c r="A725" s="11">
        <f>Returns!A725</f>
        <v>0</v>
      </c>
      <c r="B725" s="1">
        <f>MAX(CumRet!$B$2:$B$725)-CumRet!B725</f>
        <v>0</v>
      </c>
    </row>
    <row r="726" spans="1:2">
      <c r="A726" s="11">
        <f>Returns!A726</f>
        <v>0</v>
      </c>
      <c r="B726" s="1">
        <f>MAX(CumRet!$B$2:$B$726)-CumRet!B726</f>
        <v>0</v>
      </c>
    </row>
    <row r="727" spans="1:2">
      <c r="A727" s="11">
        <f>Returns!A727</f>
        <v>0</v>
      </c>
      <c r="B727" s="1">
        <f>MAX(CumRet!$B$2:$B$727)-CumRet!B727</f>
        <v>0</v>
      </c>
    </row>
    <row r="728" spans="1:2">
      <c r="A728" s="11">
        <f>Returns!A728</f>
        <v>0</v>
      </c>
      <c r="B728" s="1">
        <f>MAX(CumRet!$B$2:$B$728)-CumRet!B728</f>
        <v>0</v>
      </c>
    </row>
    <row r="729" spans="1:2">
      <c r="A729" s="11">
        <f>Returns!A729</f>
        <v>0</v>
      </c>
      <c r="B729" s="1">
        <f>MAX(CumRet!$B$2:$B$729)-CumRet!B729</f>
        <v>0</v>
      </c>
    </row>
    <row r="730" spans="1:2">
      <c r="A730" s="11">
        <f>Returns!A730</f>
        <v>0</v>
      </c>
      <c r="B730" s="1">
        <f>MAX(CumRet!$B$2:$B$730)-CumRet!B730</f>
        <v>0</v>
      </c>
    </row>
    <row r="731" spans="1:2">
      <c r="A731" s="11">
        <f>Returns!A731</f>
        <v>0</v>
      </c>
      <c r="B731" s="1">
        <f>MAX(CumRet!$B$2:$B$731)-CumRet!B731</f>
        <v>0</v>
      </c>
    </row>
    <row r="732" spans="1:2">
      <c r="A732" s="11">
        <f>Returns!A732</f>
        <v>0</v>
      </c>
      <c r="B732" s="1">
        <f>MAX(CumRet!$B$2:$B$732)-CumRet!B732</f>
        <v>0</v>
      </c>
    </row>
    <row r="733" spans="1:2">
      <c r="A733" s="11">
        <f>Returns!A733</f>
        <v>0</v>
      </c>
      <c r="B733" s="1">
        <f>MAX(CumRet!$B$2:$B$733)-CumRet!B733</f>
        <v>0</v>
      </c>
    </row>
    <row r="734" spans="1:2">
      <c r="A734" s="11">
        <f>Returns!A734</f>
        <v>0</v>
      </c>
      <c r="B734" s="1">
        <f>MAX(CumRet!$B$2:$B$734)-CumRet!B734</f>
        <v>0</v>
      </c>
    </row>
    <row r="735" spans="1:2">
      <c r="A735" s="11">
        <f>Returns!A735</f>
        <v>0</v>
      </c>
      <c r="B735" s="1">
        <f>MAX(CumRet!$B$2:$B$735)-CumRet!B735</f>
        <v>0</v>
      </c>
    </row>
    <row r="736" spans="1:2">
      <c r="A736" s="11">
        <f>Returns!A736</f>
        <v>0</v>
      </c>
      <c r="B736" s="1">
        <f>MAX(CumRet!$B$2:$B$736)-CumRet!B736</f>
        <v>0</v>
      </c>
    </row>
    <row r="737" spans="1:2">
      <c r="A737" s="11">
        <f>Returns!A737</f>
        <v>0</v>
      </c>
      <c r="B737" s="1">
        <f>MAX(CumRet!$B$2:$B$737)-CumRet!B737</f>
        <v>0</v>
      </c>
    </row>
    <row r="738" spans="1:2">
      <c r="A738" s="11">
        <f>Returns!A738</f>
        <v>0</v>
      </c>
      <c r="B738" s="1">
        <f>MAX(CumRet!$B$2:$B$738)-CumRet!B738</f>
        <v>0</v>
      </c>
    </row>
    <row r="739" spans="1:2">
      <c r="A739" s="11">
        <f>Returns!A739</f>
        <v>0</v>
      </c>
      <c r="B739" s="1">
        <f>MAX(CumRet!$B$2:$B$739)-CumRet!B739</f>
        <v>0</v>
      </c>
    </row>
    <row r="740" spans="1:2">
      <c r="A740" s="11">
        <f>Returns!A740</f>
        <v>0</v>
      </c>
      <c r="B740" s="1">
        <f>MAX(CumRet!$B$2:$B$740)-CumRet!B740</f>
        <v>0</v>
      </c>
    </row>
    <row r="741" spans="1:2">
      <c r="A741" s="11">
        <f>Returns!A741</f>
        <v>0</v>
      </c>
      <c r="B741" s="1">
        <f>MAX(CumRet!$B$2:$B$741)-CumRet!B741</f>
        <v>0</v>
      </c>
    </row>
    <row r="742" spans="1:2">
      <c r="A742" s="11">
        <f>Returns!A742</f>
        <v>0</v>
      </c>
      <c r="B742" s="1">
        <f>MAX(CumRet!$B$2:$B$742)-CumRet!B742</f>
        <v>0</v>
      </c>
    </row>
    <row r="743" spans="1:2">
      <c r="A743" s="11">
        <f>Returns!A743</f>
        <v>0</v>
      </c>
      <c r="B743" s="1">
        <f>MAX(CumRet!$B$2:$B$743)-CumRet!B743</f>
        <v>0</v>
      </c>
    </row>
    <row r="744" spans="1:2">
      <c r="A744" s="11">
        <f>Returns!A744</f>
        <v>0</v>
      </c>
      <c r="B744" s="1">
        <f>MAX(CumRet!$B$2:$B$744)-CumRet!B744</f>
        <v>0</v>
      </c>
    </row>
    <row r="745" spans="1:2">
      <c r="A745" s="11">
        <f>Returns!A745</f>
        <v>0</v>
      </c>
      <c r="B745" s="1">
        <f>MAX(CumRet!$B$2:$B$745)-CumRet!B745</f>
        <v>0</v>
      </c>
    </row>
    <row r="746" spans="1:2">
      <c r="A746" s="11">
        <f>Returns!A746</f>
        <v>0</v>
      </c>
      <c r="B746" s="1">
        <f>MAX(CumRet!$B$2:$B$746)-CumRet!B746</f>
        <v>0</v>
      </c>
    </row>
    <row r="747" spans="1:2">
      <c r="A747" s="11">
        <f>Returns!A747</f>
        <v>0</v>
      </c>
      <c r="B747" s="1">
        <f>MAX(CumRet!$B$2:$B$747)-CumRet!B747</f>
        <v>0</v>
      </c>
    </row>
    <row r="748" spans="1:2">
      <c r="A748" s="11">
        <f>Returns!A748</f>
        <v>0</v>
      </c>
      <c r="B748" s="1">
        <f>MAX(CumRet!$B$2:$B$748)-CumRet!B748</f>
        <v>0</v>
      </c>
    </row>
    <row r="749" spans="1:2">
      <c r="A749" s="11">
        <f>Returns!A749</f>
        <v>0</v>
      </c>
      <c r="B749" s="1">
        <f>MAX(CumRet!$B$2:$B$749)-CumRet!B749</f>
        <v>0</v>
      </c>
    </row>
    <row r="750" spans="1:2">
      <c r="A750" s="11">
        <f>Returns!A750</f>
        <v>0</v>
      </c>
      <c r="B750" s="1">
        <f>MAX(CumRet!$B$2:$B$750)-CumRet!B750</f>
        <v>0</v>
      </c>
    </row>
    <row r="751" spans="1:2">
      <c r="A751" s="11">
        <f>Returns!A751</f>
        <v>0</v>
      </c>
      <c r="B751" s="1">
        <f>MAX(CumRet!$B$2:$B$751)-CumRet!B751</f>
        <v>0</v>
      </c>
    </row>
    <row r="752" spans="1:2">
      <c r="A752" s="11">
        <f>Returns!A752</f>
        <v>0</v>
      </c>
      <c r="B752" s="1">
        <f>MAX(CumRet!$B$2:$B$752)-CumRet!B752</f>
        <v>0</v>
      </c>
    </row>
    <row r="753" spans="1:2">
      <c r="A753" s="11">
        <f>Returns!A753</f>
        <v>0</v>
      </c>
      <c r="B753" s="1">
        <f>MAX(CumRet!$B$2:$B$753)-CumRet!B753</f>
        <v>0</v>
      </c>
    </row>
    <row r="754" spans="1:2">
      <c r="A754" s="11">
        <f>Returns!A754</f>
        <v>0</v>
      </c>
      <c r="B754" s="1">
        <f>MAX(CumRet!$B$2:$B$754)-CumRet!B754</f>
        <v>0</v>
      </c>
    </row>
    <row r="755" spans="1:2">
      <c r="A755" s="11">
        <f>Returns!A755</f>
        <v>0</v>
      </c>
      <c r="B755" s="1">
        <f>MAX(CumRet!$B$2:$B$755)-CumRet!B755</f>
        <v>0</v>
      </c>
    </row>
    <row r="756" spans="1:2">
      <c r="A756" s="11">
        <f>Returns!A756</f>
        <v>0</v>
      </c>
      <c r="B756" s="1">
        <f>MAX(CumRet!$B$2:$B$756)-CumRet!B756</f>
        <v>0</v>
      </c>
    </row>
    <row r="757" spans="1:2">
      <c r="A757" s="11">
        <f>Returns!A757</f>
        <v>0</v>
      </c>
      <c r="B757" s="1">
        <f>MAX(CumRet!$B$2:$B$757)-CumRet!B757</f>
        <v>0</v>
      </c>
    </row>
    <row r="758" spans="1:2">
      <c r="A758" s="11">
        <f>Returns!A758</f>
        <v>0</v>
      </c>
      <c r="B758" s="1">
        <f>MAX(CumRet!$B$2:$B$758)-CumRet!B758</f>
        <v>0</v>
      </c>
    </row>
    <row r="759" spans="1:2">
      <c r="A759" s="11">
        <f>Returns!A759</f>
        <v>0</v>
      </c>
      <c r="B759" s="1">
        <f>MAX(CumRet!$B$2:$B$759)-CumRet!B759</f>
        <v>0</v>
      </c>
    </row>
    <row r="760" spans="1:2">
      <c r="A760" s="11">
        <f>Returns!A760</f>
        <v>0</v>
      </c>
      <c r="B760" s="1">
        <f>MAX(CumRet!$B$2:$B$760)-CumRet!B760</f>
        <v>0</v>
      </c>
    </row>
    <row r="761" spans="1:2">
      <c r="A761" s="11">
        <f>Returns!A761</f>
        <v>0</v>
      </c>
      <c r="B761" s="1">
        <f>MAX(CumRet!$B$2:$B$761)-CumRet!B761</f>
        <v>0</v>
      </c>
    </row>
    <row r="762" spans="1:2">
      <c r="A762" s="11">
        <f>Returns!A762</f>
        <v>0</v>
      </c>
      <c r="B762" s="1">
        <f>MAX(CumRet!$B$2:$B$762)-CumRet!B762</f>
        <v>0</v>
      </c>
    </row>
    <row r="763" spans="1:2">
      <c r="A763" s="11">
        <f>Returns!A763</f>
        <v>0</v>
      </c>
      <c r="B763" s="1">
        <f>MAX(CumRet!$B$2:$B$763)-CumRet!B763</f>
        <v>0</v>
      </c>
    </row>
    <row r="764" spans="1:2">
      <c r="A764" s="11">
        <f>Returns!A764</f>
        <v>0</v>
      </c>
      <c r="B764" s="1">
        <f>MAX(CumRet!$B$2:$B$764)-CumRet!B764</f>
        <v>0</v>
      </c>
    </row>
    <row r="765" spans="1:2">
      <c r="A765" s="11">
        <f>Returns!A765</f>
        <v>0</v>
      </c>
      <c r="B765" s="1">
        <f>MAX(CumRet!$B$2:$B$765)-CumRet!B765</f>
        <v>0</v>
      </c>
    </row>
    <row r="766" spans="1:2">
      <c r="A766" s="11">
        <f>Returns!A766</f>
        <v>0</v>
      </c>
      <c r="B766" s="1">
        <f>MAX(CumRet!$B$2:$B$766)-CumRet!B766</f>
        <v>0</v>
      </c>
    </row>
    <row r="767" spans="1:2">
      <c r="A767" s="11">
        <f>Returns!A767</f>
        <v>0</v>
      </c>
      <c r="B767" s="1">
        <f>MAX(CumRet!$B$2:$B$767)-CumRet!B767</f>
        <v>0</v>
      </c>
    </row>
    <row r="768" spans="1:2">
      <c r="A768" s="11">
        <f>Returns!A768</f>
        <v>0</v>
      </c>
      <c r="B768" s="1">
        <f>MAX(CumRet!$B$2:$B$768)-CumRet!B768</f>
        <v>0</v>
      </c>
    </row>
    <row r="769" spans="1:2">
      <c r="A769" s="11">
        <f>Returns!A769</f>
        <v>0</v>
      </c>
      <c r="B769" s="1">
        <f>MAX(CumRet!$B$2:$B$769)-CumRet!B769</f>
        <v>0</v>
      </c>
    </row>
    <row r="770" spans="1:2">
      <c r="A770" s="11">
        <f>Returns!A770</f>
        <v>0</v>
      </c>
      <c r="B770" s="1">
        <f>MAX(CumRet!$B$2:$B$770)-CumRet!B770</f>
        <v>0</v>
      </c>
    </row>
    <row r="771" spans="1:2">
      <c r="A771" s="11">
        <f>Returns!A771</f>
        <v>0</v>
      </c>
      <c r="B771" s="1">
        <f>MAX(CumRet!$B$2:$B$771)-CumRet!B771</f>
        <v>0</v>
      </c>
    </row>
    <row r="772" spans="1:2">
      <c r="A772" s="11">
        <f>Returns!A772</f>
        <v>0</v>
      </c>
      <c r="B772" s="1">
        <f>MAX(CumRet!$B$2:$B$772)-CumRet!B772</f>
        <v>0</v>
      </c>
    </row>
    <row r="773" spans="1:2">
      <c r="A773" s="11">
        <f>Returns!A773</f>
        <v>0</v>
      </c>
      <c r="B773" s="1">
        <f>MAX(CumRet!$B$2:$B$773)-CumRet!B773</f>
        <v>0</v>
      </c>
    </row>
    <row r="774" spans="1:2">
      <c r="A774" s="11">
        <f>Returns!A774</f>
        <v>0</v>
      </c>
      <c r="B774" s="1">
        <f>MAX(CumRet!$B$2:$B$774)-CumRet!B774</f>
        <v>0</v>
      </c>
    </row>
    <row r="775" spans="1:2">
      <c r="A775" s="11">
        <f>Returns!A775</f>
        <v>0</v>
      </c>
      <c r="B775" s="1">
        <f>MAX(CumRet!$B$2:$B$775)-CumRet!B775</f>
        <v>0</v>
      </c>
    </row>
    <row r="776" spans="1:2">
      <c r="A776" s="11">
        <f>Returns!A776</f>
        <v>0</v>
      </c>
      <c r="B776" s="1">
        <f>MAX(CumRet!$B$2:$B$776)-CumRet!B776</f>
        <v>0</v>
      </c>
    </row>
    <row r="777" spans="1:2">
      <c r="A777" s="11">
        <f>Returns!A777</f>
        <v>0</v>
      </c>
      <c r="B777" s="1">
        <f>MAX(CumRet!$B$2:$B$777)-CumRet!B777</f>
        <v>0</v>
      </c>
    </row>
    <row r="778" spans="1:2">
      <c r="A778" s="11">
        <f>Returns!A778</f>
        <v>0</v>
      </c>
      <c r="B778" s="1">
        <f>MAX(CumRet!$B$2:$B$778)-CumRet!B778</f>
        <v>0</v>
      </c>
    </row>
    <row r="779" spans="1:2">
      <c r="A779" s="11">
        <f>Returns!A779</f>
        <v>0</v>
      </c>
      <c r="B779" s="1">
        <f>MAX(CumRet!$B$2:$B$779)-CumRet!B779</f>
        <v>0</v>
      </c>
    </row>
    <row r="780" spans="1:2">
      <c r="A780" s="11">
        <f>Returns!A780</f>
        <v>0</v>
      </c>
      <c r="B780" s="1">
        <f>MAX(CumRet!$B$2:$B$780)-CumRet!B780</f>
        <v>0</v>
      </c>
    </row>
    <row r="781" spans="1:2">
      <c r="A781" s="11">
        <f>Returns!A781</f>
        <v>0</v>
      </c>
      <c r="B781" s="1">
        <f>MAX(CumRet!$B$2:$B$781)-CumRet!B781</f>
        <v>0</v>
      </c>
    </row>
    <row r="782" spans="1:2">
      <c r="A782" s="11">
        <f>Returns!A782</f>
        <v>0</v>
      </c>
      <c r="B782" s="1">
        <f>MAX(CumRet!$B$2:$B$782)-CumRet!B782</f>
        <v>0</v>
      </c>
    </row>
    <row r="783" spans="1:2">
      <c r="A783" s="11">
        <f>Returns!A783</f>
        <v>0</v>
      </c>
      <c r="B783" s="1">
        <f>MAX(CumRet!$B$2:$B$783)-CumRet!B783</f>
        <v>0</v>
      </c>
    </row>
    <row r="784" spans="1:2">
      <c r="A784" s="11">
        <f>Returns!A784</f>
        <v>0</v>
      </c>
      <c r="B784" s="1">
        <f>MAX(CumRet!$B$2:$B$784)-CumRet!B784</f>
        <v>0</v>
      </c>
    </row>
    <row r="785" spans="1:2">
      <c r="A785" s="11">
        <f>Returns!A785</f>
        <v>0</v>
      </c>
      <c r="B785" s="1">
        <f>MAX(CumRet!$B$2:$B$785)-CumRet!B785</f>
        <v>0</v>
      </c>
    </row>
    <row r="786" spans="1:2">
      <c r="A786" s="11">
        <f>Returns!A786</f>
        <v>0</v>
      </c>
      <c r="B786" s="1">
        <f>MAX(CumRet!$B$2:$B$786)-CumRet!B786</f>
        <v>0</v>
      </c>
    </row>
    <row r="787" spans="1:2">
      <c r="A787" s="11">
        <f>Returns!A787</f>
        <v>0</v>
      </c>
      <c r="B787" s="1">
        <f>MAX(CumRet!$B$2:$B$787)-CumRet!B787</f>
        <v>0</v>
      </c>
    </row>
    <row r="788" spans="1:2">
      <c r="A788" s="11">
        <f>Returns!A788</f>
        <v>0</v>
      </c>
      <c r="B788" s="1">
        <f>MAX(CumRet!$B$2:$B$788)-CumRet!B788</f>
        <v>0</v>
      </c>
    </row>
    <row r="789" spans="1:2">
      <c r="A789" s="11">
        <f>Returns!A789</f>
        <v>0</v>
      </c>
      <c r="B789" s="1">
        <f>MAX(CumRet!$B$2:$B$789)-CumRet!B789</f>
        <v>0</v>
      </c>
    </row>
    <row r="790" spans="1:2">
      <c r="A790" s="11">
        <f>Returns!A790</f>
        <v>0</v>
      </c>
      <c r="B790" s="1">
        <f>MAX(CumRet!$B$2:$B$790)-CumRet!B790</f>
        <v>0</v>
      </c>
    </row>
    <row r="791" spans="1:2">
      <c r="A791" s="11">
        <f>Returns!A791</f>
        <v>0</v>
      </c>
      <c r="B791" s="1">
        <f>MAX(CumRet!$B$2:$B$791)-CumRet!B791</f>
        <v>0</v>
      </c>
    </row>
    <row r="792" spans="1:2">
      <c r="A792" s="11">
        <f>Returns!A792</f>
        <v>0</v>
      </c>
      <c r="B792" s="1">
        <f>MAX(CumRet!$B$2:$B$792)-CumRet!B792</f>
        <v>0</v>
      </c>
    </row>
    <row r="793" spans="1:2">
      <c r="A793" s="11">
        <f>Returns!A793</f>
        <v>0</v>
      </c>
      <c r="B793" s="1">
        <f>MAX(CumRet!$B$2:$B$793)-CumRet!B793</f>
        <v>0</v>
      </c>
    </row>
    <row r="794" spans="1:2">
      <c r="A794" s="11">
        <f>Returns!A794</f>
        <v>0</v>
      </c>
      <c r="B794" s="1">
        <f>MAX(CumRet!$B$2:$B$794)-CumRet!B794</f>
        <v>0</v>
      </c>
    </row>
    <row r="795" spans="1:2">
      <c r="A795" s="11">
        <f>Returns!A795</f>
        <v>0</v>
      </c>
      <c r="B795" s="1">
        <f>MAX(CumRet!$B$2:$B$795)-CumRet!B795</f>
        <v>0</v>
      </c>
    </row>
    <row r="796" spans="1:2">
      <c r="A796" s="11">
        <f>Returns!A796</f>
        <v>0</v>
      </c>
      <c r="B796" s="1">
        <f>MAX(CumRet!$B$2:$B$796)-CumRet!B796</f>
        <v>0</v>
      </c>
    </row>
    <row r="797" spans="1:2">
      <c r="A797" s="11">
        <f>Returns!A797</f>
        <v>0</v>
      </c>
      <c r="B797" s="1">
        <f>MAX(CumRet!$B$2:$B$797)-CumRet!B797</f>
        <v>0</v>
      </c>
    </row>
    <row r="798" spans="1:2">
      <c r="A798" s="11">
        <f>Returns!A798</f>
        <v>0</v>
      </c>
      <c r="B798" s="1">
        <f>MAX(CumRet!$B$2:$B$798)-CumRet!B798</f>
        <v>0</v>
      </c>
    </row>
    <row r="799" spans="1:2">
      <c r="A799" s="11">
        <f>Returns!A799</f>
        <v>0</v>
      </c>
      <c r="B799" s="1">
        <f>MAX(CumRet!$B$2:$B$799)-CumRet!B799</f>
        <v>0</v>
      </c>
    </row>
    <row r="800" spans="1:2">
      <c r="A800" s="11">
        <f>Returns!A800</f>
        <v>0</v>
      </c>
      <c r="B800" s="1">
        <f>MAX(CumRet!$B$2:$B$800)-CumRet!B800</f>
        <v>0</v>
      </c>
    </row>
    <row r="801" spans="1:2">
      <c r="A801" s="11">
        <f>Returns!A801</f>
        <v>0</v>
      </c>
      <c r="B801" s="1">
        <f>MAX(CumRet!$B$2:$B$801)-CumRet!B801</f>
        <v>0</v>
      </c>
    </row>
    <row r="802" spans="1:2">
      <c r="A802" s="11">
        <f>Returns!A802</f>
        <v>0</v>
      </c>
      <c r="B802" s="1">
        <f>MAX(CumRet!$B$2:$B$802)-CumRet!B802</f>
        <v>0</v>
      </c>
    </row>
    <row r="803" spans="1:2">
      <c r="A803" s="11">
        <f>Returns!A803</f>
        <v>0</v>
      </c>
      <c r="B803" s="1">
        <f>MAX(CumRet!$B$2:$B$803)-CumRet!B803</f>
        <v>0</v>
      </c>
    </row>
    <row r="804" spans="1:2">
      <c r="A804" s="11">
        <f>Returns!A804</f>
        <v>0</v>
      </c>
      <c r="B804" s="1">
        <f>MAX(CumRet!$B$2:$B$804)-CumRet!B804</f>
        <v>0</v>
      </c>
    </row>
    <row r="805" spans="1:2">
      <c r="A805" s="11">
        <f>Returns!A805</f>
        <v>0</v>
      </c>
      <c r="B805" s="1">
        <f>MAX(CumRet!$B$2:$B$805)-CumRet!B805</f>
        <v>0</v>
      </c>
    </row>
    <row r="806" spans="1:2">
      <c r="A806" s="11">
        <f>Returns!A806</f>
        <v>0</v>
      </c>
      <c r="B806" s="1">
        <f>MAX(CumRet!$B$2:$B$806)-CumRet!B806</f>
        <v>0</v>
      </c>
    </row>
    <row r="807" spans="1:2">
      <c r="A807" s="11">
        <f>Returns!A807</f>
        <v>0</v>
      </c>
      <c r="B807" s="1">
        <f>MAX(CumRet!$B$2:$B$807)-CumRet!B807</f>
        <v>0</v>
      </c>
    </row>
    <row r="808" spans="1:2">
      <c r="A808" s="11">
        <f>Returns!A808</f>
        <v>0</v>
      </c>
      <c r="B808" s="1">
        <f>MAX(CumRet!$B$2:$B$808)-CumRet!B808</f>
        <v>0</v>
      </c>
    </row>
    <row r="809" spans="1:2">
      <c r="A809" s="11">
        <f>Returns!A809</f>
        <v>0</v>
      </c>
      <c r="B809" s="1">
        <f>MAX(CumRet!$B$2:$B$809)-CumRet!B809</f>
        <v>0</v>
      </c>
    </row>
    <row r="810" spans="1:2">
      <c r="A810" s="11">
        <f>Returns!A810</f>
        <v>0</v>
      </c>
      <c r="B810" s="1">
        <f>MAX(CumRet!$B$2:$B$810)-CumRet!B810</f>
        <v>0</v>
      </c>
    </row>
    <row r="811" spans="1:2">
      <c r="A811" s="11">
        <f>Returns!A811</f>
        <v>0</v>
      </c>
      <c r="B811" s="1">
        <f>MAX(CumRet!$B$2:$B$811)-CumRet!B811</f>
        <v>0</v>
      </c>
    </row>
    <row r="812" spans="1:2">
      <c r="A812" s="11">
        <f>Returns!A812</f>
        <v>0</v>
      </c>
      <c r="B812" s="1">
        <f>MAX(CumRet!$B$2:$B$812)-CumRet!B812</f>
        <v>0</v>
      </c>
    </row>
    <row r="813" spans="1:2">
      <c r="A813" s="11">
        <f>Returns!A813</f>
        <v>0</v>
      </c>
      <c r="B813" s="1">
        <f>MAX(CumRet!$B$2:$B$813)-CumRet!B813</f>
        <v>0</v>
      </c>
    </row>
    <row r="814" spans="1:2">
      <c r="A814" s="11">
        <f>Returns!A814</f>
        <v>0</v>
      </c>
      <c r="B814" s="1">
        <f>MAX(CumRet!$B$2:$B$814)-CumRet!B814</f>
        <v>0</v>
      </c>
    </row>
    <row r="815" spans="1:2">
      <c r="A815" s="11">
        <f>Returns!A815</f>
        <v>0</v>
      </c>
      <c r="B815" s="1">
        <f>MAX(CumRet!$B$2:$B$815)-CumRet!B815</f>
        <v>0</v>
      </c>
    </row>
    <row r="816" spans="1:2">
      <c r="A816" s="11">
        <f>Returns!A816</f>
        <v>0</v>
      </c>
      <c r="B816" s="1">
        <f>MAX(CumRet!$B$2:$B$816)-CumRet!B816</f>
        <v>0</v>
      </c>
    </row>
    <row r="817" spans="1:2">
      <c r="A817" s="11">
        <f>Returns!A817</f>
        <v>0</v>
      </c>
      <c r="B817" s="1">
        <f>MAX(CumRet!$B$2:$B$817)-CumRet!B817</f>
        <v>0</v>
      </c>
    </row>
    <row r="818" spans="1:2">
      <c r="A818" s="11">
        <f>Returns!A818</f>
        <v>0</v>
      </c>
      <c r="B818" s="1">
        <f>MAX(CumRet!$B$2:$B$818)-CumRet!B818</f>
        <v>0</v>
      </c>
    </row>
    <row r="819" spans="1:2">
      <c r="A819" s="11">
        <f>Returns!A819</f>
        <v>0</v>
      </c>
      <c r="B819" s="1">
        <f>MAX(CumRet!$B$2:$B$819)-CumRet!B819</f>
        <v>0</v>
      </c>
    </row>
    <row r="820" spans="1:2">
      <c r="A820" s="11">
        <f>Returns!A820</f>
        <v>0</v>
      </c>
      <c r="B820" s="1">
        <f>MAX(CumRet!$B$2:$B$820)-CumRet!B820</f>
        <v>0</v>
      </c>
    </row>
    <row r="821" spans="1:2">
      <c r="A821" s="11">
        <f>Returns!A821</f>
        <v>0</v>
      </c>
      <c r="B821" s="1">
        <f>MAX(CumRet!$B$2:$B$821)-CumRet!B821</f>
        <v>0</v>
      </c>
    </row>
    <row r="822" spans="1:2">
      <c r="A822" s="11">
        <f>Returns!A822</f>
        <v>0</v>
      </c>
      <c r="B822" s="1">
        <f>MAX(CumRet!$B$2:$B$822)-CumRet!B822</f>
        <v>0</v>
      </c>
    </row>
    <row r="823" spans="1:2">
      <c r="A823" s="11">
        <f>Returns!A823</f>
        <v>0</v>
      </c>
      <c r="B823" s="1">
        <f>MAX(CumRet!$B$2:$B$823)-CumRet!B823</f>
        <v>0</v>
      </c>
    </row>
    <row r="824" spans="1:2">
      <c r="A824" s="11">
        <f>Returns!A824</f>
        <v>0</v>
      </c>
      <c r="B824" s="1">
        <f>MAX(CumRet!$B$2:$B$824)-CumRet!B824</f>
        <v>0</v>
      </c>
    </row>
    <row r="825" spans="1:2">
      <c r="A825" s="11">
        <f>Returns!A825</f>
        <v>0</v>
      </c>
      <c r="B825" s="1">
        <f>MAX(CumRet!$B$2:$B$825)-CumRet!B825</f>
        <v>0</v>
      </c>
    </row>
    <row r="826" spans="1:2">
      <c r="A826" s="11">
        <f>Returns!A826</f>
        <v>0</v>
      </c>
      <c r="B826" s="1">
        <f>MAX(CumRet!$B$2:$B$826)-CumRet!B826</f>
        <v>0</v>
      </c>
    </row>
    <row r="827" spans="1:2">
      <c r="A827" s="11">
        <f>Returns!A827</f>
        <v>0</v>
      </c>
      <c r="B827" s="1">
        <f>MAX(CumRet!$B$2:$B$827)-CumRet!B827</f>
        <v>0</v>
      </c>
    </row>
    <row r="828" spans="1:2">
      <c r="A828" s="11">
        <f>Returns!A828</f>
        <v>0</v>
      </c>
      <c r="B828" s="1">
        <f>MAX(CumRet!$B$2:$B$828)-CumRet!B828</f>
        <v>0</v>
      </c>
    </row>
    <row r="829" spans="1:2">
      <c r="A829" s="11">
        <f>Returns!A829</f>
        <v>0</v>
      </c>
      <c r="B829" s="1">
        <f>MAX(CumRet!$B$2:$B$829)-CumRet!B829</f>
        <v>0</v>
      </c>
    </row>
    <row r="830" spans="1:2">
      <c r="A830" s="11">
        <f>Returns!A830</f>
        <v>0</v>
      </c>
      <c r="B830" s="1">
        <f>MAX(CumRet!$B$2:$B$830)-CumRet!B830</f>
        <v>0</v>
      </c>
    </row>
    <row r="831" spans="1:2">
      <c r="A831" s="11">
        <f>Returns!A831</f>
        <v>0</v>
      </c>
      <c r="B831" s="1">
        <f>MAX(CumRet!$B$2:$B$831)-CumRet!B831</f>
        <v>0</v>
      </c>
    </row>
    <row r="832" spans="1:2">
      <c r="A832" s="11">
        <f>Returns!A832</f>
        <v>0</v>
      </c>
      <c r="B832" s="1">
        <f>MAX(CumRet!$B$2:$B$832)-CumRet!B832</f>
        <v>0</v>
      </c>
    </row>
    <row r="833" spans="1:2">
      <c r="A833" s="11">
        <f>Returns!A833</f>
        <v>0</v>
      </c>
      <c r="B833" s="1">
        <f>MAX(CumRet!$B$2:$B$833)-CumRet!B833</f>
        <v>0</v>
      </c>
    </row>
    <row r="834" spans="1:2">
      <c r="A834" s="11">
        <f>Returns!A834</f>
        <v>0</v>
      </c>
      <c r="B834" s="1">
        <f>MAX(CumRet!$B$2:$B$834)-CumRet!B834</f>
        <v>0</v>
      </c>
    </row>
    <row r="835" spans="1:2">
      <c r="A835" s="11">
        <f>Returns!A835</f>
        <v>0</v>
      </c>
      <c r="B835" s="1">
        <f>MAX(CumRet!$B$2:$B$835)-CumRet!B835</f>
        <v>0</v>
      </c>
    </row>
    <row r="836" spans="1:2">
      <c r="A836" s="11">
        <f>Returns!A836</f>
        <v>0</v>
      </c>
      <c r="B836" s="1">
        <f>MAX(CumRet!$B$2:$B$836)-CumRet!B836</f>
        <v>0</v>
      </c>
    </row>
    <row r="837" spans="1:2">
      <c r="A837" s="11">
        <f>Returns!A837</f>
        <v>0</v>
      </c>
      <c r="B837" s="1">
        <f>MAX(CumRet!$B$2:$B$837)-CumRet!B837</f>
        <v>0</v>
      </c>
    </row>
    <row r="838" spans="1:2">
      <c r="A838" s="11">
        <f>Returns!A838</f>
        <v>0</v>
      </c>
      <c r="B838" s="1">
        <f>MAX(CumRet!$B$2:$B$838)-CumRet!B838</f>
        <v>0</v>
      </c>
    </row>
    <row r="839" spans="1:2">
      <c r="A839" s="11">
        <f>Returns!A839</f>
        <v>0</v>
      </c>
      <c r="B839" s="1">
        <f>MAX(CumRet!$B$2:$B$839)-CumRet!B839</f>
        <v>0</v>
      </c>
    </row>
    <row r="840" spans="1:2">
      <c r="A840" s="11">
        <f>Returns!A840</f>
        <v>0</v>
      </c>
      <c r="B840" s="1">
        <f>MAX(CumRet!$B$2:$B$840)-CumRet!B840</f>
        <v>0</v>
      </c>
    </row>
    <row r="841" spans="1:2">
      <c r="A841" s="11">
        <f>Returns!A841</f>
        <v>0</v>
      </c>
      <c r="B841" s="1">
        <f>MAX(CumRet!$B$2:$B$841)-CumRet!B841</f>
        <v>0</v>
      </c>
    </row>
    <row r="842" spans="1:2">
      <c r="A842" s="11">
        <f>Returns!A842</f>
        <v>0</v>
      </c>
      <c r="B842" s="1">
        <f>MAX(CumRet!$B$2:$B$842)-CumRet!B842</f>
        <v>0</v>
      </c>
    </row>
    <row r="843" spans="1:2">
      <c r="A843" s="11">
        <f>Returns!A843</f>
        <v>0</v>
      </c>
      <c r="B843" s="1">
        <f>MAX(CumRet!$B$2:$B$843)-CumRet!B843</f>
        <v>0</v>
      </c>
    </row>
    <row r="844" spans="1:2">
      <c r="A844" s="11">
        <f>Returns!A844</f>
        <v>0</v>
      </c>
      <c r="B844" s="1">
        <f>MAX(CumRet!$B$2:$B$844)-CumRet!B844</f>
        <v>0</v>
      </c>
    </row>
    <row r="845" spans="1:2">
      <c r="A845" s="11">
        <f>Returns!A845</f>
        <v>0</v>
      </c>
      <c r="B845" s="1">
        <f>MAX(CumRet!$B$2:$B$845)-CumRet!B845</f>
        <v>0</v>
      </c>
    </row>
    <row r="846" spans="1:2">
      <c r="A846" s="11">
        <f>Returns!A846</f>
        <v>0</v>
      </c>
      <c r="B846" s="1">
        <f>MAX(CumRet!$B$2:$B$846)-CumRet!B846</f>
        <v>0</v>
      </c>
    </row>
    <row r="847" spans="1:2">
      <c r="A847" s="11">
        <f>Returns!A847</f>
        <v>0</v>
      </c>
      <c r="B847" s="1">
        <f>MAX(CumRet!$B$2:$B$847)-CumRet!B847</f>
        <v>0</v>
      </c>
    </row>
    <row r="848" spans="1:2">
      <c r="A848" s="11">
        <f>Returns!A848</f>
        <v>0</v>
      </c>
      <c r="B848" s="1">
        <f>MAX(CumRet!$B$2:$B$848)-CumRet!B848</f>
        <v>0</v>
      </c>
    </row>
    <row r="849" spans="1:2">
      <c r="A849" s="11">
        <f>Returns!A849</f>
        <v>0</v>
      </c>
      <c r="B849" s="1">
        <f>MAX(CumRet!$B$2:$B$849)-CumRet!B849</f>
        <v>0</v>
      </c>
    </row>
    <row r="850" spans="1:2">
      <c r="A850" s="11">
        <f>Returns!A850</f>
        <v>0</v>
      </c>
      <c r="B850" s="1">
        <f>MAX(CumRet!$B$2:$B$850)-CumRet!B850</f>
        <v>0</v>
      </c>
    </row>
    <row r="851" spans="1:2">
      <c r="A851" s="11">
        <f>Returns!A851</f>
        <v>0</v>
      </c>
      <c r="B851" s="1">
        <f>MAX(CumRet!$B$2:$B$851)-CumRet!B851</f>
        <v>0</v>
      </c>
    </row>
    <row r="852" spans="1:2">
      <c r="A852" s="11">
        <f>Returns!A852</f>
        <v>0</v>
      </c>
      <c r="B852" s="1">
        <f>MAX(CumRet!$B$2:$B$852)-CumRet!B852</f>
        <v>0</v>
      </c>
    </row>
    <row r="853" spans="1:2">
      <c r="A853" s="11">
        <f>Returns!A853</f>
        <v>0</v>
      </c>
      <c r="B853" s="1">
        <f>MAX(CumRet!$B$2:$B$853)-CumRet!B853</f>
        <v>0</v>
      </c>
    </row>
    <row r="854" spans="1:2">
      <c r="A854" s="11">
        <f>Returns!A854</f>
        <v>0</v>
      </c>
      <c r="B854" s="1">
        <f>MAX(CumRet!$B$2:$B$854)-CumRet!B854</f>
        <v>0</v>
      </c>
    </row>
    <row r="855" spans="1:2">
      <c r="A855" s="11">
        <f>Returns!A855</f>
        <v>0</v>
      </c>
      <c r="B855" s="1">
        <f>MAX(CumRet!$B$2:$B$855)-CumRet!B855</f>
        <v>0</v>
      </c>
    </row>
    <row r="856" spans="1:2">
      <c r="A856" s="11">
        <f>Returns!A856</f>
        <v>0</v>
      </c>
      <c r="B856" s="1">
        <f>MAX(CumRet!$B$2:$B$856)-CumRet!B856</f>
        <v>0</v>
      </c>
    </row>
    <row r="857" spans="1:2">
      <c r="A857" s="11">
        <f>Returns!A857</f>
        <v>0</v>
      </c>
      <c r="B857" s="1">
        <f>MAX(CumRet!$B$2:$B$857)-CumRet!B857</f>
        <v>0</v>
      </c>
    </row>
    <row r="858" spans="1:2">
      <c r="A858" s="11">
        <f>Returns!A858</f>
        <v>0</v>
      </c>
      <c r="B858" s="1">
        <f>MAX(CumRet!$B$2:$B$858)-CumRet!B858</f>
        <v>0</v>
      </c>
    </row>
    <row r="859" spans="1:2">
      <c r="A859" s="11">
        <f>Returns!A859</f>
        <v>0</v>
      </c>
      <c r="B859" s="1">
        <f>MAX(CumRet!$B$2:$B$859)-CumRet!B859</f>
        <v>0</v>
      </c>
    </row>
    <row r="860" spans="1:2">
      <c r="A860" s="11">
        <f>Returns!A860</f>
        <v>0</v>
      </c>
      <c r="B860" s="1">
        <f>MAX(CumRet!$B$2:$B$860)-CumRet!B860</f>
        <v>0</v>
      </c>
    </row>
    <row r="861" spans="1:2">
      <c r="A861" s="11">
        <f>Returns!A861</f>
        <v>0</v>
      </c>
      <c r="B861" s="1">
        <f>MAX(CumRet!$B$2:$B$861)-CumRet!B861</f>
        <v>0</v>
      </c>
    </row>
    <row r="862" spans="1:2">
      <c r="A862" s="11">
        <f>Returns!A862</f>
        <v>0</v>
      </c>
      <c r="B862" s="1">
        <f>MAX(CumRet!$B$2:$B$862)-CumRet!B862</f>
        <v>0</v>
      </c>
    </row>
    <row r="863" spans="1:2">
      <c r="A863" s="11">
        <f>Returns!A863</f>
        <v>0</v>
      </c>
      <c r="B863" s="1">
        <f>MAX(CumRet!$B$2:$B$863)-CumRet!B863</f>
        <v>0</v>
      </c>
    </row>
    <row r="864" spans="1:2">
      <c r="A864" s="11">
        <f>Returns!A864</f>
        <v>0</v>
      </c>
      <c r="B864" s="1">
        <f>MAX(CumRet!$B$2:$B$864)-CumRet!B864</f>
        <v>0</v>
      </c>
    </row>
    <row r="865" spans="1:2">
      <c r="A865" s="11">
        <f>Returns!A865</f>
        <v>0</v>
      </c>
      <c r="B865" s="1">
        <f>MAX(CumRet!$B$2:$B$865)-CumRet!B865</f>
        <v>0</v>
      </c>
    </row>
    <row r="866" spans="1:2">
      <c r="A866" s="11">
        <f>Returns!A866</f>
        <v>0</v>
      </c>
      <c r="B866" s="1">
        <f>MAX(CumRet!$B$2:$B$866)-CumRet!B866</f>
        <v>0</v>
      </c>
    </row>
    <row r="867" spans="1:2">
      <c r="A867" s="11">
        <f>Returns!A867</f>
        <v>0</v>
      </c>
      <c r="B867" s="1">
        <f>MAX(CumRet!$B$2:$B$867)-CumRet!B867</f>
        <v>0</v>
      </c>
    </row>
    <row r="868" spans="1:2">
      <c r="A868" s="11">
        <f>Returns!A868</f>
        <v>0</v>
      </c>
      <c r="B868" s="1">
        <f>MAX(CumRet!$B$2:$B$868)-CumRet!B868</f>
        <v>0</v>
      </c>
    </row>
    <row r="869" spans="1:2">
      <c r="A869" s="11">
        <f>Returns!A869</f>
        <v>0</v>
      </c>
      <c r="B869" s="1">
        <f>MAX(CumRet!$B$2:$B$869)-CumRet!B869</f>
        <v>0</v>
      </c>
    </row>
    <row r="870" spans="1:2">
      <c r="A870" s="11">
        <f>Returns!A870</f>
        <v>0</v>
      </c>
      <c r="B870" s="1">
        <f>MAX(CumRet!$B$2:$B$870)-CumRet!B870</f>
        <v>0</v>
      </c>
    </row>
    <row r="871" spans="1:2">
      <c r="A871" s="11">
        <f>Returns!A871</f>
        <v>0</v>
      </c>
      <c r="B871" s="1">
        <f>MAX(CumRet!$B$2:$B$871)-CumRet!B871</f>
        <v>0</v>
      </c>
    </row>
    <row r="872" spans="1:2">
      <c r="A872" s="11">
        <f>Returns!A872</f>
        <v>0</v>
      </c>
      <c r="B872" s="1">
        <f>MAX(CumRet!$B$2:$B$872)-CumRet!B872</f>
        <v>0</v>
      </c>
    </row>
    <row r="873" spans="1:2">
      <c r="A873" s="11">
        <f>Returns!A873</f>
        <v>0</v>
      </c>
      <c r="B873" s="1">
        <f>MAX(CumRet!$B$2:$B$873)-CumRet!B873</f>
        <v>0</v>
      </c>
    </row>
    <row r="874" spans="1:2">
      <c r="A874" s="11">
        <f>Returns!A874</f>
        <v>0</v>
      </c>
      <c r="B874" s="1">
        <f>MAX(CumRet!$B$2:$B$874)-CumRet!B874</f>
        <v>0</v>
      </c>
    </row>
    <row r="875" spans="1:2">
      <c r="A875" s="11">
        <f>Returns!A875</f>
        <v>0</v>
      </c>
      <c r="B875" s="1">
        <f>MAX(CumRet!$B$2:$B$875)-CumRet!B875</f>
        <v>0</v>
      </c>
    </row>
    <row r="876" spans="1:2">
      <c r="A876" s="11">
        <f>Returns!A876</f>
        <v>0</v>
      </c>
      <c r="B876" s="1">
        <f>MAX(CumRet!$B$2:$B$876)-CumRet!B876</f>
        <v>0</v>
      </c>
    </row>
    <row r="877" spans="1:2">
      <c r="A877" s="11">
        <f>Returns!A877</f>
        <v>0</v>
      </c>
      <c r="B877" s="1">
        <f>MAX(CumRet!$B$2:$B$877)-CumRet!B877</f>
        <v>0</v>
      </c>
    </row>
    <row r="878" spans="1:2">
      <c r="A878" s="11">
        <f>Returns!A878</f>
        <v>0</v>
      </c>
      <c r="B878" s="1">
        <f>MAX(CumRet!$B$2:$B$878)-CumRet!B878</f>
        <v>0</v>
      </c>
    </row>
    <row r="879" spans="1:2">
      <c r="A879" s="11">
        <f>Returns!A879</f>
        <v>0</v>
      </c>
      <c r="B879" s="1">
        <f>MAX(CumRet!$B$2:$B$879)-CumRet!B879</f>
        <v>0</v>
      </c>
    </row>
    <row r="880" spans="1:2">
      <c r="A880" s="11">
        <f>Returns!A880</f>
        <v>0</v>
      </c>
      <c r="B880" s="1">
        <f>MAX(CumRet!$B$2:$B$880)-CumRet!B880</f>
        <v>0</v>
      </c>
    </row>
    <row r="881" spans="1:2">
      <c r="A881" s="11">
        <f>Returns!A881</f>
        <v>0</v>
      </c>
      <c r="B881" s="1">
        <f>MAX(CumRet!$B$2:$B$881)-CumRet!B881</f>
        <v>0</v>
      </c>
    </row>
    <row r="882" spans="1:2">
      <c r="A882" s="11">
        <f>Returns!A882</f>
        <v>0</v>
      </c>
      <c r="B882" s="1">
        <f>MAX(CumRet!$B$2:$B$882)-CumRet!B882</f>
        <v>0</v>
      </c>
    </row>
    <row r="883" spans="1:2">
      <c r="A883" s="11">
        <f>Returns!A883</f>
        <v>0</v>
      </c>
      <c r="B883" s="1">
        <f>MAX(CumRet!$B$2:$B$883)-CumRet!B883</f>
        <v>0</v>
      </c>
    </row>
    <row r="884" spans="1:2">
      <c r="A884" s="11">
        <f>Returns!A884</f>
        <v>0</v>
      </c>
      <c r="B884" s="1">
        <f>MAX(CumRet!$B$2:$B$884)-CumRet!B884</f>
        <v>0</v>
      </c>
    </row>
    <row r="885" spans="1:2">
      <c r="A885" s="11">
        <f>Returns!A885</f>
        <v>0</v>
      </c>
      <c r="B885" s="1">
        <f>MAX(CumRet!$B$2:$B$885)-CumRet!B885</f>
        <v>0</v>
      </c>
    </row>
    <row r="886" spans="1:2">
      <c r="A886" s="11">
        <f>Returns!A886</f>
        <v>0</v>
      </c>
      <c r="B886" s="1">
        <f>MAX(CumRet!$B$2:$B$886)-CumRet!B886</f>
        <v>0</v>
      </c>
    </row>
    <row r="887" spans="1:2">
      <c r="A887" s="11">
        <f>Returns!A887</f>
        <v>0</v>
      </c>
      <c r="B887" s="1">
        <f>MAX(CumRet!$B$2:$B$887)-CumRet!B887</f>
        <v>0</v>
      </c>
    </row>
    <row r="888" spans="1:2">
      <c r="A888" s="11">
        <f>Returns!A888</f>
        <v>0</v>
      </c>
      <c r="B888" s="1">
        <f>MAX(CumRet!$B$2:$B$888)-CumRet!B888</f>
        <v>0</v>
      </c>
    </row>
    <row r="889" spans="1:2">
      <c r="A889" s="11">
        <f>Returns!A889</f>
        <v>0</v>
      </c>
      <c r="B889" s="1">
        <f>MAX(CumRet!$B$2:$B$889)-CumRet!B889</f>
        <v>0</v>
      </c>
    </row>
    <row r="890" spans="1:2">
      <c r="A890" s="11">
        <f>Returns!A890</f>
        <v>0</v>
      </c>
      <c r="B890" s="1">
        <f>MAX(CumRet!$B$2:$B$890)-CumRet!B890</f>
        <v>0</v>
      </c>
    </row>
    <row r="891" spans="1:2">
      <c r="A891" s="11">
        <f>Returns!A891</f>
        <v>0</v>
      </c>
      <c r="B891" s="1">
        <f>MAX(CumRet!$B$2:$B$891)-CumRet!B891</f>
        <v>0</v>
      </c>
    </row>
    <row r="892" spans="1:2">
      <c r="A892" s="11">
        <f>Returns!A892</f>
        <v>0</v>
      </c>
      <c r="B892" s="1">
        <f>MAX(CumRet!$B$2:$B$892)-CumRet!B892</f>
        <v>0</v>
      </c>
    </row>
    <row r="893" spans="1:2">
      <c r="A893" s="11">
        <f>Returns!A893</f>
        <v>0</v>
      </c>
      <c r="B893" s="1">
        <f>MAX(CumRet!$B$2:$B$893)-CumRet!B893</f>
        <v>0</v>
      </c>
    </row>
    <row r="894" spans="1:2">
      <c r="A894" s="11">
        <f>Returns!A894</f>
        <v>0</v>
      </c>
      <c r="B894" s="1">
        <f>MAX(CumRet!$B$2:$B$894)-CumRet!B894</f>
        <v>0</v>
      </c>
    </row>
    <row r="895" spans="1:2">
      <c r="A895" s="11">
        <f>Returns!A895</f>
        <v>0</v>
      </c>
      <c r="B895" s="1">
        <f>MAX(CumRet!$B$2:$B$895)-CumRet!B895</f>
        <v>0</v>
      </c>
    </row>
    <row r="896" spans="1:2">
      <c r="A896" s="11">
        <f>Returns!A896</f>
        <v>0</v>
      </c>
      <c r="B896" s="1">
        <f>MAX(CumRet!$B$2:$B$896)-CumRet!B896</f>
        <v>0</v>
      </c>
    </row>
    <row r="897" spans="1:2">
      <c r="A897" s="11">
        <f>Returns!A897</f>
        <v>0</v>
      </c>
      <c r="B897" s="1">
        <f>MAX(CumRet!$B$2:$B$897)-CumRet!B897</f>
        <v>0</v>
      </c>
    </row>
    <row r="898" spans="1:2">
      <c r="A898" s="11">
        <f>Returns!A898</f>
        <v>0</v>
      </c>
      <c r="B898" s="1">
        <f>MAX(CumRet!$B$2:$B$898)-CumRet!B898</f>
        <v>0</v>
      </c>
    </row>
    <row r="899" spans="1:2">
      <c r="A899" s="11">
        <f>Returns!A899</f>
        <v>0</v>
      </c>
      <c r="B899" s="1">
        <f>MAX(CumRet!$B$2:$B$899)-CumRet!B899</f>
        <v>0</v>
      </c>
    </row>
    <row r="900" spans="1:2">
      <c r="A900" s="11">
        <f>Returns!A900</f>
        <v>0</v>
      </c>
      <c r="B900" s="1">
        <f>MAX(CumRet!$B$2:$B$900)-CumRet!B900</f>
        <v>0</v>
      </c>
    </row>
    <row r="901" spans="1:2">
      <c r="A901" s="11">
        <f>Returns!A901</f>
        <v>0</v>
      </c>
      <c r="B901" s="1">
        <f>MAX(CumRet!$B$2:$B$901)-CumRet!B901</f>
        <v>0</v>
      </c>
    </row>
    <row r="902" spans="1:2">
      <c r="A902" s="11">
        <f>Returns!A902</f>
        <v>0</v>
      </c>
      <c r="B902" s="1">
        <f>MAX(CumRet!$B$2:$B$902)-CumRet!B902</f>
        <v>0</v>
      </c>
    </row>
    <row r="903" spans="1:2">
      <c r="A903" s="11">
        <f>Returns!A903</f>
        <v>0</v>
      </c>
      <c r="B903" s="1">
        <f>MAX(CumRet!$B$2:$B$903)-CumRet!B903</f>
        <v>0</v>
      </c>
    </row>
    <row r="904" spans="1:2">
      <c r="A904" s="11">
        <f>Returns!A904</f>
        <v>0</v>
      </c>
      <c r="B904" s="1">
        <f>MAX(CumRet!$B$2:$B$904)-CumRet!B904</f>
        <v>0</v>
      </c>
    </row>
    <row r="905" spans="1:2">
      <c r="A905" s="11">
        <f>Returns!A905</f>
        <v>0</v>
      </c>
      <c r="B905" s="1">
        <f>MAX(CumRet!$B$2:$B$905)-CumRet!B905</f>
        <v>0</v>
      </c>
    </row>
    <row r="906" spans="1:2">
      <c r="A906" s="11">
        <f>Returns!A906</f>
        <v>0</v>
      </c>
      <c r="B906" s="1">
        <f>MAX(CumRet!$B$2:$B$906)-CumRet!B906</f>
        <v>0</v>
      </c>
    </row>
    <row r="907" spans="1:2">
      <c r="A907" s="11">
        <f>Returns!A907</f>
        <v>0</v>
      </c>
      <c r="B907" s="1">
        <f>MAX(CumRet!$B$2:$B$907)-CumRet!B907</f>
        <v>0</v>
      </c>
    </row>
    <row r="908" spans="1:2">
      <c r="A908" s="11">
        <f>Returns!A908</f>
        <v>0</v>
      </c>
      <c r="B908" s="1">
        <f>MAX(CumRet!$B$2:$B$908)-CumRet!B908</f>
        <v>0</v>
      </c>
    </row>
    <row r="909" spans="1:2">
      <c r="A909" s="11">
        <f>Returns!A909</f>
        <v>0</v>
      </c>
      <c r="B909" s="1">
        <f>MAX(CumRet!$B$2:$B$909)-CumRet!B909</f>
        <v>0</v>
      </c>
    </row>
    <row r="910" spans="1:2">
      <c r="A910" s="11">
        <f>Returns!A910</f>
        <v>0</v>
      </c>
      <c r="B910" s="1">
        <f>MAX(CumRet!$B$2:$B$910)-CumRet!B910</f>
        <v>0</v>
      </c>
    </row>
    <row r="911" spans="1:2">
      <c r="A911" s="11">
        <f>Returns!A911</f>
        <v>0</v>
      </c>
      <c r="B911" s="1">
        <f>MAX(CumRet!$B$2:$B$911)-CumRet!B911</f>
        <v>0</v>
      </c>
    </row>
    <row r="912" spans="1:2">
      <c r="A912" s="11">
        <f>Returns!A912</f>
        <v>0</v>
      </c>
      <c r="B912" s="1">
        <f>MAX(CumRet!$B$2:$B$912)-CumRet!B912</f>
        <v>0</v>
      </c>
    </row>
    <row r="913" spans="1:2">
      <c r="A913" s="11">
        <f>Returns!A913</f>
        <v>0</v>
      </c>
      <c r="B913" s="1">
        <f>MAX(CumRet!$B$2:$B$913)-CumRet!B913</f>
        <v>0</v>
      </c>
    </row>
    <row r="914" spans="1:2">
      <c r="A914" s="11">
        <f>Returns!A914</f>
        <v>0</v>
      </c>
      <c r="B914" s="1">
        <f>MAX(CumRet!$B$2:$B$914)-CumRet!B914</f>
        <v>0</v>
      </c>
    </row>
    <row r="915" spans="1:2">
      <c r="A915" s="11">
        <f>Returns!A915</f>
        <v>0</v>
      </c>
      <c r="B915" s="1">
        <f>MAX(CumRet!$B$2:$B$915)-CumRet!B915</f>
        <v>0</v>
      </c>
    </row>
    <row r="916" spans="1:2">
      <c r="A916" s="11">
        <f>Returns!A916</f>
        <v>0</v>
      </c>
      <c r="B916" s="1">
        <f>MAX(CumRet!$B$2:$B$916)-CumRet!B916</f>
        <v>0</v>
      </c>
    </row>
    <row r="917" spans="1:2">
      <c r="A917" s="11">
        <f>Returns!A917</f>
        <v>0</v>
      </c>
      <c r="B917" s="1">
        <f>MAX(CumRet!$B$2:$B$917)-CumRet!B917</f>
        <v>0</v>
      </c>
    </row>
    <row r="918" spans="1:2">
      <c r="A918" s="11">
        <f>Returns!A918</f>
        <v>0</v>
      </c>
      <c r="B918" s="1">
        <f>MAX(CumRet!$B$2:$B$918)-CumRet!B918</f>
        <v>0</v>
      </c>
    </row>
    <row r="919" spans="1:2">
      <c r="A919" s="11">
        <f>Returns!A919</f>
        <v>0</v>
      </c>
      <c r="B919" s="1">
        <f>MAX(CumRet!$B$2:$B$919)-CumRet!B919</f>
        <v>0</v>
      </c>
    </row>
    <row r="920" spans="1:2">
      <c r="A920" s="11">
        <f>Returns!A920</f>
        <v>0</v>
      </c>
      <c r="B920" s="1">
        <f>MAX(CumRet!$B$2:$B$920)-CumRet!B920</f>
        <v>0</v>
      </c>
    </row>
    <row r="921" spans="1:2">
      <c r="A921" s="11">
        <f>Returns!A921</f>
        <v>0</v>
      </c>
      <c r="B921" s="1">
        <f>MAX(CumRet!$B$2:$B$921)-CumRet!B921</f>
        <v>0</v>
      </c>
    </row>
    <row r="922" spans="1:2">
      <c r="A922" s="11">
        <f>Returns!A922</f>
        <v>0</v>
      </c>
      <c r="B922" s="1">
        <f>MAX(CumRet!$B$2:$B$922)-CumRet!B922</f>
        <v>0</v>
      </c>
    </row>
    <row r="923" spans="1:2">
      <c r="A923" s="11">
        <f>Returns!A923</f>
        <v>0</v>
      </c>
      <c r="B923" s="1">
        <f>MAX(CumRet!$B$2:$B$923)-CumRet!B923</f>
        <v>0</v>
      </c>
    </row>
    <row r="924" spans="1:2">
      <c r="A924" s="11">
        <f>Returns!A924</f>
        <v>0</v>
      </c>
      <c r="B924" s="1">
        <f>MAX(CumRet!$B$2:$B$924)-CumRet!B924</f>
        <v>0</v>
      </c>
    </row>
    <row r="925" spans="1:2">
      <c r="A925" s="11">
        <f>Returns!A925</f>
        <v>0</v>
      </c>
      <c r="B925" s="1">
        <f>MAX(CumRet!$B$2:$B$925)-CumRet!B925</f>
        <v>0</v>
      </c>
    </row>
    <row r="926" spans="1:2">
      <c r="A926" s="11">
        <f>Returns!A926</f>
        <v>0</v>
      </c>
      <c r="B926" s="1">
        <f>MAX(CumRet!$B$2:$B$926)-CumRet!B926</f>
        <v>0</v>
      </c>
    </row>
    <row r="927" spans="1:2">
      <c r="A927" s="11">
        <f>Returns!A927</f>
        <v>0</v>
      </c>
      <c r="B927" s="1">
        <f>MAX(CumRet!$B$2:$B$927)-CumRet!B927</f>
        <v>0</v>
      </c>
    </row>
    <row r="928" spans="1:2">
      <c r="A928" s="11">
        <f>Returns!A928</f>
        <v>0</v>
      </c>
      <c r="B928" s="1">
        <f>MAX(CumRet!$B$2:$B$928)-CumRet!B928</f>
        <v>0</v>
      </c>
    </row>
    <row r="929" spans="1:2">
      <c r="A929" s="11">
        <f>Returns!A929</f>
        <v>0</v>
      </c>
      <c r="B929" s="1">
        <f>MAX(CumRet!$B$2:$B$929)-CumRet!B929</f>
        <v>0</v>
      </c>
    </row>
    <row r="930" spans="1:2">
      <c r="A930" s="11">
        <f>Returns!A930</f>
        <v>0</v>
      </c>
      <c r="B930" s="1">
        <f>MAX(CumRet!$B$2:$B$930)-CumRet!B930</f>
        <v>0</v>
      </c>
    </row>
    <row r="931" spans="1:2">
      <c r="A931" s="11">
        <f>Returns!A931</f>
        <v>0</v>
      </c>
      <c r="B931" s="1">
        <f>MAX(CumRet!$B$2:$B$931)-CumRet!B931</f>
        <v>0</v>
      </c>
    </row>
    <row r="932" spans="1:2">
      <c r="A932" s="11">
        <f>Returns!A932</f>
        <v>0</v>
      </c>
      <c r="B932" s="1">
        <f>MAX(CumRet!$B$2:$B$932)-CumRet!B932</f>
        <v>0</v>
      </c>
    </row>
    <row r="933" spans="1:2">
      <c r="A933" s="11">
        <f>Returns!A933</f>
        <v>0</v>
      </c>
      <c r="B933" s="1">
        <f>MAX(CumRet!$B$2:$B$933)-CumRet!B933</f>
        <v>0</v>
      </c>
    </row>
    <row r="934" spans="1:2">
      <c r="A934" s="11">
        <f>Returns!A934</f>
        <v>0</v>
      </c>
      <c r="B934" s="1">
        <f>MAX(CumRet!$B$2:$B$934)-CumRet!B934</f>
        <v>0</v>
      </c>
    </row>
    <row r="935" spans="1:2">
      <c r="A935" s="11">
        <f>Returns!A935</f>
        <v>0</v>
      </c>
      <c r="B935" s="1">
        <f>MAX(CumRet!$B$2:$B$935)-CumRet!B935</f>
        <v>0</v>
      </c>
    </row>
    <row r="936" spans="1:2">
      <c r="A936" s="11">
        <f>Returns!A936</f>
        <v>0</v>
      </c>
      <c r="B936" s="1">
        <f>MAX(CumRet!$B$2:$B$936)-CumRet!B936</f>
        <v>0</v>
      </c>
    </row>
    <row r="937" spans="1:2">
      <c r="A937" s="11">
        <f>Returns!A937</f>
        <v>0</v>
      </c>
      <c r="B937" s="1">
        <f>MAX(CumRet!$B$2:$B$937)-CumRet!B937</f>
        <v>0</v>
      </c>
    </row>
    <row r="938" spans="1:2">
      <c r="A938" s="11">
        <f>Returns!A938</f>
        <v>0</v>
      </c>
      <c r="B938" s="1">
        <f>MAX(CumRet!$B$2:$B$938)-CumRet!B938</f>
        <v>0</v>
      </c>
    </row>
    <row r="939" spans="1:2">
      <c r="A939" s="11">
        <f>Returns!A939</f>
        <v>0</v>
      </c>
      <c r="B939" s="1">
        <f>MAX(CumRet!$B$2:$B$939)-CumRet!B939</f>
        <v>0</v>
      </c>
    </row>
    <row r="940" spans="1:2">
      <c r="A940" s="11">
        <f>Returns!A940</f>
        <v>0</v>
      </c>
      <c r="B940" s="1">
        <f>MAX(CumRet!$B$2:$B$940)-CumRet!B940</f>
        <v>0</v>
      </c>
    </row>
    <row r="941" spans="1:2">
      <c r="A941" s="11">
        <f>Returns!A941</f>
        <v>0</v>
      </c>
      <c r="B941" s="1">
        <f>MAX(CumRet!$B$2:$B$941)-CumRet!B941</f>
        <v>0</v>
      </c>
    </row>
    <row r="942" spans="1:2">
      <c r="A942" s="11">
        <f>Returns!A942</f>
        <v>0</v>
      </c>
      <c r="B942" s="1">
        <f>MAX(CumRet!$B$2:$B$942)-CumRet!B942</f>
        <v>0</v>
      </c>
    </row>
    <row r="943" spans="1:2">
      <c r="A943" s="11">
        <f>Returns!A943</f>
        <v>0</v>
      </c>
      <c r="B943" s="1">
        <f>MAX(CumRet!$B$2:$B$943)-CumRet!B943</f>
        <v>0</v>
      </c>
    </row>
    <row r="944" spans="1:2">
      <c r="A944" s="11">
        <f>Returns!A944</f>
        <v>0</v>
      </c>
      <c r="B944" s="1">
        <f>MAX(CumRet!$B$2:$B$944)-CumRet!B944</f>
        <v>0</v>
      </c>
    </row>
    <row r="945" spans="1:2">
      <c r="A945" s="11">
        <f>Returns!A945</f>
        <v>0</v>
      </c>
      <c r="B945" s="1">
        <f>MAX(CumRet!$B$2:$B$945)-CumRet!B945</f>
        <v>0</v>
      </c>
    </row>
    <row r="946" spans="1:2">
      <c r="A946" s="11">
        <f>Returns!A946</f>
        <v>0</v>
      </c>
      <c r="B946" s="1">
        <f>MAX(CumRet!$B$2:$B$946)-CumRet!B946</f>
        <v>0</v>
      </c>
    </row>
    <row r="947" spans="1:2">
      <c r="A947" s="11">
        <f>Returns!A947</f>
        <v>0</v>
      </c>
      <c r="B947" s="1">
        <f>MAX(CumRet!$B$2:$B$947)-CumRet!B947</f>
        <v>0</v>
      </c>
    </row>
    <row r="948" spans="1:2">
      <c r="A948" s="11">
        <f>Returns!A948</f>
        <v>0</v>
      </c>
      <c r="B948" s="1">
        <f>MAX(CumRet!$B$2:$B$948)-CumRet!B948</f>
        <v>0</v>
      </c>
    </row>
    <row r="949" spans="1:2">
      <c r="A949" s="11">
        <f>Returns!A949</f>
        <v>0</v>
      </c>
      <c r="B949" s="1">
        <f>MAX(CumRet!$B$2:$B$949)-CumRet!B949</f>
        <v>0</v>
      </c>
    </row>
    <row r="950" spans="1:2">
      <c r="A950" s="11">
        <f>Returns!A950</f>
        <v>0</v>
      </c>
      <c r="B950" s="1">
        <f>MAX(CumRet!$B$2:$B$950)-CumRet!B950</f>
        <v>0</v>
      </c>
    </row>
    <row r="951" spans="1:2">
      <c r="A951" s="11">
        <f>Returns!A951</f>
        <v>0</v>
      </c>
      <c r="B951" s="1">
        <f>MAX(CumRet!$B$2:$B$951)-CumRet!B951</f>
        <v>0</v>
      </c>
    </row>
    <row r="952" spans="1:2">
      <c r="A952" s="11">
        <f>Returns!A952</f>
        <v>0</v>
      </c>
      <c r="B952" s="1">
        <f>MAX(CumRet!$B$2:$B$952)-CumRet!B952</f>
        <v>0</v>
      </c>
    </row>
    <row r="953" spans="1:2">
      <c r="A953" s="11">
        <f>Returns!A953</f>
        <v>0</v>
      </c>
      <c r="B953" s="1">
        <f>MAX(CumRet!$B$2:$B$953)-CumRet!B953</f>
        <v>0</v>
      </c>
    </row>
    <row r="954" spans="1:2">
      <c r="A954" s="11">
        <f>Returns!A954</f>
        <v>0</v>
      </c>
      <c r="B954" s="1">
        <f>MAX(CumRet!$B$2:$B$954)-CumRet!B954</f>
        <v>0</v>
      </c>
    </row>
    <row r="955" spans="1:2">
      <c r="A955" s="11">
        <f>Returns!A955</f>
        <v>0</v>
      </c>
      <c r="B955" s="1">
        <f>MAX(CumRet!$B$2:$B$955)-CumRet!B955</f>
        <v>0</v>
      </c>
    </row>
    <row r="956" spans="1:2">
      <c r="A956" s="11">
        <f>Returns!A956</f>
        <v>0</v>
      </c>
      <c r="B956" s="1">
        <f>MAX(CumRet!$B$2:$B$956)-CumRet!B956</f>
        <v>0</v>
      </c>
    </row>
    <row r="957" spans="1:2">
      <c r="A957" s="11">
        <f>Returns!A957</f>
        <v>0</v>
      </c>
      <c r="B957" s="1">
        <f>MAX(CumRet!$B$2:$B$957)-CumRet!B957</f>
        <v>0</v>
      </c>
    </row>
    <row r="958" spans="1:2">
      <c r="A958" s="11">
        <f>Returns!A958</f>
        <v>0</v>
      </c>
      <c r="B958" s="1">
        <f>MAX(CumRet!$B$2:$B$958)-CumRet!B958</f>
        <v>0</v>
      </c>
    </row>
    <row r="959" spans="1:2">
      <c r="A959" s="11">
        <f>Returns!A959</f>
        <v>0</v>
      </c>
      <c r="B959" s="1">
        <f>MAX(CumRet!$B$2:$B$959)-CumRet!B959</f>
        <v>0</v>
      </c>
    </row>
    <row r="960" spans="1:2">
      <c r="A960" s="11">
        <f>Returns!A960</f>
        <v>0</v>
      </c>
      <c r="B960" s="1">
        <f>MAX(CumRet!$B$2:$B$960)-CumRet!B960</f>
        <v>0</v>
      </c>
    </row>
    <row r="961" spans="1:2">
      <c r="A961" s="11">
        <f>Returns!A961</f>
        <v>0</v>
      </c>
      <c r="B961" s="1">
        <f>MAX(CumRet!$B$2:$B$961)-CumRet!B961</f>
        <v>0</v>
      </c>
    </row>
    <row r="962" spans="1:2">
      <c r="A962" s="11">
        <f>Returns!A962</f>
        <v>0</v>
      </c>
      <c r="B962" s="1">
        <f>MAX(CumRet!$B$2:$B$962)-CumRet!B962</f>
        <v>0</v>
      </c>
    </row>
    <row r="963" spans="1:2">
      <c r="A963" s="11">
        <f>Returns!A963</f>
        <v>0</v>
      </c>
      <c r="B963" s="1">
        <f>MAX(CumRet!$B$2:$B$963)-CumRet!B963</f>
        <v>0</v>
      </c>
    </row>
    <row r="964" spans="1:2">
      <c r="A964" s="11">
        <f>Returns!A964</f>
        <v>0</v>
      </c>
      <c r="B964" s="1">
        <f>MAX(CumRet!$B$2:$B$964)-CumRet!B964</f>
        <v>0</v>
      </c>
    </row>
    <row r="965" spans="1:2">
      <c r="A965" s="11">
        <f>Returns!A965</f>
        <v>0</v>
      </c>
      <c r="B965" s="1">
        <f>MAX(CumRet!$B$2:$B$965)-CumRet!B965</f>
        <v>0</v>
      </c>
    </row>
    <row r="966" spans="1:2">
      <c r="A966" s="11">
        <f>Returns!A966</f>
        <v>0</v>
      </c>
      <c r="B966" s="1">
        <f>MAX(CumRet!$B$2:$B$966)-CumRet!B966</f>
        <v>0</v>
      </c>
    </row>
    <row r="967" spans="1:2">
      <c r="A967" s="11">
        <f>Returns!A967</f>
        <v>0</v>
      </c>
      <c r="B967" s="1">
        <f>MAX(CumRet!$B$2:$B$967)-CumRet!B967</f>
        <v>0</v>
      </c>
    </row>
    <row r="968" spans="1:2">
      <c r="A968" s="11">
        <f>Returns!A968</f>
        <v>0</v>
      </c>
      <c r="B968" s="1">
        <f>MAX(CumRet!$B$2:$B$968)-CumRet!B968</f>
        <v>0</v>
      </c>
    </row>
    <row r="969" spans="1:2">
      <c r="A969" s="11">
        <f>Returns!A969</f>
        <v>0</v>
      </c>
      <c r="B969" s="1">
        <f>MAX(CumRet!$B$2:$B$969)-CumRet!B969</f>
        <v>0</v>
      </c>
    </row>
    <row r="970" spans="1:2">
      <c r="A970" s="11">
        <f>Returns!A970</f>
        <v>0</v>
      </c>
      <c r="B970" s="1">
        <f>MAX(CumRet!$B$2:$B$970)-CumRet!B970</f>
        <v>0</v>
      </c>
    </row>
    <row r="971" spans="1:2">
      <c r="A971" s="11">
        <f>Returns!A971</f>
        <v>0</v>
      </c>
      <c r="B971" s="1">
        <f>MAX(CumRet!$B$2:$B$971)-CumRet!B971</f>
        <v>0</v>
      </c>
    </row>
    <row r="972" spans="1:2">
      <c r="A972" s="11">
        <f>Returns!A972</f>
        <v>0</v>
      </c>
      <c r="B972" s="1">
        <f>MAX(CumRet!$B$2:$B$972)-CumRet!B972</f>
        <v>0</v>
      </c>
    </row>
    <row r="973" spans="1:2">
      <c r="A973" s="11">
        <f>Returns!A973</f>
        <v>0</v>
      </c>
      <c r="B973" s="1">
        <f>MAX(CumRet!$B$2:$B$973)-CumRet!B973</f>
        <v>0</v>
      </c>
    </row>
    <row r="974" spans="1:2">
      <c r="A974" s="11">
        <f>Returns!A974</f>
        <v>0</v>
      </c>
      <c r="B974" s="1">
        <f>MAX(CumRet!$B$2:$B$974)-CumRet!B974</f>
        <v>0</v>
      </c>
    </row>
    <row r="975" spans="1:2">
      <c r="A975" s="11">
        <f>Returns!A975</f>
        <v>0</v>
      </c>
      <c r="B975" s="1">
        <f>MAX(CumRet!$B$2:$B$975)-CumRet!B975</f>
        <v>0</v>
      </c>
    </row>
    <row r="976" spans="1:2">
      <c r="A976" s="11">
        <f>Returns!A976</f>
        <v>0</v>
      </c>
      <c r="B976" s="1">
        <f>MAX(CumRet!$B$2:$B$976)-CumRet!B976</f>
        <v>0</v>
      </c>
    </row>
    <row r="977" spans="1:2">
      <c r="A977" s="11">
        <f>Returns!A977</f>
        <v>0</v>
      </c>
      <c r="B977" s="1">
        <f>MAX(CumRet!$B$2:$B$977)-CumRet!B977</f>
        <v>0</v>
      </c>
    </row>
    <row r="978" spans="1:2">
      <c r="A978" s="11">
        <f>Returns!A978</f>
        <v>0</v>
      </c>
      <c r="B978" s="1">
        <f>MAX(CumRet!$B$2:$B$978)-CumRet!B978</f>
        <v>0</v>
      </c>
    </row>
    <row r="979" spans="1:2">
      <c r="A979" s="11">
        <f>Returns!A979</f>
        <v>0</v>
      </c>
      <c r="B979" s="1">
        <f>MAX(CumRet!$B$2:$B$979)-CumRet!B979</f>
        <v>0</v>
      </c>
    </row>
    <row r="980" spans="1:2">
      <c r="A980" s="11">
        <f>Returns!A980</f>
        <v>0</v>
      </c>
      <c r="B980" s="1">
        <f>MAX(CumRet!$B$2:$B$980)-CumRet!B980</f>
        <v>0</v>
      </c>
    </row>
    <row r="981" spans="1:2">
      <c r="A981" s="11">
        <f>Returns!A981</f>
        <v>0</v>
      </c>
      <c r="B981" s="1">
        <f>MAX(CumRet!$B$2:$B$981)-CumRet!B981</f>
        <v>0</v>
      </c>
    </row>
    <row r="982" spans="1:2">
      <c r="A982" s="11">
        <f>Returns!A982</f>
        <v>0</v>
      </c>
      <c r="B982" s="1">
        <f>MAX(CumRet!$B$2:$B$982)-CumRet!B982</f>
        <v>0</v>
      </c>
    </row>
    <row r="983" spans="1:2">
      <c r="A983" s="11">
        <f>Returns!A983</f>
        <v>0</v>
      </c>
      <c r="B983" s="1">
        <f>MAX(CumRet!$B$2:$B$983)-CumRet!B983</f>
        <v>0</v>
      </c>
    </row>
    <row r="984" spans="1:2">
      <c r="A984" s="11">
        <f>Returns!A984</f>
        <v>0</v>
      </c>
      <c r="B984" s="1">
        <f>MAX(CumRet!$B$2:$B$984)-CumRet!B984</f>
        <v>0</v>
      </c>
    </row>
    <row r="985" spans="1:2">
      <c r="A985" s="11">
        <f>Returns!A985</f>
        <v>0</v>
      </c>
      <c r="B985" s="1">
        <f>MAX(CumRet!$B$2:$B$985)-CumRet!B985</f>
        <v>0</v>
      </c>
    </row>
    <row r="986" spans="1:2">
      <c r="A986" s="11">
        <f>Returns!A986</f>
        <v>0</v>
      </c>
      <c r="B986" s="1">
        <f>MAX(CumRet!$B$2:$B$986)-CumRet!B986</f>
        <v>0</v>
      </c>
    </row>
    <row r="987" spans="1:2">
      <c r="A987" s="11">
        <f>Returns!A987</f>
        <v>0</v>
      </c>
      <c r="B987" s="1">
        <f>MAX(CumRet!$B$2:$B$987)-CumRet!B987</f>
        <v>0</v>
      </c>
    </row>
    <row r="988" spans="1:2">
      <c r="A988" s="11">
        <f>Returns!A988</f>
        <v>0</v>
      </c>
      <c r="B988" s="1">
        <f>MAX(CumRet!$B$2:$B$988)-CumRet!B988</f>
        <v>0</v>
      </c>
    </row>
    <row r="989" spans="1:2">
      <c r="A989" s="11">
        <f>Returns!A989</f>
        <v>0</v>
      </c>
      <c r="B989" s="1">
        <f>MAX(CumRet!$B$2:$B$989)-CumRet!B989</f>
        <v>0</v>
      </c>
    </row>
    <row r="990" spans="1:2">
      <c r="A990" s="11">
        <f>Returns!A990</f>
        <v>0</v>
      </c>
      <c r="B990" s="1">
        <f>MAX(CumRet!$B$2:$B$990)-CumRet!B990</f>
        <v>0</v>
      </c>
    </row>
    <row r="991" spans="1:2">
      <c r="A991" s="11">
        <f>Returns!A991</f>
        <v>0</v>
      </c>
      <c r="B991" s="1">
        <f>MAX(CumRet!$B$2:$B$991)-CumRet!B991</f>
        <v>0</v>
      </c>
    </row>
    <row r="992" spans="1:2">
      <c r="A992" s="11">
        <f>Returns!A992</f>
        <v>0</v>
      </c>
      <c r="B992" s="1">
        <f>MAX(CumRet!$B$2:$B$992)-CumRet!B992</f>
        <v>0</v>
      </c>
    </row>
    <row r="993" spans="1:2">
      <c r="A993" s="11">
        <f>Returns!A993</f>
        <v>0</v>
      </c>
      <c r="B993" s="1">
        <f>MAX(CumRet!$B$2:$B$993)-CumRet!B993</f>
        <v>0</v>
      </c>
    </row>
    <row r="994" spans="1:2">
      <c r="A994" s="11">
        <f>Returns!A994</f>
        <v>0</v>
      </c>
      <c r="B994" s="1">
        <f>MAX(CumRet!$B$2:$B$994)-CumRet!B994</f>
        <v>0</v>
      </c>
    </row>
    <row r="995" spans="1:2">
      <c r="A995" s="11">
        <f>Returns!A995</f>
        <v>0</v>
      </c>
      <c r="B995" s="1">
        <f>MAX(CumRet!$B$2:$B$995)-CumRet!B995</f>
        <v>0</v>
      </c>
    </row>
    <row r="996" spans="1:2">
      <c r="A996" s="11">
        <f>Returns!A996</f>
        <v>0</v>
      </c>
      <c r="B996" s="1">
        <f>MAX(CumRet!$B$2:$B$996)-CumRet!B996</f>
        <v>0</v>
      </c>
    </row>
    <row r="997" spans="1:2">
      <c r="A997" s="11">
        <f>Returns!A997</f>
        <v>0</v>
      </c>
      <c r="B997" s="1">
        <f>MAX(CumRet!$B$2:$B$997)-CumRet!B997</f>
        <v>0</v>
      </c>
    </row>
    <row r="998" spans="1:2">
      <c r="A998" s="11">
        <f>Returns!A998</f>
        <v>0</v>
      </c>
      <c r="B998" s="1">
        <f>MAX(CumRet!$B$2:$B$998)-CumRet!B998</f>
        <v>0</v>
      </c>
    </row>
    <row r="999" spans="1:2">
      <c r="A999" s="11">
        <f>Returns!A999</f>
        <v>0</v>
      </c>
      <c r="B999" s="1">
        <f>MAX(CumRet!$B$2:$B$999)-CumRet!B999</f>
        <v>0</v>
      </c>
    </row>
    <row r="1000" spans="1:2">
      <c r="A1000" s="11">
        <f>Returns!A1000</f>
        <v>0</v>
      </c>
      <c r="B1000" s="1">
        <f>MAX(CumRet!$B$2:$B$1000)-CumRet!B1000</f>
        <v>0</v>
      </c>
    </row>
    <row r="1001" spans="1:2">
      <c r="A1001" s="11">
        <f>Returns!A1001</f>
        <v>0</v>
      </c>
      <c r="B1001" s="1">
        <f>MAX(CumRet!$B$2:$B$1001)-CumRet!B1001</f>
        <v>0</v>
      </c>
    </row>
    <row r="1002" spans="1:2">
      <c r="A1002" s="11">
        <f>Returns!A1002</f>
        <v>0</v>
      </c>
      <c r="B1002" s="1">
        <f>MAX(CumRet!$B$2:$B$1002)-CumRet!B1002</f>
        <v>0</v>
      </c>
    </row>
    <row r="1003" spans="1:2">
      <c r="A1003" s="11">
        <f>Returns!A1003</f>
        <v>0</v>
      </c>
      <c r="B1003" s="1">
        <f>MAX(CumRet!$B$2:$B$1003)-CumRet!B1003</f>
        <v>0</v>
      </c>
    </row>
    <row r="1004" spans="1:2">
      <c r="A1004" s="11">
        <f>Returns!A1004</f>
        <v>0</v>
      </c>
      <c r="B1004" s="1">
        <f>MAX(CumRet!$B$2:$B$1004)-CumRet!B1004</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004"/>
  <sheetViews>
    <sheetView showGridLines="0" workbookViewId="0"/>
  </sheetViews>
  <sheetFormatPr defaultRowHeight="15"/>
  <cols>
    <col min="1" max="1" width="10.7109375" style="10" customWidth="1"/>
  </cols>
  <sheetData>
    <row r="1" spans="1:2">
      <c r="A1" s="5" t="s">
        <v>26</v>
      </c>
      <c r="B1" s="5" t="s">
        <v>52</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row r="252" spans="1:2">
      <c r="A252" s="11">
        <f>Returns!A252</f>
        <v>0</v>
      </c>
      <c r="B252" s="1">
        <f>MAX(Resume!B9/ 252-Portfolios!B252, 0)</f>
        <v>0</v>
      </c>
    </row>
    <row r="253" spans="1:2">
      <c r="A253" s="11">
        <f>Returns!A253</f>
        <v>0</v>
      </c>
      <c r="B253" s="1">
        <f>MAX(Resume!B9/ 252-Portfolios!B253, 0)</f>
        <v>0</v>
      </c>
    </row>
    <row r="254" spans="1:2">
      <c r="A254" s="11">
        <f>Returns!A254</f>
        <v>0</v>
      </c>
      <c r="B254" s="1">
        <f>MAX(Resume!B9/ 252-Portfolios!B254, 0)</f>
        <v>0</v>
      </c>
    </row>
    <row r="255" spans="1:2">
      <c r="A255" s="11">
        <f>Returns!A255</f>
        <v>0</v>
      </c>
      <c r="B255" s="1">
        <f>MAX(Resume!B9/ 252-Portfolios!B255, 0)</f>
        <v>0</v>
      </c>
    </row>
    <row r="256" spans="1:2">
      <c r="A256" s="11">
        <f>Returns!A256</f>
        <v>0</v>
      </c>
      <c r="B256" s="1">
        <f>MAX(Resume!B9/ 252-Portfolios!B256, 0)</f>
        <v>0</v>
      </c>
    </row>
    <row r="257" spans="1:2">
      <c r="A257" s="11">
        <f>Returns!A257</f>
        <v>0</v>
      </c>
      <c r="B257" s="1">
        <f>MAX(Resume!B9/ 252-Portfolios!B257, 0)</f>
        <v>0</v>
      </c>
    </row>
    <row r="258" spans="1:2">
      <c r="A258" s="11">
        <f>Returns!A258</f>
        <v>0</v>
      </c>
      <c r="B258" s="1">
        <f>MAX(Resume!B9/ 252-Portfolios!B258, 0)</f>
        <v>0</v>
      </c>
    </row>
    <row r="259" spans="1:2">
      <c r="A259" s="11">
        <f>Returns!A259</f>
        <v>0</v>
      </c>
      <c r="B259" s="1">
        <f>MAX(Resume!B9/ 252-Portfolios!B259, 0)</f>
        <v>0</v>
      </c>
    </row>
    <row r="260" spans="1:2">
      <c r="A260" s="11">
        <f>Returns!A260</f>
        <v>0</v>
      </c>
      <c r="B260" s="1">
        <f>MAX(Resume!B9/ 252-Portfolios!B260, 0)</f>
        <v>0</v>
      </c>
    </row>
    <row r="261" spans="1:2">
      <c r="A261" s="11">
        <f>Returns!A261</f>
        <v>0</v>
      </c>
      <c r="B261" s="1">
        <f>MAX(Resume!B9/ 252-Portfolios!B261, 0)</f>
        <v>0</v>
      </c>
    </row>
    <row r="262" spans="1:2">
      <c r="A262" s="11">
        <f>Returns!A262</f>
        <v>0</v>
      </c>
      <c r="B262" s="1">
        <f>MAX(Resume!B9/ 252-Portfolios!B262, 0)</f>
        <v>0</v>
      </c>
    </row>
    <row r="263" spans="1:2">
      <c r="A263" s="11">
        <f>Returns!A263</f>
        <v>0</v>
      </c>
      <c r="B263" s="1">
        <f>MAX(Resume!B9/ 252-Portfolios!B263, 0)</f>
        <v>0</v>
      </c>
    </row>
    <row r="264" spans="1:2">
      <c r="A264" s="11">
        <f>Returns!A264</f>
        <v>0</v>
      </c>
      <c r="B264" s="1">
        <f>MAX(Resume!B9/ 252-Portfolios!B264, 0)</f>
        <v>0</v>
      </c>
    </row>
    <row r="265" spans="1:2">
      <c r="A265" s="11">
        <f>Returns!A265</f>
        <v>0</v>
      </c>
      <c r="B265" s="1">
        <f>MAX(Resume!B9/ 252-Portfolios!B265, 0)</f>
        <v>0</v>
      </c>
    </row>
    <row r="266" spans="1:2">
      <c r="A266" s="11">
        <f>Returns!A266</f>
        <v>0</v>
      </c>
      <c r="B266" s="1">
        <f>MAX(Resume!B9/ 252-Portfolios!B266, 0)</f>
        <v>0</v>
      </c>
    </row>
    <row r="267" spans="1:2">
      <c r="A267" s="11">
        <f>Returns!A267</f>
        <v>0</v>
      </c>
      <c r="B267" s="1">
        <f>MAX(Resume!B9/ 252-Portfolios!B267, 0)</f>
        <v>0</v>
      </c>
    </row>
    <row r="268" spans="1:2">
      <c r="A268" s="11">
        <f>Returns!A268</f>
        <v>0</v>
      </c>
      <c r="B268" s="1">
        <f>MAX(Resume!B9/ 252-Portfolios!B268, 0)</f>
        <v>0</v>
      </c>
    </row>
    <row r="269" spans="1:2">
      <c r="A269" s="11">
        <f>Returns!A269</f>
        <v>0</v>
      </c>
      <c r="B269" s="1">
        <f>MAX(Resume!B9/ 252-Portfolios!B269, 0)</f>
        <v>0</v>
      </c>
    </row>
    <row r="270" spans="1:2">
      <c r="A270" s="11">
        <f>Returns!A270</f>
        <v>0</v>
      </c>
      <c r="B270" s="1">
        <f>MAX(Resume!B9/ 252-Portfolios!B270, 0)</f>
        <v>0</v>
      </c>
    </row>
    <row r="271" spans="1:2">
      <c r="A271" s="11">
        <f>Returns!A271</f>
        <v>0</v>
      </c>
      <c r="B271" s="1">
        <f>MAX(Resume!B9/ 252-Portfolios!B271, 0)</f>
        <v>0</v>
      </c>
    </row>
    <row r="272" spans="1:2">
      <c r="A272" s="11">
        <f>Returns!A272</f>
        <v>0</v>
      </c>
      <c r="B272" s="1">
        <f>MAX(Resume!B9/ 252-Portfolios!B272, 0)</f>
        <v>0</v>
      </c>
    </row>
    <row r="273" spans="1:2">
      <c r="A273" s="11">
        <f>Returns!A273</f>
        <v>0</v>
      </c>
      <c r="B273" s="1">
        <f>MAX(Resume!B9/ 252-Portfolios!B273, 0)</f>
        <v>0</v>
      </c>
    </row>
    <row r="274" spans="1:2">
      <c r="A274" s="11">
        <f>Returns!A274</f>
        <v>0</v>
      </c>
      <c r="B274" s="1">
        <f>MAX(Resume!B9/ 252-Portfolios!B274, 0)</f>
        <v>0</v>
      </c>
    </row>
    <row r="275" spans="1:2">
      <c r="A275" s="11">
        <f>Returns!A275</f>
        <v>0</v>
      </c>
      <c r="B275" s="1">
        <f>MAX(Resume!B9/ 252-Portfolios!B275, 0)</f>
        <v>0</v>
      </c>
    </row>
    <row r="276" spans="1:2">
      <c r="A276" s="11">
        <f>Returns!A276</f>
        <v>0</v>
      </c>
      <c r="B276" s="1">
        <f>MAX(Resume!B9/ 252-Portfolios!B276, 0)</f>
        <v>0</v>
      </c>
    </row>
    <row r="277" spans="1:2">
      <c r="A277" s="11">
        <f>Returns!A277</f>
        <v>0</v>
      </c>
      <c r="B277" s="1">
        <f>MAX(Resume!B9/ 252-Portfolios!B277, 0)</f>
        <v>0</v>
      </c>
    </row>
    <row r="278" spans="1:2">
      <c r="A278" s="11">
        <f>Returns!A278</f>
        <v>0</v>
      </c>
      <c r="B278" s="1">
        <f>MAX(Resume!B9/ 252-Portfolios!B278, 0)</f>
        <v>0</v>
      </c>
    </row>
    <row r="279" spans="1:2">
      <c r="A279" s="11">
        <f>Returns!A279</f>
        <v>0</v>
      </c>
      <c r="B279" s="1">
        <f>MAX(Resume!B9/ 252-Portfolios!B279, 0)</f>
        <v>0</v>
      </c>
    </row>
    <row r="280" spans="1:2">
      <c r="A280" s="11">
        <f>Returns!A280</f>
        <v>0</v>
      </c>
      <c r="B280" s="1">
        <f>MAX(Resume!B9/ 252-Portfolios!B280, 0)</f>
        <v>0</v>
      </c>
    </row>
    <row r="281" spans="1:2">
      <c r="A281" s="11">
        <f>Returns!A281</f>
        <v>0</v>
      </c>
      <c r="B281" s="1">
        <f>MAX(Resume!B9/ 252-Portfolios!B281, 0)</f>
        <v>0</v>
      </c>
    </row>
    <row r="282" spans="1:2">
      <c r="A282" s="11">
        <f>Returns!A282</f>
        <v>0</v>
      </c>
      <c r="B282" s="1">
        <f>MAX(Resume!B9/ 252-Portfolios!B282, 0)</f>
        <v>0</v>
      </c>
    </row>
    <row r="283" spans="1:2">
      <c r="A283" s="11">
        <f>Returns!A283</f>
        <v>0</v>
      </c>
      <c r="B283" s="1">
        <f>MAX(Resume!B9/ 252-Portfolios!B283, 0)</f>
        <v>0</v>
      </c>
    </row>
    <row r="284" spans="1:2">
      <c r="A284" s="11">
        <f>Returns!A284</f>
        <v>0</v>
      </c>
      <c r="B284" s="1">
        <f>MAX(Resume!B9/ 252-Portfolios!B284, 0)</f>
        <v>0</v>
      </c>
    </row>
    <row r="285" spans="1:2">
      <c r="A285" s="11">
        <f>Returns!A285</f>
        <v>0</v>
      </c>
      <c r="B285" s="1">
        <f>MAX(Resume!B9/ 252-Portfolios!B285, 0)</f>
        <v>0</v>
      </c>
    </row>
    <row r="286" spans="1:2">
      <c r="A286" s="11">
        <f>Returns!A286</f>
        <v>0</v>
      </c>
      <c r="B286" s="1">
        <f>MAX(Resume!B9/ 252-Portfolios!B286, 0)</f>
        <v>0</v>
      </c>
    </row>
    <row r="287" spans="1:2">
      <c r="A287" s="11">
        <f>Returns!A287</f>
        <v>0</v>
      </c>
      <c r="B287" s="1">
        <f>MAX(Resume!B9/ 252-Portfolios!B287, 0)</f>
        <v>0</v>
      </c>
    </row>
    <row r="288" spans="1:2">
      <c r="A288" s="11">
        <f>Returns!A288</f>
        <v>0</v>
      </c>
      <c r="B288" s="1">
        <f>MAX(Resume!B9/ 252-Portfolios!B288, 0)</f>
        <v>0</v>
      </c>
    </row>
    <row r="289" spans="1:2">
      <c r="A289" s="11">
        <f>Returns!A289</f>
        <v>0</v>
      </c>
      <c r="B289" s="1">
        <f>MAX(Resume!B9/ 252-Portfolios!B289, 0)</f>
        <v>0</v>
      </c>
    </row>
    <row r="290" spans="1:2">
      <c r="A290" s="11">
        <f>Returns!A290</f>
        <v>0</v>
      </c>
      <c r="B290" s="1">
        <f>MAX(Resume!B9/ 252-Portfolios!B290, 0)</f>
        <v>0</v>
      </c>
    </row>
    <row r="291" spans="1:2">
      <c r="A291" s="11">
        <f>Returns!A291</f>
        <v>0</v>
      </c>
      <c r="B291" s="1">
        <f>MAX(Resume!B9/ 252-Portfolios!B291, 0)</f>
        <v>0</v>
      </c>
    </row>
    <row r="292" spans="1:2">
      <c r="A292" s="11">
        <f>Returns!A292</f>
        <v>0</v>
      </c>
      <c r="B292" s="1">
        <f>MAX(Resume!B9/ 252-Portfolios!B292, 0)</f>
        <v>0</v>
      </c>
    </row>
    <row r="293" spans="1:2">
      <c r="A293" s="11">
        <f>Returns!A293</f>
        <v>0</v>
      </c>
      <c r="B293" s="1">
        <f>MAX(Resume!B9/ 252-Portfolios!B293, 0)</f>
        <v>0</v>
      </c>
    </row>
    <row r="294" spans="1:2">
      <c r="A294" s="11">
        <f>Returns!A294</f>
        <v>0</v>
      </c>
      <c r="B294" s="1">
        <f>MAX(Resume!B9/ 252-Portfolios!B294, 0)</f>
        <v>0</v>
      </c>
    </row>
    <row r="295" spans="1:2">
      <c r="A295" s="11">
        <f>Returns!A295</f>
        <v>0</v>
      </c>
      <c r="B295" s="1">
        <f>MAX(Resume!B9/ 252-Portfolios!B295, 0)</f>
        <v>0</v>
      </c>
    </row>
    <row r="296" spans="1:2">
      <c r="A296" s="11">
        <f>Returns!A296</f>
        <v>0</v>
      </c>
      <c r="B296" s="1">
        <f>MAX(Resume!B9/ 252-Portfolios!B296, 0)</f>
        <v>0</v>
      </c>
    </row>
    <row r="297" spans="1:2">
      <c r="A297" s="11">
        <f>Returns!A297</f>
        <v>0</v>
      </c>
      <c r="B297" s="1">
        <f>MAX(Resume!B9/ 252-Portfolios!B297, 0)</f>
        <v>0</v>
      </c>
    </row>
    <row r="298" spans="1:2">
      <c r="A298" s="11">
        <f>Returns!A298</f>
        <v>0</v>
      </c>
      <c r="B298" s="1">
        <f>MAX(Resume!B9/ 252-Portfolios!B298, 0)</f>
        <v>0</v>
      </c>
    </row>
    <row r="299" spans="1:2">
      <c r="A299" s="11">
        <f>Returns!A299</f>
        <v>0</v>
      </c>
      <c r="B299" s="1">
        <f>MAX(Resume!B9/ 252-Portfolios!B299, 0)</f>
        <v>0</v>
      </c>
    </row>
    <row r="300" spans="1:2">
      <c r="A300" s="11">
        <f>Returns!A300</f>
        <v>0</v>
      </c>
      <c r="B300" s="1">
        <f>MAX(Resume!B9/ 252-Portfolios!B300, 0)</f>
        <v>0</v>
      </c>
    </row>
    <row r="301" spans="1:2">
      <c r="A301" s="11">
        <f>Returns!A301</f>
        <v>0</v>
      </c>
      <c r="B301" s="1">
        <f>MAX(Resume!B9/ 252-Portfolios!B301, 0)</f>
        <v>0</v>
      </c>
    </row>
    <row r="302" spans="1:2">
      <c r="A302" s="11">
        <f>Returns!A302</f>
        <v>0</v>
      </c>
      <c r="B302" s="1">
        <f>MAX(Resume!B9/ 252-Portfolios!B302, 0)</f>
        <v>0</v>
      </c>
    </row>
    <row r="303" spans="1:2">
      <c r="A303" s="11">
        <f>Returns!A303</f>
        <v>0</v>
      </c>
      <c r="B303" s="1">
        <f>MAX(Resume!B9/ 252-Portfolios!B303, 0)</f>
        <v>0</v>
      </c>
    </row>
    <row r="304" spans="1:2">
      <c r="A304" s="11">
        <f>Returns!A304</f>
        <v>0</v>
      </c>
      <c r="B304" s="1">
        <f>MAX(Resume!B9/ 252-Portfolios!B304, 0)</f>
        <v>0</v>
      </c>
    </row>
    <row r="305" spans="1:2">
      <c r="A305" s="11">
        <f>Returns!A305</f>
        <v>0</v>
      </c>
      <c r="B305" s="1">
        <f>MAX(Resume!B9/ 252-Portfolios!B305, 0)</f>
        <v>0</v>
      </c>
    </row>
    <row r="306" spans="1:2">
      <c r="A306" s="11">
        <f>Returns!A306</f>
        <v>0</v>
      </c>
      <c r="B306" s="1">
        <f>MAX(Resume!B9/ 252-Portfolios!B306, 0)</f>
        <v>0</v>
      </c>
    </row>
    <row r="307" spans="1:2">
      <c r="A307" s="11">
        <f>Returns!A307</f>
        <v>0</v>
      </c>
      <c r="B307" s="1">
        <f>MAX(Resume!B9/ 252-Portfolios!B307, 0)</f>
        <v>0</v>
      </c>
    </row>
    <row r="308" spans="1:2">
      <c r="A308" s="11">
        <f>Returns!A308</f>
        <v>0</v>
      </c>
      <c r="B308" s="1">
        <f>MAX(Resume!B9/ 252-Portfolios!B308, 0)</f>
        <v>0</v>
      </c>
    </row>
    <row r="309" spans="1:2">
      <c r="A309" s="11">
        <f>Returns!A309</f>
        <v>0</v>
      </c>
      <c r="B309" s="1">
        <f>MAX(Resume!B9/ 252-Portfolios!B309, 0)</f>
        <v>0</v>
      </c>
    </row>
    <row r="310" spans="1:2">
      <c r="A310" s="11">
        <f>Returns!A310</f>
        <v>0</v>
      </c>
      <c r="B310" s="1">
        <f>MAX(Resume!B9/ 252-Portfolios!B310, 0)</f>
        <v>0</v>
      </c>
    </row>
    <row r="311" spans="1:2">
      <c r="A311" s="11">
        <f>Returns!A311</f>
        <v>0</v>
      </c>
      <c r="B311" s="1">
        <f>MAX(Resume!B9/ 252-Portfolios!B311, 0)</f>
        <v>0</v>
      </c>
    </row>
    <row r="312" spans="1:2">
      <c r="A312" s="11">
        <f>Returns!A312</f>
        <v>0</v>
      </c>
      <c r="B312" s="1">
        <f>MAX(Resume!B9/ 252-Portfolios!B312, 0)</f>
        <v>0</v>
      </c>
    </row>
    <row r="313" spans="1:2">
      <c r="A313" s="11">
        <f>Returns!A313</f>
        <v>0</v>
      </c>
      <c r="B313" s="1">
        <f>MAX(Resume!B9/ 252-Portfolios!B313, 0)</f>
        <v>0</v>
      </c>
    </row>
    <row r="314" spans="1:2">
      <c r="A314" s="11">
        <f>Returns!A314</f>
        <v>0</v>
      </c>
      <c r="B314" s="1">
        <f>MAX(Resume!B9/ 252-Portfolios!B314, 0)</f>
        <v>0</v>
      </c>
    </row>
    <row r="315" spans="1:2">
      <c r="A315" s="11">
        <f>Returns!A315</f>
        <v>0</v>
      </c>
      <c r="B315" s="1">
        <f>MAX(Resume!B9/ 252-Portfolios!B315, 0)</f>
        <v>0</v>
      </c>
    </row>
    <row r="316" spans="1:2">
      <c r="A316" s="11">
        <f>Returns!A316</f>
        <v>0</v>
      </c>
      <c r="B316" s="1">
        <f>MAX(Resume!B9/ 252-Portfolios!B316, 0)</f>
        <v>0</v>
      </c>
    </row>
    <row r="317" spans="1:2">
      <c r="A317" s="11">
        <f>Returns!A317</f>
        <v>0</v>
      </c>
      <c r="B317" s="1">
        <f>MAX(Resume!B9/ 252-Portfolios!B317, 0)</f>
        <v>0</v>
      </c>
    </row>
    <row r="318" spans="1:2">
      <c r="A318" s="11">
        <f>Returns!A318</f>
        <v>0</v>
      </c>
      <c r="B318" s="1">
        <f>MAX(Resume!B9/ 252-Portfolios!B318, 0)</f>
        <v>0</v>
      </c>
    </row>
    <row r="319" spans="1:2">
      <c r="A319" s="11">
        <f>Returns!A319</f>
        <v>0</v>
      </c>
      <c r="B319" s="1">
        <f>MAX(Resume!B9/ 252-Portfolios!B319, 0)</f>
        <v>0</v>
      </c>
    </row>
    <row r="320" spans="1:2">
      <c r="A320" s="11">
        <f>Returns!A320</f>
        <v>0</v>
      </c>
      <c r="B320" s="1">
        <f>MAX(Resume!B9/ 252-Portfolios!B320, 0)</f>
        <v>0</v>
      </c>
    </row>
    <row r="321" spans="1:2">
      <c r="A321" s="11">
        <f>Returns!A321</f>
        <v>0</v>
      </c>
      <c r="B321" s="1">
        <f>MAX(Resume!B9/ 252-Portfolios!B321, 0)</f>
        <v>0</v>
      </c>
    </row>
    <row r="322" spans="1:2">
      <c r="A322" s="11">
        <f>Returns!A322</f>
        <v>0</v>
      </c>
      <c r="B322" s="1">
        <f>MAX(Resume!B9/ 252-Portfolios!B322, 0)</f>
        <v>0</v>
      </c>
    </row>
    <row r="323" spans="1:2">
      <c r="A323" s="11">
        <f>Returns!A323</f>
        <v>0</v>
      </c>
      <c r="B323" s="1">
        <f>MAX(Resume!B9/ 252-Portfolios!B323, 0)</f>
        <v>0</v>
      </c>
    </row>
    <row r="324" spans="1:2">
      <c r="A324" s="11">
        <f>Returns!A324</f>
        <v>0</v>
      </c>
      <c r="B324" s="1">
        <f>MAX(Resume!B9/ 252-Portfolios!B324, 0)</f>
        <v>0</v>
      </c>
    </row>
    <row r="325" spans="1:2">
      <c r="A325" s="11">
        <f>Returns!A325</f>
        <v>0</v>
      </c>
      <c r="B325" s="1">
        <f>MAX(Resume!B9/ 252-Portfolios!B325, 0)</f>
        <v>0</v>
      </c>
    </row>
    <row r="326" spans="1:2">
      <c r="A326" s="11">
        <f>Returns!A326</f>
        <v>0</v>
      </c>
      <c r="B326" s="1">
        <f>MAX(Resume!B9/ 252-Portfolios!B326, 0)</f>
        <v>0</v>
      </c>
    </row>
    <row r="327" spans="1:2">
      <c r="A327" s="11">
        <f>Returns!A327</f>
        <v>0</v>
      </c>
      <c r="B327" s="1">
        <f>MAX(Resume!B9/ 252-Portfolios!B327, 0)</f>
        <v>0</v>
      </c>
    </row>
    <row r="328" spans="1:2">
      <c r="A328" s="11">
        <f>Returns!A328</f>
        <v>0</v>
      </c>
      <c r="B328" s="1">
        <f>MAX(Resume!B9/ 252-Portfolios!B328, 0)</f>
        <v>0</v>
      </c>
    </row>
    <row r="329" spans="1:2">
      <c r="A329" s="11">
        <f>Returns!A329</f>
        <v>0</v>
      </c>
      <c r="B329" s="1">
        <f>MAX(Resume!B9/ 252-Portfolios!B329, 0)</f>
        <v>0</v>
      </c>
    </row>
    <row r="330" spans="1:2">
      <c r="A330" s="11">
        <f>Returns!A330</f>
        <v>0</v>
      </c>
      <c r="B330" s="1">
        <f>MAX(Resume!B9/ 252-Portfolios!B330, 0)</f>
        <v>0</v>
      </c>
    </row>
    <row r="331" spans="1:2">
      <c r="A331" s="11">
        <f>Returns!A331</f>
        <v>0</v>
      </c>
      <c r="B331" s="1">
        <f>MAX(Resume!B9/ 252-Portfolios!B331, 0)</f>
        <v>0</v>
      </c>
    </row>
    <row r="332" spans="1:2">
      <c r="A332" s="11">
        <f>Returns!A332</f>
        <v>0</v>
      </c>
      <c r="B332" s="1">
        <f>MAX(Resume!B9/ 252-Portfolios!B332, 0)</f>
        <v>0</v>
      </c>
    </row>
    <row r="333" spans="1:2">
      <c r="A333" s="11">
        <f>Returns!A333</f>
        <v>0</v>
      </c>
      <c r="B333" s="1">
        <f>MAX(Resume!B9/ 252-Portfolios!B333, 0)</f>
        <v>0</v>
      </c>
    </row>
    <row r="334" spans="1:2">
      <c r="A334" s="11">
        <f>Returns!A334</f>
        <v>0</v>
      </c>
      <c r="B334" s="1">
        <f>MAX(Resume!B9/ 252-Portfolios!B334, 0)</f>
        <v>0</v>
      </c>
    </row>
    <row r="335" spans="1:2">
      <c r="A335" s="11">
        <f>Returns!A335</f>
        <v>0</v>
      </c>
      <c r="B335" s="1">
        <f>MAX(Resume!B9/ 252-Portfolios!B335, 0)</f>
        <v>0</v>
      </c>
    </row>
    <row r="336" spans="1:2">
      <c r="A336" s="11">
        <f>Returns!A336</f>
        <v>0</v>
      </c>
      <c r="B336" s="1">
        <f>MAX(Resume!B9/ 252-Portfolios!B336, 0)</f>
        <v>0</v>
      </c>
    </row>
    <row r="337" spans="1:2">
      <c r="A337" s="11">
        <f>Returns!A337</f>
        <v>0</v>
      </c>
      <c r="B337" s="1">
        <f>MAX(Resume!B9/ 252-Portfolios!B337, 0)</f>
        <v>0</v>
      </c>
    </row>
    <row r="338" spans="1:2">
      <c r="A338" s="11">
        <f>Returns!A338</f>
        <v>0</v>
      </c>
      <c r="B338" s="1">
        <f>MAX(Resume!B9/ 252-Portfolios!B338, 0)</f>
        <v>0</v>
      </c>
    </row>
    <row r="339" spans="1:2">
      <c r="A339" s="11">
        <f>Returns!A339</f>
        <v>0</v>
      </c>
      <c r="B339" s="1">
        <f>MAX(Resume!B9/ 252-Portfolios!B339, 0)</f>
        <v>0</v>
      </c>
    </row>
    <row r="340" spans="1:2">
      <c r="A340" s="11">
        <f>Returns!A340</f>
        <v>0</v>
      </c>
      <c r="B340" s="1">
        <f>MAX(Resume!B9/ 252-Portfolios!B340, 0)</f>
        <v>0</v>
      </c>
    </row>
    <row r="341" spans="1:2">
      <c r="A341" s="11">
        <f>Returns!A341</f>
        <v>0</v>
      </c>
      <c r="B341" s="1">
        <f>MAX(Resume!B9/ 252-Portfolios!B341, 0)</f>
        <v>0</v>
      </c>
    </row>
    <row r="342" spans="1:2">
      <c r="A342" s="11">
        <f>Returns!A342</f>
        <v>0</v>
      </c>
      <c r="B342" s="1">
        <f>MAX(Resume!B9/ 252-Portfolios!B342, 0)</f>
        <v>0</v>
      </c>
    </row>
    <row r="343" spans="1:2">
      <c r="A343" s="11">
        <f>Returns!A343</f>
        <v>0</v>
      </c>
      <c r="B343" s="1">
        <f>MAX(Resume!B9/ 252-Portfolios!B343, 0)</f>
        <v>0</v>
      </c>
    </row>
    <row r="344" spans="1:2">
      <c r="A344" s="11">
        <f>Returns!A344</f>
        <v>0</v>
      </c>
      <c r="B344" s="1">
        <f>MAX(Resume!B9/ 252-Portfolios!B344, 0)</f>
        <v>0</v>
      </c>
    </row>
    <row r="345" spans="1:2">
      <c r="A345" s="11">
        <f>Returns!A345</f>
        <v>0</v>
      </c>
      <c r="B345" s="1">
        <f>MAX(Resume!B9/ 252-Portfolios!B345, 0)</f>
        <v>0</v>
      </c>
    </row>
    <row r="346" spans="1:2">
      <c r="A346" s="11">
        <f>Returns!A346</f>
        <v>0</v>
      </c>
      <c r="B346" s="1">
        <f>MAX(Resume!B9/ 252-Portfolios!B346, 0)</f>
        <v>0</v>
      </c>
    </row>
    <row r="347" spans="1:2">
      <c r="A347" s="11">
        <f>Returns!A347</f>
        <v>0</v>
      </c>
      <c r="B347" s="1">
        <f>MAX(Resume!B9/ 252-Portfolios!B347, 0)</f>
        <v>0</v>
      </c>
    </row>
    <row r="348" spans="1:2">
      <c r="A348" s="11">
        <f>Returns!A348</f>
        <v>0</v>
      </c>
      <c r="B348" s="1">
        <f>MAX(Resume!B9/ 252-Portfolios!B348, 0)</f>
        <v>0</v>
      </c>
    </row>
    <row r="349" spans="1:2">
      <c r="A349" s="11">
        <f>Returns!A349</f>
        <v>0</v>
      </c>
      <c r="B349" s="1">
        <f>MAX(Resume!B9/ 252-Portfolios!B349, 0)</f>
        <v>0</v>
      </c>
    </row>
    <row r="350" spans="1:2">
      <c r="A350" s="11">
        <f>Returns!A350</f>
        <v>0</v>
      </c>
      <c r="B350" s="1">
        <f>MAX(Resume!B9/ 252-Portfolios!B350, 0)</f>
        <v>0</v>
      </c>
    </row>
    <row r="351" spans="1:2">
      <c r="A351" s="11">
        <f>Returns!A351</f>
        <v>0</v>
      </c>
      <c r="B351" s="1">
        <f>MAX(Resume!B9/ 252-Portfolios!B351, 0)</f>
        <v>0</v>
      </c>
    </row>
    <row r="352" spans="1:2">
      <c r="A352" s="11">
        <f>Returns!A352</f>
        <v>0</v>
      </c>
      <c r="B352" s="1">
        <f>MAX(Resume!B9/ 252-Portfolios!B352, 0)</f>
        <v>0</v>
      </c>
    </row>
    <row r="353" spans="1:2">
      <c r="A353" s="11">
        <f>Returns!A353</f>
        <v>0</v>
      </c>
      <c r="B353" s="1">
        <f>MAX(Resume!B9/ 252-Portfolios!B353, 0)</f>
        <v>0</v>
      </c>
    </row>
    <row r="354" spans="1:2">
      <c r="A354" s="11">
        <f>Returns!A354</f>
        <v>0</v>
      </c>
      <c r="B354" s="1">
        <f>MAX(Resume!B9/ 252-Portfolios!B354, 0)</f>
        <v>0</v>
      </c>
    </row>
    <row r="355" spans="1:2">
      <c r="A355" s="11">
        <f>Returns!A355</f>
        <v>0</v>
      </c>
      <c r="B355" s="1">
        <f>MAX(Resume!B9/ 252-Portfolios!B355, 0)</f>
        <v>0</v>
      </c>
    </row>
    <row r="356" spans="1:2">
      <c r="A356" s="11">
        <f>Returns!A356</f>
        <v>0</v>
      </c>
      <c r="B356" s="1">
        <f>MAX(Resume!B9/ 252-Portfolios!B356, 0)</f>
        <v>0</v>
      </c>
    </row>
    <row r="357" spans="1:2">
      <c r="A357" s="11">
        <f>Returns!A357</f>
        <v>0</v>
      </c>
      <c r="B357" s="1">
        <f>MAX(Resume!B9/ 252-Portfolios!B357, 0)</f>
        <v>0</v>
      </c>
    </row>
    <row r="358" spans="1:2">
      <c r="A358" s="11">
        <f>Returns!A358</f>
        <v>0</v>
      </c>
      <c r="B358" s="1">
        <f>MAX(Resume!B9/ 252-Portfolios!B358, 0)</f>
        <v>0</v>
      </c>
    </row>
    <row r="359" spans="1:2">
      <c r="A359" s="11">
        <f>Returns!A359</f>
        <v>0</v>
      </c>
      <c r="B359" s="1">
        <f>MAX(Resume!B9/ 252-Portfolios!B359, 0)</f>
        <v>0</v>
      </c>
    </row>
    <row r="360" spans="1:2">
      <c r="A360" s="11">
        <f>Returns!A360</f>
        <v>0</v>
      </c>
      <c r="B360" s="1">
        <f>MAX(Resume!B9/ 252-Portfolios!B360, 0)</f>
        <v>0</v>
      </c>
    </row>
    <row r="361" spans="1:2">
      <c r="A361" s="11">
        <f>Returns!A361</f>
        <v>0</v>
      </c>
      <c r="B361" s="1">
        <f>MAX(Resume!B9/ 252-Portfolios!B361, 0)</f>
        <v>0</v>
      </c>
    </row>
    <row r="362" spans="1:2">
      <c r="A362" s="11">
        <f>Returns!A362</f>
        <v>0</v>
      </c>
      <c r="B362" s="1">
        <f>MAX(Resume!B9/ 252-Portfolios!B362, 0)</f>
        <v>0</v>
      </c>
    </row>
    <row r="363" spans="1:2">
      <c r="A363" s="11">
        <f>Returns!A363</f>
        <v>0</v>
      </c>
      <c r="B363" s="1">
        <f>MAX(Resume!B9/ 252-Portfolios!B363, 0)</f>
        <v>0</v>
      </c>
    </row>
    <row r="364" spans="1:2">
      <c r="A364" s="11">
        <f>Returns!A364</f>
        <v>0</v>
      </c>
      <c r="B364" s="1">
        <f>MAX(Resume!B9/ 252-Portfolios!B364, 0)</f>
        <v>0</v>
      </c>
    </row>
    <row r="365" spans="1:2">
      <c r="A365" s="11">
        <f>Returns!A365</f>
        <v>0</v>
      </c>
      <c r="B365" s="1">
        <f>MAX(Resume!B9/ 252-Portfolios!B365, 0)</f>
        <v>0</v>
      </c>
    </row>
    <row r="366" spans="1:2">
      <c r="A366" s="11">
        <f>Returns!A366</f>
        <v>0</v>
      </c>
      <c r="B366" s="1">
        <f>MAX(Resume!B9/ 252-Portfolios!B366, 0)</f>
        <v>0</v>
      </c>
    </row>
    <row r="367" spans="1:2">
      <c r="A367" s="11">
        <f>Returns!A367</f>
        <v>0</v>
      </c>
      <c r="B367" s="1">
        <f>MAX(Resume!B9/ 252-Portfolios!B367, 0)</f>
        <v>0</v>
      </c>
    </row>
    <row r="368" spans="1:2">
      <c r="A368" s="11">
        <f>Returns!A368</f>
        <v>0</v>
      </c>
      <c r="B368" s="1">
        <f>MAX(Resume!B9/ 252-Portfolios!B368, 0)</f>
        <v>0</v>
      </c>
    </row>
    <row r="369" spans="1:2">
      <c r="A369" s="11">
        <f>Returns!A369</f>
        <v>0</v>
      </c>
      <c r="B369" s="1">
        <f>MAX(Resume!B9/ 252-Portfolios!B369, 0)</f>
        <v>0</v>
      </c>
    </row>
    <row r="370" spans="1:2">
      <c r="A370" s="11">
        <f>Returns!A370</f>
        <v>0</v>
      </c>
      <c r="B370" s="1">
        <f>MAX(Resume!B9/ 252-Portfolios!B370, 0)</f>
        <v>0</v>
      </c>
    </row>
    <row r="371" spans="1:2">
      <c r="A371" s="11">
        <f>Returns!A371</f>
        <v>0</v>
      </c>
      <c r="B371" s="1">
        <f>MAX(Resume!B9/ 252-Portfolios!B371, 0)</f>
        <v>0</v>
      </c>
    </row>
    <row r="372" spans="1:2">
      <c r="A372" s="11">
        <f>Returns!A372</f>
        <v>0</v>
      </c>
      <c r="B372" s="1">
        <f>MAX(Resume!B9/ 252-Portfolios!B372, 0)</f>
        <v>0</v>
      </c>
    </row>
    <row r="373" spans="1:2">
      <c r="A373" s="11">
        <f>Returns!A373</f>
        <v>0</v>
      </c>
      <c r="B373" s="1">
        <f>MAX(Resume!B9/ 252-Portfolios!B373, 0)</f>
        <v>0</v>
      </c>
    </row>
    <row r="374" spans="1:2">
      <c r="A374" s="11">
        <f>Returns!A374</f>
        <v>0</v>
      </c>
      <c r="B374" s="1">
        <f>MAX(Resume!B9/ 252-Portfolios!B374, 0)</f>
        <v>0</v>
      </c>
    </row>
    <row r="375" spans="1:2">
      <c r="A375" s="11">
        <f>Returns!A375</f>
        <v>0</v>
      </c>
      <c r="B375" s="1">
        <f>MAX(Resume!B9/ 252-Portfolios!B375, 0)</f>
        <v>0</v>
      </c>
    </row>
    <row r="376" spans="1:2">
      <c r="A376" s="11">
        <f>Returns!A376</f>
        <v>0</v>
      </c>
      <c r="B376" s="1">
        <f>MAX(Resume!B9/ 252-Portfolios!B376, 0)</f>
        <v>0</v>
      </c>
    </row>
    <row r="377" spans="1:2">
      <c r="A377" s="11">
        <f>Returns!A377</f>
        <v>0</v>
      </c>
      <c r="B377" s="1">
        <f>MAX(Resume!B9/ 252-Portfolios!B377, 0)</f>
        <v>0</v>
      </c>
    </row>
    <row r="378" spans="1:2">
      <c r="A378" s="11">
        <f>Returns!A378</f>
        <v>0</v>
      </c>
      <c r="B378" s="1">
        <f>MAX(Resume!B9/ 252-Portfolios!B378, 0)</f>
        <v>0</v>
      </c>
    </row>
    <row r="379" spans="1:2">
      <c r="A379" s="11">
        <f>Returns!A379</f>
        <v>0</v>
      </c>
      <c r="B379" s="1">
        <f>MAX(Resume!B9/ 252-Portfolios!B379, 0)</f>
        <v>0</v>
      </c>
    </row>
    <row r="380" spans="1:2">
      <c r="A380" s="11">
        <f>Returns!A380</f>
        <v>0</v>
      </c>
      <c r="B380" s="1">
        <f>MAX(Resume!B9/ 252-Portfolios!B380, 0)</f>
        <v>0</v>
      </c>
    </row>
    <row r="381" spans="1:2">
      <c r="A381" s="11">
        <f>Returns!A381</f>
        <v>0</v>
      </c>
      <c r="B381" s="1">
        <f>MAX(Resume!B9/ 252-Portfolios!B381, 0)</f>
        <v>0</v>
      </c>
    </row>
    <row r="382" spans="1:2">
      <c r="A382" s="11">
        <f>Returns!A382</f>
        <v>0</v>
      </c>
      <c r="B382" s="1">
        <f>MAX(Resume!B9/ 252-Portfolios!B382, 0)</f>
        <v>0</v>
      </c>
    </row>
    <row r="383" spans="1:2">
      <c r="A383" s="11">
        <f>Returns!A383</f>
        <v>0</v>
      </c>
      <c r="B383" s="1">
        <f>MAX(Resume!B9/ 252-Portfolios!B383, 0)</f>
        <v>0</v>
      </c>
    </row>
    <row r="384" spans="1:2">
      <c r="A384" s="11">
        <f>Returns!A384</f>
        <v>0</v>
      </c>
      <c r="B384" s="1">
        <f>MAX(Resume!B9/ 252-Portfolios!B384, 0)</f>
        <v>0</v>
      </c>
    </row>
    <row r="385" spans="1:2">
      <c r="A385" s="11">
        <f>Returns!A385</f>
        <v>0</v>
      </c>
      <c r="B385" s="1">
        <f>MAX(Resume!B9/ 252-Portfolios!B385, 0)</f>
        <v>0</v>
      </c>
    </row>
    <row r="386" spans="1:2">
      <c r="A386" s="11">
        <f>Returns!A386</f>
        <v>0</v>
      </c>
      <c r="B386" s="1">
        <f>MAX(Resume!B9/ 252-Portfolios!B386, 0)</f>
        <v>0</v>
      </c>
    </row>
    <row r="387" spans="1:2">
      <c r="A387" s="11">
        <f>Returns!A387</f>
        <v>0</v>
      </c>
      <c r="B387" s="1">
        <f>MAX(Resume!B9/ 252-Portfolios!B387, 0)</f>
        <v>0</v>
      </c>
    </row>
    <row r="388" spans="1:2">
      <c r="A388" s="11">
        <f>Returns!A388</f>
        <v>0</v>
      </c>
      <c r="B388" s="1">
        <f>MAX(Resume!B9/ 252-Portfolios!B388, 0)</f>
        <v>0</v>
      </c>
    </row>
    <row r="389" spans="1:2">
      <c r="A389" s="11">
        <f>Returns!A389</f>
        <v>0</v>
      </c>
      <c r="B389" s="1">
        <f>MAX(Resume!B9/ 252-Portfolios!B389, 0)</f>
        <v>0</v>
      </c>
    </row>
    <row r="390" spans="1:2">
      <c r="A390" s="11">
        <f>Returns!A390</f>
        <v>0</v>
      </c>
      <c r="B390" s="1">
        <f>MAX(Resume!B9/ 252-Portfolios!B390, 0)</f>
        <v>0</v>
      </c>
    </row>
    <row r="391" spans="1:2">
      <c r="A391" s="11">
        <f>Returns!A391</f>
        <v>0</v>
      </c>
      <c r="B391" s="1">
        <f>MAX(Resume!B9/ 252-Portfolios!B391, 0)</f>
        <v>0</v>
      </c>
    </row>
    <row r="392" spans="1:2">
      <c r="A392" s="11">
        <f>Returns!A392</f>
        <v>0</v>
      </c>
      <c r="B392" s="1">
        <f>MAX(Resume!B9/ 252-Portfolios!B392, 0)</f>
        <v>0</v>
      </c>
    </row>
    <row r="393" spans="1:2">
      <c r="A393" s="11">
        <f>Returns!A393</f>
        <v>0</v>
      </c>
      <c r="B393" s="1">
        <f>MAX(Resume!B9/ 252-Portfolios!B393, 0)</f>
        <v>0</v>
      </c>
    </row>
    <row r="394" spans="1:2">
      <c r="A394" s="11">
        <f>Returns!A394</f>
        <v>0</v>
      </c>
      <c r="B394" s="1">
        <f>MAX(Resume!B9/ 252-Portfolios!B394, 0)</f>
        <v>0</v>
      </c>
    </row>
    <row r="395" spans="1:2">
      <c r="A395" s="11">
        <f>Returns!A395</f>
        <v>0</v>
      </c>
      <c r="B395" s="1">
        <f>MAX(Resume!B9/ 252-Portfolios!B395, 0)</f>
        <v>0</v>
      </c>
    </row>
    <row r="396" spans="1:2">
      <c r="A396" s="11">
        <f>Returns!A396</f>
        <v>0</v>
      </c>
      <c r="B396" s="1">
        <f>MAX(Resume!B9/ 252-Portfolios!B396, 0)</f>
        <v>0</v>
      </c>
    </row>
    <row r="397" spans="1:2">
      <c r="A397" s="11">
        <f>Returns!A397</f>
        <v>0</v>
      </c>
      <c r="B397" s="1">
        <f>MAX(Resume!B9/ 252-Portfolios!B397, 0)</f>
        <v>0</v>
      </c>
    </row>
    <row r="398" spans="1:2">
      <c r="A398" s="11">
        <f>Returns!A398</f>
        <v>0</v>
      </c>
      <c r="B398" s="1">
        <f>MAX(Resume!B9/ 252-Portfolios!B398, 0)</f>
        <v>0</v>
      </c>
    </row>
    <row r="399" spans="1:2">
      <c r="A399" s="11">
        <f>Returns!A399</f>
        <v>0</v>
      </c>
      <c r="B399" s="1">
        <f>MAX(Resume!B9/ 252-Portfolios!B399, 0)</f>
        <v>0</v>
      </c>
    </row>
    <row r="400" spans="1:2">
      <c r="A400" s="11">
        <f>Returns!A400</f>
        <v>0</v>
      </c>
      <c r="B400" s="1">
        <f>MAX(Resume!B9/ 252-Portfolios!B400, 0)</f>
        <v>0</v>
      </c>
    </row>
    <row r="401" spans="1:2">
      <c r="A401" s="11">
        <f>Returns!A401</f>
        <v>0</v>
      </c>
      <c r="B401" s="1">
        <f>MAX(Resume!B9/ 252-Portfolios!B401, 0)</f>
        <v>0</v>
      </c>
    </row>
    <row r="402" spans="1:2">
      <c r="A402" s="11">
        <f>Returns!A402</f>
        <v>0</v>
      </c>
      <c r="B402" s="1">
        <f>MAX(Resume!B9/ 252-Portfolios!B402, 0)</f>
        <v>0</v>
      </c>
    </row>
    <row r="403" spans="1:2">
      <c r="A403" s="11">
        <f>Returns!A403</f>
        <v>0</v>
      </c>
      <c r="B403" s="1">
        <f>MAX(Resume!B9/ 252-Portfolios!B403, 0)</f>
        <v>0</v>
      </c>
    </row>
    <row r="404" spans="1:2">
      <c r="A404" s="11">
        <f>Returns!A404</f>
        <v>0</v>
      </c>
      <c r="B404" s="1">
        <f>MAX(Resume!B9/ 252-Portfolios!B404, 0)</f>
        <v>0</v>
      </c>
    </row>
    <row r="405" spans="1:2">
      <c r="A405" s="11">
        <f>Returns!A405</f>
        <v>0</v>
      </c>
      <c r="B405" s="1">
        <f>MAX(Resume!B9/ 252-Portfolios!B405, 0)</f>
        <v>0</v>
      </c>
    </row>
    <row r="406" spans="1:2">
      <c r="A406" s="11">
        <f>Returns!A406</f>
        <v>0</v>
      </c>
      <c r="B406" s="1">
        <f>MAX(Resume!B9/ 252-Portfolios!B406, 0)</f>
        <v>0</v>
      </c>
    </row>
    <row r="407" spans="1:2">
      <c r="A407" s="11">
        <f>Returns!A407</f>
        <v>0</v>
      </c>
      <c r="B407" s="1">
        <f>MAX(Resume!B9/ 252-Portfolios!B407, 0)</f>
        <v>0</v>
      </c>
    </row>
    <row r="408" spans="1:2">
      <c r="A408" s="11">
        <f>Returns!A408</f>
        <v>0</v>
      </c>
      <c r="B408" s="1">
        <f>MAX(Resume!B9/ 252-Portfolios!B408, 0)</f>
        <v>0</v>
      </c>
    </row>
    <row r="409" spans="1:2">
      <c r="A409" s="11">
        <f>Returns!A409</f>
        <v>0</v>
      </c>
      <c r="B409" s="1">
        <f>MAX(Resume!B9/ 252-Portfolios!B409, 0)</f>
        <v>0</v>
      </c>
    </row>
    <row r="410" spans="1:2">
      <c r="A410" s="11">
        <f>Returns!A410</f>
        <v>0</v>
      </c>
      <c r="B410" s="1">
        <f>MAX(Resume!B9/ 252-Portfolios!B410, 0)</f>
        <v>0</v>
      </c>
    </row>
    <row r="411" spans="1:2">
      <c r="A411" s="11">
        <f>Returns!A411</f>
        <v>0</v>
      </c>
      <c r="B411" s="1">
        <f>MAX(Resume!B9/ 252-Portfolios!B411, 0)</f>
        <v>0</v>
      </c>
    </row>
    <row r="412" spans="1:2">
      <c r="A412" s="11">
        <f>Returns!A412</f>
        <v>0</v>
      </c>
      <c r="B412" s="1">
        <f>MAX(Resume!B9/ 252-Portfolios!B412, 0)</f>
        <v>0</v>
      </c>
    </row>
    <row r="413" spans="1:2">
      <c r="A413" s="11">
        <f>Returns!A413</f>
        <v>0</v>
      </c>
      <c r="B413" s="1">
        <f>MAX(Resume!B9/ 252-Portfolios!B413, 0)</f>
        <v>0</v>
      </c>
    </row>
    <row r="414" spans="1:2">
      <c r="A414" s="11">
        <f>Returns!A414</f>
        <v>0</v>
      </c>
      <c r="B414" s="1">
        <f>MAX(Resume!B9/ 252-Portfolios!B414, 0)</f>
        <v>0</v>
      </c>
    </row>
    <row r="415" spans="1:2">
      <c r="A415" s="11">
        <f>Returns!A415</f>
        <v>0</v>
      </c>
      <c r="B415" s="1">
        <f>MAX(Resume!B9/ 252-Portfolios!B415, 0)</f>
        <v>0</v>
      </c>
    </row>
    <row r="416" spans="1:2">
      <c r="A416" s="11">
        <f>Returns!A416</f>
        <v>0</v>
      </c>
      <c r="B416" s="1">
        <f>MAX(Resume!B9/ 252-Portfolios!B416, 0)</f>
        <v>0</v>
      </c>
    </row>
    <row r="417" spans="1:2">
      <c r="A417" s="11">
        <f>Returns!A417</f>
        <v>0</v>
      </c>
      <c r="B417" s="1">
        <f>MAX(Resume!B9/ 252-Portfolios!B417, 0)</f>
        <v>0</v>
      </c>
    </row>
    <row r="418" spans="1:2">
      <c r="A418" s="11">
        <f>Returns!A418</f>
        <v>0</v>
      </c>
      <c r="B418" s="1">
        <f>MAX(Resume!B9/ 252-Portfolios!B418, 0)</f>
        <v>0</v>
      </c>
    </row>
    <row r="419" spans="1:2">
      <c r="A419" s="11">
        <f>Returns!A419</f>
        <v>0</v>
      </c>
      <c r="B419" s="1">
        <f>MAX(Resume!B9/ 252-Portfolios!B419, 0)</f>
        <v>0</v>
      </c>
    </row>
    <row r="420" spans="1:2">
      <c r="A420" s="11">
        <f>Returns!A420</f>
        <v>0</v>
      </c>
      <c r="B420" s="1">
        <f>MAX(Resume!B9/ 252-Portfolios!B420, 0)</f>
        <v>0</v>
      </c>
    </row>
    <row r="421" spans="1:2">
      <c r="A421" s="11">
        <f>Returns!A421</f>
        <v>0</v>
      </c>
      <c r="B421" s="1">
        <f>MAX(Resume!B9/ 252-Portfolios!B421, 0)</f>
        <v>0</v>
      </c>
    </row>
    <row r="422" spans="1:2">
      <c r="A422" s="11">
        <f>Returns!A422</f>
        <v>0</v>
      </c>
      <c r="B422" s="1">
        <f>MAX(Resume!B9/ 252-Portfolios!B422, 0)</f>
        <v>0</v>
      </c>
    </row>
    <row r="423" spans="1:2">
      <c r="A423" s="11">
        <f>Returns!A423</f>
        <v>0</v>
      </c>
      <c r="B423" s="1">
        <f>MAX(Resume!B9/ 252-Portfolios!B423, 0)</f>
        <v>0</v>
      </c>
    </row>
    <row r="424" spans="1:2">
      <c r="A424" s="11">
        <f>Returns!A424</f>
        <v>0</v>
      </c>
      <c r="B424" s="1">
        <f>MAX(Resume!B9/ 252-Portfolios!B424, 0)</f>
        <v>0</v>
      </c>
    </row>
    <row r="425" spans="1:2">
      <c r="A425" s="11">
        <f>Returns!A425</f>
        <v>0</v>
      </c>
      <c r="B425" s="1">
        <f>MAX(Resume!B9/ 252-Portfolios!B425, 0)</f>
        <v>0</v>
      </c>
    </row>
    <row r="426" spans="1:2">
      <c r="A426" s="11">
        <f>Returns!A426</f>
        <v>0</v>
      </c>
      <c r="B426" s="1">
        <f>MAX(Resume!B9/ 252-Portfolios!B426, 0)</f>
        <v>0</v>
      </c>
    </row>
    <row r="427" spans="1:2">
      <c r="A427" s="11">
        <f>Returns!A427</f>
        <v>0</v>
      </c>
      <c r="B427" s="1">
        <f>MAX(Resume!B9/ 252-Portfolios!B427, 0)</f>
        <v>0</v>
      </c>
    </row>
    <row r="428" spans="1:2">
      <c r="A428" s="11">
        <f>Returns!A428</f>
        <v>0</v>
      </c>
      <c r="B428" s="1">
        <f>MAX(Resume!B9/ 252-Portfolios!B428, 0)</f>
        <v>0</v>
      </c>
    </row>
    <row r="429" spans="1:2">
      <c r="A429" s="11">
        <f>Returns!A429</f>
        <v>0</v>
      </c>
      <c r="B429" s="1">
        <f>MAX(Resume!B9/ 252-Portfolios!B429, 0)</f>
        <v>0</v>
      </c>
    </row>
    <row r="430" spans="1:2">
      <c r="A430" s="11">
        <f>Returns!A430</f>
        <v>0</v>
      </c>
      <c r="B430" s="1">
        <f>MAX(Resume!B9/ 252-Portfolios!B430, 0)</f>
        <v>0</v>
      </c>
    </row>
    <row r="431" spans="1:2">
      <c r="A431" s="11">
        <f>Returns!A431</f>
        <v>0</v>
      </c>
      <c r="B431" s="1">
        <f>MAX(Resume!B9/ 252-Portfolios!B431, 0)</f>
        <v>0</v>
      </c>
    </row>
    <row r="432" spans="1:2">
      <c r="A432" s="11">
        <f>Returns!A432</f>
        <v>0</v>
      </c>
      <c r="B432" s="1">
        <f>MAX(Resume!B9/ 252-Portfolios!B432, 0)</f>
        <v>0</v>
      </c>
    </row>
    <row r="433" spans="1:2">
      <c r="A433" s="11">
        <f>Returns!A433</f>
        <v>0</v>
      </c>
      <c r="B433" s="1">
        <f>MAX(Resume!B9/ 252-Portfolios!B433, 0)</f>
        <v>0</v>
      </c>
    </row>
    <row r="434" spans="1:2">
      <c r="A434" s="11">
        <f>Returns!A434</f>
        <v>0</v>
      </c>
      <c r="B434" s="1">
        <f>MAX(Resume!B9/ 252-Portfolios!B434, 0)</f>
        <v>0</v>
      </c>
    </row>
    <row r="435" spans="1:2">
      <c r="A435" s="11">
        <f>Returns!A435</f>
        <v>0</v>
      </c>
      <c r="B435" s="1">
        <f>MAX(Resume!B9/ 252-Portfolios!B435, 0)</f>
        <v>0</v>
      </c>
    </row>
    <row r="436" spans="1:2">
      <c r="A436" s="11">
        <f>Returns!A436</f>
        <v>0</v>
      </c>
      <c r="B436" s="1">
        <f>MAX(Resume!B9/ 252-Portfolios!B436, 0)</f>
        <v>0</v>
      </c>
    </row>
    <row r="437" spans="1:2">
      <c r="A437" s="11">
        <f>Returns!A437</f>
        <v>0</v>
      </c>
      <c r="B437" s="1">
        <f>MAX(Resume!B9/ 252-Portfolios!B437, 0)</f>
        <v>0</v>
      </c>
    </row>
    <row r="438" spans="1:2">
      <c r="A438" s="11">
        <f>Returns!A438</f>
        <v>0</v>
      </c>
      <c r="B438" s="1">
        <f>MAX(Resume!B9/ 252-Portfolios!B438, 0)</f>
        <v>0</v>
      </c>
    </row>
    <row r="439" spans="1:2">
      <c r="A439" s="11">
        <f>Returns!A439</f>
        <v>0</v>
      </c>
      <c r="B439" s="1">
        <f>MAX(Resume!B9/ 252-Portfolios!B439, 0)</f>
        <v>0</v>
      </c>
    </row>
    <row r="440" spans="1:2">
      <c r="A440" s="11">
        <f>Returns!A440</f>
        <v>0</v>
      </c>
      <c r="B440" s="1">
        <f>MAX(Resume!B9/ 252-Portfolios!B440, 0)</f>
        <v>0</v>
      </c>
    </row>
    <row r="441" spans="1:2">
      <c r="A441" s="11">
        <f>Returns!A441</f>
        <v>0</v>
      </c>
      <c r="B441" s="1">
        <f>MAX(Resume!B9/ 252-Portfolios!B441, 0)</f>
        <v>0</v>
      </c>
    </row>
    <row r="442" spans="1:2">
      <c r="A442" s="11">
        <f>Returns!A442</f>
        <v>0</v>
      </c>
      <c r="B442" s="1">
        <f>MAX(Resume!B9/ 252-Portfolios!B442, 0)</f>
        <v>0</v>
      </c>
    </row>
    <row r="443" spans="1:2">
      <c r="A443" s="11">
        <f>Returns!A443</f>
        <v>0</v>
      </c>
      <c r="B443" s="1">
        <f>MAX(Resume!B9/ 252-Portfolios!B443, 0)</f>
        <v>0</v>
      </c>
    </row>
    <row r="444" spans="1:2">
      <c r="A444" s="11">
        <f>Returns!A444</f>
        <v>0</v>
      </c>
      <c r="B444" s="1">
        <f>MAX(Resume!B9/ 252-Portfolios!B444, 0)</f>
        <v>0</v>
      </c>
    </row>
    <row r="445" spans="1:2">
      <c r="A445" s="11">
        <f>Returns!A445</f>
        <v>0</v>
      </c>
      <c r="B445" s="1">
        <f>MAX(Resume!B9/ 252-Portfolios!B445, 0)</f>
        <v>0</v>
      </c>
    </row>
    <row r="446" spans="1:2">
      <c r="A446" s="11">
        <f>Returns!A446</f>
        <v>0</v>
      </c>
      <c r="B446" s="1">
        <f>MAX(Resume!B9/ 252-Portfolios!B446, 0)</f>
        <v>0</v>
      </c>
    </row>
    <row r="447" spans="1:2">
      <c r="A447" s="11">
        <f>Returns!A447</f>
        <v>0</v>
      </c>
      <c r="B447" s="1">
        <f>MAX(Resume!B9/ 252-Portfolios!B447, 0)</f>
        <v>0</v>
      </c>
    </row>
    <row r="448" spans="1:2">
      <c r="A448" s="11">
        <f>Returns!A448</f>
        <v>0</v>
      </c>
      <c r="B448" s="1">
        <f>MAX(Resume!B9/ 252-Portfolios!B448, 0)</f>
        <v>0</v>
      </c>
    </row>
    <row r="449" spans="1:2">
      <c r="A449" s="11">
        <f>Returns!A449</f>
        <v>0</v>
      </c>
      <c r="B449" s="1">
        <f>MAX(Resume!B9/ 252-Portfolios!B449, 0)</f>
        <v>0</v>
      </c>
    </row>
    <row r="450" spans="1:2">
      <c r="A450" s="11">
        <f>Returns!A450</f>
        <v>0</v>
      </c>
      <c r="B450" s="1">
        <f>MAX(Resume!B9/ 252-Portfolios!B450, 0)</f>
        <v>0</v>
      </c>
    </row>
    <row r="451" spans="1:2">
      <c r="A451" s="11">
        <f>Returns!A451</f>
        <v>0</v>
      </c>
      <c r="B451" s="1">
        <f>MAX(Resume!B9/ 252-Portfolios!B451, 0)</f>
        <v>0</v>
      </c>
    </row>
    <row r="452" spans="1:2">
      <c r="A452" s="11">
        <f>Returns!A452</f>
        <v>0</v>
      </c>
      <c r="B452" s="1">
        <f>MAX(Resume!B9/ 252-Portfolios!B452, 0)</f>
        <v>0</v>
      </c>
    </row>
    <row r="453" spans="1:2">
      <c r="A453" s="11">
        <f>Returns!A453</f>
        <v>0</v>
      </c>
      <c r="B453" s="1">
        <f>MAX(Resume!B9/ 252-Portfolios!B453, 0)</f>
        <v>0</v>
      </c>
    </row>
    <row r="454" spans="1:2">
      <c r="A454" s="11">
        <f>Returns!A454</f>
        <v>0</v>
      </c>
      <c r="B454" s="1">
        <f>MAX(Resume!B9/ 252-Portfolios!B454, 0)</f>
        <v>0</v>
      </c>
    </row>
    <row r="455" spans="1:2">
      <c r="A455" s="11">
        <f>Returns!A455</f>
        <v>0</v>
      </c>
      <c r="B455" s="1">
        <f>MAX(Resume!B9/ 252-Portfolios!B455, 0)</f>
        <v>0</v>
      </c>
    </row>
    <row r="456" spans="1:2">
      <c r="A456" s="11">
        <f>Returns!A456</f>
        <v>0</v>
      </c>
      <c r="B456" s="1">
        <f>MAX(Resume!B9/ 252-Portfolios!B456, 0)</f>
        <v>0</v>
      </c>
    </row>
    <row r="457" spans="1:2">
      <c r="A457" s="11">
        <f>Returns!A457</f>
        <v>0</v>
      </c>
      <c r="B457" s="1">
        <f>MAX(Resume!B9/ 252-Portfolios!B457, 0)</f>
        <v>0</v>
      </c>
    </row>
    <row r="458" spans="1:2">
      <c r="A458" s="11">
        <f>Returns!A458</f>
        <v>0</v>
      </c>
      <c r="B458" s="1">
        <f>MAX(Resume!B9/ 252-Portfolios!B458, 0)</f>
        <v>0</v>
      </c>
    </row>
    <row r="459" spans="1:2">
      <c r="A459" s="11">
        <f>Returns!A459</f>
        <v>0</v>
      </c>
      <c r="B459" s="1">
        <f>MAX(Resume!B9/ 252-Portfolios!B459, 0)</f>
        <v>0</v>
      </c>
    </row>
    <row r="460" spans="1:2">
      <c r="A460" s="11">
        <f>Returns!A460</f>
        <v>0</v>
      </c>
      <c r="B460" s="1">
        <f>MAX(Resume!B9/ 252-Portfolios!B460, 0)</f>
        <v>0</v>
      </c>
    </row>
    <row r="461" spans="1:2">
      <c r="A461" s="11">
        <f>Returns!A461</f>
        <v>0</v>
      </c>
      <c r="B461" s="1">
        <f>MAX(Resume!B9/ 252-Portfolios!B461, 0)</f>
        <v>0</v>
      </c>
    </row>
    <row r="462" spans="1:2">
      <c r="A462" s="11">
        <f>Returns!A462</f>
        <v>0</v>
      </c>
      <c r="B462" s="1">
        <f>MAX(Resume!B9/ 252-Portfolios!B462, 0)</f>
        <v>0</v>
      </c>
    </row>
    <row r="463" spans="1:2">
      <c r="A463" s="11">
        <f>Returns!A463</f>
        <v>0</v>
      </c>
      <c r="B463" s="1">
        <f>MAX(Resume!B9/ 252-Portfolios!B463, 0)</f>
        <v>0</v>
      </c>
    </row>
    <row r="464" spans="1:2">
      <c r="A464" s="11">
        <f>Returns!A464</f>
        <v>0</v>
      </c>
      <c r="B464" s="1">
        <f>MAX(Resume!B9/ 252-Portfolios!B464, 0)</f>
        <v>0</v>
      </c>
    </row>
    <row r="465" spans="1:2">
      <c r="A465" s="11">
        <f>Returns!A465</f>
        <v>0</v>
      </c>
      <c r="B465" s="1">
        <f>MAX(Resume!B9/ 252-Portfolios!B465, 0)</f>
        <v>0</v>
      </c>
    </row>
    <row r="466" spans="1:2">
      <c r="A466" s="11">
        <f>Returns!A466</f>
        <v>0</v>
      </c>
      <c r="B466" s="1">
        <f>MAX(Resume!B9/ 252-Portfolios!B466, 0)</f>
        <v>0</v>
      </c>
    </row>
    <row r="467" spans="1:2">
      <c r="A467" s="11">
        <f>Returns!A467</f>
        <v>0</v>
      </c>
      <c r="B467" s="1">
        <f>MAX(Resume!B9/ 252-Portfolios!B467, 0)</f>
        <v>0</v>
      </c>
    </row>
    <row r="468" spans="1:2">
      <c r="A468" s="11">
        <f>Returns!A468</f>
        <v>0</v>
      </c>
      <c r="B468" s="1">
        <f>MAX(Resume!B9/ 252-Portfolios!B468, 0)</f>
        <v>0</v>
      </c>
    </row>
    <row r="469" spans="1:2">
      <c r="A469" s="11">
        <f>Returns!A469</f>
        <v>0</v>
      </c>
      <c r="B469" s="1">
        <f>MAX(Resume!B9/ 252-Portfolios!B469, 0)</f>
        <v>0</v>
      </c>
    </row>
    <row r="470" spans="1:2">
      <c r="A470" s="11">
        <f>Returns!A470</f>
        <v>0</v>
      </c>
      <c r="B470" s="1">
        <f>MAX(Resume!B9/ 252-Portfolios!B470, 0)</f>
        <v>0</v>
      </c>
    </row>
    <row r="471" spans="1:2">
      <c r="A471" s="11">
        <f>Returns!A471</f>
        <v>0</v>
      </c>
      <c r="B471" s="1">
        <f>MAX(Resume!B9/ 252-Portfolios!B471, 0)</f>
        <v>0</v>
      </c>
    </row>
    <row r="472" spans="1:2">
      <c r="A472" s="11">
        <f>Returns!A472</f>
        <v>0</v>
      </c>
      <c r="B472" s="1">
        <f>MAX(Resume!B9/ 252-Portfolios!B472, 0)</f>
        <v>0</v>
      </c>
    </row>
    <row r="473" spans="1:2">
      <c r="A473" s="11">
        <f>Returns!A473</f>
        <v>0</v>
      </c>
      <c r="B473" s="1">
        <f>MAX(Resume!B9/ 252-Portfolios!B473, 0)</f>
        <v>0</v>
      </c>
    </row>
    <row r="474" spans="1:2">
      <c r="A474" s="11">
        <f>Returns!A474</f>
        <v>0</v>
      </c>
      <c r="B474" s="1">
        <f>MAX(Resume!B9/ 252-Portfolios!B474, 0)</f>
        <v>0</v>
      </c>
    </row>
    <row r="475" spans="1:2">
      <c r="A475" s="11">
        <f>Returns!A475</f>
        <v>0</v>
      </c>
      <c r="B475" s="1">
        <f>MAX(Resume!B9/ 252-Portfolios!B475, 0)</f>
        <v>0</v>
      </c>
    </row>
    <row r="476" spans="1:2">
      <c r="A476" s="11">
        <f>Returns!A476</f>
        <v>0</v>
      </c>
      <c r="B476" s="1">
        <f>MAX(Resume!B9/ 252-Portfolios!B476, 0)</f>
        <v>0</v>
      </c>
    </row>
    <row r="477" spans="1:2">
      <c r="A477" s="11">
        <f>Returns!A477</f>
        <v>0</v>
      </c>
      <c r="B477" s="1">
        <f>MAX(Resume!B9/ 252-Portfolios!B477, 0)</f>
        <v>0</v>
      </c>
    </row>
    <row r="478" spans="1:2">
      <c r="A478" s="11">
        <f>Returns!A478</f>
        <v>0</v>
      </c>
      <c r="B478" s="1">
        <f>MAX(Resume!B9/ 252-Portfolios!B478, 0)</f>
        <v>0</v>
      </c>
    </row>
    <row r="479" spans="1:2">
      <c r="A479" s="11">
        <f>Returns!A479</f>
        <v>0</v>
      </c>
      <c r="B479" s="1">
        <f>MAX(Resume!B9/ 252-Portfolios!B479, 0)</f>
        <v>0</v>
      </c>
    </row>
    <row r="480" spans="1:2">
      <c r="A480" s="11">
        <f>Returns!A480</f>
        <v>0</v>
      </c>
      <c r="B480" s="1">
        <f>MAX(Resume!B9/ 252-Portfolios!B480, 0)</f>
        <v>0</v>
      </c>
    </row>
    <row r="481" spans="1:2">
      <c r="A481" s="11">
        <f>Returns!A481</f>
        <v>0</v>
      </c>
      <c r="B481" s="1">
        <f>MAX(Resume!B9/ 252-Portfolios!B481, 0)</f>
        <v>0</v>
      </c>
    </row>
    <row r="482" spans="1:2">
      <c r="A482" s="11">
        <f>Returns!A482</f>
        <v>0</v>
      </c>
      <c r="B482" s="1">
        <f>MAX(Resume!B9/ 252-Portfolios!B482, 0)</f>
        <v>0</v>
      </c>
    </row>
    <row r="483" spans="1:2">
      <c r="A483" s="11">
        <f>Returns!A483</f>
        <v>0</v>
      </c>
      <c r="B483" s="1">
        <f>MAX(Resume!B9/ 252-Portfolios!B483, 0)</f>
        <v>0</v>
      </c>
    </row>
    <row r="484" spans="1:2">
      <c r="A484" s="11">
        <f>Returns!A484</f>
        <v>0</v>
      </c>
      <c r="B484" s="1">
        <f>MAX(Resume!B9/ 252-Portfolios!B484, 0)</f>
        <v>0</v>
      </c>
    </row>
    <row r="485" spans="1:2">
      <c r="A485" s="11">
        <f>Returns!A485</f>
        <v>0</v>
      </c>
      <c r="B485" s="1">
        <f>MAX(Resume!B9/ 252-Portfolios!B485, 0)</f>
        <v>0</v>
      </c>
    </row>
    <row r="486" spans="1:2">
      <c r="A486" s="11">
        <f>Returns!A486</f>
        <v>0</v>
      </c>
      <c r="B486" s="1">
        <f>MAX(Resume!B9/ 252-Portfolios!B486, 0)</f>
        <v>0</v>
      </c>
    </row>
    <row r="487" spans="1:2">
      <c r="A487" s="11">
        <f>Returns!A487</f>
        <v>0</v>
      </c>
      <c r="B487" s="1">
        <f>MAX(Resume!B9/ 252-Portfolios!B487, 0)</f>
        <v>0</v>
      </c>
    </row>
    <row r="488" spans="1:2">
      <c r="A488" s="11">
        <f>Returns!A488</f>
        <v>0</v>
      </c>
      <c r="B488" s="1">
        <f>MAX(Resume!B9/ 252-Portfolios!B488, 0)</f>
        <v>0</v>
      </c>
    </row>
    <row r="489" spans="1:2">
      <c r="A489" s="11">
        <f>Returns!A489</f>
        <v>0</v>
      </c>
      <c r="B489" s="1">
        <f>MAX(Resume!B9/ 252-Portfolios!B489, 0)</f>
        <v>0</v>
      </c>
    </row>
    <row r="490" spans="1:2">
      <c r="A490" s="11">
        <f>Returns!A490</f>
        <v>0</v>
      </c>
      <c r="B490" s="1">
        <f>MAX(Resume!B9/ 252-Portfolios!B490, 0)</f>
        <v>0</v>
      </c>
    </row>
    <row r="491" spans="1:2">
      <c r="A491" s="11">
        <f>Returns!A491</f>
        <v>0</v>
      </c>
      <c r="B491" s="1">
        <f>MAX(Resume!B9/ 252-Portfolios!B491, 0)</f>
        <v>0</v>
      </c>
    </row>
    <row r="492" spans="1:2">
      <c r="A492" s="11">
        <f>Returns!A492</f>
        <v>0</v>
      </c>
      <c r="B492" s="1">
        <f>MAX(Resume!B9/ 252-Portfolios!B492, 0)</f>
        <v>0</v>
      </c>
    </row>
    <row r="493" spans="1:2">
      <c r="A493" s="11">
        <f>Returns!A493</f>
        <v>0</v>
      </c>
      <c r="B493" s="1">
        <f>MAX(Resume!B9/ 252-Portfolios!B493, 0)</f>
        <v>0</v>
      </c>
    </row>
    <row r="494" spans="1:2">
      <c r="A494" s="11">
        <f>Returns!A494</f>
        <v>0</v>
      </c>
      <c r="B494" s="1">
        <f>MAX(Resume!B9/ 252-Portfolios!B494, 0)</f>
        <v>0</v>
      </c>
    </row>
    <row r="495" spans="1:2">
      <c r="A495" s="11">
        <f>Returns!A495</f>
        <v>0</v>
      </c>
      <c r="B495" s="1">
        <f>MAX(Resume!B9/ 252-Portfolios!B495, 0)</f>
        <v>0</v>
      </c>
    </row>
    <row r="496" spans="1:2">
      <c r="A496" s="11">
        <f>Returns!A496</f>
        <v>0</v>
      </c>
      <c r="B496" s="1">
        <f>MAX(Resume!B9/ 252-Portfolios!B496, 0)</f>
        <v>0</v>
      </c>
    </row>
    <row r="497" spans="1:2">
      <c r="A497" s="11">
        <f>Returns!A497</f>
        <v>0</v>
      </c>
      <c r="B497" s="1">
        <f>MAX(Resume!B9/ 252-Portfolios!B497, 0)</f>
        <v>0</v>
      </c>
    </row>
    <row r="498" spans="1:2">
      <c r="A498" s="11">
        <f>Returns!A498</f>
        <v>0</v>
      </c>
      <c r="B498" s="1">
        <f>MAX(Resume!B9/ 252-Portfolios!B498, 0)</f>
        <v>0</v>
      </c>
    </row>
    <row r="499" spans="1:2">
      <c r="A499" s="11">
        <f>Returns!A499</f>
        <v>0</v>
      </c>
      <c r="B499" s="1">
        <f>MAX(Resume!B9/ 252-Portfolios!B499, 0)</f>
        <v>0</v>
      </c>
    </row>
    <row r="500" spans="1:2">
      <c r="A500" s="11">
        <f>Returns!A500</f>
        <v>0</v>
      </c>
      <c r="B500" s="1">
        <f>MAX(Resume!B9/ 252-Portfolios!B500, 0)</f>
        <v>0</v>
      </c>
    </row>
    <row r="501" spans="1:2">
      <c r="A501" s="11">
        <f>Returns!A501</f>
        <v>0</v>
      </c>
      <c r="B501" s="1">
        <f>MAX(Resume!B9/ 252-Portfolios!B501, 0)</f>
        <v>0</v>
      </c>
    </row>
    <row r="502" spans="1:2">
      <c r="A502" s="11">
        <f>Returns!A502</f>
        <v>0</v>
      </c>
      <c r="B502" s="1">
        <f>MAX(Resume!B9/ 252-Portfolios!B502, 0)</f>
        <v>0</v>
      </c>
    </row>
    <row r="503" spans="1:2">
      <c r="A503" s="11">
        <f>Returns!A503</f>
        <v>0</v>
      </c>
      <c r="B503" s="1">
        <f>MAX(Resume!B9/ 252-Portfolios!B503, 0)</f>
        <v>0</v>
      </c>
    </row>
    <row r="504" spans="1:2">
      <c r="A504" s="11">
        <f>Returns!A504</f>
        <v>0</v>
      </c>
      <c r="B504" s="1">
        <f>MAX(Resume!B9/ 252-Portfolios!B504, 0)</f>
        <v>0</v>
      </c>
    </row>
    <row r="505" spans="1:2">
      <c r="A505" s="11">
        <f>Returns!A505</f>
        <v>0</v>
      </c>
      <c r="B505" s="1">
        <f>MAX(Resume!B9/ 252-Portfolios!B505, 0)</f>
        <v>0</v>
      </c>
    </row>
    <row r="506" spans="1:2">
      <c r="A506" s="11">
        <f>Returns!A506</f>
        <v>0</v>
      </c>
      <c r="B506" s="1">
        <f>MAX(Resume!B9/ 252-Portfolios!B506, 0)</f>
        <v>0</v>
      </c>
    </row>
    <row r="507" spans="1:2">
      <c r="A507" s="11">
        <f>Returns!A507</f>
        <v>0</v>
      </c>
      <c r="B507" s="1">
        <f>MAX(Resume!B9/ 252-Portfolios!B507, 0)</f>
        <v>0</v>
      </c>
    </row>
    <row r="508" spans="1:2">
      <c r="A508" s="11">
        <f>Returns!A508</f>
        <v>0</v>
      </c>
      <c r="B508" s="1">
        <f>MAX(Resume!B9/ 252-Portfolios!B508, 0)</f>
        <v>0</v>
      </c>
    </row>
    <row r="509" spans="1:2">
      <c r="A509" s="11">
        <f>Returns!A509</f>
        <v>0</v>
      </c>
      <c r="B509" s="1">
        <f>MAX(Resume!B9/ 252-Portfolios!B509, 0)</f>
        <v>0</v>
      </c>
    </row>
    <row r="510" spans="1:2">
      <c r="A510" s="11">
        <f>Returns!A510</f>
        <v>0</v>
      </c>
      <c r="B510" s="1">
        <f>MAX(Resume!B9/ 252-Portfolios!B510, 0)</f>
        <v>0</v>
      </c>
    </row>
    <row r="511" spans="1:2">
      <c r="A511" s="11">
        <f>Returns!A511</f>
        <v>0</v>
      </c>
      <c r="B511" s="1">
        <f>MAX(Resume!B9/ 252-Portfolios!B511, 0)</f>
        <v>0</v>
      </c>
    </row>
    <row r="512" spans="1:2">
      <c r="A512" s="11">
        <f>Returns!A512</f>
        <v>0</v>
      </c>
      <c r="B512" s="1">
        <f>MAX(Resume!B9/ 252-Portfolios!B512, 0)</f>
        <v>0</v>
      </c>
    </row>
    <row r="513" spans="1:2">
      <c r="A513" s="11">
        <f>Returns!A513</f>
        <v>0</v>
      </c>
      <c r="B513" s="1">
        <f>MAX(Resume!B9/ 252-Portfolios!B513, 0)</f>
        <v>0</v>
      </c>
    </row>
    <row r="514" spans="1:2">
      <c r="A514" s="11">
        <f>Returns!A514</f>
        <v>0</v>
      </c>
      <c r="B514" s="1">
        <f>MAX(Resume!B9/ 252-Portfolios!B514, 0)</f>
        <v>0</v>
      </c>
    </row>
    <row r="515" spans="1:2">
      <c r="A515" s="11">
        <f>Returns!A515</f>
        <v>0</v>
      </c>
      <c r="B515" s="1">
        <f>MAX(Resume!B9/ 252-Portfolios!B515, 0)</f>
        <v>0</v>
      </c>
    </row>
    <row r="516" spans="1:2">
      <c r="A516" s="11">
        <f>Returns!A516</f>
        <v>0</v>
      </c>
      <c r="B516" s="1">
        <f>MAX(Resume!B9/ 252-Portfolios!B516, 0)</f>
        <v>0</v>
      </c>
    </row>
    <row r="517" spans="1:2">
      <c r="A517" s="11">
        <f>Returns!A517</f>
        <v>0</v>
      </c>
      <c r="B517" s="1">
        <f>MAX(Resume!B9/ 252-Portfolios!B517, 0)</f>
        <v>0</v>
      </c>
    </row>
    <row r="518" spans="1:2">
      <c r="A518" s="11">
        <f>Returns!A518</f>
        <v>0</v>
      </c>
      <c r="B518" s="1">
        <f>MAX(Resume!B9/ 252-Portfolios!B518, 0)</f>
        <v>0</v>
      </c>
    </row>
    <row r="519" spans="1:2">
      <c r="A519" s="11">
        <f>Returns!A519</f>
        <v>0</v>
      </c>
      <c r="B519" s="1">
        <f>MAX(Resume!B9/ 252-Portfolios!B519, 0)</f>
        <v>0</v>
      </c>
    </row>
    <row r="520" spans="1:2">
      <c r="A520" s="11">
        <f>Returns!A520</f>
        <v>0</v>
      </c>
      <c r="B520" s="1">
        <f>MAX(Resume!B9/ 252-Portfolios!B520, 0)</f>
        <v>0</v>
      </c>
    </row>
    <row r="521" spans="1:2">
      <c r="A521" s="11">
        <f>Returns!A521</f>
        <v>0</v>
      </c>
      <c r="B521" s="1">
        <f>MAX(Resume!B9/ 252-Portfolios!B521, 0)</f>
        <v>0</v>
      </c>
    </row>
    <row r="522" spans="1:2">
      <c r="A522" s="11">
        <f>Returns!A522</f>
        <v>0</v>
      </c>
      <c r="B522" s="1">
        <f>MAX(Resume!B9/ 252-Portfolios!B522, 0)</f>
        <v>0</v>
      </c>
    </row>
    <row r="523" spans="1:2">
      <c r="A523" s="11">
        <f>Returns!A523</f>
        <v>0</v>
      </c>
      <c r="B523" s="1">
        <f>MAX(Resume!B9/ 252-Portfolios!B523, 0)</f>
        <v>0</v>
      </c>
    </row>
    <row r="524" spans="1:2">
      <c r="A524" s="11">
        <f>Returns!A524</f>
        <v>0</v>
      </c>
      <c r="B524" s="1">
        <f>MAX(Resume!B9/ 252-Portfolios!B524, 0)</f>
        <v>0</v>
      </c>
    </row>
    <row r="525" spans="1:2">
      <c r="A525" s="11">
        <f>Returns!A525</f>
        <v>0</v>
      </c>
      <c r="B525" s="1">
        <f>MAX(Resume!B9/ 252-Portfolios!B525, 0)</f>
        <v>0</v>
      </c>
    </row>
    <row r="526" spans="1:2">
      <c r="A526" s="11">
        <f>Returns!A526</f>
        <v>0</v>
      </c>
      <c r="B526" s="1">
        <f>MAX(Resume!B9/ 252-Portfolios!B526, 0)</f>
        <v>0</v>
      </c>
    </row>
    <row r="527" spans="1:2">
      <c r="A527" s="11">
        <f>Returns!A527</f>
        <v>0</v>
      </c>
      <c r="B527" s="1">
        <f>MAX(Resume!B9/ 252-Portfolios!B527, 0)</f>
        <v>0</v>
      </c>
    </row>
    <row r="528" spans="1:2">
      <c r="A528" s="11">
        <f>Returns!A528</f>
        <v>0</v>
      </c>
      <c r="B528" s="1">
        <f>MAX(Resume!B9/ 252-Portfolios!B528, 0)</f>
        <v>0</v>
      </c>
    </row>
    <row r="529" spans="1:2">
      <c r="A529" s="11">
        <f>Returns!A529</f>
        <v>0</v>
      </c>
      <c r="B529" s="1">
        <f>MAX(Resume!B9/ 252-Portfolios!B529, 0)</f>
        <v>0</v>
      </c>
    </row>
    <row r="530" spans="1:2">
      <c r="A530" s="11">
        <f>Returns!A530</f>
        <v>0</v>
      </c>
      <c r="B530" s="1">
        <f>MAX(Resume!B9/ 252-Portfolios!B530, 0)</f>
        <v>0</v>
      </c>
    </row>
    <row r="531" spans="1:2">
      <c r="A531" s="11">
        <f>Returns!A531</f>
        <v>0</v>
      </c>
      <c r="B531" s="1">
        <f>MAX(Resume!B9/ 252-Portfolios!B531, 0)</f>
        <v>0</v>
      </c>
    </row>
    <row r="532" spans="1:2">
      <c r="A532" s="11">
        <f>Returns!A532</f>
        <v>0</v>
      </c>
      <c r="B532" s="1">
        <f>MAX(Resume!B9/ 252-Portfolios!B532, 0)</f>
        <v>0</v>
      </c>
    </row>
    <row r="533" spans="1:2">
      <c r="A533" s="11">
        <f>Returns!A533</f>
        <v>0</v>
      </c>
      <c r="B533" s="1">
        <f>MAX(Resume!B9/ 252-Portfolios!B533, 0)</f>
        <v>0</v>
      </c>
    </row>
    <row r="534" spans="1:2">
      <c r="A534" s="11">
        <f>Returns!A534</f>
        <v>0</v>
      </c>
      <c r="B534" s="1">
        <f>MAX(Resume!B9/ 252-Portfolios!B534, 0)</f>
        <v>0</v>
      </c>
    </row>
    <row r="535" spans="1:2">
      <c r="A535" s="11">
        <f>Returns!A535</f>
        <v>0</v>
      </c>
      <c r="B535" s="1">
        <f>MAX(Resume!B9/ 252-Portfolios!B535, 0)</f>
        <v>0</v>
      </c>
    </row>
    <row r="536" spans="1:2">
      <c r="A536" s="11">
        <f>Returns!A536</f>
        <v>0</v>
      </c>
      <c r="B536" s="1">
        <f>MAX(Resume!B9/ 252-Portfolios!B536, 0)</f>
        <v>0</v>
      </c>
    </row>
    <row r="537" spans="1:2">
      <c r="A537" s="11">
        <f>Returns!A537</f>
        <v>0</v>
      </c>
      <c r="B537" s="1">
        <f>MAX(Resume!B9/ 252-Portfolios!B537, 0)</f>
        <v>0</v>
      </c>
    </row>
    <row r="538" spans="1:2">
      <c r="A538" s="11">
        <f>Returns!A538</f>
        <v>0</v>
      </c>
      <c r="B538" s="1">
        <f>MAX(Resume!B9/ 252-Portfolios!B538, 0)</f>
        <v>0</v>
      </c>
    </row>
    <row r="539" spans="1:2">
      <c r="A539" s="11">
        <f>Returns!A539</f>
        <v>0</v>
      </c>
      <c r="B539" s="1">
        <f>MAX(Resume!B9/ 252-Portfolios!B539, 0)</f>
        <v>0</v>
      </c>
    </row>
    <row r="540" spans="1:2">
      <c r="A540" s="11">
        <f>Returns!A540</f>
        <v>0</v>
      </c>
      <c r="B540" s="1">
        <f>MAX(Resume!B9/ 252-Portfolios!B540, 0)</f>
        <v>0</v>
      </c>
    </row>
    <row r="541" spans="1:2">
      <c r="A541" s="11">
        <f>Returns!A541</f>
        <v>0</v>
      </c>
      <c r="B541" s="1">
        <f>MAX(Resume!B9/ 252-Portfolios!B541, 0)</f>
        <v>0</v>
      </c>
    </row>
    <row r="542" spans="1:2">
      <c r="A542" s="11">
        <f>Returns!A542</f>
        <v>0</v>
      </c>
      <c r="B542" s="1">
        <f>MAX(Resume!B9/ 252-Portfolios!B542, 0)</f>
        <v>0</v>
      </c>
    </row>
    <row r="543" spans="1:2">
      <c r="A543" s="11">
        <f>Returns!A543</f>
        <v>0</v>
      </c>
      <c r="B543" s="1">
        <f>MAX(Resume!B9/ 252-Portfolios!B543, 0)</f>
        <v>0</v>
      </c>
    </row>
    <row r="544" spans="1:2">
      <c r="A544" s="11">
        <f>Returns!A544</f>
        <v>0</v>
      </c>
      <c r="B544" s="1">
        <f>MAX(Resume!B9/ 252-Portfolios!B544, 0)</f>
        <v>0</v>
      </c>
    </row>
    <row r="545" spans="1:2">
      <c r="A545" s="11">
        <f>Returns!A545</f>
        <v>0</v>
      </c>
      <c r="B545" s="1">
        <f>MAX(Resume!B9/ 252-Portfolios!B545, 0)</f>
        <v>0</v>
      </c>
    </row>
    <row r="546" spans="1:2">
      <c r="A546" s="11">
        <f>Returns!A546</f>
        <v>0</v>
      </c>
      <c r="B546" s="1">
        <f>MAX(Resume!B9/ 252-Portfolios!B546, 0)</f>
        <v>0</v>
      </c>
    </row>
    <row r="547" spans="1:2">
      <c r="A547" s="11">
        <f>Returns!A547</f>
        <v>0</v>
      </c>
      <c r="B547" s="1">
        <f>MAX(Resume!B9/ 252-Portfolios!B547, 0)</f>
        <v>0</v>
      </c>
    </row>
    <row r="548" spans="1:2">
      <c r="A548" s="11">
        <f>Returns!A548</f>
        <v>0</v>
      </c>
      <c r="B548" s="1">
        <f>MAX(Resume!B9/ 252-Portfolios!B548, 0)</f>
        <v>0</v>
      </c>
    </row>
    <row r="549" spans="1:2">
      <c r="A549" s="11">
        <f>Returns!A549</f>
        <v>0</v>
      </c>
      <c r="B549" s="1">
        <f>MAX(Resume!B9/ 252-Portfolios!B549, 0)</f>
        <v>0</v>
      </c>
    </row>
    <row r="550" spans="1:2">
      <c r="A550" s="11">
        <f>Returns!A550</f>
        <v>0</v>
      </c>
      <c r="B550" s="1">
        <f>MAX(Resume!B9/ 252-Portfolios!B550, 0)</f>
        <v>0</v>
      </c>
    </row>
    <row r="551" spans="1:2">
      <c r="A551" s="11">
        <f>Returns!A551</f>
        <v>0</v>
      </c>
      <c r="B551" s="1">
        <f>MAX(Resume!B9/ 252-Portfolios!B551, 0)</f>
        <v>0</v>
      </c>
    </row>
    <row r="552" spans="1:2">
      <c r="A552" s="11">
        <f>Returns!A552</f>
        <v>0</v>
      </c>
      <c r="B552" s="1">
        <f>MAX(Resume!B9/ 252-Portfolios!B552, 0)</f>
        <v>0</v>
      </c>
    </row>
    <row r="553" spans="1:2">
      <c r="A553" s="11">
        <f>Returns!A553</f>
        <v>0</v>
      </c>
      <c r="B553" s="1">
        <f>MAX(Resume!B9/ 252-Portfolios!B553, 0)</f>
        <v>0</v>
      </c>
    </row>
    <row r="554" spans="1:2">
      <c r="A554" s="11">
        <f>Returns!A554</f>
        <v>0</v>
      </c>
      <c r="B554" s="1">
        <f>MAX(Resume!B9/ 252-Portfolios!B554, 0)</f>
        <v>0</v>
      </c>
    </row>
    <row r="555" spans="1:2">
      <c r="A555" s="11">
        <f>Returns!A555</f>
        <v>0</v>
      </c>
      <c r="B555" s="1">
        <f>MAX(Resume!B9/ 252-Portfolios!B555, 0)</f>
        <v>0</v>
      </c>
    </row>
    <row r="556" spans="1:2">
      <c r="A556" s="11">
        <f>Returns!A556</f>
        <v>0</v>
      </c>
      <c r="B556" s="1">
        <f>MAX(Resume!B9/ 252-Portfolios!B556, 0)</f>
        <v>0</v>
      </c>
    </row>
    <row r="557" spans="1:2">
      <c r="A557" s="11">
        <f>Returns!A557</f>
        <v>0</v>
      </c>
      <c r="B557" s="1">
        <f>MAX(Resume!B9/ 252-Portfolios!B557, 0)</f>
        <v>0</v>
      </c>
    </row>
    <row r="558" spans="1:2">
      <c r="A558" s="11">
        <f>Returns!A558</f>
        <v>0</v>
      </c>
      <c r="B558" s="1">
        <f>MAX(Resume!B9/ 252-Portfolios!B558, 0)</f>
        <v>0</v>
      </c>
    </row>
    <row r="559" spans="1:2">
      <c r="A559" s="11">
        <f>Returns!A559</f>
        <v>0</v>
      </c>
      <c r="B559" s="1">
        <f>MAX(Resume!B9/ 252-Portfolios!B559, 0)</f>
        <v>0</v>
      </c>
    </row>
    <row r="560" spans="1:2">
      <c r="A560" s="11">
        <f>Returns!A560</f>
        <v>0</v>
      </c>
      <c r="B560" s="1">
        <f>MAX(Resume!B9/ 252-Portfolios!B560, 0)</f>
        <v>0</v>
      </c>
    </row>
    <row r="561" spans="1:2">
      <c r="A561" s="11">
        <f>Returns!A561</f>
        <v>0</v>
      </c>
      <c r="B561" s="1">
        <f>MAX(Resume!B9/ 252-Portfolios!B561, 0)</f>
        <v>0</v>
      </c>
    </row>
    <row r="562" spans="1:2">
      <c r="A562" s="11">
        <f>Returns!A562</f>
        <v>0</v>
      </c>
      <c r="B562" s="1">
        <f>MAX(Resume!B9/ 252-Portfolios!B562, 0)</f>
        <v>0</v>
      </c>
    </row>
    <row r="563" spans="1:2">
      <c r="A563" s="11">
        <f>Returns!A563</f>
        <v>0</v>
      </c>
      <c r="B563" s="1">
        <f>MAX(Resume!B9/ 252-Portfolios!B563, 0)</f>
        <v>0</v>
      </c>
    </row>
    <row r="564" spans="1:2">
      <c r="A564" s="11">
        <f>Returns!A564</f>
        <v>0</v>
      </c>
      <c r="B564" s="1">
        <f>MAX(Resume!B9/ 252-Portfolios!B564, 0)</f>
        <v>0</v>
      </c>
    </row>
    <row r="565" spans="1:2">
      <c r="A565" s="11">
        <f>Returns!A565</f>
        <v>0</v>
      </c>
      <c r="B565" s="1">
        <f>MAX(Resume!B9/ 252-Portfolios!B565, 0)</f>
        <v>0</v>
      </c>
    </row>
    <row r="566" spans="1:2">
      <c r="A566" s="11">
        <f>Returns!A566</f>
        <v>0</v>
      </c>
      <c r="B566" s="1">
        <f>MAX(Resume!B9/ 252-Portfolios!B566, 0)</f>
        <v>0</v>
      </c>
    </row>
    <row r="567" spans="1:2">
      <c r="A567" s="11">
        <f>Returns!A567</f>
        <v>0</v>
      </c>
      <c r="B567" s="1">
        <f>MAX(Resume!B9/ 252-Portfolios!B567, 0)</f>
        <v>0</v>
      </c>
    </row>
    <row r="568" spans="1:2">
      <c r="A568" s="11">
        <f>Returns!A568</f>
        <v>0</v>
      </c>
      <c r="B568" s="1">
        <f>MAX(Resume!B9/ 252-Portfolios!B568, 0)</f>
        <v>0</v>
      </c>
    </row>
    <row r="569" spans="1:2">
      <c r="A569" s="11">
        <f>Returns!A569</f>
        <v>0</v>
      </c>
      <c r="B569" s="1">
        <f>MAX(Resume!B9/ 252-Portfolios!B569, 0)</f>
        <v>0</v>
      </c>
    </row>
    <row r="570" spans="1:2">
      <c r="A570" s="11">
        <f>Returns!A570</f>
        <v>0</v>
      </c>
      <c r="B570" s="1">
        <f>MAX(Resume!B9/ 252-Portfolios!B570, 0)</f>
        <v>0</v>
      </c>
    </row>
    <row r="571" spans="1:2">
      <c r="A571" s="11">
        <f>Returns!A571</f>
        <v>0</v>
      </c>
      <c r="B571" s="1">
        <f>MAX(Resume!B9/ 252-Portfolios!B571, 0)</f>
        <v>0</v>
      </c>
    </row>
    <row r="572" spans="1:2">
      <c r="A572" s="11">
        <f>Returns!A572</f>
        <v>0</v>
      </c>
      <c r="B572" s="1">
        <f>MAX(Resume!B9/ 252-Portfolios!B572, 0)</f>
        <v>0</v>
      </c>
    </row>
    <row r="573" spans="1:2">
      <c r="A573" s="11">
        <f>Returns!A573</f>
        <v>0</v>
      </c>
      <c r="B573" s="1">
        <f>MAX(Resume!B9/ 252-Portfolios!B573, 0)</f>
        <v>0</v>
      </c>
    </row>
    <row r="574" spans="1:2">
      <c r="A574" s="11">
        <f>Returns!A574</f>
        <v>0</v>
      </c>
      <c r="B574" s="1">
        <f>MAX(Resume!B9/ 252-Portfolios!B574, 0)</f>
        <v>0</v>
      </c>
    </row>
    <row r="575" spans="1:2">
      <c r="A575" s="11">
        <f>Returns!A575</f>
        <v>0</v>
      </c>
      <c r="B575" s="1">
        <f>MAX(Resume!B9/ 252-Portfolios!B575, 0)</f>
        <v>0</v>
      </c>
    </row>
    <row r="576" spans="1:2">
      <c r="A576" s="11">
        <f>Returns!A576</f>
        <v>0</v>
      </c>
      <c r="B576" s="1">
        <f>MAX(Resume!B9/ 252-Portfolios!B576, 0)</f>
        <v>0</v>
      </c>
    </row>
    <row r="577" spans="1:2">
      <c r="A577" s="11">
        <f>Returns!A577</f>
        <v>0</v>
      </c>
      <c r="B577" s="1">
        <f>MAX(Resume!B9/ 252-Portfolios!B577, 0)</f>
        <v>0</v>
      </c>
    </row>
    <row r="578" spans="1:2">
      <c r="A578" s="11">
        <f>Returns!A578</f>
        <v>0</v>
      </c>
      <c r="B578" s="1">
        <f>MAX(Resume!B9/ 252-Portfolios!B578, 0)</f>
        <v>0</v>
      </c>
    </row>
    <row r="579" spans="1:2">
      <c r="A579" s="11">
        <f>Returns!A579</f>
        <v>0</v>
      </c>
      <c r="B579" s="1">
        <f>MAX(Resume!B9/ 252-Portfolios!B579, 0)</f>
        <v>0</v>
      </c>
    </row>
    <row r="580" spans="1:2">
      <c r="A580" s="11">
        <f>Returns!A580</f>
        <v>0</v>
      </c>
      <c r="B580" s="1">
        <f>MAX(Resume!B9/ 252-Portfolios!B580, 0)</f>
        <v>0</v>
      </c>
    </row>
    <row r="581" spans="1:2">
      <c r="A581" s="11">
        <f>Returns!A581</f>
        <v>0</v>
      </c>
      <c r="B581" s="1">
        <f>MAX(Resume!B9/ 252-Portfolios!B581, 0)</f>
        <v>0</v>
      </c>
    </row>
    <row r="582" spans="1:2">
      <c r="A582" s="11">
        <f>Returns!A582</f>
        <v>0</v>
      </c>
      <c r="B582" s="1">
        <f>MAX(Resume!B9/ 252-Portfolios!B582, 0)</f>
        <v>0</v>
      </c>
    </row>
    <row r="583" spans="1:2">
      <c r="A583" s="11">
        <f>Returns!A583</f>
        <v>0</v>
      </c>
      <c r="B583" s="1">
        <f>MAX(Resume!B9/ 252-Portfolios!B583, 0)</f>
        <v>0</v>
      </c>
    </row>
    <row r="584" spans="1:2">
      <c r="A584" s="11">
        <f>Returns!A584</f>
        <v>0</v>
      </c>
      <c r="B584" s="1">
        <f>MAX(Resume!B9/ 252-Portfolios!B584, 0)</f>
        <v>0</v>
      </c>
    </row>
    <row r="585" spans="1:2">
      <c r="A585" s="11">
        <f>Returns!A585</f>
        <v>0</v>
      </c>
      <c r="B585" s="1">
        <f>MAX(Resume!B9/ 252-Portfolios!B585, 0)</f>
        <v>0</v>
      </c>
    </row>
    <row r="586" spans="1:2">
      <c r="A586" s="11">
        <f>Returns!A586</f>
        <v>0</v>
      </c>
      <c r="B586" s="1">
        <f>MAX(Resume!B9/ 252-Portfolios!B586, 0)</f>
        <v>0</v>
      </c>
    </row>
    <row r="587" spans="1:2">
      <c r="A587" s="11">
        <f>Returns!A587</f>
        <v>0</v>
      </c>
      <c r="B587" s="1">
        <f>MAX(Resume!B9/ 252-Portfolios!B587, 0)</f>
        <v>0</v>
      </c>
    </row>
    <row r="588" spans="1:2">
      <c r="A588" s="11">
        <f>Returns!A588</f>
        <v>0</v>
      </c>
      <c r="B588" s="1">
        <f>MAX(Resume!B9/ 252-Portfolios!B588, 0)</f>
        <v>0</v>
      </c>
    </row>
    <row r="589" spans="1:2">
      <c r="A589" s="11">
        <f>Returns!A589</f>
        <v>0</v>
      </c>
      <c r="B589" s="1">
        <f>MAX(Resume!B9/ 252-Portfolios!B589, 0)</f>
        <v>0</v>
      </c>
    </row>
    <row r="590" spans="1:2">
      <c r="A590" s="11">
        <f>Returns!A590</f>
        <v>0</v>
      </c>
      <c r="B590" s="1">
        <f>MAX(Resume!B9/ 252-Portfolios!B590, 0)</f>
        <v>0</v>
      </c>
    </row>
    <row r="591" spans="1:2">
      <c r="A591" s="11">
        <f>Returns!A591</f>
        <v>0</v>
      </c>
      <c r="B591" s="1">
        <f>MAX(Resume!B9/ 252-Portfolios!B591, 0)</f>
        <v>0</v>
      </c>
    </row>
    <row r="592" spans="1:2">
      <c r="A592" s="11">
        <f>Returns!A592</f>
        <v>0</v>
      </c>
      <c r="B592" s="1">
        <f>MAX(Resume!B9/ 252-Portfolios!B592, 0)</f>
        <v>0</v>
      </c>
    </row>
    <row r="593" spans="1:2">
      <c r="A593" s="11">
        <f>Returns!A593</f>
        <v>0</v>
      </c>
      <c r="B593" s="1">
        <f>MAX(Resume!B9/ 252-Portfolios!B593, 0)</f>
        <v>0</v>
      </c>
    </row>
    <row r="594" spans="1:2">
      <c r="A594" s="11">
        <f>Returns!A594</f>
        <v>0</v>
      </c>
      <c r="B594" s="1">
        <f>MAX(Resume!B9/ 252-Portfolios!B594, 0)</f>
        <v>0</v>
      </c>
    </row>
    <row r="595" spans="1:2">
      <c r="A595" s="11">
        <f>Returns!A595</f>
        <v>0</v>
      </c>
      <c r="B595" s="1">
        <f>MAX(Resume!B9/ 252-Portfolios!B595, 0)</f>
        <v>0</v>
      </c>
    </row>
    <row r="596" spans="1:2">
      <c r="A596" s="11">
        <f>Returns!A596</f>
        <v>0</v>
      </c>
      <c r="B596" s="1">
        <f>MAX(Resume!B9/ 252-Portfolios!B596, 0)</f>
        <v>0</v>
      </c>
    </row>
    <row r="597" spans="1:2">
      <c r="A597" s="11">
        <f>Returns!A597</f>
        <v>0</v>
      </c>
      <c r="B597" s="1">
        <f>MAX(Resume!B9/ 252-Portfolios!B597, 0)</f>
        <v>0</v>
      </c>
    </row>
    <row r="598" spans="1:2">
      <c r="A598" s="11">
        <f>Returns!A598</f>
        <v>0</v>
      </c>
      <c r="B598" s="1">
        <f>MAX(Resume!B9/ 252-Portfolios!B598, 0)</f>
        <v>0</v>
      </c>
    </row>
    <row r="599" spans="1:2">
      <c r="A599" s="11">
        <f>Returns!A599</f>
        <v>0</v>
      </c>
      <c r="B599" s="1">
        <f>MAX(Resume!B9/ 252-Portfolios!B599, 0)</f>
        <v>0</v>
      </c>
    </row>
    <row r="600" spans="1:2">
      <c r="A600" s="11">
        <f>Returns!A600</f>
        <v>0</v>
      </c>
      <c r="B600" s="1">
        <f>MAX(Resume!B9/ 252-Portfolios!B600, 0)</f>
        <v>0</v>
      </c>
    </row>
    <row r="601" spans="1:2">
      <c r="A601" s="11">
        <f>Returns!A601</f>
        <v>0</v>
      </c>
      <c r="B601" s="1">
        <f>MAX(Resume!B9/ 252-Portfolios!B601, 0)</f>
        <v>0</v>
      </c>
    </row>
    <row r="602" spans="1:2">
      <c r="A602" s="11">
        <f>Returns!A602</f>
        <v>0</v>
      </c>
      <c r="B602" s="1">
        <f>MAX(Resume!B9/ 252-Portfolios!B602, 0)</f>
        <v>0</v>
      </c>
    </row>
    <row r="603" spans="1:2">
      <c r="A603" s="11">
        <f>Returns!A603</f>
        <v>0</v>
      </c>
      <c r="B603" s="1">
        <f>MAX(Resume!B9/ 252-Portfolios!B603, 0)</f>
        <v>0</v>
      </c>
    </row>
    <row r="604" spans="1:2">
      <c r="A604" s="11">
        <f>Returns!A604</f>
        <v>0</v>
      </c>
      <c r="B604" s="1">
        <f>MAX(Resume!B9/ 252-Portfolios!B604, 0)</f>
        <v>0</v>
      </c>
    </row>
    <row r="605" spans="1:2">
      <c r="A605" s="11">
        <f>Returns!A605</f>
        <v>0</v>
      </c>
      <c r="B605" s="1">
        <f>MAX(Resume!B9/ 252-Portfolios!B605, 0)</f>
        <v>0</v>
      </c>
    </row>
    <row r="606" spans="1:2">
      <c r="A606" s="11">
        <f>Returns!A606</f>
        <v>0</v>
      </c>
      <c r="B606" s="1">
        <f>MAX(Resume!B9/ 252-Portfolios!B606, 0)</f>
        <v>0</v>
      </c>
    </row>
    <row r="607" spans="1:2">
      <c r="A607" s="11">
        <f>Returns!A607</f>
        <v>0</v>
      </c>
      <c r="B607" s="1">
        <f>MAX(Resume!B9/ 252-Portfolios!B607, 0)</f>
        <v>0</v>
      </c>
    </row>
    <row r="608" spans="1:2">
      <c r="A608" s="11">
        <f>Returns!A608</f>
        <v>0</v>
      </c>
      <c r="B608" s="1">
        <f>MAX(Resume!B9/ 252-Portfolios!B608, 0)</f>
        <v>0</v>
      </c>
    </row>
    <row r="609" spans="1:2">
      <c r="A609" s="11">
        <f>Returns!A609</f>
        <v>0</v>
      </c>
      <c r="B609" s="1">
        <f>MAX(Resume!B9/ 252-Portfolios!B609, 0)</f>
        <v>0</v>
      </c>
    </row>
    <row r="610" spans="1:2">
      <c r="A610" s="11">
        <f>Returns!A610</f>
        <v>0</v>
      </c>
      <c r="B610" s="1">
        <f>MAX(Resume!B9/ 252-Portfolios!B610, 0)</f>
        <v>0</v>
      </c>
    </row>
    <row r="611" spans="1:2">
      <c r="A611" s="11">
        <f>Returns!A611</f>
        <v>0</v>
      </c>
      <c r="B611" s="1">
        <f>MAX(Resume!B9/ 252-Portfolios!B611, 0)</f>
        <v>0</v>
      </c>
    </row>
    <row r="612" spans="1:2">
      <c r="A612" s="11">
        <f>Returns!A612</f>
        <v>0</v>
      </c>
      <c r="B612" s="1">
        <f>MAX(Resume!B9/ 252-Portfolios!B612, 0)</f>
        <v>0</v>
      </c>
    </row>
    <row r="613" spans="1:2">
      <c r="A613" s="11">
        <f>Returns!A613</f>
        <v>0</v>
      </c>
      <c r="B613" s="1">
        <f>MAX(Resume!B9/ 252-Portfolios!B613, 0)</f>
        <v>0</v>
      </c>
    </row>
    <row r="614" spans="1:2">
      <c r="A614" s="11">
        <f>Returns!A614</f>
        <v>0</v>
      </c>
      <c r="B614" s="1">
        <f>MAX(Resume!B9/ 252-Portfolios!B614, 0)</f>
        <v>0</v>
      </c>
    </row>
    <row r="615" spans="1:2">
      <c r="A615" s="11">
        <f>Returns!A615</f>
        <v>0</v>
      </c>
      <c r="B615" s="1">
        <f>MAX(Resume!B9/ 252-Portfolios!B615, 0)</f>
        <v>0</v>
      </c>
    </row>
    <row r="616" spans="1:2">
      <c r="A616" s="11">
        <f>Returns!A616</f>
        <v>0</v>
      </c>
      <c r="B616" s="1">
        <f>MAX(Resume!B9/ 252-Portfolios!B616, 0)</f>
        <v>0</v>
      </c>
    </row>
    <row r="617" spans="1:2">
      <c r="A617" s="11">
        <f>Returns!A617</f>
        <v>0</v>
      </c>
      <c r="B617" s="1">
        <f>MAX(Resume!B9/ 252-Portfolios!B617, 0)</f>
        <v>0</v>
      </c>
    </row>
    <row r="618" spans="1:2">
      <c r="A618" s="11">
        <f>Returns!A618</f>
        <v>0</v>
      </c>
      <c r="B618" s="1">
        <f>MAX(Resume!B9/ 252-Portfolios!B618, 0)</f>
        <v>0</v>
      </c>
    </row>
    <row r="619" spans="1:2">
      <c r="A619" s="11">
        <f>Returns!A619</f>
        <v>0</v>
      </c>
      <c r="B619" s="1">
        <f>MAX(Resume!B9/ 252-Portfolios!B619, 0)</f>
        <v>0</v>
      </c>
    </row>
    <row r="620" spans="1:2">
      <c r="A620" s="11">
        <f>Returns!A620</f>
        <v>0</v>
      </c>
      <c r="B620" s="1">
        <f>MAX(Resume!B9/ 252-Portfolios!B620, 0)</f>
        <v>0</v>
      </c>
    </row>
    <row r="621" spans="1:2">
      <c r="A621" s="11">
        <f>Returns!A621</f>
        <v>0</v>
      </c>
      <c r="B621" s="1">
        <f>MAX(Resume!B9/ 252-Portfolios!B621, 0)</f>
        <v>0</v>
      </c>
    </row>
    <row r="622" spans="1:2">
      <c r="A622" s="11">
        <f>Returns!A622</f>
        <v>0</v>
      </c>
      <c r="B622" s="1">
        <f>MAX(Resume!B9/ 252-Portfolios!B622, 0)</f>
        <v>0</v>
      </c>
    </row>
    <row r="623" spans="1:2">
      <c r="A623" s="11">
        <f>Returns!A623</f>
        <v>0</v>
      </c>
      <c r="B623" s="1">
        <f>MAX(Resume!B9/ 252-Portfolios!B623, 0)</f>
        <v>0</v>
      </c>
    </row>
    <row r="624" spans="1:2">
      <c r="A624" s="11">
        <f>Returns!A624</f>
        <v>0</v>
      </c>
      <c r="B624" s="1">
        <f>MAX(Resume!B9/ 252-Portfolios!B624, 0)</f>
        <v>0</v>
      </c>
    </row>
    <row r="625" spans="1:2">
      <c r="A625" s="11">
        <f>Returns!A625</f>
        <v>0</v>
      </c>
      <c r="B625" s="1">
        <f>MAX(Resume!B9/ 252-Portfolios!B625, 0)</f>
        <v>0</v>
      </c>
    </row>
    <row r="626" spans="1:2">
      <c r="A626" s="11">
        <f>Returns!A626</f>
        <v>0</v>
      </c>
      <c r="B626" s="1">
        <f>MAX(Resume!B9/ 252-Portfolios!B626, 0)</f>
        <v>0</v>
      </c>
    </row>
    <row r="627" spans="1:2">
      <c r="A627" s="11">
        <f>Returns!A627</f>
        <v>0</v>
      </c>
      <c r="B627" s="1">
        <f>MAX(Resume!B9/ 252-Portfolios!B627, 0)</f>
        <v>0</v>
      </c>
    </row>
    <row r="628" spans="1:2">
      <c r="A628" s="11">
        <f>Returns!A628</f>
        <v>0</v>
      </c>
      <c r="B628" s="1">
        <f>MAX(Resume!B9/ 252-Portfolios!B628, 0)</f>
        <v>0</v>
      </c>
    </row>
    <row r="629" spans="1:2">
      <c r="A629" s="11">
        <f>Returns!A629</f>
        <v>0</v>
      </c>
      <c r="B629" s="1">
        <f>MAX(Resume!B9/ 252-Portfolios!B629, 0)</f>
        <v>0</v>
      </c>
    </row>
    <row r="630" spans="1:2">
      <c r="A630" s="11">
        <f>Returns!A630</f>
        <v>0</v>
      </c>
      <c r="B630" s="1">
        <f>MAX(Resume!B9/ 252-Portfolios!B630, 0)</f>
        <v>0</v>
      </c>
    </row>
    <row r="631" spans="1:2">
      <c r="A631" s="11">
        <f>Returns!A631</f>
        <v>0</v>
      </c>
      <c r="B631" s="1">
        <f>MAX(Resume!B9/ 252-Portfolios!B631, 0)</f>
        <v>0</v>
      </c>
    </row>
    <row r="632" spans="1:2">
      <c r="A632" s="11">
        <f>Returns!A632</f>
        <v>0</v>
      </c>
      <c r="B632" s="1">
        <f>MAX(Resume!B9/ 252-Portfolios!B632, 0)</f>
        <v>0</v>
      </c>
    </row>
    <row r="633" spans="1:2">
      <c r="A633" s="11">
        <f>Returns!A633</f>
        <v>0</v>
      </c>
      <c r="B633" s="1">
        <f>MAX(Resume!B9/ 252-Portfolios!B633, 0)</f>
        <v>0</v>
      </c>
    </row>
    <row r="634" spans="1:2">
      <c r="A634" s="11">
        <f>Returns!A634</f>
        <v>0</v>
      </c>
      <c r="B634" s="1">
        <f>MAX(Resume!B9/ 252-Portfolios!B634, 0)</f>
        <v>0</v>
      </c>
    </row>
    <row r="635" spans="1:2">
      <c r="A635" s="11">
        <f>Returns!A635</f>
        <v>0</v>
      </c>
      <c r="B635" s="1">
        <f>MAX(Resume!B9/ 252-Portfolios!B635, 0)</f>
        <v>0</v>
      </c>
    </row>
    <row r="636" spans="1:2">
      <c r="A636" s="11">
        <f>Returns!A636</f>
        <v>0</v>
      </c>
      <c r="B636" s="1">
        <f>MAX(Resume!B9/ 252-Portfolios!B636, 0)</f>
        <v>0</v>
      </c>
    </row>
    <row r="637" spans="1:2">
      <c r="A637" s="11">
        <f>Returns!A637</f>
        <v>0</v>
      </c>
      <c r="B637" s="1">
        <f>MAX(Resume!B9/ 252-Portfolios!B637, 0)</f>
        <v>0</v>
      </c>
    </row>
    <row r="638" spans="1:2">
      <c r="A638" s="11">
        <f>Returns!A638</f>
        <v>0</v>
      </c>
      <c r="B638" s="1">
        <f>MAX(Resume!B9/ 252-Portfolios!B638, 0)</f>
        <v>0</v>
      </c>
    </row>
    <row r="639" spans="1:2">
      <c r="A639" s="11">
        <f>Returns!A639</f>
        <v>0</v>
      </c>
      <c r="B639" s="1">
        <f>MAX(Resume!B9/ 252-Portfolios!B639, 0)</f>
        <v>0</v>
      </c>
    </row>
    <row r="640" spans="1:2">
      <c r="A640" s="11">
        <f>Returns!A640</f>
        <v>0</v>
      </c>
      <c r="B640" s="1">
        <f>MAX(Resume!B9/ 252-Portfolios!B640, 0)</f>
        <v>0</v>
      </c>
    </row>
    <row r="641" spans="1:2">
      <c r="A641" s="11">
        <f>Returns!A641</f>
        <v>0</v>
      </c>
      <c r="B641" s="1">
        <f>MAX(Resume!B9/ 252-Portfolios!B641, 0)</f>
        <v>0</v>
      </c>
    </row>
    <row r="642" spans="1:2">
      <c r="A642" s="11">
        <f>Returns!A642</f>
        <v>0</v>
      </c>
      <c r="B642" s="1">
        <f>MAX(Resume!B9/ 252-Portfolios!B642, 0)</f>
        <v>0</v>
      </c>
    </row>
    <row r="643" spans="1:2">
      <c r="A643" s="11">
        <f>Returns!A643</f>
        <v>0</v>
      </c>
      <c r="B643" s="1">
        <f>MAX(Resume!B9/ 252-Portfolios!B643, 0)</f>
        <v>0</v>
      </c>
    </row>
    <row r="644" spans="1:2">
      <c r="A644" s="11">
        <f>Returns!A644</f>
        <v>0</v>
      </c>
      <c r="B644" s="1">
        <f>MAX(Resume!B9/ 252-Portfolios!B644, 0)</f>
        <v>0</v>
      </c>
    </row>
    <row r="645" spans="1:2">
      <c r="A645" s="11">
        <f>Returns!A645</f>
        <v>0</v>
      </c>
      <c r="B645" s="1">
        <f>MAX(Resume!B9/ 252-Portfolios!B645, 0)</f>
        <v>0</v>
      </c>
    </row>
    <row r="646" spans="1:2">
      <c r="A646" s="11">
        <f>Returns!A646</f>
        <v>0</v>
      </c>
      <c r="B646" s="1">
        <f>MAX(Resume!B9/ 252-Portfolios!B646, 0)</f>
        <v>0</v>
      </c>
    </row>
    <row r="647" spans="1:2">
      <c r="A647" s="11">
        <f>Returns!A647</f>
        <v>0</v>
      </c>
      <c r="B647" s="1">
        <f>MAX(Resume!B9/ 252-Portfolios!B647, 0)</f>
        <v>0</v>
      </c>
    </row>
    <row r="648" spans="1:2">
      <c r="A648" s="11">
        <f>Returns!A648</f>
        <v>0</v>
      </c>
      <c r="B648" s="1">
        <f>MAX(Resume!B9/ 252-Portfolios!B648, 0)</f>
        <v>0</v>
      </c>
    </row>
    <row r="649" spans="1:2">
      <c r="A649" s="11">
        <f>Returns!A649</f>
        <v>0</v>
      </c>
      <c r="B649" s="1">
        <f>MAX(Resume!B9/ 252-Portfolios!B649, 0)</f>
        <v>0</v>
      </c>
    </row>
    <row r="650" spans="1:2">
      <c r="A650" s="11">
        <f>Returns!A650</f>
        <v>0</v>
      </c>
      <c r="B650" s="1">
        <f>MAX(Resume!B9/ 252-Portfolios!B650, 0)</f>
        <v>0</v>
      </c>
    </row>
    <row r="651" spans="1:2">
      <c r="A651" s="11">
        <f>Returns!A651</f>
        <v>0</v>
      </c>
      <c r="B651" s="1">
        <f>MAX(Resume!B9/ 252-Portfolios!B651, 0)</f>
        <v>0</v>
      </c>
    </row>
    <row r="652" spans="1:2">
      <c r="A652" s="11">
        <f>Returns!A652</f>
        <v>0</v>
      </c>
      <c r="B652" s="1">
        <f>MAX(Resume!B9/ 252-Portfolios!B652, 0)</f>
        <v>0</v>
      </c>
    </row>
    <row r="653" spans="1:2">
      <c r="A653" s="11">
        <f>Returns!A653</f>
        <v>0</v>
      </c>
      <c r="B653" s="1">
        <f>MAX(Resume!B9/ 252-Portfolios!B653, 0)</f>
        <v>0</v>
      </c>
    </row>
    <row r="654" spans="1:2">
      <c r="A654" s="11">
        <f>Returns!A654</f>
        <v>0</v>
      </c>
      <c r="B654" s="1">
        <f>MAX(Resume!B9/ 252-Portfolios!B654, 0)</f>
        <v>0</v>
      </c>
    </row>
    <row r="655" spans="1:2">
      <c r="A655" s="11">
        <f>Returns!A655</f>
        <v>0</v>
      </c>
      <c r="B655" s="1">
        <f>MAX(Resume!B9/ 252-Portfolios!B655, 0)</f>
        <v>0</v>
      </c>
    </row>
    <row r="656" spans="1:2">
      <c r="A656" s="11">
        <f>Returns!A656</f>
        <v>0</v>
      </c>
      <c r="B656" s="1">
        <f>MAX(Resume!B9/ 252-Portfolios!B656, 0)</f>
        <v>0</v>
      </c>
    </row>
    <row r="657" spans="1:2">
      <c r="A657" s="11">
        <f>Returns!A657</f>
        <v>0</v>
      </c>
      <c r="B657" s="1">
        <f>MAX(Resume!B9/ 252-Portfolios!B657, 0)</f>
        <v>0</v>
      </c>
    </row>
    <row r="658" spans="1:2">
      <c r="A658" s="11">
        <f>Returns!A658</f>
        <v>0</v>
      </c>
      <c r="B658" s="1">
        <f>MAX(Resume!B9/ 252-Portfolios!B658, 0)</f>
        <v>0</v>
      </c>
    </row>
    <row r="659" spans="1:2">
      <c r="A659" s="11">
        <f>Returns!A659</f>
        <v>0</v>
      </c>
      <c r="B659" s="1">
        <f>MAX(Resume!B9/ 252-Portfolios!B659, 0)</f>
        <v>0</v>
      </c>
    </row>
    <row r="660" spans="1:2">
      <c r="A660" s="11">
        <f>Returns!A660</f>
        <v>0</v>
      </c>
      <c r="B660" s="1">
        <f>MAX(Resume!B9/ 252-Portfolios!B660, 0)</f>
        <v>0</v>
      </c>
    </row>
    <row r="661" spans="1:2">
      <c r="A661" s="11">
        <f>Returns!A661</f>
        <v>0</v>
      </c>
      <c r="B661" s="1">
        <f>MAX(Resume!B9/ 252-Portfolios!B661, 0)</f>
        <v>0</v>
      </c>
    </row>
    <row r="662" spans="1:2">
      <c r="A662" s="11">
        <f>Returns!A662</f>
        <v>0</v>
      </c>
      <c r="B662" s="1">
        <f>MAX(Resume!B9/ 252-Portfolios!B662, 0)</f>
        <v>0</v>
      </c>
    </row>
    <row r="663" spans="1:2">
      <c r="A663" s="11">
        <f>Returns!A663</f>
        <v>0</v>
      </c>
      <c r="B663" s="1">
        <f>MAX(Resume!B9/ 252-Portfolios!B663, 0)</f>
        <v>0</v>
      </c>
    </row>
    <row r="664" spans="1:2">
      <c r="A664" s="11">
        <f>Returns!A664</f>
        <v>0</v>
      </c>
      <c r="B664" s="1">
        <f>MAX(Resume!B9/ 252-Portfolios!B664, 0)</f>
        <v>0</v>
      </c>
    </row>
    <row r="665" spans="1:2">
      <c r="A665" s="11">
        <f>Returns!A665</f>
        <v>0</v>
      </c>
      <c r="B665" s="1">
        <f>MAX(Resume!B9/ 252-Portfolios!B665, 0)</f>
        <v>0</v>
      </c>
    </row>
    <row r="666" spans="1:2">
      <c r="A666" s="11">
        <f>Returns!A666</f>
        <v>0</v>
      </c>
      <c r="B666" s="1">
        <f>MAX(Resume!B9/ 252-Portfolios!B666, 0)</f>
        <v>0</v>
      </c>
    </row>
    <row r="667" spans="1:2">
      <c r="A667" s="11">
        <f>Returns!A667</f>
        <v>0</v>
      </c>
      <c r="B667" s="1">
        <f>MAX(Resume!B9/ 252-Portfolios!B667, 0)</f>
        <v>0</v>
      </c>
    </row>
    <row r="668" spans="1:2">
      <c r="A668" s="11">
        <f>Returns!A668</f>
        <v>0</v>
      </c>
      <c r="B668" s="1">
        <f>MAX(Resume!B9/ 252-Portfolios!B668, 0)</f>
        <v>0</v>
      </c>
    </row>
    <row r="669" spans="1:2">
      <c r="A669" s="11">
        <f>Returns!A669</f>
        <v>0</v>
      </c>
      <c r="B669" s="1">
        <f>MAX(Resume!B9/ 252-Portfolios!B669, 0)</f>
        <v>0</v>
      </c>
    </row>
    <row r="670" spans="1:2">
      <c r="A670" s="11">
        <f>Returns!A670</f>
        <v>0</v>
      </c>
      <c r="B670" s="1">
        <f>MAX(Resume!B9/ 252-Portfolios!B670, 0)</f>
        <v>0</v>
      </c>
    </row>
    <row r="671" spans="1:2">
      <c r="A671" s="11">
        <f>Returns!A671</f>
        <v>0</v>
      </c>
      <c r="B671" s="1">
        <f>MAX(Resume!B9/ 252-Portfolios!B671, 0)</f>
        <v>0</v>
      </c>
    </row>
    <row r="672" spans="1:2">
      <c r="A672" s="11">
        <f>Returns!A672</f>
        <v>0</v>
      </c>
      <c r="B672" s="1">
        <f>MAX(Resume!B9/ 252-Portfolios!B672, 0)</f>
        <v>0</v>
      </c>
    </row>
    <row r="673" spans="1:2">
      <c r="A673" s="11">
        <f>Returns!A673</f>
        <v>0</v>
      </c>
      <c r="B673" s="1">
        <f>MAX(Resume!B9/ 252-Portfolios!B673, 0)</f>
        <v>0</v>
      </c>
    </row>
    <row r="674" spans="1:2">
      <c r="A674" s="11">
        <f>Returns!A674</f>
        <v>0</v>
      </c>
      <c r="B674" s="1">
        <f>MAX(Resume!B9/ 252-Portfolios!B674, 0)</f>
        <v>0</v>
      </c>
    </row>
    <row r="675" spans="1:2">
      <c r="A675" s="11">
        <f>Returns!A675</f>
        <v>0</v>
      </c>
      <c r="B675" s="1">
        <f>MAX(Resume!B9/ 252-Portfolios!B675, 0)</f>
        <v>0</v>
      </c>
    </row>
    <row r="676" spans="1:2">
      <c r="A676" s="11">
        <f>Returns!A676</f>
        <v>0</v>
      </c>
      <c r="B676" s="1">
        <f>MAX(Resume!B9/ 252-Portfolios!B676, 0)</f>
        <v>0</v>
      </c>
    </row>
    <row r="677" spans="1:2">
      <c r="A677" s="11">
        <f>Returns!A677</f>
        <v>0</v>
      </c>
      <c r="B677" s="1">
        <f>MAX(Resume!B9/ 252-Portfolios!B677, 0)</f>
        <v>0</v>
      </c>
    </row>
    <row r="678" spans="1:2">
      <c r="A678" s="11">
        <f>Returns!A678</f>
        <v>0</v>
      </c>
      <c r="B678" s="1">
        <f>MAX(Resume!B9/ 252-Portfolios!B678, 0)</f>
        <v>0</v>
      </c>
    </row>
    <row r="679" spans="1:2">
      <c r="A679" s="11">
        <f>Returns!A679</f>
        <v>0</v>
      </c>
      <c r="B679" s="1">
        <f>MAX(Resume!B9/ 252-Portfolios!B679, 0)</f>
        <v>0</v>
      </c>
    </row>
    <row r="680" spans="1:2">
      <c r="A680" s="11">
        <f>Returns!A680</f>
        <v>0</v>
      </c>
      <c r="B680" s="1">
        <f>MAX(Resume!B9/ 252-Portfolios!B680, 0)</f>
        <v>0</v>
      </c>
    </row>
    <row r="681" spans="1:2">
      <c r="A681" s="11">
        <f>Returns!A681</f>
        <v>0</v>
      </c>
      <c r="B681" s="1">
        <f>MAX(Resume!B9/ 252-Portfolios!B681, 0)</f>
        <v>0</v>
      </c>
    </row>
    <row r="682" spans="1:2">
      <c r="A682" s="11">
        <f>Returns!A682</f>
        <v>0</v>
      </c>
      <c r="B682" s="1">
        <f>MAX(Resume!B9/ 252-Portfolios!B682, 0)</f>
        <v>0</v>
      </c>
    </row>
    <row r="683" spans="1:2">
      <c r="A683" s="11">
        <f>Returns!A683</f>
        <v>0</v>
      </c>
      <c r="B683" s="1">
        <f>MAX(Resume!B9/ 252-Portfolios!B683, 0)</f>
        <v>0</v>
      </c>
    </row>
    <row r="684" spans="1:2">
      <c r="A684" s="11">
        <f>Returns!A684</f>
        <v>0</v>
      </c>
      <c r="B684" s="1">
        <f>MAX(Resume!B9/ 252-Portfolios!B684, 0)</f>
        <v>0</v>
      </c>
    </row>
    <row r="685" spans="1:2">
      <c r="A685" s="11">
        <f>Returns!A685</f>
        <v>0</v>
      </c>
      <c r="B685" s="1">
        <f>MAX(Resume!B9/ 252-Portfolios!B685, 0)</f>
        <v>0</v>
      </c>
    </row>
    <row r="686" spans="1:2">
      <c r="A686" s="11">
        <f>Returns!A686</f>
        <v>0</v>
      </c>
      <c r="B686" s="1">
        <f>MAX(Resume!B9/ 252-Portfolios!B686, 0)</f>
        <v>0</v>
      </c>
    </row>
    <row r="687" spans="1:2">
      <c r="A687" s="11">
        <f>Returns!A687</f>
        <v>0</v>
      </c>
      <c r="B687" s="1">
        <f>MAX(Resume!B9/ 252-Portfolios!B687, 0)</f>
        <v>0</v>
      </c>
    </row>
    <row r="688" spans="1:2">
      <c r="A688" s="11">
        <f>Returns!A688</f>
        <v>0</v>
      </c>
      <c r="B688" s="1">
        <f>MAX(Resume!B9/ 252-Portfolios!B688, 0)</f>
        <v>0</v>
      </c>
    </row>
    <row r="689" spans="1:2">
      <c r="A689" s="11">
        <f>Returns!A689</f>
        <v>0</v>
      </c>
      <c r="B689" s="1">
        <f>MAX(Resume!B9/ 252-Portfolios!B689, 0)</f>
        <v>0</v>
      </c>
    </row>
    <row r="690" spans="1:2">
      <c r="A690" s="11">
        <f>Returns!A690</f>
        <v>0</v>
      </c>
      <c r="B690" s="1">
        <f>MAX(Resume!B9/ 252-Portfolios!B690, 0)</f>
        <v>0</v>
      </c>
    </row>
    <row r="691" spans="1:2">
      <c r="A691" s="11">
        <f>Returns!A691</f>
        <v>0</v>
      </c>
      <c r="B691" s="1">
        <f>MAX(Resume!B9/ 252-Portfolios!B691, 0)</f>
        <v>0</v>
      </c>
    </row>
    <row r="692" spans="1:2">
      <c r="A692" s="11">
        <f>Returns!A692</f>
        <v>0</v>
      </c>
      <c r="B692" s="1">
        <f>MAX(Resume!B9/ 252-Portfolios!B692, 0)</f>
        <v>0</v>
      </c>
    </row>
    <row r="693" spans="1:2">
      <c r="A693" s="11">
        <f>Returns!A693</f>
        <v>0</v>
      </c>
      <c r="B693" s="1">
        <f>MAX(Resume!B9/ 252-Portfolios!B693, 0)</f>
        <v>0</v>
      </c>
    </row>
    <row r="694" spans="1:2">
      <c r="A694" s="11">
        <f>Returns!A694</f>
        <v>0</v>
      </c>
      <c r="B694" s="1">
        <f>MAX(Resume!B9/ 252-Portfolios!B694, 0)</f>
        <v>0</v>
      </c>
    </row>
    <row r="695" spans="1:2">
      <c r="A695" s="11">
        <f>Returns!A695</f>
        <v>0</v>
      </c>
      <c r="B695" s="1">
        <f>MAX(Resume!B9/ 252-Portfolios!B695, 0)</f>
        <v>0</v>
      </c>
    </row>
    <row r="696" spans="1:2">
      <c r="A696" s="11">
        <f>Returns!A696</f>
        <v>0</v>
      </c>
      <c r="B696" s="1">
        <f>MAX(Resume!B9/ 252-Portfolios!B696, 0)</f>
        <v>0</v>
      </c>
    </row>
    <row r="697" spans="1:2">
      <c r="A697" s="11">
        <f>Returns!A697</f>
        <v>0</v>
      </c>
      <c r="B697" s="1">
        <f>MAX(Resume!B9/ 252-Portfolios!B697, 0)</f>
        <v>0</v>
      </c>
    </row>
    <row r="698" spans="1:2">
      <c r="A698" s="11">
        <f>Returns!A698</f>
        <v>0</v>
      </c>
      <c r="B698" s="1">
        <f>MAX(Resume!B9/ 252-Portfolios!B698, 0)</f>
        <v>0</v>
      </c>
    </row>
    <row r="699" spans="1:2">
      <c r="A699" s="11">
        <f>Returns!A699</f>
        <v>0</v>
      </c>
      <c r="B699" s="1">
        <f>MAX(Resume!B9/ 252-Portfolios!B699, 0)</f>
        <v>0</v>
      </c>
    </row>
    <row r="700" spans="1:2">
      <c r="A700" s="11">
        <f>Returns!A700</f>
        <v>0</v>
      </c>
      <c r="B700" s="1">
        <f>MAX(Resume!B9/ 252-Portfolios!B700, 0)</f>
        <v>0</v>
      </c>
    </row>
    <row r="701" spans="1:2">
      <c r="A701" s="11">
        <f>Returns!A701</f>
        <v>0</v>
      </c>
      <c r="B701" s="1">
        <f>MAX(Resume!B9/ 252-Portfolios!B701, 0)</f>
        <v>0</v>
      </c>
    </row>
    <row r="702" spans="1:2">
      <c r="A702" s="11">
        <f>Returns!A702</f>
        <v>0</v>
      </c>
      <c r="B702" s="1">
        <f>MAX(Resume!B9/ 252-Portfolios!B702, 0)</f>
        <v>0</v>
      </c>
    </row>
    <row r="703" spans="1:2">
      <c r="A703" s="11">
        <f>Returns!A703</f>
        <v>0</v>
      </c>
      <c r="B703" s="1">
        <f>MAX(Resume!B9/ 252-Portfolios!B703, 0)</f>
        <v>0</v>
      </c>
    </row>
    <row r="704" spans="1:2">
      <c r="A704" s="11">
        <f>Returns!A704</f>
        <v>0</v>
      </c>
      <c r="B704" s="1">
        <f>MAX(Resume!B9/ 252-Portfolios!B704, 0)</f>
        <v>0</v>
      </c>
    </row>
    <row r="705" spans="1:2">
      <c r="A705" s="11">
        <f>Returns!A705</f>
        <v>0</v>
      </c>
      <c r="B705" s="1">
        <f>MAX(Resume!B9/ 252-Portfolios!B705, 0)</f>
        <v>0</v>
      </c>
    </row>
    <row r="706" spans="1:2">
      <c r="A706" s="11">
        <f>Returns!A706</f>
        <v>0</v>
      </c>
      <c r="B706" s="1">
        <f>MAX(Resume!B9/ 252-Portfolios!B706, 0)</f>
        <v>0</v>
      </c>
    </row>
    <row r="707" spans="1:2">
      <c r="A707" s="11">
        <f>Returns!A707</f>
        <v>0</v>
      </c>
      <c r="B707" s="1">
        <f>MAX(Resume!B9/ 252-Portfolios!B707, 0)</f>
        <v>0</v>
      </c>
    </row>
    <row r="708" spans="1:2">
      <c r="A708" s="11">
        <f>Returns!A708</f>
        <v>0</v>
      </c>
      <c r="B708" s="1">
        <f>MAX(Resume!B9/ 252-Portfolios!B708, 0)</f>
        <v>0</v>
      </c>
    </row>
    <row r="709" spans="1:2">
      <c r="A709" s="11">
        <f>Returns!A709</f>
        <v>0</v>
      </c>
      <c r="B709" s="1">
        <f>MAX(Resume!B9/ 252-Portfolios!B709, 0)</f>
        <v>0</v>
      </c>
    </row>
    <row r="710" spans="1:2">
      <c r="A710" s="11">
        <f>Returns!A710</f>
        <v>0</v>
      </c>
      <c r="B710" s="1">
        <f>MAX(Resume!B9/ 252-Portfolios!B710, 0)</f>
        <v>0</v>
      </c>
    </row>
    <row r="711" spans="1:2">
      <c r="A711" s="11">
        <f>Returns!A711</f>
        <v>0</v>
      </c>
      <c r="B711" s="1">
        <f>MAX(Resume!B9/ 252-Portfolios!B711, 0)</f>
        <v>0</v>
      </c>
    </row>
    <row r="712" spans="1:2">
      <c r="A712" s="11">
        <f>Returns!A712</f>
        <v>0</v>
      </c>
      <c r="B712" s="1">
        <f>MAX(Resume!B9/ 252-Portfolios!B712, 0)</f>
        <v>0</v>
      </c>
    </row>
    <row r="713" spans="1:2">
      <c r="A713" s="11">
        <f>Returns!A713</f>
        <v>0</v>
      </c>
      <c r="B713" s="1">
        <f>MAX(Resume!B9/ 252-Portfolios!B713, 0)</f>
        <v>0</v>
      </c>
    </row>
    <row r="714" spans="1:2">
      <c r="A714" s="11">
        <f>Returns!A714</f>
        <v>0</v>
      </c>
      <c r="B714" s="1">
        <f>MAX(Resume!B9/ 252-Portfolios!B714, 0)</f>
        <v>0</v>
      </c>
    </row>
    <row r="715" spans="1:2">
      <c r="A715" s="11">
        <f>Returns!A715</f>
        <v>0</v>
      </c>
      <c r="B715" s="1">
        <f>MAX(Resume!B9/ 252-Portfolios!B715, 0)</f>
        <v>0</v>
      </c>
    </row>
    <row r="716" spans="1:2">
      <c r="A716" s="11">
        <f>Returns!A716</f>
        <v>0</v>
      </c>
      <c r="B716" s="1">
        <f>MAX(Resume!B9/ 252-Portfolios!B716, 0)</f>
        <v>0</v>
      </c>
    </row>
    <row r="717" spans="1:2">
      <c r="A717" s="11">
        <f>Returns!A717</f>
        <v>0</v>
      </c>
      <c r="B717" s="1">
        <f>MAX(Resume!B9/ 252-Portfolios!B717, 0)</f>
        <v>0</v>
      </c>
    </row>
    <row r="718" spans="1:2">
      <c r="A718" s="11">
        <f>Returns!A718</f>
        <v>0</v>
      </c>
      <c r="B718" s="1">
        <f>MAX(Resume!B9/ 252-Portfolios!B718, 0)</f>
        <v>0</v>
      </c>
    </row>
    <row r="719" spans="1:2">
      <c r="A719" s="11">
        <f>Returns!A719</f>
        <v>0</v>
      </c>
      <c r="B719" s="1">
        <f>MAX(Resume!B9/ 252-Portfolios!B719, 0)</f>
        <v>0</v>
      </c>
    </row>
    <row r="720" spans="1:2">
      <c r="A720" s="11">
        <f>Returns!A720</f>
        <v>0</v>
      </c>
      <c r="B720" s="1">
        <f>MAX(Resume!B9/ 252-Portfolios!B720, 0)</f>
        <v>0</v>
      </c>
    </row>
    <row r="721" spans="1:2">
      <c r="A721" s="11">
        <f>Returns!A721</f>
        <v>0</v>
      </c>
      <c r="B721" s="1">
        <f>MAX(Resume!B9/ 252-Portfolios!B721, 0)</f>
        <v>0</v>
      </c>
    </row>
    <row r="722" spans="1:2">
      <c r="A722" s="11">
        <f>Returns!A722</f>
        <v>0</v>
      </c>
      <c r="B722" s="1">
        <f>MAX(Resume!B9/ 252-Portfolios!B722, 0)</f>
        <v>0</v>
      </c>
    </row>
    <row r="723" spans="1:2">
      <c r="A723" s="11">
        <f>Returns!A723</f>
        <v>0</v>
      </c>
      <c r="B723" s="1">
        <f>MAX(Resume!B9/ 252-Portfolios!B723, 0)</f>
        <v>0</v>
      </c>
    </row>
    <row r="724" spans="1:2">
      <c r="A724" s="11">
        <f>Returns!A724</f>
        <v>0</v>
      </c>
      <c r="B724" s="1">
        <f>MAX(Resume!B9/ 252-Portfolios!B724, 0)</f>
        <v>0</v>
      </c>
    </row>
    <row r="725" spans="1:2">
      <c r="A725" s="11">
        <f>Returns!A725</f>
        <v>0</v>
      </c>
      <c r="B725" s="1">
        <f>MAX(Resume!B9/ 252-Portfolios!B725, 0)</f>
        <v>0</v>
      </c>
    </row>
    <row r="726" spans="1:2">
      <c r="A726" s="11">
        <f>Returns!A726</f>
        <v>0</v>
      </c>
      <c r="B726" s="1">
        <f>MAX(Resume!B9/ 252-Portfolios!B726, 0)</f>
        <v>0</v>
      </c>
    </row>
    <row r="727" spans="1:2">
      <c r="A727" s="11">
        <f>Returns!A727</f>
        <v>0</v>
      </c>
      <c r="B727" s="1">
        <f>MAX(Resume!B9/ 252-Portfolios!B727, 0)</f>
        <v>0</v>
      </c>
    </row>
    <row r="728" spans="1:2">
      <c r="A728" s="11">
        <f>Returns!A728</f>
        <v>0</v>
      </c>
      <c r="B728" s="1">
        <f>MAX(Resume!B9/ 252-Portfolios!B728, 0)</f>
        <v>0</v>
      </c>
    </row>
    <row r="729" spans="1:2">
      <c r="A729" s="11">
        <f>Returns!A729</f>
        <v>0</v>
      </c>
      <c r="B729" s="1">
        <f>MAX(Resume!B9/ 252-Portfolios!B729, 0)</f>
        <v>0</v>
      </c>
    </row>
    <row r="730" spans="1:2">
      <c r="A730" s="11">
        <f>Returns!A730</f>
        <v>0</v>
      </c>
      <c r="B730" s="1">
        <f>MAX(Resume!B9/ 252-Portfolios!B730, 0)</f>
        <v>0</v>
      </c>
    </row>
    <row r="731" spans="1:2">
      <c r="A731" s="11">
        <f>Returns!A731</f>
        <v>0</v>
      </c>
      <c r="B731" s="1">
        <f>MAX(Resume!B9/ 252-Portfolios!B731, 0)</f>
        <v>0</v>
      </c>
    </row>
    <row r="732" spans="1:2">
      <c r="A732" s="11">
        <f>Returns!A732</f>
        <v>0</v>
      </c>
      <c r="B732" s="1">
        <f>MAX(Resume!B9/ 252-Portfolios!B732, 0)</f>
        <v>0</v>
      </c>
    </row>
    <row r="733" spans="1:2">
      <c r="A733" s="11">
        <f>Returns!A733</f>
        <v>0</v>
      </c>
      <c r="B733" s="1">
        <f>MAX(Resume!B9/ 252-Portfolios!B733, 0)</f>
        <v>0</v>
      </c>
    </row>
    <row r="734" spans="1:2">
      <c r="A734" s="11">
        <f>Returns!A734</f>
        <v>0</v>
      </c>
      <c r="B734" s="1">
        <f>MAX(Resume!B9/ 252-Portfolios!B734, 0)</f>
        <v>0</v>
      </c>
    </row>
    <row r="735" spans="1:2">
      <c r="A735" s="11">
        <f>Returns!A735</f>
        <v>0</v>
      </c>
      <c r="B735" s="1">
        <f>MAX(Resume!B9/ 252-Portfolios!B735, 0)</f>
        <v>0</v>
      </c>
    </row>
    <row r="736" spans="1:2">
      <c r="A736" s="11">
        <f>Returns!A736</f>
        <v>0</v>
      </c>
      <c r="B736" s="1">
        <f>MAX(Resume!B9/ 252-Portfolios!B736, 0)</f>
        <v>0</v>
      </c>
    </row>
    <row r="737" spans="1:2">
      <c r="A737" s="11">
        <f>Returns!A737</f>
        <v>0</v>
      </c>
      <c r="B737" s="1">
        <f>MAX(Resume!B9/ 252-Portfolios!B737, 0)</f>
        <v>0</v>
      </c>
    </row>
    <row r="738" spans="1:2">
      <c r="A738" s="11">
        <f>Returns!A738</f>
        <v>0</v>
      </c>
      <c r="B738" s="1">
        <f>MAX(Resume!B9/ 252-Portfolios!B738, 0)</f>
        <v>0</v>
      </c>
    </row>
    <row r="739" spans="1:2">
      <c r="A739" s="11">
        <f>Returns!A739</f>
        <v>0</v>
      </c>
      <c r="B739" s="1">
        <f>MAX(Resume!B9/ 252-Portfolios!B739, 0)</f>
        <v>0</v>
      </c>
    </row>
    <row r="740" spans="1:2">
      <c r="A740" s="11">
        <f>Returns!A740</f>
        <v>0</v>
      </c>
      <c r="B740" s="1">
        <f>MAX(Resume!B9/ 252-Portfolios!B740, 0)</f>
        <v>0</v>
      </c>
    </row>
    <row r="741" spans="1:2">
      <c r="A741" s="11">
        <f>Returns!A741</f>
        <v>0</v>
      </c>
      <c r="B741" s="1">
        <f>MAX(Resume!B9/ 252-Portfolios!B741, 0)</f>
        <v>0</v>
      </c>
    </row>
    <row r="742" spans="1:2">
      <c r="A742" s="11">
        <f>Returns!A742</f>
        <v>0</v>
      </c>
      <c r="B742" s="1">
        <f>MAX(Resume!B9/ 252-Portfolios!B742, 0)</f>
        <v>0</v>
      </c>
    </row>
    <row r="743" spans="1:2">
      <c r="A743" s="11">
        <f>Returns!A743</f>
        <v>0</v>
      </c>
      <c r="B743" s="1">
        <f>MAX(Resume!B9/ 252-Portfolios!B743, 0)</f>
        <v>0</v>
      </c>
    </row>
    <row r="744" spans="1:2">
      <c r="A744" s="11">
        <f>Returns!A744</f>
        <v>0</v>
      </c>
      <c r="B744" s="1">
        <f>MAX(Resume!B9/ 252-Portfolios!B744, 0)</f>
        <v>0</v>
      </c>
    </row>
    <row r="745" spans="1:2">
      <c r="A745" s="11">
        <f>Returns!A745</f>
        <v>0</v>
      </c>
      <c r="B745" s="1">
        <f>MAX(Resume!B9/ 252-Portfolios!B745, 0)</f>
        <v>0</v>
      </c>
    </row>
    <row r="746" spans="1:2">
      <c r="A746" s="11">
        <f>Returns!A746</f>
        <v>0</v>
      </c>
      <c r="B746" s="1">
        <f>MAX(Resume!B9/ 252-Portfolios!B746, 0)</f>
        <v>0</v>
      </c>
    </row>
    <row r="747" spans="1:2">
      <c r="A747" s="11">
        <f>Returns!A747</f>
        <v>0</v>
      </c>
      <c r="B747" s="1">
        <f>MAX(Resume!B9/ 252-Portfolios!B747, 0)</f>
        <v>0</v>
      </c>
    </row>
    <row r="748" spans="1:2">
      <c r="A748" s="11">
        <f>Returns!A748</f>
        <v>0</v>
      </c>
      <c r="B748" s="1">
        <f>MAX(Resume!B9/ 252-Portfolios!B748, 0)</f>
        <v>0</v>
      </c>
    </row>
    <row r="749" spans="1:2">
      <c r="A749" s="11">
        <f>Returns!A749</f>
        <v>0</v>
      </c>
      <c r="B749" s="1">
        <f>MAX(Resume!B9/ 252-Portfolios!B749, 0)</f>
        <v>0</v>
      </c>
    </row>
    <row r="750" spans="1:2">
      <c r="A750" s="11">
        <f>Returns!A750</f>
        <v>0</v>
      </c>
      <c r="B750" s="1">
        <f>MAX(Resume!B9/ 252-Portfolios!B750, 0)</f>
        <v>0</v>
      </c>
    </row>
    <row r="751" spans="1:2">
      <c r="A751" s="11">
        <f>Returns!A751</f>
        <v>0</v>
      </c>
      <c r="B751" s="1">
        <f>MAX(Resume!B9/ 252-Portfolios!B751, 0)</f>
        <v>0</v>
      </c>
    </row>
    <row r="752" spans="1:2">
      <c r="A752" s="11">
        <f>Returns!A752</f>
        <v>0</v>
      </c>
      <c r="B752" s="1">
        <f>MAX(Resume!B9/ 252-Portfolios!B752, 0)</f>
        <v>0</v>
      </c>
    </row>
    <row r="753" spans="1:2">
      <c r="A753" s="11">
        <f>Returns!A753</f>
        <v>0</v>
      </c>
      <c r="B753" s="1">
        <f>MAX(Resume!B9/ 252-Portfolios!B753, 0)</f>
        <v>0</v>
      </c>
    </row>
    <row r="754" spans="1:2">
      <c r="A754" s="11">
        <f>Returns!A754</f>
        <v>0</v>
      </c>
      <c r="B754" s="1">
        <f>MAX(Resume!B9/ 252-Portfolios!B754, 0)</f>
        <v>0</v>
      </c>
    </row>
    <row r="755" spans="1:2">
      <c r="A755" s="11">
        <f>Returns!A755</f>
        <v>0</v>
      </c>
      <c r="B755" s="1">
        <f>MAX(Resume!B9/ 252-Portfolios!B755, 0)</f>
        <v>0</v>
      </c>
    </row>
    <row r="756" spans="1:2">
      <c r="A756" s="11">
        <f>Returns!A756</f>
        <v>0</v>
      </c>
      <c r="B756" s="1">
        <f>MAX(Resume!B9/ 252-Portfolios!B756, 0)</f>
        <v>0</v>
      </c>
    </row>
    <row r="757" spans="1:2">
      <c r="A757" s="11">
        <f>Returns!A757</f>
        <v>0</v>
      </c>
      <c r="B757" s="1">
        <f>MAX(Resume!B9/ 252-Portfolios!B757, 0)</f>
        <v>0</v>
      </c>
    </row>
    <row r="758" spans="1:2">
      <c r="A758" s="11">
        <f>Returns!A758</f>
        <v>0</v>
      </c>
      <c r="B758" s="1">
        <f>MAX(Resume!B9/ 252-Portfolios!B758, 0)</f>
        <v>0</v>
      </c>
    </row>
    <row r="759" spans="1:2">
      <c r="A759" s="11">
        <f>Returns!A759</f>
        <v>0</v>
      </c>
      <c r="B759" s="1">
        <f>MAX(Resume!B9/ 252-Portfolios!B759, 0)</f>
        <v>0</v>
      </c>
    </row>
    <row r="760" spans="1:2">
      <c r="A760" s="11">
        <f>Returns!A760</f>
        <v>0</v>
      </c>
      <c r="B760" s="1">
        <f>MAX(Resume!B9/ 252-Portfolios!B760, 0)</f>
        <v>0</v>
      </c>
    </row>
    <row r="761" spans="1:2">
      <c r="A761" s="11">
        <f>Returns!A761</f>
        <v>0</v>
      </c>
      <c r="B761" s="1">
        <f>MAX(Resume!B9/ 252-Portfolios!B761, 0)</f>
        <v>0</v>
      </c>
    </row>
    <row r="762" spans="1:2">
      <c r="A762" s="11">
        <f>Returns!A762</f>
        <v>0</v>
      </c>
      <c r="B762" s="1">
        <f>MAX(Resume!B9/ 252-Portfolios!B762, 0)</f>
        <v>0</v>
      </c>
    </row>
    <row r="763" spans="1:2">
      <c r="A763" s="11">
        <f>Returns!A763</f>
        <v>0</v>
      </c>
      <c r="B763" s="1">
        <f>MAX(Resume!B9/ 252-Portfolios!B763, 0)</f>
        <v>0</v>
      </c>
    </row>
    <row r="764" spans="1:2">
      <c r="A764" s="11">
        <f>Returns!A764</f>
        <v>0</v>
      </c>
      <c r="B764" s="1">
        <f>MAX(Resume!B9/ 252-Portfolios!B764, 0)</f>
        <v>0</v>
      </c>
    </row>
    <row r="765" spans="1:2">
      <c r="A765" s="11">
        <f>Returns!A765</f>
        <v>0</v>
      </c>
      <c r="B765" s="1">
        <f>MAX(Resume!B9/ 252-Portfolios!B765, 0)</f>
        <v>0</v>
      </c>
    </row>
    <row r="766" spans="1:2">
      <c r="A766" s="11">
        <f>Returns!A766</f>
        <v>0</v>
      </c>
      <c r="B766" s="1">
        <f>MAX(Resume!B9/ 252-Portfolios!B766, 0)</f>
        <v>0</v>
      </c>
    </row>
    <row r="767" spans="1:2">
      <c r="A767" s="11">
        <f>Returns!A767</f>
        <v>0</v>
      </c>
      <c r="B767" s="1">
        <f>MAX(Resume!B9/ 252-Portfolios!B767, 0)</f>
        <v>0</v>
      </c>
    </row>
    <row r="768" spans="1:2">
      <c r="A768" s="11">
        <f>Returns!A768</f>
        <v>0</v>
      </c>
      <c r="B768" s="1">
        <f>MAX(Resume!B9/ 252-Portfolios!B768, 0)</f>
        <v>0</v>
      </c>
    </row>
    <row r="769" spans="1:2">
      <c r="A769" s="11">
        <f>Returns!A769</f>
        <v>0</v>
      </c>
      <c r="B769" s="1">
        <f>MAX(Resume!B9/ 252-Portfolios!B769, 0)</f>
        <v>0</v>
      </c>
    </row>
    <row r="770" spans="1:2">
      <c r="A770" s="11">
        <f>Returns!A770</f>
        <v>0</v>
      </c>
      <c r="B770" s="1">
        <f>MAX(Resume!B9/ 252-Portfolios!B770, 0)</f>
        <v>0</v>
      </c>
    </row>
    <row r="771" spans="1:2">
      <c r="A771" s="11">
        <f>Returns!A771</f>
        <v>0</v>
      </c>
      <c r="B771" s="1">
        <f>MAX(Resume!B9/ 252-Portfolios!B771, 0)</f>
        <v>0</v>
      </c>
    </row>
    <row r="772" spans="1:2">
      <c r="A772" s="11">
        <f>Returns!A772</f>
        <v>0</v>
      </c>
      <c r="B772" s="1">
        <f>MAX(Resume!B9/ 252-Portfolios!B772, 0)</f>
        <v>0</v>
      </c>
    </row>
    <row r="773" spans="1:2">
      <c r="A773" s="11">
        <f>Returns!A773</f>
        <v>0</v>
      </c>
      <c r="B773" s="1">
        <f>MAX(Resume!B9/ 252-Portfolios!B773, 0)</f>
        <v>0</v>
      </c>
    </row>
    <row r="774" spans="1:2">
      <c r="A774" s="11">
        <f>Returns!A774</f>
        <v>0</v>
      </c>
      <c r="B774" s="1">
        <f>MAX(Resume!B9/ 252-Portfolios!B774, 0)</f>
        <v>0</v>
      </c>
    </row>
    <row r="775" spans="1:2">
      <c r="A775" s="11">
        <f>Returns!A775</f>
        <v>0</v>
      </c>
      <c r="B775" s="1">
        <f>MAX(Resume!B9/ 252-Portfolios!B775, 0)</f>
        <v>0</v>
      </c>
    </row>
    <row r="776" spans="1:2">
      <c r="A776" s="11">
        <f>Returns!A776</f>
        <v>0</v>
      </c>
      <c r="B776" s="1">
        <f>MAX(Resume!B9/ 252-Portfolios!B776, 0)</f>
        <v>0</v>
      </c>
    </row>
    <row r="777" spans="1:2">
      <c r="A777" s="11">
        <f>Returns!A777</f>
        <v>0</v>
      </c>
      <c r="B777" s="1">
        <f>MAX(Resume!B9/ 252-Portfolios!B777, 0)</f>
        <v>0</v>
      </c>
    </row>
    <row r="778" spans="1:2">
      <c r="A778" s="11">
        <f>Returns!A778</f>
        <v>0</v>
      </c>
      <c r="B778" s="1">
        <f>MAX(Resume!B9/ 252-Portfolios!B778, 0)</f>
        <v>0</v>
      </c>
    </row>
    <row r="779" spans="1:2">
      <c r="A779" s="11">
        <f>Returns!A779</f>
        <v>0</v>
      </c>
      <c r="B779" s="1">
        <f>MAX(Resume!B9/ 252-Portfolios!B779, 0)</f>
        <v>0</v>
      </c>
    </row>
    <row r="780" spans="1:2">
      <c r="A780" s="11">
        <f>Returns!A780</f>
        <v>0</v>
      </c>
      <c r="B780" s="1">
        <f>MAX(Resume!B9/ 252-Portfolios!B780, 0)</f>
        <v>0</v>
      </c>
    </row>
    <row r="781" spans="1:2">
      <c r="A781" s="11">
        <f>Returns!A781</f>
        <v>0</v>
      </c>
      <c r="B781" s="1">
        <f>MAX(Resume!B9/ 252-Portfolios!B781, 0)</f>
        <v>0</v>
      </c>
    </row>
    <row r="782" spans="1:2">
      <c r="A782" s="11">
        <f>Returns!A782</f>
        <v>0</v>
      </c>
      <c r="B782" s="1">
        <f>MAX(Resume!B9/ 252-Portfolios!B782, 0)</f>
        <v>0</v>
      </c>
    </row>
    <row r="783" spans="1:2">
      <c r="A783" s="11">
        <f>Returns!A783</f>
        <v>0</v>
      </c>
      <c r="B783" s="1">
        <f>MAX(Resume!B9/ 252-Portfolios!B783, 0)</f>
        <v>0</v>
      </c>
    </row>
    <row r="784" spans="1:2">
      <c r="A784" s="11">
        <f>Returns!A784</f>
        <v>0</v>
      </c>
      <c r="B784" s="1">
        <f>MAX(Resume!B9/ 252-Portfolios!B784, 0)</f>
        <v>0</v>
      </c>
    </row>
    <row r="785" spans="1:2">
      <c r="A785" s="11">
        <f>Returns!A785</f>
        <v>0</v>
      </c>
      <c r="B785" s="1">
        <f>MAX(Resume!B9/ 252-Portfolios!B785, 0)</f>
        <v>0</v>
      </c>
    </row>
    <row r="786" spans="1:2">
      <c r="A786" s="11">
        <f>Returns!A786</f>
        <v>0</v>
      </c>
      <c r="B786" s="1">
        <f>MAX(Resume!B9/ 252-Portfolios!B786, 0)</f>
        <v>0</v>
      </c>
    </row>
    <row r="787" spans="1:2">
      <c r="A787" s="11">
        <f>Returns!A787</f>
        <v>0</v>
      </c>
      <c r="B787" s="1">
        <f>MAX(Resume!B9/ 252-Portfolios!B787, 0)</f>
        <v>0</v>
      </c>
    </row>
    <row r="788" spans="1:2">
      <c r="A788" s="11">
        <f>Returns!A788</f>
        <v>0</v>
      </c>
      <c r="B788" s="1">
        <f>MAX(Resume!B9/ 252-Portfolios!B788, 0)</f>
        <v>0</v>
      </c>
    </row>
    <row r="789" spans="1:2">
      <c r="A789" s="11">
        <f>Returns!A789</f>
        <v>0</v>
      </c>
      <c r="B789" s="1">
        <f>MAX(Resume!B9/ 252-Portfolios!B789, 0)</f>
        <v>0</v>
      </c>
    </row>
    <row r="790" spans="1:2">
      <c r="A790" s="11">
        <f>Returns!A790</f>
        <v>0</v>
      </c>
      <c r="B790" s="1">
        <f>MAX(Resume!B9/ 252-Portfolios!B790, 0)</f>
        <v>0</v>
      </c>
    </row>
    <row r="791" spans="1:2">
      <c r="A791" s="11">
        <f>Returns!A791</f>
        <v>0</v>
      </c>
      <c r="B791" s="1">
        <f>MAX(Resume!B9/ 252-Portfolios!B791, 0)</f>
        <v>0</v>
      </c>
    </row>
    <row r="792" spans="1:2">
      <c r="A792" s="11">
        <f>Returns!A792</f>
        <v>0</v>
      </c>
      <c r="B792" s="1">
        <f>MAX(Resume!B9/ 252-Portfolios!B792, 0)</f>
        <v>0</v>
      </c>
    </row>
    <row r="793" spans="1:2">
      <c r="A793" s="11">
        <f>Returns!A793</f>
        <v>0</v>
      </c>
      <c r="B793" s="1">
        <f>MAX(Resume!B9/ 252-Portfolios!B793, 0)</f>
        <v>0</v>
      </c>
    </row>
    <row r="794" spans="1:2">
      <c r="A794" s="11">
        <f>Returns!A794</f>
        <v>0</v>
      </c>
      <c r="B794" s="1">
        <f>MAX(Resume!B9/ 252-Portfolios!B794, 0)</f>
        <v>0</v>
      </c>
    </row>
    <row r="795" spans="1:2">
      <c r="A795" s="11">
        <f>Returns!A795</f>
        <v>0</v>
      </c>
      <c r="B795" s="1">
        <f>MAX(Resume!B9/ 252-Portfolios!B795, 0)</f>
        <v>0</v>
      </c>
    </row>
    <row r="796" spans="1:2">
      <c r="A796" s="11">
        <f>Returns!A796</f>
        <v>0</v>
      </c>
      <c r="B796" s="1">
        <f>MAX(Resume!B9/ 252-Portfolios!B796, 0)</f>
        <v>0</v>
      </c>
    </row>
    <row r="797" spans="1:2">
      <c r="A797" s="11">
        <f>Returns!A797</f>
        <v>0</v>
      </c>
      <c r="B797" s="1">
        <f>MAX(Resume!B9/ 252-Portfolios!B797, 0)</f>
        <v>0</v>
      </c>
    </row>
    <row r="798" spans="1:2">
      <c r="A798" s="11">
        <f>Returns!A798</f>
        <v>0</v>
      </c>
      <c r="B798" s="1">
        <f>MAX(Resume!B9/ 252-Portfolios!B798, 0)</f>
        <v>0</v>
      </c>
    </row>
    <row r="799" spans="1:2">
      <c r="A799" s="11">
        <f>Returns!A799</f>
        <v>0</v>
      </c>
      <c r="B799" s="1">
        <f>MAX(Resume!B9/ 252-Portfolios!B799, 0)</f>
        <v>0</v>
      </c>
    </row>
    <row r="800" spans="1:2">
      <c r="A800" s="11">
        <f>Returns!A800</f>
        <v>0</v>
      </c>
      <c r="B800" s="1">
        <f>MAX(Resume!B9/ 252-Portfolios!B800, 0)</f>
        <v>0</v>
      </c>
    </row>
    <row r="801" spans="1:2">
      <c r="A801" s="11">
        <f>Returns!A801</f>
        <v>0</v>
      </c>
      <c r="B801" s="1">
        <f>MAX(Resume!B9/ 252-Portfolios!B801, 0)</f>
        <v>0</v>
      </c>
    </row>
    <row r="802" spans="1:2">
      <c r="A802" s="11">
        <f>Returns!A802</f>
        <v>0</v>
      </c>
      <c r="B802" s="1">
        <f>MAX(Resume!B9/ 252-Portfolios!B802, 0)</f>
        <v>0</v>
      </c>
    </row>
    <row r="803" spans="1:2">
      <c r="A803" s="11">
        <f>Returns!A803</f>
        <v>0</v>
      </c>
      <c r="B803" s="1">
        <f>MAX(Resume!B9/ 252-Portfolios!B803, 0)</f>
        <v>0</v>
      </c>
    </row>
    <row r="804" spans="1:2">
      <c r="A804" s="11">
        <f>Returns!A804</f>
        <v>0</v>
      </c>
      <c r="B804" s="1">
        <f>MAX(Resume!B9/ 252-Portfolios!B804, 0)</f>
        <v>0</v>
      </c>
    </row>
    <row r="805" spans="1:2">
      <c r="A805" s="11">
        <f>Returns!A805</f>
        <v>0</v>
      </c>
      <c r="B805" s="1">
        <f>MAX(Resume!B9/ 252-Portfolios!B805, 0)</f>
        <v>0</v>
      </c>
    </row>
    <row r="806" spans="1:2">
      <c r="A806" s="11">
        <f>Returns!A806</f>
        <v>0</v>
      </c>
      <c r="B806" s="1">
        <f>MAX(Resume!B9/ 252-Portfolios!B806, 0)</f>
        <v>0</v>
      </c>
    </row>
    <row r="807" spans="1:2">
      <c r="A807" s="11">
        <f>Returns!A807</f>
        <v>0</v>
      </c>
      <c r="B807" s="1">
        <f>MAX(Resume!B9/ 252-Portfolios!B807, 0)</f>
        <v>0</v>
      </c>
    </row>
    <row r="808" spans="1:2">
      <c r="A808" s="11">
        <f>Returns!A808</f>
        <v>0</v>
      </c>
      <c r="B808" s="1">
        <f>MAX(Resume!B9/ 252-Portfolios!B808, 0)</f>
        <v>0</v>
      </c>
    </row>
    <row r="809" spans="1:2">
      <c r="A809" s="11">
        <f>Returns!A809</f>
        <v>0</v>
      </c>
      <c r="B809" s="1">
        <f>MAX(Resume!B9/ 252-Portfolios!B809, 0)</f>
        <v>0</v>
      </c>
    </row>
    <row r="810" spans="1:2">
      <c r="A810" s="11">
        <f>Returns!A810</f>
        <v>0</v>
      </c>
      <c r="B810" s="1">
        <f>MAX(Resume!B9/ 252-Portfolios!B810, 0)</f>
        <v>0</v>
      </c>
    </row>
    <row r="811" spans="1:2">
      <c r="A811" s="11">
        <f>Returns!A811</f>
        <v>0</v>
      </c>
      <c r="B811" s="1">
        <f>MAX(Resume!B9/ 252-Portfolios!B811, 0)</f>
        <v>0</v>
      </c>
    </row>
    <row r="812" spans="1:2">
      <c r="A812" s="11">
        <f>Returns!A812</f>
        <v>0</v>
      </c>
      <c r="B812" s="1">
        <f>MAX(Resume!B9/ 252-Portfolios!B812, 0)</f>
        <v>0</v>
      </c>
    </row>
    <row r="813" spans="1:2">
      <c r="A813" s="11">
        <f>Returns!A813</f>
        <v>0</v>
      </c>
      <c r="B813" s="1">
        <f>MAX(Resume!B9/ 252-Portfolios!B813, 0)</f>
        <v>0</v>
      </c>
    </row>
    <row r="814" spans="1:2">
      <c r="A814" s="11">
        <f>Returns!A814</f>
        <v>0</v>
      </c>
      <c r="B814" s="1">
        <f>MAX(Resume!B9/ 252-Portfolios!B814, 0)</f>
        <v>0</v>
      </c>
    </row>
    <row r="815" spans="1:2">
      <c r="A815" s="11">
        <f>Returns!A815</f>
        <v>0</v>
      </c>
      <c r="B815" s="1">
        <f>MAX(Resume!B9/ 252-Portfolios!B815, 0)</f>
        <v>0</v>
      </c>
    </row>
    <row r="816" spans="1:2">
      <c r="A816" s="11">
        <f>Returns!A816</f>
        <v>0</v>
      </c>
      <c r="B816" s="1">
        <f>MAX(Resume!B9/ 252-Portfolios!B816, 0)</f>
        <v>0</v>
      </c>
    </row>
    <row r="817" spans="1:2">
      <c r="A817" s="11">
        <f>Returns!A817</f>
        <v>0</v>
      </c>
      <c r="B817" s="1">
        <f>MAX(Resume!B9/ 252-Portfolios!B817, 0)</f>
        <v>0</v>
      </c>
    </row>
    <row r="818" spans="1:2">
      <c r="A818" s="11">
        <f>Returns!A818</f>
        <v>0</v>
      </c>
      <c r="B818" s="1">
        <f>MAX(Resume!B9/ 252-Portfolios!B818, 0)</f>
        <v>0</v>
      </c>
    </row>
    <row r="819" spans="1:2">
      <c r="A819" s="11">
        <f>Returns!A819</f>
        <v>0</v>
      </c>
      <c r="B819" s="1">
        <f>MAX(Resume!B9/ 252-Portfolios!B819, 0)</f>
        <v>0</v>
      </c>
    </row>
    <row r="820" spans="1:2">
      <c r="A820" s="11">
        <f>Returns!A820</f>
        <v>0</v>
      </c>
      <c r="B820" s="1">
        <f>MAX(Resume!B9/ 252-Portfolios!B820, 0)</f>
        <v>0</v>
      </c>
    </row>
    <row r="821" spans="1:2">
      <c r="A821" s="11">
        <f>Returns!A821</f>
        <v>0</v>
      </c>
      <c r="B821" s="1">
        <f>MAX(Resume!B9/ 252-Portfolios!B821, 0)</f>
        <v>0</v>
      </c>
    </row>
    <row r="822" spans="1:2">
      <c r="A822" s="11">
        <f>Returns!A822</f>
        <v>0</v>
      </c>
      <c r="B822" s="1">
        <f>MAX(Resume!B9/ 252-Portfolios!B822, 0)</f>
        <v>0</v>
      </c>
    </row>
    <row r="823" spans="1:2">
      <c r="A823" s="11">
        <f>Returns!A823</f>
        <v>0</v>
      </c>
      <c r="B823" s="1">
        <f>MAX(Resume!B9/ 252-Portfolios!B823, 0)</f>
        <v>0</v>
      </c>
    </row>
    <row r="824" spans="1:2">
      <c r="A824" s="11">
        <f>Returns!A824</f>
        <v>0</v>
      </c>
      <c r="B824" s="1">
        <f>MAX(Resume!B9/ 252-Portfolios!B824, 0)</f>
        <v>0</v>
      </c>
    </row>
    <row r="825" spans="1:2">
      <c r="A825" s="11">
        <f>Returns!A825</f>
        <v>0</v>
      </c>
      <c r="B825" s="1">
        <f>MAX(Resume!B9/ 252-Portfolios!B825, 0)</f>
        <v>0</v>
      </c>
    </row>
    <row r="826" spans="1:2">
      <c r="A826" s="11">
        <f>Returns!A826</f>
        <v>0</v>
      </c>
      <c r="B826" s="1">
        <f>MAX(Resume!B9/ 252-Portfolios!B826, 0)</f>
        <v>0</v>
      </c>
    </row>
    <row r="827" spans="1:2">
      <c r="A827" s="11">
        <f>Returns!A827</f>
        <v>0</v>
      </c>
      <c r="B827" s="1">
        <f>MAX(Resume!B9/ 252-Portfolios!B827, 0)</f>
        <v>0</v>
      </c>
    </row>
    <row r="828" spans="1:2">
      <c r="A828" s="11">
        <f>Returns!A828</f>
        <v>0</v>
      </c>
      <c r="B828" s="1">
        <f>MAX(Resume!B9/ 252-Portfolios!B828, 0)</f>
        <v>0</v>
      </c>
    </row>
    <row r="829" spans="1:2">
      <c r="A829" s="11">
        <f>Returns!A829</f>
        <v>0</v>
      </c>
      <c r="B829" s="1">
        <f>MAX(Resume!B9/ 252-Portfolios!B829, 0)</f>
        <v>0</v>
      </c>
    </row>
    <row r="830" spans="1:2">
      <c r="A830" s="11">
        <f>Returns!A830</f>
        <v>0</v>
      </c>
      <c r="B830" s="1">
        <f>MAX(Resume!B9/ 252-Portfolios!B830, 0)</f>
        <v>0</v>
      </c>
    </row>
    <row r="831" spans="1:2">
      <c r="A831" s="11">
        <f>Returns!A831</f>
        <v>0</v>
      </c>
      <c r="B831" s="1">
        <f>MAX(Resume!B9/ 252-Portfolios!B831, 0)</f>
        <v>0</v>
      </c>
    </row>
    <row r="832" spans="1:2">
      <c r="A832" s="11">
        <f>Returns!A832</f>
        <v>0</v>
      </c>
      <c r="B832" s="1">
        <f>MAX(Resume!B9/ 252-Portfolios!B832, 0)</f>
        <v>0</v>
      </c>
    </row>
    <row r="833" spans="1:2">
      <c r="A833" s="11">
        <f>Returns!A833</f>
        <v>0</v>
      </c>
      <c r="B833" s="1">
        <f>MAX(Resume!B9/ 252-Portfolios!B833, 0)</f>
        <v>0</v>
      </c>
    </row>
    <row r="834" spans="1:2">
      <c r="A834" s="11">
        <f>Returns!A834</f>
        <v>0</v>
      </c>
      <c r="B834" s="1">
        <f>MAX(Resume!B9/ 252-Portfolios!B834, 0)</f>
        <v>0</v>
      </c>
    </row>
    <row r="835" spans="1:2">
      <c r="A835" s="11">
        <f>Returns!A835</f>
        <v>0</v>
      </c>
      <c r="B835" s="1">
        <f>MAX(Resume!B9/ 252-Portfolios!B835, 0)</f>
        <v>0</v>
      </c>
    </row>
    <row r="836" spans="1:2">
      <c r="A836" s="11">
        <f>Returns!A836</f>
        <v>0</v>
      </c>
      <c r="B836" s="1">
        <f>MAX(Resume!B9/ 252-Portfolios!B836, 0)</f>
        <v>0</v>
      </c>
    </row>
    <row r="837" spans="1:2">
      <c r="A837" s="11">
        <f>Returns!A837</f>
        <v>0</v>
      </c>
      <c r="B837" s="1">
        <f>MAX(Resume!B9/ 252-Portfolios!B837, 0)</f>
        <v>0</v>
      </c>
    </row>
    <row r="838" spans="1:2">
      <c r="A838" s="11">
        <f>Returns!A838</f>
        <v>0</v>
      </c>
      <c r="B838" s="1">
        <f>MAX(Resume!B9/ 252-Portfolios!B838, 0)</f>
        <v>0</v>
      </c>
    </row>
    <row r="839" spans="1:2">
      <c r="A839" s="11">
        <f>Returns!A839</f>
        <v>0</v>
      </c>
      <c r="B839" s="1">
        <f>MAX(Resume!B9/ 252-Portfolios!B839, 0)</f>
        <v>0</v>
      </c>
    </row>
    <row r="840" spans="1:2">
      <c r="A840" s="11">
        <f>Returns!A840</f>
        <v>0</v>
      </c>
      <c r="B840" s="1">
        <f>MAX(Resume!B9/ 252-Portfolios!B840, 0)</f>
        <v>0</v>
      </c>
    </row>
    <row r="841" spans="1:2">
      <c r="A841" s="11">
        <f>Returns!A841</f>
        <v>0</v>
      </c>
      <c r="B841" s="1">
        <f>MAX(Resume!B9/ 252-Portfolios!B841, 0)</f>
        <v>0</v>
      </c>
    </row>
    <row r="842" spans="1:2">
      <c r="A842" s="11">
        <f>Returns!A842</f>
        <v>0</v>
      </c>
      <c r="B842" s="1">
        <f>MAX(Resume!B9/ 252-Portfolios!B842, 0)</f>
        <v>0</v>
      </c>
    </row>
    <row r="843" spans="1:2">
      <c r="A843" s="11">
        <f>Returns!A843</f>
        <v>0</v>
      </c>
      <c r="B843" s="1">
        <f>MAX(Resume!B9/ 252-Portfolios!B843, 0)</f>
        <v>0</v>
      </c>
    </row>
    <row r="844" spans="1:2">
      <c r="A844" s="11">
        <f>Returns!A844</f>
        <v>0</v>
      </c>
      <c r="B844" s="1">
        <f>MAX(Resume!B9/ 252-Portfolios!B844, 0)</f>
        <v>0</v>
      </c>
    </row>
    <row r="845" spans="1:2">
      <c r="A845" s="11">
        <f>Returns!A845</f>
        <v>0</v>
      </c>
      <c r="B845" s="1">
        <f>MAX(Resume!B9/ 252-Portfolios!B845, 0)</f>
        <v>0</v>
      </c>
    </row>
    <row r="846" spans="1:2">
      <c r="A846" s="11">
        <f>Returns!A846</f>
        <v>0</v>
      </c>
      <c r="B846" s="1">
        <f>MAX(Resume!B9/ 252-Portfolios!B846, 0)</f>
        <v>0</v>
      </c>
    </row>
    <row r="847" spans="1:2">
      <c r="A847" s="11">
        <f>Returns!A847</f>
        <v>0</v>
      </c>
      <c r="B847" s="1">
        <f>MAX(Resume!B9/ 252-Portfolios!B847, 0)</f>
        <v>0</v>
      </c>
    </row>
    <row r="848" spans="1:2">
      <c r="A848" s="11">
        <f>Returns!A848</f>
        <v>0</v>
      </c>
      <c r="B848" s="1">
        <f>MAX(Resume!B9/ 252-Portfolios!B848, 0)</f>
        <v>0</v>
      </c>
    </row>
    <row r="849" spans="1:2">
      <c r="A849" s="11">
        <f>Returns!A849</f>
        <v>0</v>
      </c>
      <c r="B849" s="1">
        <f>MAX(Resume!B9/ 252-Portfolios!B849, 0)</f>
        <v>0</v>
      </c>
    </row>
    <row r="850" spans="1:2">
      <c r="A850" s="11">
        <f>Returns!A850</f>
        <v>0</v>
      </c>
      <c r="B850" s="1">
        <f>MAX(Resume!B9/ 252-Portfolios!B850, 0)</f>
        <v>0</v>
      </c>
    </row>
    <row r="851" spans="1:2">
      <c r="A851" s="11">
        <f>Returns!A851</f>
        <v>0</v>
      </c>
      <c r="B851" s="1">
        <f>MAX(Resume!B9/ 252-Portfolios!B851, 0)</f>
        <v>0</v>
      </c>
    </row>
    <row r="852" spans="1:2">
      <c r="A852" s="11">
        <f>Returns!A852</f>
        <v>0</v>
      </c>
      <c r="B852" s="1">
        <f>MAX(Resume!B9/ 252-Portfolios!B852, 0)</f>
        <v>0</v>
      </c>
    </row>
    <row r="853" spans="1:2">
      <c r="A853" s="11">
        <f>Returns!A853</f>
        <v>0</v>
      </c>
      <c r="B853" s="1">
        <f>MAX(Resume!B9/ 252-Portfolios!B853, 0)</f>
        <v>0</v>
      </c>
    </row>
    <row r="854" spans="1:2">
      <c r="A854" s="11">
        <f>Returns!A854</f>
        <v>0</v>
      </c>
      <c r="B854" s="1">
        <f>MAX(Resume!B9/ 252-Portfolios!B854, 0)</f>
        <v>0</v>
      </c>
    </row>
    <row r="855" spans="1:2">
      <c r="A855" s="11">
        <f>Returns!A855</f>
        <v>0</v>
      </c>
      <c r="B855" s="1">
        <f>MAX(Resume!B9/ 252-Portfolios!B855, 0)</f>
        <v>0</v>
      </c>
    </row>
    <row r="856" spans="1:2">
      <c r="A856" s="11">
        <f>Returns!A856</f>
        <v>0</v>
      </c>
      <c r="B856" s="1">
        <f>MAX(Resume!B9/ 252-Portfolios!B856, 0)</f>
        <v>0</v>
      </c>
    </row>
    <row r="857" spans="1:2">
      <c r="A857" s="11">
        <f>Returns!A857</f>
        <v>0</v>
      </c>
      <c r="B857" s="1">
        <f>MAX(Resume!B9/ 252-Portfolios!B857, 0)</f>
        <v>0</v>
      </c>
    </row>
    <row r="858" spans="1:2">
      <c r="A858" s="11">
        <f>Returns!A858</f>
        <v>0</v>
      </c>
      <c r="B858" s="1">
        <f>MAX(Resume!B9/ 252-Portfolios!B858, 0)</f>
        <v>0</v>
      </c>
    </row>
    <row r="859" spans="1:2">
      <c r="A859" s="11">
        <f>Returns!A859</f>
        <v>0</v>
      </c>
      <c r="B859" s="1">
        <f>MAX(Resume!B9/ 252-Portfolios!B859, 0)</f>
        <v>0</v>
      </c>
    </row>
    <row r="860" spans="1:2">
      <c r="A860" s="11">
        <f>Returns!A860</f>
        <v>0</v>
      </c>
      <c r="B860" s="1">
        <f>MAX(Resume!B9/ 252-Portfolios!B860, 0)</f>
        <v>0</v>
      </c>
    </row>
    <row r="861" spans="1:2">
      <c r="A861" s="11">
        <f>Returns!A861</f>
        <v>0</v>
      </c>
      <c r="B861" s="1">
        <f>MAX(Resume!B9/ 252-Portfolios!B861, 0)</f>
        <v>0</v>
      </c>
    </row>
    <row r="862" spans="1:2">
      <c r="A862" s="11">
        <f>Returns!A862</f>
        <v>0</v>
      </c>
      <c r="B862" s="1">
        <f>MAX(Resume!B9/ 252-Portfolios!B862, 0)</f>
        <v>0</v>
      </c>
    </row>
    <row r="863" spans="1:2">
      <c r="A863" s="11">
        <f>Returns!A863</f>
        <v>0</v>
      </c>
      <c r="B863" s="1">
        <f>MAX(Resume!B9/ 252-Portfolios!B863, 0)</f>
        <v>0</v>
      </c>
    </row>
    <row r="864" spans="1:2">
      <c r="A864" s="11">
        <f>Returns!A864</f>
        <v>0</v>
      </c>
      <c r="B864" s="1">
        <f>MAX(Resume!B9/ 252-Portfolios!B864, 0)</f>
        <v>0</v>
      </c>
    </row>
    <row r="865" spans="1:2">
      <c r="A865" s="11">
        <f>Returns!A865</f>
        <v>0</v>
      </c>
      <c r="B865" s="1">
        <f>MAX(Resume!B9/ 252-Portfolios!B865, 0)</f>
        <v>0</v>
      </c>
    </row>
    <row r="866" spans="1:2">
      <c r="A866" s="11">
        <f>Returns!A866</f>
        <v>0</v>
      </c>
      <c r="B866" s="1">
        <f>MAX(Resume!B9/ 252-Portfolios!B866, 0)</f>
        <v>0</v>
      </c>
    </row>
    <row r="867" spans="1:2">
      <c r="A867" s="11">
        <f>Returns!A867</f>
        <v>0</v>
      </c>
      <c r="B867" s="1">
        <f>MAX(Resume!B9/ 252-Portfolios!B867, 0)</f>
        <v>0</v>
      </c>
    </row>
    <row r="868" spans="1:2">
      <c r="A868" s="11">
        <f>Returns!A868</f>
        <v>0</v>
      </c>
      <c r="B868" s="1">
        <f>MAX(Resume!B9/ 252-Portfolios!B868, 0)</f>
        <v>0</v>
      </c>
    </row>
    <row r="869" spans="1:2">
      <c r="A869" s="11">
        <f>Returns!A869</f>
        <v>0</v>
      </c>
      <c r="B869" s="1">
        <f>MAX(Resume!B9/ 252-Portfolios!B869, 0)</f>
        <v>0</v>
      </c>
    </row>
    <row r="870" spans="1:2">
      <c r="A870" s="11">
        <f>Returns!A870</f>
        <v>0</v>
      </c>
      <c r="B870" s="1">
        <f>MAX(Resume!B9/ 252-Portfolios!B870, 0)</f>
        <v>0</v>
      </c>
    </row>
    <row r="871" spans="1:2">
      <c r="A871" s="11">
        <f>Returns!A871</f>
        <v>0</v>
      </c>
      <c r="B871" s="1">
        <f>MAX(Resume!B9/ 252-Portfolios!B871, 0)</f>
        <v>0</v>
      </c>
    </row>
    <row r="872" spans="1:2">
      <c r="A872" s="11">
        <f>Returns!A872</f>
        <v>0</v>
      </c>
      <c r="B872" s="1">
        <f>MAX(Resume!B9/ 252-Portfolios!B872, 0)</f>
        <v>0</v>
      </c>
    </row>
    <row r="873" spans="1:2">
      <c r="A873" s="11">
        <f>Returns!A873</f>
        <v>0</v>
      </c>
      <c r="B873" s="1">
        <f>MAX(Resume!B9/ 252-Portfolios!B873, 0)</f>
        <v>0</v>
      </c>
    </row>
    <row r="874" spans="1:2">
      <c r="A874" s="11">
        <f>Returns!A874</f>
        <v>0</v>
      </c>
      <c r="B874" s="1">
        <f>MAX(Resume!B9/ 252-Portfolios!B874, 0)</f>
        <v>0</v>
      </c>
    </row>
    <row r="875" spans="1:2">
      <c r="A875" s="11">
        <f>Returns!A875</f>
        <v>0</v>
      </c>
      <c r="B875" s="1">
        <f>MAX(Resume!B9/ 252-Portfolios!B875, 0)</f>
        <v>0</v>
      </c>
    </row>
    <row r="876" spans="1:2">
      <c r="A876" s="11">
        <f>Returns!A876</f>
        <v>0</v>
      </c>
      <c r="B876" s="1">
        <f>MAX(Resume!B9/ 252-Portfolios!B876, 0)</f>
        <v>0</v>
      </c>
    </row>
    <row r="877" spans="1:2">
      <c r="A877" s="11">
        <f>Returns!A877</f>
        <v>0</v>
      </c>
      <c r="B877" s="1">
        <f>MAX(Resume!B9/ 252-Portfolios!B877, 0)</f>
        <v>0</v>
      </c>
    </row>
    <row r="878" spans="1:2">
      <c r="A878" s="11">
        <f>Returns!A878</f>
        <v>0</v>
      </c>
      <c r="B878" s="1">
        <f>MAX(Resume!B9/ 252-Portfolios!B878, 0)</f>
        <v>0</v>
      </c>
    </row>
    <row r="879" spans="1:2">
      <c r="A879" s="11">
        <f>Returns!A879</f>
        <v>0</v>
      </c>
      <c r="B879" s="1">
        <f>MAX(Resume!B9/ 252-Portfolios!B879, 0)</f>
        <v>0</v>
      </c>
    </row>
    <row r="880" spans="1:2">
      <c r="A880" s="11">
        <f>Returns!A880</f>
        <v>0</v>
      </c>
      <c r="B880" s="1">
        <f>MAX(Resume!B9/ 252-Portfolios!B880, 0)</f>
        <v>0</v>
      </c>
    </row>
    <row r="881" spans="1:2">
      <c r="A881" s="11">
        <f>Returns!A881</f>
        <v>0</v>
      </c>
      <c r="B881" s="1">
        <f>MAX(Resume!B9/ 252-Portfolios!B881, 0)</f>
        <v>0</v>
      </c>
    </row>
    <row r="882" spans="1:2">
      <c r="A882" s="11">
        <f>Returns!A882</f>
        <v>0</v>
      </c>
      <c r="B882" s="1">
        <f>MAX(Resume!B9/ 252-Portfolios!B882, 0)</f>
        <v>0</v>
      </c>
    </row>
    <row r="883" spans="1:2">
      <c r="A883" s="11">
        <f>Returns!A883</f>
        <v>0</v>
      </c>
      <c r="B883" s="1">
        <f>MAX(Resume!B9/ 252-Portfolios!B883, 0)</f>
        <v>0</v>
      </c>
    </row>
    <row r="884" spans="1:2">
      <c r="A884" s="11">
        <f>Returns!A884</f>
        <v>0</v>
      </c>
      <c r="B884" s="1">
        <f>MAX(Resume!B9/ 252-Portfolios!B884, 0)</f>
        <v>0</v>
      </c>
    </row>
    <row r="885" spans="1:2">
      <c r="A885" s="11">
        <f>Returns!A885</f>
        <v>0</v>
      </c>
      <c r="B885" s="1">
        <f>MAX(Resume!B9/ 252-Portfolios!B885, 0)</f>
        <v>0</v>
      </c>
    </row>
    <row r="886" spans="1:2">
      <c r="A886" s="11">
        <f>Returns!A886</f>
        <v>0</v>
      </c>
      <c r="B886" s="1">
        <f>MAX(Resume!B9/ 252-Portfolios!B886, 0)</f>
        <v>0</v>
      </c>
    </row>
    <row r="887" spans="1:2">
      <c r="A887" s="11">
        <f>Returns!A887</f>
        <v>0</v>
      </c>
      <c r="B887" s="1">
        <f>MAX(Resume!B9/ 252-Portfolios!B887, 0)</f>
        <v>0</v>
      </c>
    </row>
    <row r="888" spans="1:2">
      <c r="A888" s="11">
        <f>Returns!A888</f>
        <v>0</v>
      </c>
      <c r="B888" s="1">
        <f>MAX(Resume!B9/ 252-Portfolios!B888, 0)</f>
        <v>0</v>
      </c>
    </row>
    <row r="889" spans="1:2">
      <c r="A889" s="11">
        <f>Returns!A889</f>
        <v>0</v>
      </c>
      <c r="B889" s="1">
        <f>MAX(Resume!B9/ 252-Portfolios!B889, 0)</f>
        <v>0</v>
      </c>
    </row>
    <row r="890" spans="1:2">
      <c r="A890" s="11">
        <f>Returns!A890</f>
        <v>0</v>
      </c>
      <c r="B890" s="1">
        <f>MAX(Resume!B9/ 252-Portfolios!B890, 0)</f>
        <v>0</v>
      </c>
    </row>
    <row r="891" spans="1:2">
      <c r="A891" s="11">
        <f>Returns!A891</f>
        <v>0</v>
      </c>
      <c r="B891" s="1">
        <f>MAX(Resume!B9/ 252-Portfolios!B891, 0)</f>
        <v>0</v>
      </c>
    </row>
    <row r="892" spans="1:2">
      <c r="A892" s="11">
        <f>Returns!A892</f>
        <v>0</v>
      </c>
      <c r="B892" s="1">
        <f>MAX(Resume!B9/ 252-Portfolios!B892, 0)</f>
        <v>0</v>
      </c>
    </row>
    <row r="893" spans="1:2">
      <c r="A893" s="11">
        <f>Returns!A893</f>
        <v>0</v>
      </c>
      <c r="B893" s="1">
        <f>MAX(Resume!B9/ 252-Portfolios!B893, 0)</f>
        <v>0</v>
      </c>
    </row>
    <row r="894" spans="1:2">
      <c r="A894" s="11">
        <f>Returns!A894</f>
        <v>0</v>
      </c>
      <c r="B894" s="1">
        <f>MAX(Resume!B9/ 252-Portfolios!B894, 0)</f>
        <v>0</v>
      </c>
    </row>
    <row r="895" spans="1:2">
      <c r="A895" s="11">
        <f>Returns!A895</f>
        <v>0</v>
      </c>
      <c r="B895" s="1">
        <f>MAX(Resume!B9/ 252-Portfolios!B895, 0)</f>
        <v>0</v>
      </c>
    </row>
    <row r="896" spans="1:2">
      <c r="A896" s="11">
        <f>Returns!A896</f>
        <v>0</v>
      </c>
      <c r="B896" s="1">
        <f>MAX(Resume!B9/ 252-Portfolios!B896, 0)</f>
        <v>0</v>
      </c>
    </row>
    <row r="897" spans="1:2">
      <c r="A897" s="11">
        <f>Returns!A897</f>
        <v>0</v>
      </c>
      <c r="B897" s="1">
        <f>MAX(Resume!B9/ 252-Portfolios!B897, 0)</f>
        <v>0</v>
      </c>
    </row>
    <row r="898" spans="1:2">
      <c r="A898" s="11">
        <f>Returns!A898</f>
        <v>0</v>
      </c>
      <c r="B898" s="1">
        <f>MAX(Resume!B9/ 252-Portfolios!B898, 0)</f>
        <v>0</v>
      </c>
    </row>
    <row r="899" spans="1:2">
      <c r="A899" s="11">
        <f>Returns!A899</f>
        <v>0</v>
      </c>
      <c r="B899" s="1">
        <f>MAX(Resume!B9/ 252-Portfolios!B899, 0)</f>
        <v>0</v>
      </c>
    </row>
    <row r="900" spans="1:2">
      <c r="A900" s="11">
        <f>Returns!A900</f>
        <v>0</v>
      </c>
      <c r="B900" s="1">
        <f>MAX(Resume!B9/ 252-Portfolios!B900, 0)</f>
        <v>0</v>
      </c>
    </row>
    <row r="901" spans="1:2">
      <c r="A901" s="11">
        <f>Returns!A901</f>
        <v>0</v>
      </c>
      <c r="B901" s="1">
        <f>MAX(Resume!B9/ 252-Portfolios!B901, 0)</f>
        <v>0</v>
      </c>
    </row>
    <row r="902" spans="1:2">
      <c r="A902" s="11">
        <f>Returns!A902</f>
        <v>0</v>
      </c>
      <c r="B902" s="1">
        <f>MAX(Resume!B9/ 252-Portfolios!B902, 0)</f>
        <v>0</v>
      </c>
    </row>
    <row r="903" spans="1:2">
      <c r="A903" s="11">
        <f>Returns!A903</f>
        <v>0</v>
      </c>
      <c r="B903" s="1">
        <f>MAX(Resume!B9/ 252-Portfolios!B903, 0)</f>
        <v>0</v>
      </c>
    </row>
    <row r="904" spans="1:2">
      <c r="A904" s="11">
        <f>Returns!A904</f>
        <v>0</v>
      </c>
      <c r="B904" s="1">
        <f>MAX(Resume!B9/ 252-Portfolios!B904, 0)</f>
        <v>0</v>
      </c>
    </row>
    <row r="905" spans="1:2">
      <c r="A905" s="11">
        <f>Returns!A905</f>
        <v>0</v>
      </c>
      <c r="B905" s="1">
        <f>MAX(Resume!B9/ 252-Portfolios!B905, 0)</f>
        <v>0</v>
      </c>
    </row>
    <row r="906" spans="1:2">
      <c r="A906" s="11">
        <f>Returns!A906</f>
        <v>0</v>
      </c>
      <c r="B906" s="1">
        <f>MAX(Resume!B9/ 252-Portfolios!B906, 0)</f>
        <v>0</v>
      </c>
    </row>
    <row r="907" spans="1:2">
      <c r="A907" s="11">
        <f>Returns!A907</f>
        <v>0</v>
      </c>
      <c r="B907" s="1">
        <f>MAX(Resume!B9/ 252-Portfolios!B907, 0)</f>
        <v>0</v>
      </c>
    </row>
    <row r="908" spans="1:2">
      <c r="A908" s="11">
        <f>Returns!A908</f>
        <v>0</v>
      </c>
      <c r="B908" s="1">
        <f>MAX(Resume!B9/ 252-Portfolios!B908, 0)</f>
        <v>0</v>
      </c>
    </row>
    <row r="909" spans="1:2">
      <c r="A909" s="11">
        <f>Returns!A909</f>
        <v>0</v>
      </c>
      <c r="B909" s="1">
        <f>MAX(Resume!B9/ 252-Portfolios!B909, 0)</f>
        <v>0</v>
      </c>
    </row>
    <row r="910" spans="1:2">
      <c r="A910" s="11">
        <f>Returns!A910</f>
        <v>0</v>
      </c>
      <c r="B910" s="1">
        <f>MAX(Resume!B9/ 252-Portfolios!B910, 0)</f>
        <v>0</v>
      </c>
    </row>
    <row r="911" spans="1:2">
      <c r="A911" s="11">
        <f>Returns!A911</f>
        <v>0</v>
      </c>
      <c r="B911" s="1">
        <f>MAX(Resume!B9/ 252-Portfolios!B911, 0)</f>
        <v>0</v>
      </c>
    </row>
    <row r="912" spans="1:2">
      <c r="A912" s="11">
        <f>Returns!A912</f>
        <v>0</v>
      </c>
      <c r="B912" s="1">
        <f>MAX(Resume!B9/ 252-Portfolios!B912, 0)</f>
        <v>0</v>
      </c>
    </row>
    <row r="913" spans="1:2">
      <c r="A913" s="11">
        <f>Returns!A913</f>
        <v>0</v>
      </c>
      <c r="B913" s="1">
        <f>MAX(Resume!B9/ 252-Portfolios!B913, 0)</f>
        <v>0</v>
      </c>
    </row>
    <row r="914" spans="1:2">
      <c r="A914" s="11">
        <f>Returns!A914</f>
        <v>0</v>
      </c>
      <c r="B914" s="1">
        <f>MAX(Resume!B9/ 252-Portfolios!B914, 0)</f>
        <v>0</v>
      </c>
    </row>
    <row r="915" spans="1:2">
      <c r="A915" s="11">
        <f>Returns!A915</f>
        <v>0</v>
      </c>
      <c r="B915" s="1">
        <f>MAX(Resume!B9/ 252-Portfolios!B915, 0)</f>
        <v>0</v>
      </c>
    </row>
    <row r="916" spans="1:2">
      <c r="A916" s="11">
        <f>Returns!A916</f>
        <v>0</v>
      </c>
      <c r="B916" s="1">
        <f>MAX(Resume!B9/ 252-Portfolios!B916, 0)</f>
        <v>0</v>
      </c>
    </row>
    <row r="917" spans="1:2">
      <c r="A917" s="11">
        <f>Returns!A917</f>
        <v>0</v>
      </c>
      <c r="B917" s="1">
        <f>MAX(Resume!B9/ 252-Portfolios!B917, 0)</f>
        <v>0</v>
      </c>
    </row>
    <row r="918" spans="1:2">
      <c r="A918" s="11">
        <f>Returns!A918</f>
        <v>0</v>
      </c>
      <c r="B918" s="1">
        <f>MAX(Resume!B9/ 252-Portfolios!B918, 0)</f>
        <v>0</v>
      </c>
    </row>
    <row r="919" spans="1:2">
      <c r="A919" s="11">
        <f>Returns!A919</f>
        <v>0</v>
      </c>
      <c r="B919" s="1">
        <f>MAX(Resume!B9/ 252-Portfolios!B919, 0)</f>
        <v>0</v>
      </c>
    </row>
    <row r="920" spans="1:2">
      <c r="A920" s="11">
        <f>Returns!A920</f>
        <v>0</v>
      </c>
      <c r="B920" s="1">
        <f>MAX(Resume!B9/ 252-Portfolios!B920, 0)</f>
        <v>0</v>
      </c>
    </row>
    <row r="921" spans="1:2">
      <c r="A921" s="11">
        <f>Returns!A921</f>
        <v>0</v>
      </c>
      <c r="B921" s="1">
        <f>MAX(Resume!B9/ 252-Portfolios!B921, 0)</f>
        <v>0</v>
      </c>
    </row>
    <row r="922" spans="1:2">
      <c r="A922" s="11">
        <f>Returns!A922</f>
        <v>0</v>
      </c>
      <c r="B922" s="1">
        <f>MAX(Resume!B9/ 252-Portfolios!B922, 0)</f>
        <v>0</v>
      </c>
    </row>
    <row r="923" spans="1:2">
      <c r="A923" s="11">
        <f>Returns!A923</f>
        <v>0</v>
      </c>
      <c r="B923" s="1">
        <f>MAX(Resume!B9/ 252-Portfolios!B923, 0)</f>
        <v>0</v>
      </c>
    </row>
    <row r="924" spans="1:2">
      <c r="A924" s="11">
        <f>Returns!A924</f>
        <v>0</v>
      </c>
      <c r="B924" s="1">
        <f>MAX(Resume!B9/ 252-Portfolios!B924, 0)</f>
        <v>0</v>
      </c>
    </row>
    <row r="925" spans="1:2">
      <c r="A925" s="11">
        <f>Returns!A925</f>
        <v>0</v>
      </c>
      <c r="B925" s="1">
        <f>MAX(Resume!B9/ 252-Portfolios!B925, 0)</f>
        <v>0</v>
      </c>
    </row>
    <row r="926" spans="1:2">
      <c r="A926" s="11">
        <f>Returns!A926</f>
        <v>0</v>
      </c>
      <c r="B926" s="1">
        <f>MAX(Resume!B9/ 252-Portfolios!B926, 0)</f>
        <v>0</v>
      </c>
    </row>
    <row r="927" spans="1:2">
      <c r="A927" s="11">
        <f>Returns!A927</f>
        <v>0</v>
      </c>
      <c r="B927" s="1">
        <f>MAX(Resume!B9/ 252-Portfolios!B927, 0)</f>
        <v>0</v>
      </c>
    </row>
    <row r="928" spans="1:2">
      <c r="A928" s="11">
        <f>Returns!A928</f>
        <v>0</v>
      </c>
      <c r="B928" s="1">
        <f>MAX(Resume!B9/ 252-Portfolios!B928, 0)</f>
        <v>0</v>
      </c>
    </row>
    <row r="929" spans="1:2">
      <c r="A929" s="11">
        <f>Returns!A929</f>
        <v>0</v>
      </c>
      <c r="B929" s="1">
        <f>MAX(Resume!B9/ 252-Portfolios!B929, 0)</f>
        <v>0</v>
      </c>
    </row>
    <row r="930" spans="1:2">
      <c r="A930" s="11">
        <f>Returns!A930</f>
        <v>0</v>
      </c>
      <c r="B930" s="1">
        <f>MAX(Resume!B9/ 252-Portfolios!B930, 0)</f>
        <v>0</v>
      </c>
    </row>
    <row r="931" spans="1:2">
      <c r="A931" s="11">
        <f>Returns!A931</f>
        <v>0</v>
      </c>
      <c r="B931" s="1">
        <f>MAX(Resume!B9/ 252-Portfolios!B931, 0)</f>
        <v>0</v>
      </c>
    </row>
    <row r="932" spans="1:2">
      <c r="A932" s="11">
        <f>Returns!A932</f>
        <v>0</v>
      </c>
      <c r="B932" s="1">
        <f>MAX(Resume!B9/ 252-Portfolios!B932, 0)</f>
        <v>0</v>
      </c>
    </row>
    <row r="933" spans="1:2">
      <c r="A933" s="11">
        <f>Returns!A933</f>
        <v>0</v>
      </c>
      <c r="B933" s="1">
        <f>MAX(Resume!B9/ 252-Portfolios!B933, 0)</f>
        <v>0</v>
      </c>
    </row>
    <row r="934" spans="1:2">
      <c r="A934" s="11">
        <f>Returns!A934</f>
        <v>0</v>
      </c>
      <c r="B934" s="1">
        <f>MAX(Resume!B9/ 252-Portfolios!B934, 0)</f>
        <v>0</v>
      </c>
    </row>
    <row r="935" spans="1:2">
      <c r="A935" s="11">
        <f>Returns!A935</f>
        <v>0</v>
      </c>
      <c r="B935" s="1">
        <f>MAX(Resume!B9/ 252-Portfolios!B935, 0)</f>
        <v>0</v>
      </c>
    </row>
    <row r="936" spans="1:2">
      <c r="A936" s="11">
        <f>Returns!A936</f>
        <v>0</v>
      </c>
      <c r="B936" s="1">
        <f>MAX(Resume!B9/ 252-Portfolios!B936, 0)</f>
        <v>0</v>
      </c>
    </row>
    <row r="937" spans="1:2">
      <c r="A937" s="11">
        <f>Returns!A937</f>
        <v>0</v>
      </c>
      <c r="B937" s="1">
        <f>MAX(Resume!B9/ 252-Portfolios!B937, 0)</f>
        <v>0</v>
      </c>
    </row>
    <row r="938" spans="1:2">
      <c r="A938" s="11">
        <f>Returns!A938</f>
        <v>0</v>
      </c>
      <c r="B938" s="1">
        <f>MAX(Resume!B9/ 252-Portfolios!B938, 0)</f>
        <v>0</v>
      </c>
    </row>
    <row r="939" spans="1:2">
      <c r="A939" s="11">
        <f>Returns!A939</f>
        <v>0</v>
      </c>
      <c r="B939" s="1">
        <f>MAX(Resume!B9/ 252-Portfolios!B939, 0)</f>
        <v>0</v>
      </c>
    </row>
    <row r="940" spans="1:2">
      <c r="A940" s="11">
        <f>Returns!A940</f>
        <v>0</v>
      </c>
      <c r="B940" s="1">
        <f>MAX(Resume!B9/ 252-Portfolios!B940, 0)</f>
        <v>0</v>
      </c>
    </row>
    <row r="941" spans="1:2">
      <c r="A941" s="11">
        <f>Returns!A941</f>
        <v>0</v>
      </c>
      <c r="B941" s="1">
        <f>MAX(Resume!B9/ 252-Portfolios!B941, 0)</f>
        <v>0</v>
      </c>
    </row>
    <row r="942" spans="1:2">
      <c r="A942" s="11">
        <f>Returns!A942</f>
        <v>0</v>
      </c>
      <c r="B942" s="1">
        <f>MAX(Resume!B9/ 252-Portfolios!B942, 0)</f>
        <v>0</v>
      </c>
    </row>
    <row r="943" spans="1:2">
      <c r="A943" s="11">
        <f>Returns!A943</f>
        <v>0</v>
      </c>
      <c r="B943" s="1">
        <f>MAX(Resume!B9/ 252-Portfolios!B943, 0)</f>
        <v>0</v>
      </c>
    </row>
    <row r="944" spans="1:2">
      <c r="A944" s="11">
        <f>Returns!A944</f>
        <v>0</v>
      </c>
      <c r="B944" s="1">
        <f>MAX(Resume!B9/ 252-Portfolios!B944, 0)</f>
        <v>0</v>
      </c>
    </row>
    <row r="945" spans="1:2">
      <c r="A945" s="11">
        <f>Returns!A945</f>
        <v>0</v>
      </c>
      <c r="B945" s="1">
        <f>MAX(Resume!B9/ 252-Portfolios!B945, 0)</f>
        <v>0</v>
      </c>
    </row>
    <row r="946" spans="1:2">
      <c r="A946" s="11">
        <f>Returns!A946</f>
        <v>0</v>
      </c>
      <c r="B946" s="1">
        <f>MAX(Resume!B9/ 252-Portfolios!B946, 0)</f>
        <v>0</v>
      </c>
    </row>
    <row r="947" spans="1:2">
      <c r="A947" s="11">
        <f>Returns!A947</f>
        <v>0</v>
      </c>
      <c r="B947" s="1">
        <f>MAX(Resume!B9/ 252-Portfolios!B947, 0)</f>
        <v>0</v>
      </c>
    </row>
    <row r="948" spans="1:2">
      <c r="A948" s="11">
        <f>Returns!A948</f>
        <v>0</v>
      </c>
      <c r="B948" s="1">
        <f>MAX(Resume!B9/ 252-Portfolios!B948, 0)</f>
        <v>0</v>
      </c>
    </row>
    <row r="949" spans="1:2">
      <c r="A949" s="11">
        <f>Returns!A949</f>
        <v>0</v>
      </c>
      <c r="B949" s="1">
        <f>MAX(Resume!B9/ 252-Portfolios!B949, 0)</f>
        <v>0</v>
      </c>
    </row>
    <row r="950" spans="1:2">
      <c r="A950" s="11">
        <f>Returns!A950</f>
        <v>0</v>
      </c>
      <c r="B950" s="1">
        <f>MAX(Resume!B9/ 252-Portfolios!B950, 0)</f>
        <v>0</v>
      </c>
    </row>
    <row r="951" spans="1:2">
      <c r="A951" s="11">
        <f>Returns!A951</f>
        <v>0</v>
      </c>
      <c r="B951" s="1">
        <f>MAX(Resume!B9/ 252-Portfolios!B951, 0)</f>
        <v>0</v>
      </c>
    </row>
    <row r="952" spans="1:2">
      <c r="A952" s="11">
        <f>Returns!A952</f>
        <v>0</v>
      </c>
      <c r="B952" s="1">
        <f>MAX(Resume!B9/ 252-Portfolios!B952, 0)</f>
        <v>0</v>
      </c>
    </row>
    <row r="953" spans="1:2">
      <c r="A953" s="11">
        <f>Returns!A953</f>
        <v>0</v>
      </c>
      <c r="B953" s="1">
        <f>MAX(Resume!B9/ 252-Portfolios!B953, 0)</f>
        <v>0</v>
      </c>
    </row>
    <row r="954" spans="1:2">
      <c r="A954" s="11">
        <f>Returns!A954</f>
        <v>0</v>
      </c>
      <c r="B954" s="1">
        <f>MAX(Resume!B9/ 252-Portfolios!B954, 0)</f>
        <v>0</v>
      </c>
    </row>
    <row r="955" spans="1:2">
      <c r="A955" s="11">
        <f>Returns!A955</f>
        <v>0</v>
      </c>
      <c r="B955" s="1">
        <f>MAX(Resume!B9/ 252-Portfolios!B955, 0)</f>
        <v>0</v>
      </c>
    </row>
    <row r="956" spans="1:2">
      <c r="A956" s="11">
        <f>Returns!A956</f>
        <v>0</v>
      </c>
      <c r="B956" s="1">
        <f>MAX(Resume!B9/ 252-Portfolios!B956, 0)</f>
        <v>0</v>
      </c>
    </row>
    <row r="957" spans="1:2">
      <c r="A957" s="11">
        <f>Returns!A957</f>
        <v>0</v>
      </c>
      <c r="B957" s="1">
        <f>MAX(Resume!B9/ 252-Portfolios!B957, 0)</f>
        <v>0</v>
      </c>
    </row>
    <row r="958" spans="1:2">
      <c r="A958" s="11">
        <f>Returns!A958</f>
        <v>0</v>
      </c>
      <c r="B958" s="1">
        <f>MAX(Resume!B9/ 252-Portfolios!B958, 0)</f>
        <v>0</v>
      </c>
    </row>
    <row r="959" spans="1:2">
      <c r="A959" s="11">
        <f>Returns!A959</f>
        <v>0</v>
      </c>
      <c r="B959" s="1">
        <f>MAX(Resume!B9/ 252-Portfolios!B959, 0)</f>
        <v>0</v>
      </c>
    </row>
    <row r="960" spans="1:2">
      <c r="A960" s="11">
        <f>Returns!A960</f>
        <v>0</v>
      </c>
      <c r="B960" s="1">
        <f>MAX(Resume!B9/ 252-Portfolios!B960, 0)</f>
        <v>0</v>
      </c>
    </row>
    <row r="961" spans="1:2">
      <c r="A961" s="11">
        <f>Returns!A961</f>
        <v>0</v>
      </c>
      <c r="B961" s="1">
        <f>MAX(Resume!B9/ 252-Portfolios!B961, 0)</f>
        <v>0</v>
      </c>
    </row>
    <row r="962" spans="1:2">
      <c r="A962" s="11">
        <f>Returns!A962</f>
        <v>0</v>
      </c>
      <c r="B962" s="1">
        <f>MAX(Resume!B9/ 252-Portfolios!B962, 0)</f>
        <v>0</v>
      </c>
    </row>
    <row r="963" spans="1:2">
      <c r="A963" s="11">
        <f>Returns!A963</f>
        <v>0</v>
      </c>
      <c r="B963" s="1">
        <f>MAX(Resume!B9/ 252-Portfolios!B963, 0)</f>
        <v>0</v>
      </c>
    </row>
    <row r="964" spans="1:2">
      <c r="A964" s="11">
        <f>Returns!A964</f>
        <v>0</v>
      </c>
      <c r="B964" s="1">
        <f>MAX(Resume!B9/ 252-Portfolios!B964, 0)</f>
        <v>0</v>
      </c>
    </row>
    <row r="965" spans="1:2">
      <c r="A965" s="11">
        <f>Returns!A965</f>
        <v>0</v>
      </c>
      <c r="B965" s="1">
        <f>MAX(Resume!B9/ 252-Portfolios!B965, 0)</f>
        <v>0</v>
      </c>
    </row>
    <row r="966" spans="1:2">
      <c r="A966" s="11">
        <f>Returns!A966</f>
        <v>0</v>
      </c>
      <c r="B966" s="1">
        <f>MAX(Resume!B9/ 252-Portfolios!B966, 0)</f>
        <v>0</v>
      </c>
    </row>
    <row r="967" spans="1:2">
      <c r="A967" s="11">
        <f>Returns!A967</f>
        <v>0</v>
      </c>
      <c r="B967" s="1">
        <f>MAX(Resume!B9/ 252-Portfolios!B967, 0)</f>
        <v>0</v>
      </c>
    </row>
    <row r="968" spans="1:2">
      <c r="A968" s="11">
        <f>Returns!A968</f>
        <v>0</v>
      </c>
      <c r="B968" s="1">
        <f>MAX(Resume!B9/ 252-Portfolios!B968, 0)</f>
        <v>0</v>
      </c>
    </row>
    <row r="969" spans="1:2">
      <c r="A969" s="11">
        <f>Returns!A969</f>
        <v>0</v>
      </c>
      <c r="B969" s="1">
        <f>MAX(Resume!B9/ 252-Portfolios!B969, 0)</f>
        <v>0</v>
      </c>
    </row>
    <row r="970" spans="1:2">
      <c r="A970" s="11">
        <f>Returns!A970</f>
        <v>0</v>
      </c>
      <c r="B970" s="1">
        <f>MAX(Resume!B9/ 252-Portfolios!B970, 0)</f>
        <v>0</v>
      </c>
    </row>
    <row r="971" spans="1:2">
      <c r="A971" s="11">
        <f>Returns!A971</f>
        <v>0</v>
      </c>
      <c r="B971" s="1">
        <f>MAX(Resume!B9/ 252-Portfolios!B971, 0)</f>
        <v>0</v>
      </c>
    </row>
    <row r="972" spans="1:2">
      <c r="A972" s="11">
        <f>Returns!A972</f>
        <v>0</v>
      </c>
      <c r="B972" s="1">
        <f>MAX(Resume!B9/ 252-Portfolios!B972, 0)</f>
        <v>0</v>
      </c>
    </row>
    <row r="973" spans="1:2">
      <c r="A973" s="11">
        <f>Returns!A973</f>
        <v>0</v>
      </c>
      <c r="B973" s="1">
        <f>MAX(Resume!B9/ 252-Portfolios!B973, 0)</f>
        <v>0</v>
      </c>
    </row>
    <row r="974" spans="1:2">
      <c r="A974" s="11">
        <f>Returns!A974</f>
        <v>0</v>
      </c>
      <c r="B974" s="1">
        <f>MAX(Resume!B9/ 252-Portfolios!B974, 0)</f>
        <v>0</v>
      </c>
    </row>
    <row r="975" spans="1:2">
      <c r="A975" s="11">
        <f>Returns!A975</f>
        <v>0</v>
      </c>
      <c r="B975" s="1">
        <f>MAX(Resume!B9/ 252-Portfolios!B975, 0)</f>
        <v>0</v>
      </c>
    </row>
    <row r="976" spans="1:2">
      <c r="A976" s="11">
        <f>Returns!A976</f>
        <v>0</v>
      </c>
      <c r="B976" s="1">
        <f>MAX(Resume!B9/ 252-Portfolios!B976, 0)</f>
        <v>0</v>
      </c>
    </row>
    <row r="977" spans="1:2">
      <c r="A977" s="11">
        <f>Returns!A977</f>
        <v>0</v>
      </c>
      <c r="B977" s="1">
        <f>MAX(Resume!B9/ 252-Portfolios!B977, 0)</f>
        <v>0</v>
      </c>
    </row>
    <row r="978" spans="1:2">
      <c r="A978" s="11">
        <f>Returns!A978</f>
        <v>0</v>
      </c>
      <c r="B978" s="1">
        <f>MAX(Resume!B9/ 252-Portfolios!B978, 0)</f>
        <v>0</v>
      </c>
    </row>
    <row r="979" spans="1:2">
      <c r="A979" s="11">
        <f>Returns!A979</f>
        <v>0</v>
      </c>
      <c r="B979" s="1">
        <f>MAX(Resume!B9/ 252-Portfolios!B979, 0)</f>
        <v>0</v>
      </c>
    </row>
    <row r="980" spans="1:2">
      <c r="A980" s="11">
        <f>Returns!A980</f>
        <v>0</v>
      </c>
      <c r="B980" s="1">
        <f>MAX(Resume!B9/ 252-Portfolios!B980, 0)</f>
        <v>0</v>
      </c>
    </row>
    <row r="981" spans="1:2">
      <c r="A981" s="11">
        <f>Returns!A981</f>
        <v>0</v>
      </c>
      <c r="B981" s="1">
        <f>MAX(Resume!B9/ 252-Portfolios!B981, 0)</f>
        <v>0</v>
      </c>
    </row>
    <row r="982" spans="1:2">
      <c r="A982" s="11">
        <f>Returns!A982</f>
        <v>0</v>
      </c>
      <c r="B982" s="1">
        <f>MAX(Resume!B9/ 252-Portfolios!B982, 0)</f>
        <v>0</v>
      </c>
    </row>
    <row r="983" spans="1:2">
      <c r="A983" s="11">
        <f>Returns!A983</f>
        <v>0</v>
      </c>
      <c r="B983" s="1">
        <f>MAX(Resume!B9/ 252-Portfolios!B983, 0)</f>
        <v>0</v>
      </c>
    </row>
    <row r="984" spans="1:2">
      <c r="A984" s="11">
        <f>Returns!A984</f>
        <v>0</v>
      </c>
      <c r="B984" s="1">
        <f>MAX(Resume!B9/ 252-Portfolios!B984, 0)</f>
        <v>0</v>
      </c>
    </row>
    <row r="985" spans="1:2">
      <c r="A985" s="11">
        <f>Returns!A985</f>
        <v>0</v>
      </c>
      <c r="B985" s="1">
        <f>MAX(Resume!B9/ 252-Portfolios!B985, 0)</f>
        <v>0</v>
      </c>
    </row>
    <row r="986" spans="1:2">
      <c r="A986" s="11">
        <f>Returns!A986</f>
        <v>0</v>
      </c>
      <c r="B986" s="1">
        <f>MAX(Resume!B9/ 252-Portfolios!B986, 0)</f>
        <v>0</v>
      </c>
    </row>
    <row r="987" spans="1:2">
      <c r="A987" s="11">
        <f>Returns!A987</f>
        <v>0</v>
      </c>
      <c r="B987" s="1">
        <f>MAX(Resume!B9/ 252-Portfolios!B987, 0)</f>
        <v>0</v>
      </c>
    </row>
    <row r="988" spans="1:2">
      <c r="A988" s="11">
        <f>Returns!A988</f>
        <v>0</v>
      </c>
      <c r="B988" s="1">
        <f>MAX(Resume!B9/ 252-Portfolios!B988, 0)</f>
        <v>0</v>
      </c>
    </row>
    <row r="989" spans="1:2">
      <c r="A989" s="11">
        <f>Returns!A989</f>
        <v>0</v>
      </c>
      <c r="B989" s="1">
        <f>MAX(Resume!B9/ 252-Portfolios!B989, 0)</f>
        <v>0</v>
      </c>
    </row>
    <row r="990" spans="1:2">
      <c r="A990" s="11">
        <f>Returns!A990</f>
        <v>0</v>
      </c>
      <c r="B990" s="1">
        <f>MAX(Resume!B9/ 252-Portfolios!B990, 0)</f>
        <v>0</v>
      </c>
    </row>
    <row r="991" spans="1:2">
      <c r="A991" s="11">
        <f>Returns!A991</f>
        <v>0</v>
      </c>
      <c r="B991" s="1">
        <f>MAX(Resume!B9/ 252-Portfolios!B991, 0)</f>
        <v>0</v>
      </c>
    </row>
    <row r="992" spans="1:2">
      <c r="A992" s="11">
        <f>Returns!A992</f>
        <v>0</v>
      </c>
      <c r="B992" s="1">
        <f>MAX(Resume!B9/ 252-Portfolios!B992, 0)</f>
        <v>0</v>
      </c>
    </row>
    <row r="993" spans="1:2">
      <c r="A993" s="11">
        <f>Returns!A993</f>
        <v>0</v>
      </c>
      <c r="B993" s="1">
        <f>MAX(Resume!B9/ 252-Portfolios!B993, 0)</f>
        <v>0</v>
      </c>
    </row>
    <row r="994" spans="1:2">
      <c r="A994" s="11">
        <f>Returns!A994</f>
        <v>0</v>
      </c>
      <c r="B994" s="1">
        <f>MAX(Resume!B9/ 252-Portfolios!B994, 0)</f>
        <v>0</v>
      </c>
    </row>
    <row r="995" spans="1:2">
      <c r="A995" s="11">
        <f>Returns!A995</f>
        <v>0</v>
      </c>
      <c r="B995" s="1">
        <f>MAX(Resume!B9/ 252-Portfolios!B995, 0)</f>
        <v>0</v>
      </c>
    </row>
    <row r="996" spans="1:2">
      <c r="A996" s="11">
        <f>Returns!A996</f>
        <v>0</v>
      </c>
      <c r="B996" s="1">
        <f>MAX(Resume!B9/ 252-Portfolios!B996, 0)</f>
        <v>0</v>
      </c>
    </row>
    <row r="997" spans="1:2">
      <c r="A997" s="11">
        <f>Returns!A997</f>
        <v>0</v>
      </c>
      <c r="B997" s="1">
        <f>MAX(Resume!B9/ 252-Portfolios!B997, 0)</f>
        <v>0</v>
      </c>
    </row>
    <row r="998" spans="1:2">
      <c r="A998" s="11">
        <f>Returns!A998</f>
        <v>0</v>
      </c>
      <c r="B998" s="1">
        <f>MAX(Resume!B9/ 252-Portfolios!B998, 0)</f>
        <v>0</v>
      </c>
    </row>
    <row r="999" spans="1:2">
      <c r="A999" s="11">
        <f>Returns!A999</f>
        <v>0</v>
      </c>
      <c r="B999" s="1">
        <f>MAX(Resume!B9/ 252-Portfolios!B999, 0)</f>
        <v>0</v>
      </c>
    </row>
    <row r="1000" spans="1:2">
      <c r="A1000" s="11">
        <f>Returns!A1000</f>
        <v>0</v>
      </c>
      <c r="B1000" s="1">
        <f>MAX(Resume!B9/ 252-Portfolios!B1000, 0)</f>
        <v>0</v>
      </c>
    </row>
    <row r="1001" spans="1:2">
      <c r="A1001" s="11">
        <f>Returns!A1001</f>
        <v>0</v>
      </c>
      <c r="B1001" s="1">
        <f>MAX(Resume!B9/ 252-Portfolios!B1001, 0)</f>
        <v>0</v>
      </c>
    </row>
    <row r="1002" spans="1:2">
      <c r="A1002" s="11">
        <f>Returns!A1002</f>
        <v>0</v>
      </c>
      <c r="B1002" s="1">
        <f>MAX(Resume!B9/ 252-Portfolios!B1002, 0)</f>
        <v>0</v>
      </c>
    </row>
    <row r="1003" spans="1:2">
      <c r="A1003" s="11">
        <f>Returns!A1003</f>
        <v>0</v>
      </c>
      <c r="B1003" s="1">
        <f>MAX(Resume!B9/ 252-Portfolios!B1003, 0)</f>
        <v>0</v>
      </c>
    </row>
    <row r="1004" spans="1:2">
      <c r="A1004" s="11">
        <f>Returns!A1004</f>
        <v>0</v>
      </c>
      <c r="B1004" s="1">
        <f>MAX(Resume!B9/ 252-Portfolios!B1004,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004"/>
  <sheetViews>
    <sheetView showGridLines="0" workbookViewId="0"/>
  </sheetViews>
  <sheetFormatPr defaultRowHeight="15"/>
  <cols>
    <col min="1" max="1" width="10.7109375" style="10" customWidth="1"/>
  </cols>
  <sheetData>
    <row r="1" spans="1:2">
      <c r="A1" s="5" t="s">
        <v>26</v>
      </c>
      <c r="B1" s="5" t="s">
        <v>52</v>
      </c>
    </row>
    <row r="2" spans="1:2">
      <c r="A2" s="11">
        <f>Returns!A2</f>
        <v>0</v>
      </c>
      <c r="B2" s="1">
        <f>MAX(AVERAGE(Portfolios!$B$2:$B$1004)-Portfolios!B2, 0)</f>
        <v>0</v>
      </c>
    </row>
    <row r="3" spans="1:2">
      <c r="A3" s="11">
        <f>Returns!A3</f>
        <v>0</v>
      </c>
      <c r="B3" s="1">
        <f>MAX(AVERAGE(Portfolios!$B$2:$B$1004)-Portfolios!B3, 0)</f>
        <v>0</v>
      </c>
    </row>
    <row r="4" spans="1:2">
      <c r="A4" s="11">
        <f>Returns!A4</f>
        <v>0</v>
      </c>
      <c r="B4" s="1">
        <f>MAX(AVERAGE(Portfolios!$B$2:$B$1004)-Portfolios!B4, 0)</f>
        <v>0</v>
      </c>
    </row>
    <row r="5" spans="1:2">
      <c r="A5" s="11">
        <f>Returns!A5</f>
        <v>0</v>
      </c>
      <c r="B5" s="1">
        <f>MAX(AVERAGE(Portfolios!$B$2:$B$1004)-Portfolios!B5, 0)</f>
        <v>0</v>
      </c>
    </row>
    <row r="6" spans="1:2">
      <c r="A6" s="11">
        <f>Returns!A6</f>
        <v>0</v>
      </c>
      <c r="B6" s="1">
        <f>MAX(AVERAGE(Portfolios!$B$2:$B$1004)-Portfolios!B6, 0)</f>
        <v>0</v>
      </c>
    </row>
    <row r="7" spans="1:2">
      <c r="A7" s="11">
        <f>Returns!A7</f>
        <v>0</v>
      </c>
      <c r="B7" s="1">
        <f>MAX(AVERAGE(Portfolios!$B$2:$B$1004)-Portfolios!B7, 0)</f>
        <v>0</v>
      </c>
    </row>
    <row r="8" spans="1:2">
      <c r="A8" s="11">
        <f>Returns!A8</f>
        <v>0</v>
      </c>
      <c r="B8" s="1">
        <f>MAX(AVERAGE(Portfolios!$B$2:$B$1004)-Portfolios!B8, 0)</f>
        <v>0</v>
      </c>
    </row>
    <row r="9" spans="1:2">
      <c r="A9" s="11">
        <f>Returns!A9</f>
        <v>0</v>
      </c>
      <c r="B9" s="1">
        <f>MAX(AVERAGE(Portfolios!$B$2:$B$1004)-Portfolios!B9, 0)</f>
        <v>0</v>
      </c>
    </row>
    <row r="10" spans="1:2">
      <c r="A10" s="11">
        <f>Returns!A10</f>
        <v>0</v>
      </c>
      <c r="B10" s="1">
        <f>MAX(AVERAGE(Portfolios!$B$2:$B$1004)-Portfolios!B10, 0)</f>
        <v>0</v>
      </c>
    </row>
    <row r="11" spans="1:2">
      <c r="A11" s="11">
        <f>Returns!A11</f>
        <v>0</v>
      </c>
      <c r="B11" s="1">
        <f>MAX(AVERAGE(Portfolios!$B$2:$B$1004)-Portfolios!B11, 0)</f>
        <v>0</v>
      </c>
    </row>
    <row r="12" spans="1:2">
      <c r="A12" s="11">
        <f>Returns!A12</f>
        <v>0</v>
      </c>
      <c r="B12" s="1">
        <f>MAX(AVERAGE(Portfolios!$B$2:$B$1004)-Portfolios!B12, 0)</f>
        <v>0</v>
      </c>
    </row>
    <row r="13" spans="1:2">
      <c r="A13" s="11">
        <f>Returns!A13</f>
        <v>0</v>
      </c>
      <c r="B13" s="1">
        <f>MAX(AVERAGE(Portfolios!$B$2:$B$1004)-Portfolios!B13, 0)</f>
        <v>0</v>
      </c>
    </row>
    <row r="14" spans="1:2">
      <c r="A14" s="11">
        <f>Returns!A14</f>
        <v>0</v>
      </c>
      <c r="B14" s="1">
        <f>MAX(AVERAGE(Portfolios!$B$2:$B$1004)-Portfolios!B14, 0)</f>
        <v>0</v>
      </c>
    </row>
    <row r="15" spans="1:2">
      <c r="A15" s="11">
        <f>Returns!A15</f>
        <v>0</v>
      </c>
      <c r="B15" s="1">
        <f>MAX(AVERAGE(Portfolios!$B$2:$B$1004)-Portfolios!B15, 0)</f>
        <v>0</v>
      </c>
    </row>
    <row r="16" spans="1:2">
      <c r="A16" s="11">
        <f>Returns!A16</f>
        <v>0</v>
      </c>
      <c r="B16" s="1">
        <f>MAX(AVERAGE(Portfolios!$B$2:$B$1004)-Portfolios!B16, 0)</f>
        <v>0</v>
      </c>
    </row>
    <row r="17" spans="1:2">
      <c r="A17" s="11">
        <f>Returns!A17</f>
        <v>0</v>
      </c>
      <c r="B17" s="1">
        <f>MAX(AVERAGE(Portfolios!$B$2:$B$1004)-Portfolios!B17, 0)</f>
        <v>0</v>
      </c>
    </row>
    <row r="18" spans="1:2">
      <c r="A18" s="11">
        <f>Returns!A18</f>
        <v>0</v>
      </c>
      <c r="B18" s="1">
        <f>MAX(AVERAGE(Portfolios!$B$2:$B$1004)-Portfolios!B18, 0)</f>
        <v>0</v>
      </c>
    </row>
    <row r="19" spans="1:2">
      <c r="A19" s="11">
        <f>Returns!A19</f>
        <v>0</v>
      </c>
      <c r="B19" s="1">
        <f>MAX(AVERAGE(Portfolios!$B$2:$B$1004)-Portfolios!B19, 0)</f>
        <v>0</v>
      </c>
    </row>
    <row r="20" spans="1:2">
      <c r="A20" s="11">
        <f>Returns!A20</f>
        <v>0</v>
      </c>
      <c r="B20" s="1">
        <f>MAX(AVERAGE(Portfolios!$B$2:$B$1004)-Portfolios!B20, 0)</f>
        <v>0</v>
      </c>
    </row>
    <row r="21" spans="1:2">
      <c r="A21" s="11">
        <f>Returns!A21</f>
        <v>0</v>
      </c>
      <c r="B21" s="1">
        <f>MAX(AVERAGE(Portfolios!$B$2:$B$1004)-Portfolios!B21, 0)</f>
        <v>0</v>
      </c>
    </row>
    <row r="22" spans="1:2">
      <c r="A22" s="11">
        <f>Returns!A22</f>
        <v>0</v>
      </c>
      <c r="B22" s="1">
        <f>MAX(AVERAGE(Portfolios!$B$2:$B$1004)-Portfolios!B22, 0)</f>
        <v>0</v>
      </c>
    </row>
    <row r="23" spans="1:2">
      <c r="A23" s="11">
        <f>Returns!A23</f>
        <v>0</v>
      </c>
      <c r="B23" s="1">
        <f>MAX(AVERAGE(Portfolios!$B$2:$B$1004)-Portfolios!B23, 0)</f>
        <v>0</v>
      </c>
    </row>
    <row r="24" spans="1:2">
      <c r="A24" s="11">
        <f>Returns!A24</f>
        <v>0</v>
      </c>
      <c r="B24" s="1">
        <f>MAX(AVERAGE(Portfolios!$B$2:$B$1004)-Portfolios!B24, 0)</f>
        <v>0</v>
      </c>
    </row>
    <row r="25" spans="1:2">
      <c r="A25" s="11">
        <f>Returns!A25</f>
        <v>0</v>
      </c>
      <c r="B25" s="1">
        <f>MAX(AVERAGE(Portfolios!$B$2:$B$1004)-Portfolios!B25, 0)</f>
        <v>0</v>
      </c>
    </row>
    <row r="26" spans="1:2">
      <c r="A26" s="11">
        <f>Returns!A26</f>
        <v>0</v>
      </c>
      <c r="B26" s="1">
        <f>MAX(AVERAGE(Portfolios!$B$2:$B$1004)-Portfolios!B26, 0)</f>
        <v>0</v>
      </c>
    </row>
    <row r="27" spans="1:2">
      <c r="A27" s="11">
        <f>Returns!A27</f>
        <v>0</v>
      </c>
      <c r="B27" s="1">
        <f>MAX(AVERAGE(Portfolios!$B$2:$B$1004)-Portfolios!B27, 0)</f>
        <v>0</v>
      </c>
    </row>
    <row r="28" spans="1:2">
      <c r="A28" s="11">
        <f>Returns!A28</f>
        <v>0</v>
      </c>
      <c r="B28" s="1">
        <f>MAX(AVERAGE(Portfolios!$B$2:$B$1004)-Portfolios!B28, 0)</f>
        <v>0</v>
      </c>
    </row>
    <row r="29" spans="1:2">
      <c r="A29" s="11">
        <f>Returns!A29</f>
        <v>0</v>
      </c>
      <c r="B29" s="1">
        <f>MAX(AVERAGE(Portfolios!$B$2:$B$1004)-Portfolios!B29, 0)</f>
        <v>0</v>
      </c>
    </row>
    <row r="30" spans="1:2">
      <c r="A30" s="11">
        <f>Returns!A30</f>
        <v>0</v>
      </c>
      <c r="B30" s="1">
        <f>MAX(AVERAGE(Portfolios!$B$2:$B$1004)-Portfolios!B30, 0)</f>
        <v>0</v>
      </c>
    </row>
    <row r="31" spans="1:2">
      <c r="A31" s="11">
        <f>Returns!A31</f>
        <v>0</v>
      </c>
      <c r="B31" s="1">
        <f>MAX(AVERAGE(Portfolios!$B$2:$B$1004)-Portfolios!B31, 0)</f>
        <v>0</v>
      </c>
    </row>
    <row r="32" spans="1:2">
      <c r="A32" s="11">
        <f>Returns!A32</f>
        <v>0</v>
      </c>
      <c r="B32" s="1">
        <f>MAX(AVERAGE(Portfolios!$B$2:$B$1004)-Portfolios!B32, 0)</f>
        <v>0</v>
      </c>
    </row>
    <row r="33" spans="1:2">
      <c r="A33" s="11">
        <f>Returns!A33</f>
        <v>0</v>
      </c>
      <c r="B33" s="1">
        <f>MAX(AVERAGE(Portfolios!$B$2:$B$1004)-Portfolios!B33, 0)</f>
        <v>0</v>
      </c>
    </row>
    <row r="34" spans="1:2">
      <c r="A34" s="11">
        <f>Returns!A34</f>
        <v>0</v>
      </c>
      <c r="B34" s="1">
        <f>MAX(AVERAGE(Portfolios!$B$2:$B$1004)-Portfolios!B34, 0)</f>
        <v>0</v>
      </c>
    </row>
    <row r="35" spans="1:2">
      <c r="A35" s="11">
        <f>Returns!A35</f>
        <v>0</v>
      </c>
      <c r="B35" s="1">
        <f>MAX(AVERAGE(Portfolios!$B$2:$B$1004)-Portfolios!B35, 0)</f>
        <v>0</v>
      </c>
    </row>
    <row r="36" spans="1:2">
      <c r="A36" s="11">
        <f>Returns!A36</f>
        <v>0</v>
      </c>
      <c r="B36" s="1">
        <f>MAX(AVERAGE(Portfolios!$B$2:$B$1004)-Portfolios!B36, 0)</f>
        <v>0</v>
      </c>
    </row>
    <row r="37" spans="1:2">
      <c r="A37" s="11">
        <f>Returns!A37</f>
        <v>0</v>
      </c>
      <c r="B37" s="1">
        <f>MAX(AVERAGE(Portfolios!$B$2:$B$1004)-Portfolios!B37, 0)</f>
        <v>0</v>
      </c>
    </row>
    <row r="38" spans="1:2">
      <c r="A38" s="11">
        <f>Returns!A38</f>
        <v>0</v>
      </c>
      <c r="B38" s="1">
        <f>MAX(AVERAGE(Portfolios!$B$2:$B$1004)-Portfolios!B38, 0)</f>
        <v>0</v>
      </c>
    </row>
    <row r="39" spans="1:2">
      <c r="A39" s="11">
        <f>Returns!A39</f>
        <v>0</v>
      </c>
      <c r="B39" s="1">
        <f>MAX(AVERAGE(Portfolios!$B$2:$B$1004)-Portfolios!B39, 0)</f>
        <v>0</v>
      </c>
    </row>
    <row r="40" spans="1:2">
      <c r="A40" s="11">
        <f>Returns!A40</f>
        <v>0</v>
      </c>
      <c r="B40" s="1">
        <f>MAX(AVERAGE(Portfolios!$B$2:$B$1004)-Portfolios!B40, 0)</f>
        <v>0</v>
      </c>
    </row>
    <row r="41" spans="1:2">
      <c r="A41" s="11">
        <f>Returns!A41</f>
        <v>0</v>
      </c>
      <c r="B41" s="1">
        <f>MAX(AVERAGE(Portfolios!$B$2:$B$1004)-Portfolios!B41, 0)</f>
        <v>0</v>
      </c>
    </row>
    <row r="42" spans="1:2">
      <c r="A42" s="11">
        <f>Returns!A42</f>
        <v>0</v>
      </c>
      <c r="B42" s="1">
        <f>MAX(AVERAGE(Portfolios!$B$2:$B$1004)-Portfolios!B42, 0)</f>
        <v>0</v>
      </c>
    </row>
    <row r="43" spans="1:2">
      <c r="A43" s="11">
        <f>Returns!A43</f>
        <v>0</v>
      </c>
      <c r="B43" s="1">
        <f>MAX(AVERAGE(Portfolios!$B$2:$B$1004)-Portfolios!B43, 0)</f>
        <v>0</v>
      </c>
    </row>
    <row r="44" spans="1:2">
      <c r="A44" s="11">
        <f>Returns!A44</f>
        <v>0</v>
      </c>
      <c r="B44" s="1">
        <f>MAX(AVERAGE(Portfolios!$B$2:$B$1004)-Portfolios!B44, 0)</f>
        <v>0</v>
      </c>
    </row>
    <row r="45" spans="1:2">
      <c r="A45" s="11">
        <f>Returns!A45</f>
        <v>0</v>
      </c>
      <c r="B45" s="1">
        <f>MAX(AVERAGE(Portfolios!$B$2:$B$1004)-Portfolios!B45, 0)</f>
        <v>0</v>
      </c>
    </row>
    <row r="46" spans="1:2">
      <c r="A46" s="11">
        <f>Returns!A46</f>
        <v>0</v>
      </c>
      <c r="B46" s="1">
        <f>MAX(AVERAGE(Portfolios!$B$2:$B$1004)-Portfolios!B46, 0)</f>
        <v>0</v>
      </c>
    </row>
    <row r="47" spans="1:2">
      <c r="A47" s="11">
        <f>Returns!A47</f>
        <v>0</v>
      </c>
      <c r="B47" s="1">
        <f>MAX(AVERAGE(Portfolios!$B$2:$B$1004)-Portfolios!B47, 0)</f>
        <v>0</v>
      </c>
    </row>
    <row r="48" spans="1:2">
      <c r="A48" s="11">
        <f>Returns!A48</f>
        <v>0</v>
      </c>
      <c r="B48" s="1">
        <f>MAX(AVERAGE(Portfolios!$B$2:$B$1004)-Portfolios!B48, 0)</f>
        <v>0</v>
      </c>
    </row>
    <row r="49" spans="1:2">
      <c r="A49" s="11">
        <f>Returns!A49</f>
        <v>0</v>
      </c>
      <c r="B49" s="1">
        <f>MAX(AVERAGE(Portfolios!$B$2:$B$1004)-Portfolios!B49, 0)</f>
        <v>0</v>
      </c>
    </row>
    <row r="50" spans="1:2">
      <c r="A50" s="11">
        <f>Returns!A50</f>
        <v>0</v>
      </c>
      <c r="B50" s="1">
        <f>MAX(AVERAGE(Portfolios!$B$2:$B$1004)-Portfolios!B50, 0)</f>
        <v>0</v>
      </c>
    </row>
    <row r="51" spans="1:2">
      <c r="A51" s="11">
        <f>Returns!A51</f>
        <v>0</v>
      </c>
      <c r="B51" s="1">
        <f>MAX(AVERAGE(Portfolios!$B$2:$B$1004)-Portfolios!B51, 0)</f>
        <v>0</v>
      </c>
    </row>
    <row r="52" spans="1:2">
      <c r="A52" s="11">
        <f>Returns!A52</f>
        <v>0</v>
      </c>
      <c r="B52" s="1">
        <f>MAX(AVERAGE(Portfolios!$B$2:$B$1004)-Portfolios!B52, 0)</f>
        <v>0</v>
      </c>
    </row>
    <row r="53" spans="1:2">
      <c r="A53" s="11">
        <f>Returns!A53</f>
        <v>0</v>
      </c>
      <c r="B53" s="1">
        <f>MAX(AVERAGE(Portfolios!$B$2:$B$1004)-Portfolios!B53, 0)</f>
        <v>0</v>
      </c>
    </row>
    <row r="54" spans="1:2">
      <c r="A54" s="11">
        <f>Returns!A54</f>
        <v>0</v>
      </c>
      <c r="B54" s="1">
        <f>MAX(AVERAGE(Portfolios!$B$2:$B$1004)-Portfolios!B54, 0)</f>
        <v>0</v>
      </c>
    </row>
    <row r="55" spans="1:2">
      <c r="A55" s="11">
        <f>Returns!A55</f>
        <v>0</v>
      </c>
      <c r="B55" s="1">
        <f>MAX(AVERAGE(Portfolios!$B$2:$B$1004)-Portfolios!B55, 0)</f>
        <v>0</v>
      </c>
    </row>
    <row r="56" spans="1:2">
      <c r="A56" s="11">
        <f>Returns!A56</f>
        <v>0</v>
      </c>
      <c r="B56" s="1">
        <f>MAX(AVERAGE(Portfolios!$B$2:$B$1004)-Portfolios!B56, 0)</f>
        <v>0</v>
      </c>
    </row>
    <row r="57" spans="1:2">
      <c r="A57" s="11">
        <f>Returns!A57</f>
        <v>0</v>
      </c>
      <c r="B57" s="1">
        <f>MAX(AVERAGE(Portfolios!$B$2:$B$1004)-Portfolios!B57, 0)</f>
        <v>0</v>
      </c>
    </row>
    <row r="58" spans="1:2">
      <c r="A58" s="11">
        <f>Returns!A58</f>
        <v>0</v>
      </c>
      <c r="B58" s="1">
        <f>MAX(AVERAGE(Portfolios!$B$2:$B$1004)-Portfolios!B58, 0)</f>
        <v>0</v>
      </c>
    </row>
    <row r="59" spans="1:2">
      <c r="A59" s="11">
        <f>Returns!A59</f>
        <v>0</v>
      </c>
      <c r="B59" s="1">
        <f>MAX(AVERAGE(Portfolios!$B$2:$B$1004)-Portfolios!B59, 0)</f>
        <v>0</v>
      </c>
    </row>
    <row r="60" spans="1:2">
      <c r="A60" s="11">
        <f>Returns!A60</f>
        <v>0</v>
      </c>
      <c r="B60" s="1">
        <f>MAX(AVERAGE(Portfolios!$B$2:$B$1004)-Portfolios!B60, 0)</f>
        <v>0</v>
      </c>
    </row>
    <row r="61" spans="1:2">
      <c r="A61" s="11">
        <f>Returns!A61</f>
        <v>0</v>
      </c>
      <c r="B61" s="1">
        <f>MAX(AVERAGE(Portfolios!$B$2:$B$1004)-Portfolios!B61, 0)</f>
        <v>0</v>
      </c>
    </row>
    <row r="62" spans="1:2">
      <c r="A62" s="11">
        <f>Returns!A62</f>
        <v>0</v>
      </c>
      <c r="B62" s="1">
        <f>MAX(AVERAGE(Portfolios!$B$2:$B$1004)-Portfolios!B62, 0)</f>
        <v>0</v>
      </c>
    </row>
    <row r="63" spans="1:2">
      <c r="A63" s="11">
        <f>Returns!A63</f>
        <v>0</v>
      </c>
      <c r="B63" s="1">
        <f>MAX(AVERAGE(Portfolios!$B$2:$B$1004)-Portfolios!B63, 0)</f>
        <v>0</v>
      </c>
    </row>
    <row r="64" spans="1:2">
      <c r="A64" s="11">
        <f>Returns!A64</f>
        <v>0</v>
      </c>
      <c r="B64" s="1">
        <f>MAX(AVERAGE(Portfolios!$B$2:$B$1004)-Portfolios!B64, 0)</f>
        <v>0</v>
      </c>
    </row>
    <row r="65" spans="1:2">
      <c r="A65" s="11">
        <f>Returns!A65</f>
        <v>0</v>
      </c>
      <c r="B65" s="1">
        <f>MAX(AVERAGE(Portfolios!$B$2:$B$1004)-Portfolios!B65, 0)</f>
        <v>0</v>
      </c>
    </row>
    <row r="66" spans="1:2">
      <c r="A66" s="11">
        <f>Returns!A66</f>
        <v>0</v>
      </c>
      <c r="B66" s="1">
        <f>MAX(AVERAGE(Portfolios!$B$2:$B$1004)-Portfolios!B66, 0)</f>
        <v>0</v>
      </c>
    </row>
    <row r="67" spans="1:2">
      <c r="A67" s="11">
        <f>Returns!A67</f>
        <v>0</v>
      </c>
      <c r="B67" s="1">
        <f>MAX(AVERAGE(Portfolios!$B$2:$B$1004)-Portfolios!B67, 0)</f>
        <v>0</v>
      </c>
    </row>
    <row r="68" spans="1:2">
      <c r="A68" s="11">
        <f>Returns!A68</f>
        <v>0</v>
      </c>
      <c r="B68" s="1">
        <f>MAX(AVERAGE(Portfolios!$B$2:$B$1004)-Portfolios!B68, 0)</f>
        <v>0</v>
      </c>
    </row>
    <row r="69" spans="1:2">
      <c r="A69" s="11">
        <f>Returns!A69</f>
        <v>0</v>
      </c>
      <c r="B69" s="1">
        <f>MAX(AVERAGE(Portfolios!$B$2:$B$1004)-Portfolios!B69, 0)</f>
        <v>0</v>
      </c>
    </row>
    <row r="70" spans="1:2">
      <c r="A70" s="11">
        <f>Returns!A70</f>
        <v>0</v>
      </c>
      <c r="B70" s="1">
        <f>MAX(AVERAGE(Portfolios!$B$2:$B$1004)-Portfolios!B70, 0)</f>
        <v>0</v>
      </c>
    </row>
    <row r="71" spans="1:2">
      <c r="A71" s="11">
        <f>Returns!A71</f>
        <v>0</v>
      </c>
      <c r="B71" s="1">
        <f>MAX(AVERAGE(Portfolios!$B$2:$B$1004)-Portfolios!B71, 0)</f>
        <v>0</v>
      </c>
    </row>
    <row r="72" spans="1:2">
      <c r="A72" s="11">
        <f>Returns!A72</f>
        <v>0</v>
      </c>
      <c r="B72" s="1">
        <f>MAX(AVERAGE(Portfolios!$B$2:$B$1004)-Portfolios!B72, 0)</f>
        <v>0</v>
      </c>
    </row>
    <row r="73" spans="1:2">
      <c r="A73" s="11">
        <f>Returns!A73</f>
        <v>0</v>
      </c>
      <c r="B73" s="1">
        <f>MAX(AVERAGE(Portfolios!$B$2:$B$1004)-Portfolios!B73, 0)</f>
        <v>0</v>
      </c>
    </row>
    <row r="74" spans="1:2">
      <c r="A74" s="11">
        <f>Returns!A74</f>
        <v>0</v>
      </c>
      <c r="B74" s="1">
        <f>MAX(AVERAGE(Portfolios!$B$2:$B$1004)-Portfolios!B74, 0)</f>
        <v>0</v>
      </c>
    </row>
    <row r="75" spans="1:2">
      <c r="A75" s="11">
        <f>Returns!A75</f>
        <v>0</v>
      </c>
      <c r="B75" s="1">
        <f>MAX(AVERAGE(Portfolios!$B$2:$B$1004)-Portfolios!B75, 0)</f>
        <v>0</v>
      </c>
    </row>
    <row r="76" spans="1:2">
      <c r="A76" s="11">
        <f>Returns!A76</f>
        <v>0</v>
      </c>
      <c r="B76" s="1">
        <f>MAX(AVERAGE(Portfolios!$B$2:$B$1004)-Portfolios!B76, 0)</f>
        <v>0</v>
      </c>
    </row>
    <row r="77" spans="1:2">
      <c r="A77" s="11">
        <f>Returns!A77</f>
        <v>0</v>
      </c>
      <c r="B77" s="1">
        <f>MAX(AVERAGE(Portfolios!$B$2:$B$1004)-Portfolios!B77, 0)</f>
        <v>0</v>
      </c>
    </row>
    <row r="78" spans="1:2">
      <c r="A78" s="11">
        <f>Returns!A78</f>
        <v>0</v>
      </c>
      <c r="B78" s="1">
        <f>MAX(AVERAGE(Portfolios!$B$2:$B$1004)-Portfolios!B78, 0)</f>
        <v>0</v>
      </c>
    </row>
    <row r="79" spans="1:2">
      <c r="A79" s="11">
        <f>Returns!A79</f>
        <v>0</v>
      </c>
      <c r="B79" s="1">
        <f>MAX(AVERAGE(Portfolios!$B$2:$B$1004)-Portfolios!B79, 0)</f>
        <v>0</v>
      </c>
    </row>
    <row r="80" spans="1:2">
      <c r="A80" s="11">
        <f>Returns!A80</f>
        <v>0</v>
      </c>
      <c r="B80" s="1">
        <f>MAX(AVERAGE(Portfolios!$B$2:$B$1004)-Portfolios!B80, 0)</f>
        <v>0</v>
      </c>
    </row>
    <row r="81" spans="1:2">
      <c r="A81" s="11">
        <f>Returns!A81</f>
        <v>0</v>
      </c>
      <c r="B81" s="1">
        <f>MAX(AVERAGE(Portfolios!$B$2:$B$1004)-Portfolios!B81, 0)</f>
        <v>0</v>
      </c>
    </row>
    <row r="82" spans="1:2">
      <c r="A82" s="11">
        <f>Returns!A82</f>
        <v>0</v>
      </c>
      <c r="B82" s="1">
        <f>MAX(AVERAGE(Portfolios!$B$2:$B$1004)-Portfolios!B82, 0)</f>
        <v>0</v>
      </c>
    </row>
    <row r="83" spans="1:2">
      <c r="A83" s="11">
        <f>Returns!A83</f>
        <v>0</v>
      </c>
      <c r="B83" s="1">
        <f>MAX(AVERAGE(Portfolios!$B$2:$B$1004)-Portfolios!B83, 0)</f>
        <v>0</v>
      </c>
    </row>
    <row r="84" spans="1:2">
      <c r="A84" s="11">
        <f>Returns!A84</f>
        <v>0</v>
      </c>
      <c r="B84" s="1">
        <f>MAX(AVERAGE(Portfolios!$B$2:$B$1004)-Portfolios!B84, 0)</f>
        <v>0</v>
      </c>
    </row>
    <row r="85" spans="1:2">
      <c r="A85" s="11">
        <f>Returns!A85</f>
        <v>0</v>
      </c>
      <c r="B85" s="1">
        <f>MAX(AVERAGE(Portfolios!$B$2:$B$1004)-Portfolios!B85, 0)</f>
        <v>0</v>
      </c>
    </row>
    <row r="86" spans="1:2">
      <c r="A86" s="11">
        <f>Returns!A86</f>
        <v>0</v>
      </c>
      <c r="B86" s="1">
        <f>MAX(AVERAGE(Portfolios!$B$2:$B$1004)-Portfolios!B86, 0)</f>
        <v>0</v>
      </c>
    </row>
    <row r="87" spans="1:2">
      <c r="A87" s="11">
        <f>Returns!A87</f>
        <v>0</v>
      </c>
      <c r="B87" s="1">
        <f>MAX(AVERAGE(Portfolios!$B$2:$B$1004)-Portfolios!B87, 0)</f>
        <v>0</v>
      </c>
    </row>
    <row r="88" spans="1:2">
      <c r="A88" s="11">
        <f>Returns!A88</f>
        <v>0</v>
      </c>
      <c r="B88" s="1">
        <f>MAX(AVERAGE(Portfolios!$B$2:$B$1004)-Portfolios!B88, 0)</f>
        <v>0</v>
      </c>
    </row>
    <row r="89" spans="1:2">
      <c r="A89" s="11">
        <f>Returns!A89</f>
        <v>0</v>
      </c>
      <c r="B89" s="1">
        <f>MAX(AVERAGE(Portfolios!$B$2:$B$1004)-Portfolios!B89, 0)</f>
        <v>0</v>
      </c>
    </row>
    <row r="90" spans="1:2">
      <c r="A90" s="11">
        <f>Returns!A90</f>
        <v>0</v>
      </c>
      <c r="B90" s="1">
        <f>MAX(AVERAGE(Portfolios!$B$2:$B$1004)-Portfolios!B90, 0)</f>
        <v>0</v>
      </c>
    </row>
    <row r="91" spans="1:2">
      <c r="A91" s="11">
        <f>Returns!A91</f>
        <v>0</v>
      </c>
      <c r="B91" s="1">
        <f>MAX(AVERAGE(Portfolios!$B$2:$B$1004)-Portfolios!B91, 0)</f>
        <v>0</v>
      </c>
    </row>
    <row r="92" spans="1:2">
      <c r="A92" s="11">
        <f>Returns!A92</f>
        <v>0</v>
      </c>
      <c r="B92" s="1">
        <f>MAX(AVERAGE(Portfolios!$B$2:$B$1004)-Portfolios!B92, 0)</f>
        <v>0</v>
      </c>
    </row>
    <row r="93" spans="1:2">
      <c r="A93" s="11">
        <f>Returns!A93</f>
        <v>0</v>
      </c>
      <c r="B93" s="1">
        <f>MAX(AVERAGE(Portfolios!$B$2:$B$1004)-Portfolios!B93, 0)</f>
        <v>0</v>
      </c>
    </row>
    <row r="94" spans="1:2">
      <c r="A94" s="11">
        <f>Returns!A94</f>
        <v>0</v>
      </c>
      <c r="B94" s="1">
        <f>MAX(AVERAGE(Portfolios!$B$2:$B$1004)-Portfolios!B94, 0)</f>
        <v>0</v>
      </c>
    </row>
    <row r="95" spans="1:2">
      <c r="A95" s="11">
        <f>Returns!A95</f>
        <v>0</v>
      </c>
      <c r="B95" s="1">
        <f>MAX(AVERAGE(Portfolios!$B$2:$B$1004)-Portfolios!B95, 0)</f>
        <v>0</v>
      </c>
    </row>
    <row r="96" spans="1:2">
      <c r="A96" s="11">
        <f>Returns!A96</f>
        <v>0</v>
      </c>
      <c r="B96" s="1">
        <f>MAX(AVERAGE(Portfolios!$B$2:$B$1004)-Portfolios!B96, 0)</f>
        <v>0</v>
      </c>
    </row>
    <row r="97" spans="1:2">
      <c r="A97" s="11">
        <f>Returns!A97</f>
        <v>0</v>
      </c>
      <c r="B97" s="1">
        <f>MAX(AVERAGE(Portfolios!$B$2:$B$1004)-Portfolios!B97, 0)</f>
        <v>0</v>
      </c>
    </row>
    <row r="98" spans="1:2">
      <c r="A98" s="11">
        <f>Returns!A98</f>
        <v>0</v>
      </c>
      <c r="B98" s="1">
        <f>MAX(AVERAGE(Portfolios!$B$2:$B$1004)-Portfolios!B98, 0)</f>
        <v>0</v>
      </c>
    </row>
    <row r="99" spans="1:2">
      <c r="A99" s="11">
        <f>Returns!A99</f>
        <v>0</v>
      </c>
      <c r="B99" s="1">
        <f>MAX(AVERAGE(Portfolios!$B$2:$B$1004)-Portfolios!B99, 0)</f>
        <v>0</v>
      </c>
    </row>
    <row r="100" spans="1:2">
      <c r="A100" s="11">
        <f>Returns!A100</f>
        <v>0</v>
      </c>
      <c r="B100" s="1">
        <f>MAX(AVERAGE(Portfolios!$B$2:$B$1004)-Portfolios!B100, 0)</f>
        <v>0</v>
      </c>
    </row>
    <row r="101" spans="1:2">
      <c r="A101" s="11">
        <f>Returns!A101</f>
        <v>0</v>
      </c>
      <c r="B101" s="1">
        <f>MAX(AVERAGE(Portfolios!$B$2:$B$1004)-Portfolios!B101, 0)</f>
        <v>0</v>
      </c>
    </row>
    <row r="102" spans="1:2">
      <c r="A102" s="11">
        <f>Returns!A102</f>
        <v>0</v>
      </c>
      <c r="B102" s="1">
        <f>MAX(AVERAGE(Portfolios!$B$2:$B$1004)-Portfolios!B102, 0)</f>
        <v>0</v>
      </c>
    </row>
    <row r="103" spans="1:2">
      <c r="A103" s="11">
        <f>Returns!A103</f>
        <v>0</v>
      </c>
      <c r="B103" s="1">
        <f>MAX(AVERAGE(Portfolios!$B$2:$B$1004)-Portfolios!B103, 0)</f>
        <v>0</v>
      </c>
    </row>
    <row r="104" spans="1:2">
      <c r="A104" s="11">
        <f>Returns!A104</f>
        <v>0</v>
      </c>
      <c r="B104" s="1">
        <f>MAX(AVERAGE(Portfolios!$B$2:$B$1004)-Portfolios!B104, 0)</f>
        <v>0</v>
      </c>
    </row>
    <row r="105" spans="1:2">
      <c r="A105" s="11">
        <f>Returns!A105</f>
        <v>0</v>
      </c>
      <c r="B105" s="1">
        <f>MAX(AVERAGE(Portfolios!$B$2:$B$1004)-Portfolios!B105, 0)</f>
        <v>0</v>
      </c>
    </row>
    <row r="106" spans="1:2">
      <c r="A106" s="11">
        <f>Returns!A106</f>
        <v>0</v>
      </c>
      <c r="B106" s="1">
        <f>MAX(AVERAGE(Portfolios!$B$2:$B$1004)-Portfolios!B106, 0)</f>
        <v>0</v>
      </c>
    </row>
    <row r="107" spans="1:2">
      <c r="A107" s="11">
        <f>Returns!A107</f>
        <v>0</v>
      </c>
      <c r="B107" s="1">
        <f>MAX(AVERAGE(Portfolios!$B$2:$B$1004)-Portfolios!B107, 0)</f>
        <v>0</v>
      </c>
    </row>
    <row r="108" spans="1:2">
      <c r="A108" s="11">
        <f>Returns!A108</f>
        <v>0</v>
      </c>
      <c r="B108" s="1">
        <f>MAX(AVERAGE(Portfolios!$B$2:$B$1004)-Portfolios!B108, 0)</f>
        <v>0</v>
      </c>
    </row>
    <row r="109" spans="1:2">
      <c r="A109" s="11">
        <f>Returns!A109</f>
        <v>0</v>
      </c>
      <c r="B109" s="1">
        <f>MAX(AVERAGE(Portfolios!$B$2:$B$1004)-Portfolios!B109, 0)</f>
        <v>0</v>
      </c>
    </row>
    <row r="110" spans="1:2">
      <c r="A110" s="11">
        <f>Returns!A110</f>
        <v>0</v>
      </c>
      <c r="B110" s="1">
        <f>MAX(AVERAGE(Portfolios!$B$2:$B$1004)-Portfolios!B110, 0)</f>
        <v>0</v>
      </c>
    </row>
    <row r="111" spans="1:2">
      <c r="A111" s="11">
        <f>Returns!A111</f>
        <v>0</v>
      </c>
      <c r="B111" s="1">
        <f>MAX(AVERAGE(Portfolios!$B$2:$B$1004)-Portfolios!B111, 0)</f>
        <v>0</v>
      </c>
    </row>
    <row r="112" spans="1:2">
      <c r="A112" s="11">
        <f>Returns!A112</f>
        <v>0</v>
      </c>
      <c r="B112" s="1">
        <f>MAX(AVERAGE(Portfolios!$B$2:$B$1004)-Portfolios!B112, 0)</f>
        <v>0</v>
      </c>
    </row>
    <row r="113" spans="1:2">
      <c r="A113" s="11">
        <f>Returns!A113</f>
        <v>0</v>
      </c>
      <c r="B113" s="1">
        <f>MAX(AVERAGE(Portfolios!$B$2:$B$1004)-Portfolios!B113, 0)</f>
        <v>0</v>
      </c>
    </row>
    <row r="114" spans="1:2">
      <c r="A114" s="11">
        <f>Returns!A114</f>
        <v>0</v>
      </c>
      <c r="B114" s="1">
        <f>MAX(AVERAGE(Portfolios!$B$2:$B$1004)-Portfolios!B114, 0)</f>
        <v>0</v>
      </c>
    </row>
    <row r="115" spans="1:2">
      <c r="A115" s="11">
        <f>Returns!A115</f>
        <v>0</v>
      </c>
      <c r="B115" s="1">
        <f>MAX(AVERAGE(Portfolios!$B$2:$B$1004)-Portfolios!B115, 0)</f>
        <v>0</v>
      </c>
    </row>
    <row r="116" spans="1:2">
      <c r="A116" s="11">
        <f>Returns!A116</f>
        <v>0</v>
      </c>
      <c r="B116" s="1">
        <f>MAX(AVERAGE(Portfolios!$B$2:$B$1004)-Portfolios!B116, 0)</f>
        <v>0</v>
      </c>
    </row>
    <row r="117" spans="1:2">
      <c r="A117" s="11">
        <f>Returns!A117</f>
        <v>0</v>
      </c>
      <c r="B117" s="1">
        <f>MAX(AVERAGE(Portfolios!$B$2:$B$1004)-Portfolios!B117, 0)</f>
        <v>0</v>
      </c>
    </row>
    <row r="118" spans="1:2">
      <c r="A118" s="11">
        <f>Returns!A118</f>
        <v>0</v>
      </c>
      <c r="B118" s="1">
        <f>MAX(AVERAGE(Portfolios!$B$2:$B$1004)-Portfolios!B118, 0)</f>
        <v>0</v>
      </c>
    </row>
    <row r="119" spans="1:2">
      <c r="A119" s="11">
        <f>Returns!A119</f>
        <v>0</v>
      </c>
      <c r="B119" s="1">
        <f>MAX(AVERAGE(Portfolios!$B$2:$B$1004)-Portfolios!B119, 0)</f>
        <v>0</v>
      </c>
    </row>
    <row r="120" spans="1:2">
      <c r="A120" s="11">
        <f>Returns!A120</f>
        <v>0</v>
      </c>
      <c r="B120" s="1">
        <f>MAX(AVERAGE(Portfolios!$B$2:$B$1004)-Portfolios!B120, 0)</f>
        <v>0</v>
      </c>
    </row>
    <row r="121" spans="1:2">
      <c r="A121" s="11">
        <f>Returns!A121</f>
        <v>0</v>
      </c>
      <c r="B121" s="1">
        <f>MAX(AVERAGE(Portfolios!$B$2:$B$1004)-Portfolios!B121, 0)</f>
        <v>0</v>
      </c>
    </row>
    <row r="122" spans="1:2">
      <c r="A122" s="11">
        <f>Returns!A122</f>
        <v>0</v>
      </c>
      <c r="B122" s="1">
        <f>MAX(AVERAGE(Portfolios!$B$2:$B$1004)-Portfolios!B122, 0)</f>
        <v>0</v>
      </c>
    </row>
    <row r="123" spans="1:2">
      <c r="A123" s="11">
        <f>Returns!A123</f>
        <v>0</v>
      </c>
      <c r="B123" s="1">
        <f>MAX(AVERAGE(Portfolios!$B$2:$B$1004)-Portfolios!B123, 0)</f>
        <v>0</v>
      </c>
    </row>
    <row r="124" spans="1:2">
      <c r="A124" s="11">
        <f>Returns!A124</f>
        <v>0</v>
      </c>
      <c r="B124" s="1">
        <f>MAX(AVERAGE(Portfolios!$B$2:$B$1004)-Portfolios!B124, 0)</f>
        <v>0</v>
      </c>
    </row>
    <row r="125" spans="1:2">
      <c r="A125" s="11">
        <f>Returns!A125</f>
        <v>0</v>
      </c>
      <c r="B125" s="1">
        <f>MAX(AVERAGE(Portfolios!$B$2:$B$1004)-Portfolios!B125, 0)</f>
        <v>0</v>
      </c>
    </row>
    <row r="126" spans="1:2">
      <c r="A126" s="11">
        <f>Returns!A126</f>
        <v>0</v>
      </c>
      <c r="B126" s="1">
        <f>MAX(AVERAGE(Portfolios!$B$2:$B$1004)-Portfolios!B126, 0)</f>
        <v>0</v>
      </c>
    </row>
    <row r="127" spans="1:2">
      <c r="A127" s="11">
        <f>Returns!A127</f>
        <v>0</v>
      </c>
      <c r="B127" s="1">
        <f>MAX(AVERAGE(Portfolios!$B$2:$B$1004)-Portfolios!B127, 0)</f>
        <v>0</v>
      </c>
    </row>
    <row r="128" spans="1:2">
      <c r="A128" s="11">
        <f>Returns!A128</f>
        <v>0</v>
      </c>
      <c r="B128" s="1">
        <f>MAX(AVERAGE(Portfolios!$B$2:$B$1004)-Portfolios!B128, 0)</f>
        <v>0</v>
      </c>
    </row>
    <row r="129" spans="1:2">
      <c r="A129" s="11">
        <f>Returns!A129</f>
        <v>0</v>
      </c>
      <c r="B129" s="1">
        <f>MAX(AVERAGE(Portfolios!$B$2:$B$1004)-Portfolios!B129, 0)</f>
        <v>0</v>
      </c>
    </row>
    <row r="130" spans="1:2">
      <c r="A130" s="11">
        <f>Returns!A130</f>
        <v>0</v>
      </c>
      <c r="B130" s="1">
        <f>MAX(AVERAGE(Portfolios!$B$2:$B$1004)-Portfolios!B130, 0)</f>
        <v>0</v>
      </c>
    </row>
    <row r="131" spans="1:2">
      <c r="A131" s="11">
        <f>Returns!A131</f>
        <v>0</v>
      </c>
      <c r="B131" s="1">
        <f>MAX(AVERAGE(Portfolios!$B$2:$B$1004)-Portfolios!B131, 0)</f>
        <v>0</v>
      </c>
    </row>
    <row r="132" spans="1:2">
      <c r="A132" s="11">
        <f>Returns!A132</f>
        <v>0</v>
      </c>
      <c r="B132" s="1">
        <f>MAX(AVERAGE(Portfolios!$B$2:$B$1004)-Portfolios!B132, 0)</f>
        <v>0</v>
      </c>
    </row>
    <row r="133" spans="1:2">
      <c r="A133" s="11">
        <f>Returns!A133</f>
        <v>0</v>
      </c>
      <c r="B133" s="1">
        <f>MAX(AVERAGE(Portfolios!$B$2:$B$1004)-Portfolios!B133, 0)</f>
        <v>0</v>
      </c>
    </row>
    <row r="134" spans="1:2">
      <c r="A134" s="11">
        <f>Returns!A134</f>
        <v>0</v>
      </c>
      <c r="B134" s="1">
        <f>MAX(AVERAGE(Portfolios!$B$2:$B$1004)-Portfolios!B134, 0)</f>
        <v>0</v>
      </c>
    </row>
    <row r="135" spans="1:2">
      <c r="A135" s="11">
        <f>Returns!A135</f>
        <v>0</v>
      </c>
      <c r="B135" s="1">
        <f>MAX(AVERAGE(Portfolios!$B$2:$B$1004)-Portfolios!B135, 0)</f>
        <v>0</v>
      </c>
    </row>
    <row r="136" spans="1:2">
      <c r="A136" s="11">
        <f>Returns!A136</f>
        <v>0</v>
      </c>
      <c r="B136" s="1">
        <f>MAX(AVERAGE(Portfolios!$B$2:$B$1004)-Portfolios!B136, 0)</f>
        <v>0</v>
      </c>
    </row>
    <row r="137" spans="1:2">
      <c r="A137" s="11">
        <f>Returns!A137</f>
        <v>0</v>
      </c>
      <c r="B137" s="1">
        <f>MAX(AVERAGE(Portfolios!$B$2:$B$1004)-Portfolios!B137, 0)</f>
        <v>0</v>
      </c>
    </row>
    <row r="138" spans="1:2">
      <c r="A138" s="11">
        <f>Returns!A138</f>
        <v>0</v>
      </c>
      <c r="B138" s="1">
        <f>MAX(AVERAGE(Portfolios!$B$2:$B$1004)-Portfolios!B138, 0)</f>
        <v>0</v>
      </c>
    </row>
    <row r="139" spans="1:2">
      <c r="A139" s="11">
        <f>Returns!A139</f>
        <v>0</v>
      </c>
      <c r="B139" s="1">
        <f>MAX(AVERAGE(Portfolios!$B$2:$B$1004)-Portfolios!B139, 0)</f>
        <v>0</v>
      </c>
    </row>
    <row r="140" spans="1:2">
      <c r="A140" s="11">
        <f>Returns!A140</f>
        <v>0</v>
      </c>
      <c r="B140" s="1">
        <f>MAX(AVERAGE(Portfolios!$B$2:$B$1004)-Portfolios!B140, 0)</f>
        <v>0</v>
      </c>
    </row>
    <row r="141" spans="1:2">
      <c r="A141" s="11">
        <f>Returns!A141</f>
        <v>0</v>
      </c>
      <c r="B141" s="1">
        <f>MAX(AVERAGE(Portfolios!$B$2:$B$1004)-Portfolios!B141, 0)</f>
        <v>0</v>
      </c>
    </row>
    <row r="142" spans="1:2">
      <c r="A142" s="11">
        <f>Returns!A142</f>
        <v>0</v>
      </c>
      <c r="B142" s="1">
        <f>MAX(AVERAGE(Portfolios!$B$2:$B$1004)-Portfolios!B142, 0)</f>
        <v>0</v>
      </c>
    </row>
    <row r="143" spans="1:2">
      <c r="A143" s="11">
        <f>Returns!A143</f>
        <v>0</v>
      </c>
      <c r="B143" s="1">
        <f>MAX(AVERAGE(Portfolios!$B$2:$B$1004)-Portfolios!B143, 0)</f>
        <v>0</v>
      </c>
    </row>
    <row r="144" spans="1:2">
      <c r="A144" s="11">
        <f>Returns!A144</f>
        <v>0</v>
      </c>
      <c r="B144" s="1">
        <f>MAX(AVERAGE(Portfolios!$B$2:$B$1004)-Portfolios!B144, 0)</f>
        <v>0</v>
      </c>
    </row>
    <row r="145" spans="1:2">
      <c r="A145" s="11">
        <f>Returns!A145</f>
        <v>0</v>
      </c>
      <c r="B145" s="1">
        <f>MAX(AVERAGE(Portfolios!$B$2:$B$1004)-Portfolios!B145, 0)</f>
        <v>0</v>
      </c>
    </row>
    <row r="146" spans="1:2">
      <c r="A146" s="11">
        <f>Returns!A146</f>
        <v>0</v>
      </c>
      <c r="B146" s="1">
        <f>MAX(AVERAGE(Portfolios!$B$2:$B$1004)-Portfolios!B146, 0)</f>
        <v>0</v>
      </c>
    </row>
    <row r="147" spans="1:2">
      <c r="A147" s="11">
        <f>Returns!A147</f>
        <v>0</v>
      </c>
      <c r="B147" s="1">
        <f>MAX(AVERAGE(Portfolios!$B$2:$B$1004)-Portfolios!B147, 0)</f>
        <v>0</v>
      </c>
    </row>
    <row r="148" spans="1:2">
      <c r="A148" s="11">
        <f>Returns!A148</f>
        <v>0</v>
      </c>
      <c r="B148" s="1">
        <f>MAX(AVERAGE(Portfolios!$B$2:$B$1004)-Portfolios!B148, 0)</f>
        <v>0</v>
      </c>
    </row>
    <row r="149" spans="1:2">
      <c r="A149" s="11">
        <f>Returns!A149</f>
        <v>0</v>
      </c>
      <c r="B149" s="1">
        <f>MAX(AVERAGE(Portfolios!$B$2:$B$1004)-Portfolios!B149, 0)</f>
        <v>0</v>
      </c>
    </row>
    <row r="150" spans="1:2">
      <c r="A150" s="11">
        <f>Returns!A150</f>
        <v>0</v>
      </c>
      <c r="B150" s="1">
        <f>MAX(AVERAGE(Portfolios!$B$2:$B$1004)-Portfolios!B150, 0)</f>
        <v>0</v>
      </c>
    </row>
    <row r="151" spans="1:2">
      <c r="A151" s="11">
        <f>Returns!A151</f>
        <v>0</v>
      </c>
      <c r="B151" s="1">
        <f>MAX(AVERAGE(Portfolios!$B$2:$B$1004)-Portfolios!B151, 0)</f>
        <v>0</v>
      </c>
    </row>
    <row r="152" spans="1:2">
      <c r="A152" s="11">
        <f>Returns!A152</f>
        <v>0</v>
      </c>
      <c r="B152" s="1">
        <f>MAX(AVERAGE(Portfolios!$B$2:$B$1004)-Portfolios!B152, 0)</f>
        <v>0</v>
      </c>
    </row>
    <row r="153" spans="1:2">
      <c r="A153" s="11">
        <f>Returns!A153</f>
        <v>0</v>
      </c>
      <c r="B153" s="1">
        <f>MAX(AVERAGE(Portfolios!$B$2:$B$1004)-Portfolios!B153, 0)</f>
        <v>0</v>
      </c>
    </row>
    <row r="154" spans="1:2">
      <c r="A154" s="11">
        <f>Returns!A154</f>
        <v>0</v>
      </c>
      <c r="B154" s="1">
        <f>MAX(AVERAGE(Portfolios!$B$2:$B$1004)-Portfolios!B154, 0)</f>
        <v>0</v>
      </c>
    </row>
    <row r="155" spans="1:2">
      <c r="A155" s="11">
        <f>Returns!A155</f>
        <v>0</v>
      </c>
      <c r="B155" s="1">
        <f>MAX(AVERAGE(Portfolios!$B$2:$B$1004)-Portfolios!B155, 0)</f>
        <v>0</v>
      </c>
    </row>
    <row r="156" spans="1:2">
      <c r="A156" s="11">
        <f>Returns!A156</f>
        <v>0</v>
      </c>
      <c r="B156" s="1">
        <f>MAX(AVERAGE(Portfolios!$B$2:$B$1004)-Portfolios!B156, 0)</f>
        <v>0</v>
      </c>
    </row>
    <row r="157" spans="1:2">
      <c r="A157" s="11">
        <f>Returns!A157</f>
        <v>0</v>
      </c>
      <c r="B157" s="1">
        <f>MAX(AVERAGE(Portfolios!$B$2:$B$1004)-Portfolios!B157, 0)</f>
        <v>0</v>
      </c>
    </row>
    <row r="158" spans="1:2">
      <c r="A158" s="11">
        <f>Returns!A158</f>
        <v>0</v>
      </c>
      <c r="B158" s="1">
        <f>MAX(AVERAGE(Portfolios!$B$2:$B$1004)-Portfolios!B158, 0)</f>
        <v>0</v>
      </c>
    </row>
    <row r="159" spans="1:2">
      <c r="A159" s="11">
        <f>Returns!A159</f>
        <v>0</v>
      </c>
      <c r="B159" s="1">
        <f>MAX(AVERAGE(Portfolios!$B$2:$B$1004)-Portfolios!B159, 0)</f>
        <v>0</v>
      </c>
    </row>
    <row r="160" spans="1:2">
      <c r="A160" s="11">
        <f>Returns!A160</f>
        <v>0</v>
      </c>
      <c r="B160" s="1">
        <f>MAX(AVERAGE(Portfolios!$B$2:$B$1004)-Portfolios!B160, 0)</f>
        <v>0</v>
      </c>
    </row>
    <row r="161" spans="1:2">
      <c r="A161" s="11">
        <f>Returns!A161</f>
        <v>0</v>
      </c>
      <c r="B161" s="1">
        <f>MAX(AVERAGE(Portfolios!$B$2:$B$1004)-Portfolios!B161, 0)</f>
        <v>0</v>
      </c>
    </row>
    <row r="162" spans="1:2">
      <c r="A162" s="11">
        <f>Returns!A162</f>
        <v>0</v>
      </c>
      <c r="B162" s="1">
        <f>MAX(AVERAGE(Portfolios!$B$2:$B$1004)-Portfolios!B162, 0)</f>
        <v>0</v>
      </c>
    </row>
    <row r="163" spans="1:2">
      <c r="A163" s="11">
        <f>Returns!A163</f>
        <v>0</v>
      </c>
      <c r="B163" s="1">
        <f>MAX(AVERAGE(Portfolios!$B$2:$B$1004)-Portfolios!B163, 0)</f>
        <v>0</v>
      </c>
    </row>
    <row r="164" spans="1:2">
      <c r="A164" s="11">
        <f>Returns!A164</f>
        <v>0</v>
      </c>
      <c r="B164" s="1">
        <f>MAX(AVERAGE(Portfolios!$B$2:$B$1004)-Portfolios!B164, 0)</f>
        <v>0</v>
      </c>
    </row>
    <row r="165" spans="1:2">
      <c r="A165" s="11">
        <f>Returns!A165</f>
        <v>0</v>
      </c>
      <c r="B165" s="1">
        <f>MAX(AVERAGE(Portfolios!$B$2:$B$1004)-Portfolios!B165, 0)</f>
        <v>0</v>
      </c>
    </row>
    <row r="166" spans="1:2">
      <c r="A166" s="11">
        <f>Returns!A166</f>
        <v>0</v>
      </c>
      <c r="B166" s="1">
        <f>MAX(AVERAGE(Portfolios!$B$2:$B$1004)-Portfolios!B166, 0)</f>
        <v>0</v>
      </c>
    </row>
    <row r="167" spans="1:2">
      <c r="A167" s="11">
        <f>Returns!A167</f>
        <v>0</v>
      </c>
      <c r="B167" s="1">
        <f>MAX(AVERAGE(Portfolios!$B$2:$B$1004)-Portfolios!B167, 0)</f>
        <v>0</v>
      </c>
    </row>
    <row r="168" spans="1:2">
      <c r="A168" s="11">
        <f>Returns!A168</f>
        <v>0</v>
      </c>
      <c r="B168" s="1">
        <f>MAX(AVERAGE(Portfolios!$B$2:$B$1004)-Portfolios!B168, 0)</f>
        <v>0</v>
      </c>
    </row>
    <row r="169" spans="1:2">
      <c r="A169" s="11">
        <f>Returns!A169</f>
        <v>0</v>
      </c>
      <c r="B169" s="1">
        <f>MAX(AVERAGE(Portfolios!$B$2:$B$1004)-Portfolios!B169, 0)</f>
        <v>0</v>
      </c>
    </row>
    <row r="170" spans="1:2">
      <c r="A170" s="11">
        <f>Returns!A170</f>
        <v>0</v>
      </c>
      <c r="B170" s="1">
        <f>MAX(AVERAGE(Portfolios!$B$2:$B$1004)-Portfolios!B170, 0)</f>
        <v>0</v>
      </c>
    </row>
    <row r="171" spans="1:2">
      <c r="A171" s="11">
        <f>Returns!A171</f>
        <v>0</v>
      </c>
      <c r="B171" s="1">
        <f>MAX(AVERAGE(Portfolios!$B$2:$B$1004)-Portfolios!B171, 0)</f>
        <v>0</v>
      </c>
    </row>
    <row r="172" spans="1:2">
      <c r="A172" s="11">
        <f>Returns!A172</f>
        <v>0</v>
      </c>
      <c r="B172" s="1">
        <f>MAX(AVERAGE(Portfolios!$B$2:$B$1004)-Portfolios!B172, 0)</f>
        <v>0</v>
      </c>
    </row>
    <row r="173" spans="1:2">
      <c r="A173" s="11">
        <f>Returns!A173</f>
        <v>0</v>
      </c>
      <c r="B173" s="1">
        <f>MAX(AVERAGE(Portfolios!$B$2:$B$1004)-Portfolios!B173, 0)</f>
        <v>0</v>
      </c>
    </row>
    <row r="174" spans="1:2">
      <c r="A174" s="11">
        <f>Returns!A174</f>
        <v>0</v>
      </c>
      <c r="B174" s="1">
        <f>MAX(AVERAGE(Portfolios!$B$2:$B$1004)-Portfolios!B174, 0)</f>
        <v>0</v>
      </c>
    </row>
    <row r="175" spans="1:2">
      <c r="A175" s="11">
        <f>Returns!A175</f>
        <v>0</v>
      </c>
      <c r="B175" s="1">
        <f>MAX(AVERAGE(Portfolios!$B$2:$B$1004)-Portfolios!B175, 0)</f>
        <v>0</v>
      </c>
    </row>
    <row r="176" spans="1:2">
      <c r="A176" s="11">
        <f>Returns!A176</f>
        <v>0</v>
      </c>
      <c r="B176" s="1">
        <f>MAX(AVERAGE(Portfolios!$B$2:$B$1004)-Portfolios!B176, 0)</f>
        <v>0</v>
      </c>
    </row>
    <row r="177" spans="1:2">
      <c r="A177" s="11">
        <f>Returns!A177</f>
        <v>0</v>
      </c>
      <c r="B177" s="1">
        <f>MAX(AVERAGE(Portfolios!$B$2:$B$1004)-Portfolios!B177, 0)</f>
        <v>0</v>
      </c>
    </row>
    <row r="178" spans="1:2">
      <c r="A178" s="11">
        <f>Returns!A178</f>
        <v>0</v>
      </c>
      <c r="B178" s="1">
        <f>MAX(AVERAGE(Portfolios!$B$2:$B$1004)-Portfolios!B178, 0)</f>
        <v>0</v>
      </c>
    </row>
    <row r="179" spans="1:2">
      <c r="A179" s="11">
        <f>Returns!A179</f>
        <v>0</v>
      </c>
      <c r="B179" s="1">
        <f>MAX(AVERAGE(Portfolios!$B$2:$B$1004)-Portfolios!B179, 0)</f>
        <v>0</v>
      </c>
    </row>
    <row r="180" spans="1:2">
      <c r="A180" s="11">
        <f>Returns!A180</f>
        <v>0</v>
      </c>
      <c r="B180" s="1">
        <f>MAX(AVERAGE(Portfolios!$B$2:$B$1004)-Portfolios!B180, 0)</f>
        <v>0</v>
      </c>
    </row>
    <row r="181" spans="1:2">
      <c r="A181" s="11">
        <f>Returns!A181</f>
        <v>0</v>
      </c>
      <c r="B181" s="1">
        <f>MAX(AVERAGE(Portfolios!$B$2:$B$1004)-Portfolios!B181, 0)</f>
        <v>0</v>
      </c>
    </row>
    <row r="182" spans="1:2">
      <c r="A182" s="11">
        <f>Returns!A182</f>
        <v>0</v>
      </c>
      <c r="B182" s="1">
        <f>MAX(AVERAGE(Portfolios!$B$2:$B$1004)-Portfolios!B182, 0)</f>
        <v>0</v>
      </c>
    </row>
    <row r="183" spans="1:2">
      <c r="A183" s="11">
        <f>Returns!A183</f>
        <v>0</v>
      </c>
      <c r="B183" s="1">
        <f>MAX(AVERAGE(Portfolios!$B$2:$B$1004)-Portfolios!B183, 0)</f>
        <v>0</v>
      </c>
    </row>
    <row r="184" spans="1:2">
      <c r="A184" s="11">
        <f>Returns!A184</f>
        <v>0</v>
      </c>
      <c r="B184" s="1">
        <f>MAX(AVERAGE(Portfolios!$B$2:$B$1004)-Portfolios!B184, 0)</f>
        <v>0</v>
      </c>
    </row>
    <row r="185" spans="1:2">
      <c r="A185" s="11">
        <f>Returns!A185</f>
        <v>0</v>
      </c>
      <c r="B185" s="1">
        <f>MAX(AVERAGE(Portfolios!$B$2:$B$1004)-Portfolios!B185, 0)</f>
        <v>0</v>
      </c>
    </row>
    <row r="186" spans="1:2">
      <c r="A186" s="11">
        <f>Returns!A186</f>
        <v>0</v>
      </c>
      <c r="B186" s="1">
        <f>MAX(AVERAGE(Portfolios!$B$2:$B$1004)-Portfolios!B186, 0)</f>
        <v>0</v>
      </c>
    </row>
    <row r="187" spans="1:2">
      <c r="A187" s="11">
        <f>Returns!A187</f>
        <v>0</v>
      </c>
      <c r="B187" s="1">
        <f>MAX(AVERAGE(Portfolios!$B$2:$B$1004)-Portfolios!B187, 0)</f>
        <v>0</v>
      </c>
    </row>
    <row r="188" spans="1:2">
      <c r="A188" s="11">
        <f>Returns!A188</f>
        <v>0</v>
      </c>
      <c r="B188" s="1">
        <f>MAX(AVERAGE(Portfolios!$B$2:$B$1004)-Portfolios!B188, 0)</f>
        <v>0</v>
      </c>
    </row>
    <row r="189" spans="1:2">
      <c r="A189" s="11">
        <f>Returns!A189</f>
        <v>0</v>
      </c>
      <c r="B189" s="1">
        <f>MAX(AVERAGE(Portfolios!$B$2:$B$1004)-Portfolios!B189, 0)</f>
        <v>0</v>
      </c>
    </row>
    <row r="190" spans="1:2">
      <c r="A190" s="11">
        <f>Returns!A190</f>
        <v>0</v>
      </c>
      <c r="B190" s="1">
        <f>MAX(AVERAGE(Portfolios!$B$2:$B$1004)-Portfolios!B190, 0)</f>
        <v>0</v>
      </c>
    </row>
    <row r="191" spans="1:2">
      <c r="A191" s="11">
        <f>Returns!A191</f>
        <v>0</v>
      </c>
      <c r="B191" s="1">
        <f>MAX(AVERAGE(Portfolios!$B$2:$B$1004)-Portfolios!B191, 0)</f>
        <v>0</v>
      </c>
    </row>
    <row r="192" spans="1:2">
      <c r="A192" s="11">
        <f>Returns!A192</f>
        <v>0</v>
      </c>
      <c r="B192" s="1">
        <f>MAX(AVERAGE(Portfolios!$B$2:$B$1004)-Portfolios!B192, 0)</f>
        <v>0</v>
      </c>
    </row>
    <row r="193" spans="1:2">
      <c r="A193" s="11">
        <f>Returns!A193</f>
        <v>0</v>
      </c>
      <c r="B193" s="1">
        <f>MAX(AVERAGE(Portfolios!$B$2:$B$1004)-Portfolios!B193, 0)</f>
        <v>0</v>
      </c>
    </row>
    <row r="194" spans="1:2">
      <c r="A194" s="11">
        <f>Returns!A194</f>
        <v>0</v>
      </c>
      <c r="B194" s="1">
        <f>MAX(AVERAGE(Portfolios!$B$2:$B$1004)-Portfolios!B194, 0)</f>
        <v>0</v>
      </c>
    </row>
    <row r="195" spans="1:2">
      <c r="A195" s="11">
        <f>Returns!A195</f>
        <v>0</v>
      </c>
      <c r="B195" s="1">
        <f>MAX(AVERAGE(Portfolios!$B$2:$B$1004)-Portfolios!B195, 0)</f>
        <v>0</v>
      </c>
    </row>
    <row r="196" spans="1:2">
      <c r="A196" s="11">
        <f>Returns!A196</f>
        <v>0</v>
      </c>
      <c r="B196" s="1">
        <f>MAX(AVERAGE(Portfolios!$B$2:$B$1004)-Portfolios!B196, 0)</f>
        <v>0</v>
      </c>
    </row>
    <row r="197" spans="1:2">
      <c r="A197" s="11">
        <f>Returns!A197</f>
        <v>0</v>
      </c>
      <c r="B197" s="1">
        <f>MAX(AVERAGE(Portfolios!$B$2:$B$1004)-Portfolios!B197, 0)</f>
        <v>0</v>
      </c>
    </row>
    <row r="198" spans="1:2">
      <c r="A198" s="11">
        <f>Returns!A198</f>
        <v>0</v>
      </c>
      <c r="B198" s="1">
        <f>MAX(AVERAGE(Portfolios!$B$2:$B$1004)-Portfolios!B198, 0)</f>
        <v>0</v>
      </c>
    </row>
    <row r="199" spans="1:2">
      <c r="A199" s="11">
        <f>Returns!A199</f>
        <v>0</v>
      </c>
      <c r="B199" s="1">
        <f>MAX(AVERAGE(Portfolios!$B$2:$B$1004)-Portfolios!B199, 0)</f>
        <v>0</v>
      </c>
    </row>
    <row r="200" spans="1:2">
      <c r="A200" s="11">
        <f>Returns!A200</f>
        <v>0</v>
      </c>
      <c r="B200" s="1">
        <f>MAX(AVERAGE(Portfolios!$B$2:$B$1004)-Portfolios!B200, 0)</f>
        <v>0</v>
      </c>
    </row>
    <row r="201" spans="1:2">
      <c r="A201" s="11">
        <f>Returns!A201</f>
        <v>0</v>
      </c>
      <c r="B201" s="1">
        <f>MAX(AVERAGE(Portfolios!$B$2:$B$1004)-Portfolios!B201, 0)</f>
        <v>0</v>
      </c>
    </row>
    <row r="202" spans="1:2">
      <c r="A202" s="11">
        <f>Returns!A202</f>
        <v>0</v>
      </c>
      <c r="B202" s="1">
        <f>MAX(AVERAGE(Portfolios!$B$2:$B$1004)-Portfolios!B202, 0)</f>
        <v>0</v>
      </c>
    </row>
    <row r="203" spans="1:2">
      <c r="A203" s="11">
        <f>Returns!A203</f>
        <v>0</v>
      </c>
      <c r="B203" s="1">
        <f>MAX(AVERAGE(Portfolios!$B$2:$B$1004)-Portfolios!B203, 0)</f>
        <v>0</v>
      </c>
    </row>
    <row r="204" spans="1:2">
      <c r="A204" s="11">
        <f>Returns!A204</f>
        <v>0</v>
      </c>
      <c r="B204" s="1">
        <f>MAX(AVERAGE(Portfolios!$B$2:$B$1004)-Portfolios!B204, 0)</f>
        <v>0</v>
      </c>
    </row>
    <row r="205" spans="1:2">
      <c r="A205" s="11">
        <f>Returns!A205</f>
        <v>0</v>
      </c>
      <c r="B205" s="1">
        <f>MAX(AVERAGE(Portfolios!$B$2:$B$1004)-Portfolios!B205, 0)</f>
        <v>0</v>
      </c>
    </row>
    <row r="206" spans="1:2">
      <c r="A206" s="11">
        <f>Returns!A206</f>
        <v>0</v>
      </c>
      <c r="B206" s="1">
        <f>MAX(AVERAGE(Portfolios!$B$2:$B$1004)-Portfolios!B206, 0)</f>
        <v>0</v>
      </c>
    </row>
    <row r="207" spans="1:2">
      <c r="A207" s="11">
        <f>Returns!A207</f>
        <v>0</v>
      </c>
      <c r="B207" s="1">
        <f>MAX(AVERAGE(Portfolios!$B$2:$B$1004)-Portfolios!B207, 0)</f>
        <v>0</v>
      </c>
    </row>
    <row r="208" spans="1:2">
      <c r="A208" s="11">
        <f>Returns!A208</f>
        <v>0</v>
      </c>
      <c r="B208" s="1">
        <f>MAX(AVERAGE(Portfolios!$B$2:$B$1004)-Portfolios!B208, 0)</f>
        <v>0</v>
      </c>
    </row>
    <row r="209" spans="1:2">
      <c r="A209" s="11">
        <f>Returns!A209</f>
        <v>0</v>
      </c>
      <c r="B209" s="1">
        <f>MAX(AVERAGE(Portfolios!$B$2:$B$1004)-Portfolios!B209, 0)</f>
        <v>0</v>
      </c>
    </row>
    <row r="210" spans="1:2">
      <c r="A210" s="11">
        <f>Returns!A210</f>
        <v>0</v>
      </c>
      <c r="B210" s="1">
        <f>MAX(AVERAGE(Portfolios!$B$2:$B$1004)-Portfolios!B210, 0)</f>
        <v>0</v>
      </c>
    </row>
    <row r="211" spans="1:2">
      <c r="A211" s="11">
        <f>Returns!A211</f>
        <v>0</v>
      </c>
      <c r="B211" s="1">
        <f>MAX(AVERAGE(Portfolios!$B$2:$B$1004)-Portfolios!B211, 0)</f>
        <v>0</v>
      </c>
    </row>
    <row r="212" spans="1:2">
      <c r="A212" s="11">
        <f>Returns!A212</f>
        <v>0</v>
      </c>
      <c r="B212" s="1">
        <f>MAX(AVERAGE(Portfolios!$B$2:$B$1004)-Portfolios!B212, 0)</f>
        <v>0</v>
      </c>
    </row>
    <row r="213" spans="1:2">
      <c r="A213" s="11">
        <f>Returns!A213</f>
        <v>0</v>
      </c>
      <c r="B213" s="1">
        <f>MAX(AVERAGE(Portfolios!$B$2:$B$1004)-Portfolios!B213, 0)</f>
        <v>0</v>
      </c>
    </row>
    <row r="214" spans="1:2">
      <c r="A214" s="11">
        <f>Returns!A214</f>
        <v>0</v>
      </c>
      <c r="B214" s="1">
        <f>MAX(AVERAGE(Portfolios!$B$2:$B$1004)-Portfolios!B214, 0)</f>
        <v>0</v>
      </c>
    </row>
    <row r="215" spans="1:2">
      <c r="A215" s="11">
        <f>Returns!A215</f>
        <v>0</v>
      </c>
      <c r="B215" s="1">
        <f>MAX(AVERAGE(Portfolios!$B$2:$B$1004)-Portfolios!B215, 0)</f>
        <v>0</v>
      </c>
    </row>
    <row r="216" spans="1:2">
      <c r="A216" s="11">
        <f>Returns!A216</f>
        <v>0</v>
      </c>
      <c r="B216" s="1">
        <f>MAX(AVERAGE(Portfolios!$B$2:$B$1004)-Portfolios!B216, 0)</f>
        <v>0</v>
      </c>
    </row>
    <row r="217" spans="1:2">
      <c r="A217" s="11">
        <f>Returns!A217</f>
        <v>0</v>
      </c>
      <c r="B217" s="1">
        <f>MAX(AVERAGE(Portfolios!$B$2:$B$1004)-Portfolios!B217, 0)</f>
        <v>0</v>
      </c>
    </row>
    <row r="218" spans="1:2">
      <c r="A218" s="11">
        <f>Returns!A218</f>
        <v>0</v>
      </c>
      <c r="B218" s="1">
        <f>MAX(AVERAGE(Portfolios!$B$2:$B$1004)-Portfolios!B218, 0)</f>
        <v>0</v>
      </c>
    </row>
    <row r="219" spans="1:2">
      <c r="A219" s="11">
        <f>Returns!A219</f>
        <v>0</v>
      </c>
      <c r="B219" s="1">
        <f>MAX(AVERAGE(Portfolios!$B$2:$B$1004)-Portfolios!B219, 0)</f>
        <v>0</v>
      </c>
    </row>
    <row r="220" spans="1:2">
      <c r="A220" s="11">
        <f>Returns!A220</f>
        <v>0</v>
      </c>
      <c r="B220" s="1">
        <f>MAX(AVERAGE(Portfolios!$B$2:$B$1004)-Portfolios!B220, 0)</f>
        <v>0</v>
      </c>
    </row>
    <row r="221" spans="1:2">
      <c r="A221" s="11">
        <f>Returns!A221</f>
        <v>0</v>
      </c>
      <c r="B221" s="1">
        <f>MAX(AVERAGE(Portfolios!$B$2:$B$1004)-Portfolios!B221, 0)</f>
        <v>0</v>
      </c>
    </row>
    <row r="222" spans="1:2">
      <c r="A222" s="11">
        <f>Returns!A222</f>
        <v>0</v>
      </c>
      <c r="B222" s="1">
        <f>MAX(AVERAGE(Portfolios!$B$2:$B$1004)-Portfolios!B222, 0)</f>
        <v>0</v>
      </c>
    </row>
    <row r="223" spans="1:2">
      <c r="A223" s="11">
        <f>Returns!A223</f>
        <v>0</v>
      </c>
      <c r="B223" s="1">
        <f>MAX(AVERAGE(Portfolios!$B$2:$B$1004)-Portfolios!B223, 0)</f>
        <v>0</v>
      </c>
    </row>
    <row r="224" spans="1:2">
      <c r="A224" s="11">
        <f>Returns!A224</f>
        <v>0</v>
      </c>
      <c r="B224" s="1">
        <f>MAX(AVERAGE(Portfolios!$B$2:$B$1004)-Portfolios!B224, 0)</f>
        <v>0</v>
      </c>
    </row>
    <row r="225" spans="1:2">
      <c r="A225" s="11">
        <f>Returns!A225</f>
        <v>0</v>
      </c>
      <c r="B225" s="1">
        <f>MAX(AVERAGE(Portfolios!$B$2:$B$1004)-Portfolios!B225, 0)</f>
        <v>0</v>
      </c>
    </row>
    <row r="226" spans="1:2">
      <c r="A226" s="11">
        <f>Returns!A226</f>
        <v>0</v>
      </c>
      <c r="B226" s="1">
        <f>MAX(AVERAGE(Portfolios!$B$2:$B$1004)-Portfolios!B226, 0)</f>
        <v>0</v>
      </c>
    </row>
    <row r="227" spans="1:2">
      <c r="A227" s="11">
        <f>Returns!A227</f>
        <v>0</v>
      </c>
      <c r="B227" s="1">
        <f>MAX(AVERAGE(Portfolios!$B$2:$B$1004)-Portfolios!B227, 0)</f>
        <v>0</v>
      </c>
    </row>
    <row r="228" spans="1:2">
      <c r="A228" s="11">
        <f>Returns!A228</f>
        <v>0</v>
      </c>
      <c r="B228" s="1">
        <f>MAX(AVERAGE(Portfolios!$B$2:$B$1004)-Portfolios!B228, 0)</f>
        <v>0</v>
      </c>
    </row>
    <row r="229" spans="1:2">
      <c r="A229" s="11">
        <f>Returns!A229</f>
        <v>0</v>
      </c>
      <c r="B229" s="1">
        <f>MAX(AVERAGE(Portfolios!$B$2:$B$1004)-Portfolios!B229, 0)</f>
        <v>0</v>
      </c>
    </row>
    <row r="230" spans="1:2">
      <c r="A230" s="11">
        <f>Returns!A230</f>
        <v>0</v>
      </c>
      <c r="B230" s="1">
        <f>MAX(AVERAGE(Portfolios!$B$2:$B$1004)-Portfolios!B230, 0)</f>
        <v>0</v>
      </c>
    </row>
    <row r="231" spans="1:2">
      <c r="A231" s="11">
        <f>Returns!A231</f>
        <v>0</v>
      </c>
      <c r="B231" s="1">
        <f>MAX(AVERAGE(Portfolios!$B$2:$B$1004)-Portfolios!B231, 0)</f>
        <v>0</v>
      </c>
    </row>
    <row r="232" spans="1:2">
      <c r="A232" s="11">
        <f>Returns!A232</f>
        <v>0</v>
      </c>
      <c r="B232" s="1">
        <f>MAX(AVERAGE(Portfolios!$B$2:$B$1004)-Portfolios!B232, 0)</f>
        <v>0</v>
      </c>
    </row>
    <row r="233" spans="1:2">
      <c r="A233" s="11">
        <f>Returns!A233</f>
        <v>0</v>
      </c>
      <c r="B233" s="1">
        <f>MAX(AVERAGE(Portfolios!$B$2:$B$1004)-Portfolios!B233, 0)</f>
        <v>0</v>
      </c>
    </row>
    <row r="234" spans="1:2">
      <c r="A234" s="11">
        <f>Returns!A234</f>
        <v>0</v>
      </c>
      <c r="B234" s="1">
        <f>MAX(AVERAGE(Portfolios!$B$2:$B$1004)-Portfolios!B234, 0)</f>
        <v>0</v>
      </c>
    </row>
    <row r="235" spans="1:2">
      <c r="A235" s="11">
        <f>Returns!A235</f>
        <v>0</v>
      </c>
      <c r="B235" s="1">
        <f>MAX(AVERAGE(Portfolios!$B$2:$B$1004)-Portfolios!B235, 0)</f>
        <v>0</v>
      </c>
    </row>
    <row r="236" spans="1:2">
      <c r="A236" s="11">
        <f>Returns!A236</f>
        <v>0</v>
      </c>
      <c r="B236" s="1">
        <f>MAX(AVERAGE(Portfolios!$B$2:$B$1004)-Portfolios!B236, 0)</f>
        <v>0</v>
      </c>
    </row>
    <row r="237" spans="1:2">
      <c r="A237" s="11">
        <f>Returns!A237</f>
        <v>0</v>
      </c>
      <c r="B237" s="1">
        <f>MAX(AVERAGE(Portfolios!$B$2:$B$1004)-Portfolios!B237, 0)</f>
        <v>0</v>
      </c>
    </row>
    <row r="238" spans="1:2">
      <c r="A238" s="11">
        <f>Returns!A238</f>
        <v>0</v>
      </c>
      <c r="B238" s="1">
        <f>MAX(AVERAGE(Portfolios!$B$2:$B$1004)-Portfolios!B238, 0)</f>
        <v>0</v>
      </c>
    </row>
    <row r="239" spans="1:2">
      <c r="A239" s="11">
        <f>Returns!A239</f>
        <v>0</v>
      </c>
      <c r="B239" s="1">
        <f>MAX(AVERAGE(Portfolios!$B$2:$B$1004)-Portfolios!B239, 0)</f>
        <v>0</v>
      </c>
    </row>
    <row r="240" spans="1:2">
      <c r="A240" s="11">
        <f>Returns!A240</f>
        <v>0</v>
      </c>
      <c r="B240" s="1">
        <f>MAX(AVERAGE(Portfolios!$B$2:$B$1004)-Portfolios!B240, 0)</f>
        <v>0</v>
      </c>
    </row>
    <row r="241" spans="1:2">
      <c r="A241" s="11">
        <f>Returns!A241</f>
        <v>0</v>
      </c>
      <c r="B241" s="1">
        <f>MAX(AVERAGE(Portfolios!$B$2:$B$1004)-Portfolios!B241, 0)</f>
        <v>0</v>
      </c>
    </row>
    <row r="242" spans="1:2">
      <c r="A242" s="11">
        <f>Returns!A242</f>
        <v>0</v>
      </c>
      <c r="B242" s="1">
        <f>MAX(AVERAGE(Portfolios!$B$2:$B$1004)-Portfolios!B242, 0)</f>
        <v>0</v>
      </c>
    </row>
    <row r="243" spans="1:2">
      <c r="A243" s="11">
        <f>Returns!A243</f>
        <v>0</v>
      </c>
      <c r="B243" s="1">
        <f>MAX(AVERAGE(Portfolios!$B$2:$B$1004)-Portfolios!B243, 0)</f>
        <v>0</v>
      </c>
    </row>
    <row r="244" spans="1:2">
      <c r="A244" s="11">
        <f>Returns!A244</f>
        <v>0</v>
      </c>
      <c r="B244" s="1">
        <f>MAX(AVERAGE(Portfolios!$B$2:$B$1004)-Portfolios!B244, 0)</f>
        <v>0</v>
      </c>
    </row>
    <row r="245" spans="1:2">
      <c r="A245" s="11">
        <f>Returns!A245</f>
        <v>0</v>
      </c>
      <c r="B245" s="1">
        <f>MAX(AVERAGE(Portfolios!$B$2:$B$1004)-Portfolios!B245, 0)</f>
        <v>0</v>
      </c>
    </row>
    <row r="246" spans="1:2">
      <c r="A246" s="11">
        <f>Returns!A246</f>
        <v>0</v>
      </c>
      <c r="B246" s="1">
        <f>MAX(AVERAGE(Portfolios!$B$2:$B$1004)-Portfolios!B246, 0)</f>
        <v>0</v>
      </c>
    </row>
    <row r="247" spans="1:2">
      <c r="A247" s="11">
        <f>Returns!A247</f>
        <v>0</v>
      </c>
      <c r="B247" s="1">
        <f>MAX(AVERAGE(Portfolios!$B$2:$B$1004)-Portfolios!B247, 0)</f>
        <v>0</v>
      </c>
    </row>
    <row r="248" spans="1:2">
      <c r="A248" s="11">
        <f>Returns!A248</f>
        <v>0</v>
      </c>
      <c r="B248" s="1">
        <f>MAX(AVERAGE(Portfolios!$B$2:$B$1004)-Portfolios!B248, 0)</f>
        <v>0</v>
      </c>
    </row>
    <row r="249" spans="1:2">
      <c r="A249" s="11">
        <f>Returns!A249</f>
        <v>0</v>
      </c>
      <c r="B249" s="1">
        <f>MAX(AVERAGE(Portfolios!$B$2:$B$1004)-Portfolios!B249, 0)</f>
        <v>0</v>
      </c>
    </row>
    <row r="250" spans="1:2">
      <c r="A250" s="11">
        <f>Returns!A250</f>
        <v>0</v>
      </c>
      <c r="B250" s="1">
        <f>MAX(AVERAGE(Portfolios!$B$2:$B$1004)-Portfolios!B250, 0)</f>
        <v>0</v>
      </c>
    </row>
    <row r="251" spans="1:2">
      <c r="A251" s="11">
        <f>Returns!A251</f>
        <v>0</v>
      </c>
      <c r="B251" s="1">
        <f>MAX(AVERAGE(Portfolios!$B$2:$B$1004)-Portfolios!B251, 0)</f>
        <v>0</v>
      </c>
    </row>
    <row r="252" spans="1:2">
      <c r="A252" s="11">
        <f>Returns!A252</f>
        <v>0</v>
      </c>
      <c r="B252" s="1">
        <f>MAX(AVERAGE(Portfolios!$B$2:$B$1004)-Portfolios!B252, 0)</f>
        <v>0</v>
      </c>
    </row>
    <row r="253" spans="1:2">
      <c r="A253" s="11">
        <f>Returns!A253</f>
        <v>0</v>
      </c>
      <c r="B253" s="1">
        <f>MAX(AVERAGE(Portfolios!$B$2:$B$1004)-Portfolios!B253, 0)</f>
        <v>0</v>
      </c>
    </row>
    <row r="254" spans="1:2">
      <c r="A254" s="11">
        <f>Returns!A254</f>
        <v>0</v>
      </c>
      <c r="B254" s="1">
        <f>MAX(AVERAGE(Portfolios!$B$2:$B$1004)-Portfolios!B254, 0)</f>
        <v>0</v>
      </c>
    </row>
    <row r="255" spans="1:2">
      <c r="A255" s="11">
        <f>Returns!A255</f>
        <v>0</v>
      </c>
      <c r="B255" s="1">
        <f>MAX(AVERAGE(Portfolios!$B$2:$B$1004)-Portfolios!B255, 0)</f>
        <v>0</v>
      </c>
    </row>
    <row r="256" spans="1:2">
      <c r="A256" s="11">
        <f>Returns!A256</f>
        <v>0</v>
      </c>
      <c r="B256" s="1">
        <f>MAX(AVERAGE(Portfolios!$B$2:$B$1004)-Portfolios!B256, 0)</f>
        <v>0</v>
      </c>
    </row>
    <row r="257" spans="1:2">
      <c r="A257" s="11">
        <f>Returns!A257</f>
        <v>0</v>
      </c>
      <c r="B257" s="1">
        <f>MAX(AVERAGE(Portfolios!$B$2:$B$1004)-Portfolios!B257, 0)</f>
        <v>0</v>
      </c>
    </row>
    <row r="258" spans="1:2">
      <c r="A258" s="11">
        <f>Returns!A258</f>
        <v>0</v>
      </c>
      <c r="B258" s="1">
        <f>MAX(AVERAGE(Portfolios!$B$2:$B$1004)-Portfolios!B258, 0)</f>
        <v>0</v>
      </c>
    </row>
    <row r="259" spans="1:2">
      <c r="A259" s="11">
        <f>Returns!A259</f>
        <v>0</v>
      </c>
      <c r="B259" s="1">
        <f>MAX(AVERAGE(Portfolios!$B$2:$B$1004)-Portfolios!B259, 0)</f>
        <v>0</v>
      </c>
    </row>
    <row r="260" spans="1:2">
      <c r="A260" s="11">
        <f>Returns!A260</f>
        <v>0</v>
      </c>
      <c r="B260" s="1">
        <f>MAX(AVERAGE(Portfolios!$B$2:$B$1004)-Portfolios!B260, 0)</f>
        <v>0</v>
      </c>
    </row>
    <row r="261" spans="1:2">
      <c r="A261" s="11">
        <f>Returns!A261</f>
        <v>0</v>
      </c>
      <c r="B261" s="1">
        <f>MAX(AVERAGE(Portfolios!$B$2:$B$1004)-Portfolios!B261, 0)</f>
        <v>0</v>
      </c>
    </row>
    <row r="262" spans="1:2">
      <c r="A262" s="11">
        <f>Returns!A262</f>
        <v>0</v>
      </c>
      <c r="B262" s="1">
        <f>MAX(AVERAGE(Portfolios!$B$2:$B$1004)-Portfolios!B262, 0)</f>
        <v>0</v>
      </c>
    </row>
    <row r="263" spans="1:2">
      <c r="A263" s="11">
        <f>Returns!A263</f>
        <v>0</v>
      </c>
      <c r="B263" s="1">
        <f>MAX(AVERAGE(Portfolios!$B$2:$B$1004)-Portfolios!B263, 0)</f>
        <v>0</v>
      </c>
    </row>
    <row r="264" spans="1:2">
      <c r="A264" s="11">
        <f>Returns!A264</f>
        <v>0</v>
      </c>
      <c r="B264" s="1">
        <f>MAX(AVERAGE(Portfolios!$B$2:$B$1004)-Portfolios!B264, 0)</f>
        <v>0</v>
      </c>
    </row>
    <row r="265" spans="1:2">
      <c r="A265" s="11">
        <f>Returns!A265</f>
        <v>0</v>
      </c>
      <c r="B265" s="1">
        <f>MAX(AVERAGE(Portfolios!$B$2:$B$1004)-Portfolios!B265, 0)</f>
        <v>0</v>
      </c>
    </row>
    <row r="266" spans="1:2">
      <c r="A266" s="11">
        <f>Returns!A266</f>
        <v>0</v>
      </c>
      <c r="B266" s="1">
        <f>MAX(AVERAGE(Portfolios!$B$2:$B$1004)-Portfolios!B266, 0)</f>
        <v>0</v>
      </c>
    </row>
    <row r="267" spans="1:2">
      <c r="A267" s="11">
        <f>Returns!A267</f>
        <v>0</v>
      </c>
      <c r="B267" s="1">
        <f>MAX(AVERAGE(Portfolios!$B$2:$B$1004)-Portfolios!B267, 0)</f>
        <v>0</v>
      </c>
    </row>
    <row r="268" spans="1:2">
      <c r="A268" s="11">
        <f>Returns!A268</f>
        <v>0</v>
      </c>
      <c r="B268" s="1">
        <f>MAX(AVERAGE(Portfolios!$B$2:$B$1004)-Portfolios!B268, 0)</f>
        <v>0</v>
      </c>
    </row>
    <row r="269" spans="1:2">
      <c r="A269" s="11">
        <f>Returns!A269</f>
        <v>0</v>
      </c>
      <c r="B269" s="1">
        <f>MAX(AVERAGE(Portfolios!$B$2:$B$1004)-Portfolios!B269, 0)</f>
        <v>0</v>
      </c>
    </row>
    <row r="270" spans="1:2">
      <c r="A270" s="11">
        <f>Returns!A270</f>
        <v>0</v>
      </c>
      <c r="B270" s="1">
        <f>MAX(AVERAGE(Portfolios!$B$2:$B$1004)-Portfolios!B270, 0)</f>
        <v>0</v>
      </c>
    </row>
    <row r="271" spans="1:2">
      <c r="A271" s="11">
        <f>Returns!A271</f>
        <v>0</v>
      </c>
      <c r="B271" s="1">
        <f>MAX(AVERAGE(Portfolios!$B$2:$B$1004)-Portfolios!B271, 0)</f>
        <v>0</v>
      </c>
    </row>
    <row r="272" spans="1:2">
      <c r="A272" s="11">
        <f>Returns!A272</f>
        <v>0</v>
      </c>
      <c r="B272" s="1">
        <f>MAX(AVERAGE(Portfolios!$B$2:$B$1004)-Portfolios!B272, 0)</f>
        <v>0</v>
      </c>
    </row>
    <row r="273" spans="1:2">
      <c r="A273" s="11">
        <f>Returns!A273</f>
        <v>0</v>
      </c>
      <c r="B273" s="1">
        <f>MAX(AVERAGE(Portfolios!$B$2:$B$1004)-Portfolios!B273, 0)</f>
        <v>0</v>
      </c>
    </row>
    <row r="274" spans="1:2">
      <c r="A274" s="11">
        <f>Returns!A274</f>
        <v>0</v>
      </c>
      <c r="B274" s="1">
        <f>MAX(AVERAGE(Portfolios!$B$2:$B$1004)-Portfolios!B274, 0)</f>
        <v>0</v>
      </c>
    </row>
    <row r="275" spans="1:2">
      <c r="A275" s="11">
        <f>Returns!A275</f>
        <v>0</v>
      </c>
      <c r="B275" s="1">
        <f>MAX(AVERAGE(Portfolios!$B$2:$B$1004)-Portfolios!B275, 0)</f>
        <v>0</v>
      </c>
    </row>
    <row r="276" spans="1:2">
      <c r="A276" s="11">
        <f>Returns!A276</f>
        <v>0</v>
      </c>
      <c r="B276" s="1">
        <f>MAX(AVERAGE(Portfolios!$B$2:$B$1004)-Portfolios!B276, 0)</f>
        <v>0</v>
      </c>
    </row>
    <row r="277" spans="1:2">
      <c r="A277" s="11">
        <f>Returns!A277</f>
        <v>0</v>
      </c>
      <c r="B277" s="1">
        <f>MAX(AVERAGE(Portfolios!$B$2:$B$1004)-Portfolios!B277, 0)</f>
        <v>0</v>
      </c>
    </row>
    <row r="278" spans="1:2">
      <c r="A278" s="11">
        <f>Returns!A278</f>
        <v>0</v>
      </c>
      <c r="B278" s="1">
        <f>MAX(AVERAGE(Portfolios!$B$2:$B$1004)-Portfolios!B278, 0)</f>
        <v>0</v>
      </c>
    </row>
    <row r="279" spans="1:2">
      <c r="A279" s="11">
        <f>Returns!A279</f>
        <v>0</v>
      </c>
      <c r="B279" s="1">
        <f>MAX(AVERAGE(Portfolios!$B$2:$B$1004)-Portfolios!B279, 0)</f>
        <v>0</v>
      </c>
    </row>
    <row r="280" spans="1:2">
      <c r="A280" s="11">
        <f>Returns!A280</f>
        <v>0</v>
      </c>
      <c r="B280" s="1">
        <f>MAX(AVERAGE(Portfolios!$B$2:$B$1004)-Portfolios!B280, 0)</f>
        <v>0</v>
      </c>
    </row>
    <row r="281" spans="1:2">
      <c r="A281" s="11">
        <f>Returns!A281</f>
        <v>0</v>
      </c>
      <c r="B281" s="1">
        <f>MAX(AVERAGE(Portfolios!$B$2:$B$1004)-Portfolios!B281, 0)</f>
        <v>0</v>
      </c>
    </row>
    <row r="282" spans="1:2">
      <c r="A282" s="11">
        <f>Returns!A282</f>
        <v>0</v>
      </c>
      <c r="B282" s="1">
        <f>MAX(AVERAGE(Portfolios!$B$2:$B$1004)-Portfolios!B282, 0)</f>
        <v>0</v>
      </c>
    </row>
    <row r="283" spans="1:2">
      <c r="A283" s="11">
        <f>Returns!A283</f>
        <v>0</v>
      </c>
      <c r="B283" s="1">
        <f>MAX(AVERAGE(Portfolios!$B$2:$B$1004)-Portfolios!B283, 0)</f>
        <v>0</v>
      </c>
    </row>
    <row r="284" spans="1:2">
      <c r="A284" s="11">
        <f>Returns!A284</f>
        <v>0</v>
      </c>
      <c r="B284" s="1">
        <f>MAX(AVERAGE(Portfolios!$B$2:$B$1004)-Portfolios!B284, 0)</f>
        <v>0</v>
      </c>
    </row>
    <row r="285" spans="1:2">
      <c r="A285" s="11">
        <f>Returns!A285</f>
        <v>0</v>
      </c>
      <c r="B285" s="1">
        <f>MAX(AVERAGE(Portfolios!$B$2:$B$1004)-Portfolios!B285, 0)</f>
        <v>0</v>
      </c>
    </row>
    <row r="286" spans="1:2">
      <c r="A286" s="11">
        <f>Returns!A286</f>
        <v>0</v>
      </c>
      <c r="B286" s="1">
        <f>MAX(AVERAGE(Portfolios!$B$2:$B$1004)-Portfolios!B286, 0)</f>
        <v>0</v>
      </c>
    </row>
    <row r="287" spans="1:2">
      <c r="A287" s="11">
        <f>Returns!A287</f>
        <v>0</v>
      </c>
      <c r="B287" s="1">
        <f>MAX(AVERAGE(Portfolios!$B$2:$B$1004)-Portfolios!B287, 0)</f>
        <v>0</v>
      </c>
    </row>
    <row r="288" spans="1:2">
      <c r="A288" s="11">
        <f>Returns!A288</f>
        <v>0</v>
      </c>
      <c r="B288" s="1">
        <f>MAX(AVERAGE(Portfolios!$B$2:$B$1004)-Portfolios!B288, 0)</f>
        <v>0</v>
      </c>
    </row>
    <row r="289" spans="1:2">
      <c r="A289" s="11">
        <f>Returns!A289</f>
        <v>0</v>
      </c>
      <c r="B289" s="1">
        <f>MAX(AVERAGE(Portfolios!$B$2:$B$1004)-Portfolios!B289, 0)</f>
        <v>0</v>
      </c>
    </row>
    <row r="290" spans="1:2">
      <c r="A290" s="11">
        <f>Returns!A290</f>
        <v>0</v>
      </c>
      <c r="B290" s="1">
        <f>MAX(AVERAGE(Portfolios!$B$2:$B$1004)-Portfolios!B290, 0)</f>
        <v>0</v>
      </c>
    </row>
    <row r="291" spans="1:2">
      <c r="A291" s="11">
        <f>Returns!A291</f>
        <v>0</v>
      </c>
      <c r="B291" s="1">
        <f>MAX(AVERAGE(Portfolios!$B$2:$B$1004)-Portfolios!B291, 0)</f>
        <v>0</v>
      </c>
    </row>
    <row r="292" spans="1:2">
      <c r="A292" s="11">
        <f>Returns!A292</f>
        <v>0</v>
      </c>
      <c r="B292" s="1">
        <f>MAX(AVERAGE(Portfolios!$B$2:$B$1004)-Portfolios!B292, 0)</f>
        <v>0</v>
      </c>
    </row>
    <row r="293" spans="1:2">
      <c r="A293" s="11">
        <f>Returns!A293</f>
        <v>0</v>
      </c>
      <c r="B293" s="1">
        <f>MAX(AVERAGE(Portfolios!$B$2:$B$1004)-Portfolios!B293, 0)</f>
        <v>0</v>
      </c>
    </row>
    <row r="294" spans="1:2">
      <c r="A294" s="11">
        <f>Returns!A294</f>
        <v>0</v>
      </c>
      <c r="B294" s="1">
        <f>MAX(AVERAGE(Portfolios!$B$2:$B$1004)-Portfolios!B294, 0)</f>
        <v>0</v>
      </c>
    </row>
    <row r="295" spans="1:2">
      <c r="A295" s="11">
        <f>Returns!A295</f>
        <v>0</v>
      </c>
      <c r="B295" s="1">
        <f>MAX(AVERAGE(Portfolios!$B$2:$B$1004)-Portfolios!B295, 0)</f>
        <v>0</v>
      </c>
    </row>
    <row r="296" spans="1:2">
      <c r="A296" s="11">
        <f>Returns!A296</f>
        <v>0</v>
      </c>
      <c r="B296" s="1">
        <f>MAX(AVERAGE(Portfolios!$B$2:$B$1004)-Portfolios!B296, 0)</f>
        <v>0</v>
      </c>
    </row>
    <row r="297" spans="1:2">
      <c r="A297" s="11">
        <f>Returns!A297</f>
        <v>0</v>
      </c>
      <c r="B297" s="1">
        <f>MAX(AVERAGE(Portfolios!$B$2:$B$1004)-Portfolios!B297, 0)</f>
        <v>0</v>
      </c>
    </row>
    <row r="298" spans="1:2">
      <c r="A298" s="11">
        <f>Returns!A298</f>
        <v>0</v>
      </c>
      <c r="B298" s="1">
        <f>MAX(AVERAGE(Portfolios!$B$2:$B$1004)-Portfolios!B298, 0)</f>
        <v>0</v>
      </c>
    </row>
    <row r="299" spans="1:2">
      <c r="A299" s="11">
        <f>Returns!A299</f>
        <v>0</v>
      </c>
      <c r="B299" s="1">
        <f>MAX(AVERAGE(Portfolios!$B$2:$B$1004)-Portfolios!B299, 0)</f>
        <v>0</v>
      </c>
    </row>
    <row r="300" spans="1:2">
      <c r="A300" s="11">
        <f>Returns!A300</f>
        <v>0</v>
      </c>
      <c r="B300" s="1">
        <f>MAX(AVERAGE(Portfolios!$B$2:$B$1004)-Portfolios!B300, 0)</f>
        <v>0</v>
      </c>
    </row>
    <row r="301" spans="1:2">
      <c r="A301" s="11">
        <f>Returns!A301</f>
        <v>0</v>
      </c>
      <c r="B301" s="1">
        <f>MAX(AVERAGE(Portfolios!$B$2:$B$1004)-Portfolios!B301, 0)</f>
        <v>0</v>
      </c>
    </row>
    <row r="302" spans="1:2">
      <c r="A302" s="11">
        <f>Returns!A302</f>
        <v>0</v>
      </c>
      <c r="B302" s="1">
        <f>MAX(AVERAGE(Portfolios!$B$2:$B$1004)-Portfolios!B302, 0)</f>
        <v>0</v>
      </c>
    </row>
    <row r="303" spans="1:2">
      <c r="A303" s="11">
        <f>Returns!A303</f>
        <v>0</v>
      </c>
      <c r="B303" s="1">
        <f>MAX(AVERAGE(Portfolios!$B$2:$B$1004)-Portfolios!B303, 0)</f>
        <v>0</v>
      </c>
    </row>
    <row r="304" spans="1:2">
      <c r="A304" s="11">
        <f>Returns!A304</f>
        <v>0</v>
      </c>
      <c r="B304" s="1">
        <f>MAX(AVERAGE(Portfolios!$B$2:$B$1004)-Portfolios!B304, 0)</f>
        <v>0</v>
      </c>
    </row>
    <row r="305" spans="1:2">
      <c r="A305" s="11">
        <f>Returns!A305</f>
        <v>0</v>
      </c>
      <c r="B305" s="1">
        <f>MAX(AVERAGE(Portfolios!$B$2:$B$1004)-Portfolios!B305, 0)</f>
        <v>0</v>
      </c>
    </row>
    <row r="306" spans="1:2">
      <c r="A306" s="11">
        <f>Returns!A306</f>
        <v>0</v>
      </c>
      <c r="B306" s="1">
        <f>MAX(AVERAGE(Portfolios!$B$2:$B$1004)-Portfolios!B306, 0)</f>
        <v>0</v>
      </c>
    </row>
    <row r="307" spans="1:2">
      <c r="A307" s="11">
        <f>Returns!A307</f>
        <v>0</v>
      </c>
      <c r="B307" s="1">
        <f>MAX(AVERAGE(Portfolios!$B$2:$B$1004)-Portfolios!B307, 0)</f>
        <v>0</v>
      </c>
    </row>
    <row r="308" spans="1:2">
      <c r="A308" s="11">
        <f>Returns!A308</f>
        <v>0</v>
      </c>
      <c r="B308" s="1">
        <f>MAX(AVERAGE(Portfolios!$B$2:$B$1004)-Portfolios!B308, 0)</f>
        <v>0</v>
      </c>
    </row>
    <row r="309" spans="1:2">
      <c r="A309" s="11">
        <f>Returns!A309</f>
        <v>0</v>
      </c>
      <c r="B309" s="1">
        <f>MAX(AVERAGE(Portfolios!$B$2:$B$1004)-Portfolios!B309, 0)</f>
        <v>0</v>
      </c>
    </row>
    <row r="310" spans="1:2">
      <c r="A310" s="11">
        <f>Returns!A310</f>
        <v>0</v>
      </c>
      <c r="B310" s="1">
        <f>MAX(AVERAGE(Portfolios!$B$2:$B$1004)-Portfolios!B310, 0)</f>
        <v>0</v>
      </c>
    </row>
    <row r="311" spans="1:2">
      <c r="A311" s="11">
        <f>Returns!A311</f>
        <v>0</v>
      </c>
      <c r="B311" s="1">
        <f>MAX(AVERAGE(Portfolios!$B$2:$B$1004)-Portfolios!B311, 0)</f>
        <v>0</v>
      </c>
    </row>
    <row r="312" spans="1:2">
      <c r="A312" s="11">
        <f>Returns!A312</f>
        <v>0</v>
      </c>
      <c r="B312" s="1">
        <f>MAX(AVERAGE(Portfolios!$B$2:$B$1004)-Portfolios!B312, 0)</f>
        <v>0</v>
      </c>
    </row>
    <row r="313" spans="1:2">
      <c r="A313" s="11">
        <f>Returns!A313</f>
        <v>0</v>
      </c>
      <c r="B313" s="1">
        <f>MAX(AVERAGE(Portfolios!$B$2:$B$1004)-Portfolios!B313, 0)</f>
        <v>0</v>
      </c>
    </row>
    <row r="314" spans="1:2">
      <c r="A314" s="11">
        <f>Returns!A314</f>
        <v>0</v>
      </c>
      <c r="B314" s="1">
        <f>MAX(AVERAGE(Portfolios!$B$2:$B$1004)-Portfolios!B314, 0)</f>
        <v>0</v>
      </c>
    </row>
    <row r="315" spans="1:2">
      <c r="A315" s="11">
        <f>Returns!A315</f>
        <v>0</v>
      </c>
      <c r="B315" s="1">
        <f>MAX(AVERAGE(Portfolios!$B$2:$B$1004)-Portfolios!B315, 0)</f>
        <v>0</v>
      </c>
    </row>
    <row r="316" spans="1:2">
      <c r="A316" s="11">
        <f>Returns!A316</f>
        <v>0</v>
      </c>
      <c r="B316" s="1">
        <f>MAX(AVERAGE(Portfolios!$B$2:$B$1004)-Portfolios!B316, 0)</f>
        <v>0</v>
      </c>
    </row>
    <row r="317" spans="1:2">
      <c r="A317" s="11">
        <f>Returns!A317</f>
        <v>0</v>
      </c>
      <c r="B317" s="1">
        <f>MAX(AVERAGE(Portfolios!$B$2:$B$1004)-Portfolios!B317, 0)</f>
        <v>0</v>
      </c>
    </row>
    <row r="318" spans="1:2">
      <c r="A318" s="11">
        <f>Returns!A318</f>
        <v>0</v>
      </c>
      <c r="B318" s="1">
        <f>MAX(AVERAGE(Portfolios!$B$2:$B$1004)-Portfolios!B318, 0)</f>
        <v>0</v>
      </c>
    </row>
    <row r="319" spans="1:2">
      <c r="A319" s="11">
        <f>Returns!A319</f>
        <v>0</v>
      </c>
      <c r="B319" s="1">
        <f>MAX(AVERAGE(Portfolios!$B$2:$B$1004)-Portfolios!B319, 0)</f>
        <v>0</v>
      </c>
    </row>
    <row r="320" spans="1:2">
      <c r="A320" s="11">
        <f>Returns!A320</f>
        <v>0</v>
      </c>
      <c r="B320" s="1">
        <f>MAX(AVERAGE(Portfolios!$B$2:$B$1004)-Portfolios!B320, 0)</f>
        <v>0</v>
      </c>
    </row>
    <row r="321" spans="1:2">
      <c r="A321" s="11">
        <f>Returns!A321</f>
        <v>0</v>
      </c>
      <c r="B321" s="1">
        <f>MAX(AVERAGE(Portfolios!$B$2:$B$1004)-Portfolios!B321, 0)</f>
        <v>0</v>
      </c>
    </row>
    <row r="322" spans="1:2">
      <c r="A322" s="11">
        <f>Returns!A322</f>
        <v>0</v>
      </c>
      <c r="B322" s="1">
        <f>MAX(AVERAGE(Portfolios!$B$2:$B$1004)-Portfolios!B322, 0)</f>
        <v>0</v>
      </c>
    </row>
    <row r="323" spans="1:2">
      <c r="A323" s="11">
        <f>Returns!A323</f>
        <v>0</v>
      </c>
      <c r="B323" s="1">
        <f>MAX(AVERAGE(Portfolios!$B$2:$B$1004)-Portfolios!B323, 0)</f>
        <v>0</v>
      </c>
    </row>
    <row r="324" spans="1:2">
      <c r="A324" s="11">
        <f>Returns!A324</f>
        <v>0</v>
      </c>
      <c r="B324" s="1">
        <f>MAX(AVERAGE(Portfolios!$B$2:$B$1004)-Portfolios!B324, 0)</f>
        <v>0</v>
      </c>
    </row>
    <row r="325" spans="1:2">
      <c r="A325" s="11">
        <f>Returns!A325</f>
        <v>0</v>
      </c>
      <c r="B325" s="1">
        <f>MAX(AVERAGE(Portfolios!$B$2:$B$1004)-Portfolios!B325, 0)</f>
        <v>0</v>
      </c>
    </row>
    <row r="326" spans="1:2">
      <c r="A326" s="11">
        <f>Returns!A326</f>
        <v>0</v>
      </c>
      <c r="B326" s="1">
        <f>MAX(AVERAGE(Portfolios!$B$2:$B$1004)-Portfolios!B326, 0)</f>
        <v>0</v>
      </c>
    </row>
    <row r="327" spans="1:2">
      <c r="A327" s="11">
        <f>Returns!A327</f>
        <v>0</v>
      </c>
      <c r="B327" s="1">
        <f>MAX(AVERAGE(Portfolios!$B$2:$B$1004)-Portfolios!B327, 0)</f>
        <v>0</v>
      </c>
    </row>
    <row r="328" spans="1:2">
      <c r="A328" s="11">
        <f>Returns!A328</f>
        <v>0</v>
      </c>
      <c r="B328" s="1">
        <f>MAX(AVERAGE(Portfolios!$B$2:$B$1004)-Portfolios!B328, 0)</f>
        <v>0</v>
      </c>
    </row>
    <row r="329" spans="1:2">
      <c r="A329" s="11">
        <f>Returns!A329</f>
        <v>0</v>
      </c>
      <c r="B329" s="1">
        <f>MAX(AVERAGE(Portfolios!$B$2:$B$1004)-Portfolios!B329, 0)</f>
        <v>0</v>
      </c>
    </row>
    <row r="330" spans="1:2">
      <c r="A330" s="11">
        <f>Returns!A330</f>
        <v>0</v>
      </c>
      <c r="B330" s="1">
        <f>MAX(AVERAGE(Portfolios!$B$2:$B$1004)-Portfolios!B330, 0)</f>
        <v>0</v>
      </c>
    </row>
    <row r="331" spans="1:2">
      <c r="A331" s="11">
        <f>Returns!A331</f>
        <v>0</v>
      </c>
      <c r="B331" s="1">
        <f>MAX(AVERAGE(Portfolios!$B$2:$B$1004)-Portfolios!B331, 0)</f>
        <v>0</v>
      </c>
    </row>
    <row r="332" spans="1:2">
      <c r="A332" s="11">
        <f>Returns!A332</f>
        <v>0</v>
      </c>
      <c r="B332" s="1">
        <f>MAX(AVERAGE(Portfolios!$B$2:$B$1004)-Portfolios!B332, 0)</f>
        <v>0</v>
      </c>
    </row>
    <row r="333" spans="1:2">
      <c r="A333" s="11">
        <f>Returns!A333</f>
        <v>0</v>
      </c>
      <c r="B333" s="1">
        <f>MAX(AVERAGE(Portfolios!$B$2:$B$1004)-Portfolios!B333, 0)</f>
        <v>0</v>
      </c>
    </row>
    <row r="334" spans="1:2">
      <c r="A334" s="11">
        <f>Returns!A334</f>
        <v>0</v>
      </c>
      <c r="B334" s="1">
        <f>MAX(AVERAGE(Portfolios!$B$2:$B$1004)-Portfolios!B334, 0)</f>
        <v>0</v>
      </c>
    </row>
    <row r="335" spans="1:2">
      <c r="A335" s="11">
        <f>Returns!A335</f>
        <v>0</v>
      </c>
      <c r="B335" s="1">
        <f>MAX(AVERAGE(Portfolios!$B$2:$B$1004)-Portfolios!B335, 0)</f>
        <v>0</v>
      </c>
    </row>
    <row r="336" spans="1:2">
      <c r="A336" s="11">
        <f>Returns!A336</f>
        <v>0</v>
      </c>
      <c r="B336" s="1">
        <f>MAX(AVERAGE(Portfolios!$B$2:$B$1004)-Portfolios!B336, 0)</f>
        <v>0</v>
      </c>
    </row>
    <row r="337" spans="1:2">
      <c r="A337" s="11">
        <f>Returns!A337</f>
        <v>0</v>
      </c>
      <c r="B337" s="1">
        <f>MAX(AVERAGE(Portfolios!$B$2:$B$1004)-Portfolios!B337, 0)</f>
        <v>0</v>
      </c>
    </row>
    <row r="338" spans="1:2">
      <c r="A338" s="11">
        <f>Returns!A338</f>
        <v>0</v>
      </c>
      <c r="B338" s="1">
        <f>MAX(AVERAGE(Portfolios!$B$2:$B$1004)-Portfolios!B338, 0)</f>
        <v>0</v>
      </c>
    </row>
    <row r="339" spans="1:2">
      <c r="A339" s="11">
        <f>Returns!A339</f>
        <v>0</v>
      </c>
      <c r="B339" s="1">
        <f>MAX(AVERAGE(Portfolios!$B$2:$B$1004)-Portfolios!B339, 0)</f>
        <v>0</v>
      </c>
    </row>
    <row r="340" spans="1:2">
      <c r="A340" s="11">
        <f>Returns!A340</f>
        <v>0</v>
      </c>
      <c r="B340" s="1">
        <f>MAX(AVERAGE(Portfolios!$B$2:$B$1004)-Portfolios!B340, 0)</f>
        <v>0</v>
      </c>
    </row>
    <row r="341" spans="1:2">
      <c r="A341" s="11">
        <f>Returns!A341</f>
        <v>0</v>
      </c>
      <c r="B341" s="1">
        <f>MAX(AVERAGE(Portfolios!$B$2:$B$1004)-Portfolios!B341, 0)</f>
        <v>0</v>
      </c>
    </row>
    <row r="342" spans="1:2">
      <c r="A342" s="11">
        <f>Returns!A342</f>
        <v>0</v>
      </c>
      <c r="B342" s="1">
        <f>MAX(AVERAGE(Portfolios!$B$2:$B$1004)-Portfolios!B342, 0)</f>
        <v>0</v>
      </c>
    </row>
    <row r="343" spans="1:2">
      <c r="A343" s="11">
        <f>Returns!A343</f>
        <v>0</v>
      </c>
      <c r="B343" s="1">
        <f>MAX(AVERAGE(Portfolios!$B$2:$B$1004)-Portfolios!B343, 0)</f>
        <v>0</v>
      </c>
    </row>
    <row r="344" spans="1:2">
      <c r="A344" s="11">
        <f>Returns!A344</f>
        <v>0</v>
      </c>
      <c r="B344" s="1">
        <f>MAX(AVERAGE(Portfolios!$B$2:$B$1004)-Portfolios!B344, 0)</f>
        <v>0</v>
      </c>
    </row>
    <row r="345" spans="1:2">
      <c r="A345" s="11">
        <f>Returns!A345</f>
        <v>0</v>
      </c>
      <c r="B345" s="1">
        <f>MAX(AVERAGE(Portfolios!$B$2:$B$1004)-Portfolios!B345, 0)</f>
        <v>0</v>
      </c>
    </row>
    <row r="346" spans="1:2">
      <c r="A346" s="11">
        <f>Returns!A346</f>
        <v>0</v>
      </c>
      <c r="B346" s="1">
        <f>MAX(AVERAGE(Portfolios!$B$2:$B$1004)-Portfolios!B346, 0)</f>
        <v>0</v>
      </c>
    </row>
    <row r="347" spans="1:2">
      <c r="A347" s="11">
        <f>Returns!A347</f>
        <v>0</v>
      </c>
      <c r="B347" s="1">
        <f>MAX(AVERAGE(Portfolios!$B$2:$B$1004)-Portfolios!B347, 0)</f>
        <v>0</v>
      </c>
    </row>
    <row r="348" spans="1:2">
      <c r="A348" s="11">
        <f>Returns!A348</f>
        <v>0</v>
      </c>
      <c r="B348" s="1">
        <f>MAX(AVERAGE(Portfolios!$B$2:$B$1004)-Portfolios!B348, 0)</f>
        <v>0</v>
      </c>
    </row>
    <row r="349" spans="1:2">
      <c r="A349" s="11">
        <f>Returns!A349</f>
        <v>0</v>
      </c>
      <c r="B349" s="1">
        <f>MAX(AVERAGE(Portfolios!$B$2:$B$1004)-Portfolios!B349, 0)</f>
        <v>0</v>
      </c>
    </row>
    <row r="350" spans="1:2">
      <c r="A350" s="11">
        <f>Returns!A350</f>
        <v>0</v>
      </c>
      <c r="B350" s="1">
        <f>MAX(AVERAGE(Portfolios!$B$2:$B$1004)-Portfolios!B350, 0)</f>
        <v>0</v>
      </c>
    </row>
    <row r="351" spans="1:2">
      <c r="A351" s="11">
        <f>Returns!A351</f>
        <v>0</v>
      </c>
      <c r="B351" s="1">
        <f>MAX(AVERAGE(Portfolios!$B$2:$B$1004)-Portfolios!B351, 0)</f>
        <v>0</v>
      </c>
    </row>
    <row r="352" spans="1:2">
      <c r="A352" s="11">
        <f>Returns!A352</f>
        <v>0</v>
      </c>
      <c r="B352" s="1">
        <f>MAX(AVERAGE(Portfolios!$B$2:$B$1004)-Portfolios!B352, 0)</f>
        <v>0</v>
      </c>
    </row>
    <row r="353" spans="1:2">
      <c r="A353" s="11">
        <f>Returns!A353</f>
        <v>0</v>
      </c>
      <c r="B353" s="1">
        <f>MAX(AVERAGE(Portfolios!$B$2:$B$1004)-Portfolios!B353, 0)</f>
        <v>0</v>
      </c>
    </row>
    <row r="354" spans="1:2">
      <c r="A354" s="11">
        <f>Returns!A354</f>
        <v>0</v>
      </c>
      <c r="B354" s="1">
        <f>MAX(AVERAGE(Portfolios!$B$2:$B$1004)-Portfolios!B354, 0)</f>
        <v>0</v>
      </c>
    </row>
    <row r="355" spans="1:2">
      <c r="A355" s="11">
        <f>Returns!A355</f>
        <v>0</v>
      </c>
      <c r="B355" s="1">
        <f>MAX(AVERAGE(Portfolios!$B$2:$B$1004)-Portfolios!B355, 0)</f>
        <v>0</v>
      </c>
    </row>
    <row r="356" spans="1:2">
      <c r="A356" s="11">
        <f>Returns!A356</f>
        <v>0</v>
      </c>
      <c r="B356" s="1">
        <f>MAX(AVERAGE(Portfolios!$B$2:$B$1004)-Portfolios!B356, 0)</f>
        <v>0</v>
      </c>
    </row>
    <row r="357" spans="1:2">
      <c r="A357" s="11">
        <f>Returns!A357</f>
        <v>0</v>
      </c>
      <c r="B357" s="1">
        <f>MAX(AVERAGE(Portfolios!$B$2:$B$1004)-Portfolios!B357, 0)</f>
        <v>0</v>
      </c>
    </row>
    <row r="358" spans="1:2">
      <c r="A358" s="11">
        <f>Returns!A358</f>
        <v>0</v>
      </c>
      <c r="B358" s="1">
        <f>MAX(AVERAGE(Portfolios!$B$2:$B$1004)-Portfolios!B358, 0)</f>
        <v>0</v>
      </c>
    </row>
    <row r="359" spans="1:2">
      <c r="A359" s="11">
        <f>Returns!A359</f>
        <v>0</v>
      </c>
      <c r="B359" s="1">
        <f>MAX(AVERAGE(Portfolios!$B$2:$B$1004)-Portfolios!B359, 0)</f>
        <v>0</v>
      </c>
    </row>
    <row r="360" spans="1:2">
      <c r="A360" s="11">
        <f>Returns!A360</f>
        <v>0</v>
      </c>
      <c r="B360" s="1">
        <f>MAX(AVERAGE(Portfolios!$B$2:$B$1004)-Portfolios!B360, 0)</f>
        <v>0</v>
      </c>
    </row>
    <row r="361" spans="1:2">
      <c r="A361" s="11">
        <f>Returns!A361</f>
        <v>0</v>
      </c>
      <c r="B361" s="1">
        <f>MAX(AVERAGE(Portfolios!$B$2:$B$1004)-Portfolios!B361, 0)</f>
        <v>0</v>
      </c>
    </row>
    <row r="362" spans="1:2">
      <c r="A362" s="11">
        <f>Returns!A362</f>
        <v>0</v>
      </c>
      <c r="B362" s="1">
        <f>MAX(AVERAGE(Portfolios!$B$2:$B$1004)-Portfolios!B362, 0)</f>
        <v>0</v>
      </c>
    </row>
    <row r="363" spans="1:2">
      <c r="A363" s="11">
        <f>Returns!A363</f>
        <v>0</v>
      </c>
      <c r="B363" s="1">
        <f>MAX(AVERAGE(Portfolios!$B$2:$B$1004)-Portfolios!B363, 0)</f>
        <v>0</v>
      </c>
    </row>
    <row r="364" spans="1:2">
      <c r="A364" s="11">
        <f>Returns!A364</f>
        <v>0</v>
      </c>
      <c r="B364" s="1">
        <f>MAX(AVERAGE(Portfolios!$B$2:$B$1004)-Portfolios!B364, 0)</f>
        <v>0</v>
      </c>
    </row>
    <row r="365" spans="1:2">
      <c r="A365" s="11">
        <f>Returns!A365</f>
        <v>0</v>
      </c>
      <c r="B365" s="1">
        <f>MAX(AVERAGE(Portfolios!$B$2:$B$1004)-Portfolios!B365, 0)</f>
        <v>0</v>
      </c>
    </row>
    <row r="366" spans="1:2">
      <c r="A366" s="11">
        <f>Returns!A366</f>
        <v>0</v>
      </c>
      <c r="B366" s="1">
        <f>MAX(AVERAGE(Portfolios!$B$2:$B$1004)-Portfolios!B366, 0)</f>
        <v>0</v>
      </c>
    </row>
    <row r="367" spans="1:2">
      <c r="A367" s="11">
        <f>Returns!A367</f>
        <v>0</v>
      </c>
      <c r="B367" s="1">
        <f>MAX(AVERAGE(Portfolios!$B$2:$B$1004)-Portfolios!B367, 0)</f>
        <v>0</v>
      </c>
    </row>
    <row r="368" spans="1:2">
      <c r="A368" s="11">
        <f>Returns!A368</f>
        <v>0</v>
      </c>
      <c r="B368" s="1">
        <f>MAX(AVERAGE(Portfolios!$B$2:$B$1004)-Portfolios!B368, 0)</f>
        <v>0</v>
      </c>
    </row>
    <row r="369" spans="1:2">
      <c r="A369" s="11">
        <f>Returns!A369</f>
        <v>0</v>
      </c>
      <c r="B369" s="1">
        <f>MAX(AVERAGE(Portfolios!$B$2:$B$1004)-Portfolios!B369, 0)</f>
        <v>0</v>
      </c>
    </row>
    <row r="370" spans="1:2">
      <c r="A370" s="11">
        <f>Returns!A370</f>
        <v>0</v>
      </c>
      <c r="B370" s="1">
        <f>MAX(AVERAGE(Portfolios!$B$2:$B$1004)-Portfolios!B370, 0)</f>
        <v>0</v>
      </c>
    </row>
    <row r="371" spans="1:2">
      <c r="A371" s="11">
        <f>Returns!A371</f>
        <v>0</v>
      </c>
      <c r="B371" s="1">
        <f>MAX(AVERAGE(Portfolios!$B$2:$B$1004)-Portfolios!B371, 0)</f>
        <v>0</v>
      </c>
    </row>
    <row r="372" spans="1:2">
      <c r="A372" s="11">
        <f>Returns!A372</f>
        <v>0</v>
      </c>
      <c r="B372" s="1">
        <f>MAX(AVERAGE(Portfolios!$B$2:$B$1004)-Portfolios!B372, 0)</f>
        <v>0</v>
      </c>
    </row>
    <row r="373" spans="1:2">
      <c r="A373" s="11">
        <f>Returns!A373</f>
        <v>0</v>
      </c>
      <c r="B373" s="1">
        <f>MAX(AVERAGE(Portfolios!$B$2:$B$1004)-Portfolios!B373, 0)</f>
        <v>0</v>
      </c>
    </row>
    <row r="374" spans="1:2">
      <c r="A374" s="11">
        <f>Returns!A374</f>
        <v>0</v>
      </c>
      <c r="B374" s="1">
        <f>MAX(AVERAGE(Portfolios!$B$2:$B$1004)-Portfolios!B374, 0)</f>
        <v>0</v>
      </c>
    </row>
    <row r="375" spans="1:2">
      <c r="A375" s="11">
        <f>Returns!A375</f>
        <v>0</v>
      </c>
      <c r="B375" s="1">
        <f>MAX(AVERAGE(Portfolios!$B$2:$B$1004)-Portfolios!B375, 0)</f>
        <v>0</v>
      </c>
    </row>
    <row r="376" spans="1:2">
      <c r="A376" s="11">
        <f>Returns!A376</f>
        <v>0</v>
      </c>
      <c r="B376" s="1">
        <f>MAX(AVERAGE(Portfolios!$B$2:$B$1004)-Portfolios!B376, 0)</f>
        <v>0</v>
      </c>
    </row>
    <row r="377" spans="1:2">
      <c r="A377" s="11">
        <f>Returns!A377</f>
        <v>0</v>
      </c>
      <c r="B377" s="1">
        <f>MAX(AVERAGE(Portfolios!$B$2:$B$1004)-Portfolios!B377, 0)</f>
        <v>0</v>
      </c>
    </row>
    <row r="378" spans="1:2">
      <c r="A378" s="11">
        <f>Returns!A378</f>
        <v>0</v>
      </c>
      <c r="B378" s="1">
        <f>MAX(AVERAGE(Portfolios!$B$2:$B$1004)-Portfolios!B378, 0)</f>
        <v>0</v>
      </c>
    </row>
    <row r="379" spans="1:2">
      <c r="A379" s="11">
        <f>Returns!A379</f>
        <v>0</v>
      </c>
      <c r="B379" s="1">
        <f>MAX(AVERAGE(Portfolios!$B$2:$B$1004)-Portfolios!B379, 0)</f>
        <v>0</v>
      </c>
    </row>
    <row r="380" spans="1:2">
      <c r="A380" s="11">
        <f>Returns!A380</f>
        <v>0</v>
      </c>
      <c r="B380" s="1">
        <f>MAX(AVERAGE(Portfolios!$B$2:$B$1004)-Portfolios!B380, 0)</f>
        <v>0</v>
      </c>
    </row>
    <row r="381" spans="1:2">
      <c r="A381" s="11">
        <f>Returns!A381</f>
        <v>0</v>
      </c>
      <c r="B381" s="1">
        <f>MAX(AVERAGE(Portfolios!$B$2:$B$1004)-Portfolios!B381, 0)</f>
        <v>0</v>
      </c>
    </row>
    <row r="382" spans="1:2">
      <c r="A382" s="11">
        <f>Returns!A382</f>
        <v>0</v>
      </c>
      <c r="B382" s="1">
        <f>MAX(AVERAGE(Portfolios!$B$2:$B$1004)-Portfolios!B382, 0)</f>
        <v>0</v>
      </c>
    </row>
    <row r="383" spans="1:2">
      <c r="A383" s="11">
        <f>Returns!A383</f>
        <v>0</v>
      </c>
      <c r="B383" s="1">
        <f>MAX(AVERAGE(Portfolios!$B$2:$B$1004)-Portfolios!B383, 0)</f>
        <v>0</v>
      </c>
    </row>
    <row r="384" spans="1:2">
      <c r="A384" s="11">
        <f>Returns!A384</f>
        <v>0</v>
      </c>
      <c r="B384" s="1">
        <f>MAX(AVERAGE(Portfolios!$B$2:$B$1004)-Portfolios!B384, 0)</f>
        <v>0</v>
      </c>
    </row>
    <row r="385" spans="1:2">
      <c r="A385" s="11">
        <f>Returns!A385</f>
        <v>0</v>
      </c>
      <c r="B385" s="1">
        <f>MAX(AVERAGE(Portfolios!$B$2:$B$1004)-Portfolios!B385, 0)</f>
        <v>0</v>
      </c>
    </row>
    <row r="386" spans="1:2">
      <c r="A386" s="11">
        <f>Returns!A386</f>
        <v>0</v>
      </c>
      <c r="B386" s="1">
        <f>MAX(AVERAGE(Portfolios!$B$2:$B$1004)-Portfolios!B386, 0)</f>
        <v>0</v>
      </c>
    </row>
    <row r="387" spans="1:2">
      <c r="A387" s="11">
        <f>Returns!A387</f>
        <v>0</v>
      </c>
      <c r="B387" s="1">
        <f>MAX(AVERAGE(Portfolios!$B$2:$B$1004)-Portfolios!B387, 0)</f>
        <v>0</v>
      </c>
    </row>
    <row r="388" spans="1:2">
      <c r="A388" s="11">
        <f>Returns!A388</f>
        <v>0</v>
      </c>
      <c r="B388" s="1">
        <f>MAX(AVERAGE(Portfolios!$B$2:$B$1004)-Portfolios!B388, 0)</f>
        <v>0</v>
      </c>
    </row>
    <row r="389" spans="1:2">
      <c r="A389" s="11">
        <f>Returns!A389</f>
        <v>0</v>
      </c>
      <c r="B389" s="1">
        <f>MAX(AVERAGE(Portfolios!$B$2:$B$1004)-Portfolios!B389, 0)</f>
        <v>0</v>
      </c>
    </row>
    <row r="390" spans="1:2">
      <c r="A390" s="11">
        <f>Returns!A390</f>
        <v>0</v>
      </c>
      <c r="B390" s="1">
        <f>MAX(AVERAGE(Portfolios!$B$2:$B$1004)-Portfolios!B390, 0)</f>
        <v>0</v>
      </c>
    </row>
    <row r="391" spans="1:2">
      <c r="A391" s="11">
        <f>Returns!A391</f>
        <v>0</v>
      </c>
      <c r="B391" s="1">
        <f>MAX(AVERAGE(Portfolios!$B$2:$B$1004)-Portfolios!B391, 0)</f>
        <v>0</v>
      </c>
    </row>
    <row r="392" spans="1:2">
      <c r="A392" s="11">
        <f>Returns!A392</f>
        <v>0</v>
      </c>
      <c r="B392" s="1">
        <f>MAX(AVERAGE(Portfolios!$B$2:$B$1004)-Portfolios!B392, 0)</f>
        <v>0</v>
      </c>
    </row>
    <row r="393" spans="1:2">
      <c r="A393" s="11">
        <f>Returns!A393</f>
        <v>0</v>
      </c>
      <c r="B393" s="1">
        <f>MAX(AVERAGE(Portfolios!$B$2:$B$1004)-Portfolios!B393, 0)</f>
        <v>0</v>
      </c>
    </row>
    <row r="394" spans="1:2">
      <c r="A394" s="11">
        <f>Returns!A394</f>
        <v>0</v>
      </c>
      <c r="B394" s="1">
        <f>MAX(AVERAGE(Portfolios!$B$2:$B$1004)-Portfolios!B394, 0)</f>
        <v>0</v>
      </c>
    </row>
    <row r="395" spans="1:2">
      <c r="A395" s="11">
        <f>Returns!A395</f>
        <v>0</v>
      </c>
      <c r="B395" s="1">
        <f>MAX(AVERAGE(Portfolios!$B$2:$B$1004)-Portfolios!B395, 0)</f>
        <v>0</v>
      </c>
    </row>
    <row r="396" spans="1:2">
      <c r="A396" s="11">
        <f>Returns!A396</f>
        <v>0</v>
      </c>
      <c r="B396" s="1">
        <f>MAX(AVERAGE(Portfolios!$B$2:$B$1004)-Portfolios!B396, 0)</f>
        <v>0</v>
      </c>
    </row>
    <row r="397" spans="1:2">
      <c r="A397" s="11">
        <f>Returns!A397</f>
        <v>0</v>
      </c>
      <c r="B397" s="1">
        <f>MAX(AVERAGE(Portfolios!$B$2:$B$1004)-Portfolios!B397, 0)</f>
        <v>0</v>
      </c>
    </row>
    <row r="398" spans="1:2">
      <c r="A398" s="11">
        <f>Returns!A398</f>
        <v>0</v>
      </c>
      <c r="B398" s="1">
        <f>MAX(AVERAGE(Portfolios!$B$2:$B$1004)-Portfolios!B398, 0)</f>
        <v>0</v>
      </c>
    </row>
    <row r="399" spans="1:2">
      <c r="A399" s="11">
        <f>Returns!A399</f>
        <v>0</v>
      </c>
      <c r="B399" s="1">
        <f>MAX(AVERAGE(Portfolios!$B$2:$B$1004)-Portfolios!B399, 0)</f>
        <v>0</v>
      </c>
    </row>
    <row r="400" spans="1:2">
      <c r="A400" s="11">
        <f>Returns!A400</f>
        <v>0</v>
      </c>
      <c r="B400" s="1">
        <f>MAX(AVERAGE(Portfolios!$B$2:$B$1004)-Portfolios!B400, 0)</f>
        <v>0</v>
      </c>
    </row>
    <row r="401" spans="1:2">
      <c r="A401" s="11">
        <f>Returns!A401</f>
        <v>0</v>
      </c>
      <c r="B401" s="1">
        <f>MAX(AVERAGE(Portfolios!$B$2:$B$1004)-Portfolios!B401, 0)</f>
        <v>0</v>
      </c>
    </row>
    <row r="402" spans="1:2">
      <c r="A402" s="11">
        <f>Returns!A402</f>
        <v>0</v>
      </c>
      <c r="B402" s="1">
        <f>MAX(AVERAGE(Portfolios!$B$2:$B$1004)-Portfolios!B402, 0)</f>
        <v>0</v>
      </c>
    </row>
    <row r="403" spans="1:2">
      <c r="A403" s="11">
        <f>Returns!A403</f>
        <v>0</v>
      </c>
      <c r="B403" s="1">
        <f>MAX(AVERAGE(Portfolios!$B$2:$B$1004)-Portfolios!B403, 0)</f>
        <v>0</v>
      </c>
    </row>
    <row r="404" spans="1:2">
      <c r="A404" s="11">
        <f>Returns!A404</f>
        <v>0</v>
      </c>
      <c r="B404" s="1">
        <f>MAX(AVERAGE(Portfolios!$B$2:$B$1004)-Portfolios!B404, 0)</f>
        <v>0</v>
      </c>
    </row>
    <row r="405" spans="1:2">
      <c r="A405" s="11">
        <f>Returns!A405</f>
        <v>0</v>
      </c>
      <c r="B405" s="1">
        <f>MAX(AVERAGE(Portfolios!$B$2:$B$1004)-Portfolios!B405, 0)</f>
        <v>0</v>
      </c>
    </row>
    <row r="406" spans="1:2">
      <c r="A406" s="11">
        <f>Returns!A406</f>
        <v>0</v>
      </c>
      <c r="B406" s="1">
        <f>MAX(AVERAGE(Portfolios!$B$2:$B$1004)-Portfolios!B406, 0)</f>
        <v>0</v>
      </c>
    </row>
    <row r="407" spans="1:2">
      <c r="A407" s="11">
        <f>Returns!A407</f>
        <v>0</v>
      </c>
      <c r="B407" s="1">
        <f>MAX(AVERAGE(Portfolios!$B$2:$B$1004)-Portfolios!B407, 0)</f>
        <v>0</v>
      </c>
    </row>
    <row r="408" spans="1:2">
      <c r="A408" s="11">
        <f>Returns!A408</f>
        <v>0</v>
      </c>
      <c r="B408" s="1">
        <f>MAX(AVERAGE(Portfolios!$B$2:$B$1004)-Portfolios!B408, 0)</f>
        <v>0</v>
      </c>
    </row>
    <row r="409" spans="1:2">
      <c r="A409" s="11">
        <f>Returns!A409</f>
        <v>0</v>
      </c>
      <c r="B409" s="1">
        <f>MAX(AVERAGE(Portfolios!$B$2:$B$1004)-Portfolios!B409, 0)</f>
        <v>0</v>
      </c>
    </row>
    <row r="410" spans="1:2">
      <c r="A410" s="11">
        <f>Returns!A410</f>
        <v>0</v>
      </c>
      <c r="B410" s="1">
        <f>MAX(AVERAGE(Portfolios!$B$2:$B$1004)-Portfolios!B410, 0)</f>
        <v>0</v>
      </c>
    </row>
    <row r="411" spans="1:2">
      <c r="A411" s="11">
        <f>Returns!A411</f>
        <v>0</v>
      </c>
      <c r="B411" s="1">
        <f>MAX(AVERAGE(Portfolios!$B$2:$B$1004)-Portfolios!B411, 0)</f>
        <v>0</v>
      </c>
    </row>
    <row r="412" spans="1:2">
      <c r="A412" s="11">
        <f>Returns!A412</f>
        <v>0</v>
      </c>
      <c r="B412" s="1">
        <f>MAX(AVERAGE(Portfolios!$B$2:$B$1004)-Portfolios!B412, 0)</f>
        <v>0</v>
      </c>
    </row>
    <row r="413" spans="1:2">
      <c r="A413" s="11">
        <f>Returns!A413</f>
        <v>0</v>
      </c>
      <c r="B413" s="1">
        <f>MAX(AVERAGE(Portfolios!$B$2:$B$1004)-Portfolios!B413, 0)</f>
        <v>0</v>
      </c>
    </row>
    <row r="414" spans="1:2">
      <c r="A414" s="11">
        <f>Returns!A414</f>
        <v>0</v>
      </c>
      <c r="B414" s="1">
        <f>MAX(AVERAGE(Portfolios!$B$2:$B$1004)-Portfolios!B414, 0)</f>
        <v>0</v>
      </c>
    </row>
    <row r="415" spans="1:2">
      <c r="A415" s="11">
        <f>Returns!A415</f>
        <v>0</v>
      </c>
      <c r="B415" s="1">
        <f>MAX(AVERAGE(Portfolios!$B$2:$B$1004)-Portfolios!B415, 0)</f>
        <v>0</v>
      </c>
    </row>
    <row r="416" spans="1:2">
      <c r="A416" s="11">
        <f>Returns!A416</f>
        <v>0</v>
      </c>
      <c r="B416" s="1">
        <f>MAX(AVERAGE(Portfolios!$B$2:$B$1004)-Portfolios!B416, 0)</f>
        <v>0</v>
      </c>
    </row>
    <row r="417" spans="1:2">
      <c r="A417" s="11">
        <f>Returns!A417</f>
        <v>0</v>
      </c>
      <c r="B417" s="1">
        <f>MAX(AVERAGE(Portfolios!$B$2:$B$1004)-Portfolios!B417, 0)</f>
        <v>0</v>
      </c>
    </row>
    <row r="418" spans="1:2">
      <c r="A418" s="11">
        <f>Returns!A418</f>
        <v>0</v>
      </c>
      <c r="B418" s="1">
        <f>MAX(AVERAGE(Portfolios!$B$2:$B$1004)-Portfolios!B418, 0)</f>
        <v>0</v>
      </c>
    </row>
    <row r="419" spans="1:2">
      <c r="A419" s="11">
        <f>Returns!A419</f>
        <v>0</v>
      </c>
      <c r="B419" s="1">
        <f>MAX(AVERAGE(Portfolios!$B$2:$B$1004)-Portfolios!B419, 0)</f>
        <v>0</v>
      </c>
    </row>
    <row r="420" spans="1:2">
      <c r="A420" s="11">
        <f>Returns!A420</f>
        <v>0</v>
      </c>
      <c r="B420" s="1">
        <f>MAX(AVERAGE(Portfolios!$B$2:$B$1004)-Portfolios!B420, 0)</f>
        <v>0</v>
      </c>
    </row>
    <row r="421" spans="1:2">
      <c r="A421" s="11">
        <f>Returns!A421</f>
        <v>0</v>
      </c>
      <c r="B421" s="1">
        <f>MAX(AVERAGE(Portfolios!$B$2:$B$1004)-Portfolios!B421, 0)</f>
        <v>0</v>
      </c>
    </row>
    <row r="422" spans="1:2">
      <c r="A422" s="11">
        <f>Returns!A422</f>
        <v>0</v>
      </c>
      <c r="B422" s="1">
        <f>MAX(AVERAGE(Portfolios!$B$2:$B$1004)-Portfolios!B422, 0)</f>
        <v>0</v>
      </c>
    </row>
    <row r="423" spans="1:2">
      <c r="A423" s="11">
        <f>Returns!A423</f>
        <v>0</v>
      </c>
      <c r="B423" s="1">
        <f>MAX(AVERAGE(Portfolios!$B$2:$B$1004)-Portfolios!B423, 0)</f>
        <v>0</v>
      </c>
    </row>
    <row r="424" spans="1:2">
      <c r="A424" s="11">
        <f>Returns!A424</f>
        <v>0</v>
      </c>
      <c r="B424" s="1">
        <f>MAX(AVERAGE(Portfolios!$B$2:$B$1004)-Portfolios!B424, 0)</f>
        <v>0</v>
      </c>
    </row>
    <row r="425" spans="1:2">
      <c r="A425" s="11">
        <f>Returns!A425</f>
        <v>0</v>
      </c>
      <c r="B425" s="1">
        <f>MAX(AVERAGE(Portfolios!$B$2:$B$1004)-Portfolios!B425, 0)</f>
        <v>0</v>
      </c>
    </row>
    <row r="426" spans="1:2">
      <c r="A426" s="11">
        <f>Returns!A426</f>
        <v>0</v>
      </c>
      <c r="B426" s="1">
        <f>MAX(AVERAGE(Portfolios!$B$2:$B$1004)-Portfolios!B426, 0)</f>
        <v>0</v>
      </c>
    </row>
    <row r="427" spans="1:2">
      <c r="A427" s="11">
        <f>Returns!A427</f>
        <v>0</v>
      </c>
      <c r="B427" s="1">
        <f>MAX(AVERAGE(Portfolios!$B$2:$B$1004)-Portfolios!B427, 0)</f>
        <v>0</v>
      </c>
    </row>
    <row r="428" spans="1:2">
      <c r="A428" s="11">
        <f>Returns!A428</f>
        <v>0</v>
      </c>
      <c r="B428" s="1">
        <f>MAX(AVERAGE(Portfolios!$B$2:$B$1004)-Portfolios!B428, 0)</f>
        <v>0</v>
      </c>
    </row>
    <row r="429" spans="1:2">
      <c r="A429" s="11">
        <f>Returns!A429</f>
        <v>0</v>
      </c>
      <c r="B429" s="1">
        <f>MAX(AVERAGE(Portfolios!$B$2:$B$1004)-Portfolios!B429, 0)</f>
        <v>0</v>
      </c>
    </row>
    <row r="430" spans="1:2">
      <c r="A430" s="11">
        <f>Returns!A430</f>
        <v>0</v>
      </c>
      <c r="B430" s="1">
        <f>MAX(AVERAGE(Portfolios!$B$2:$B$1004)-Portfolios!B430, 0)</f>
        <v>0</v>
      </c>
    </row>
    <row r="431" spans="1:2">
      <c r="A431" s="11">
        <f>Returns!A431</f>
        <v>0</v>
      </c>
      <c r="B431" s="1">
        <f>MAX(AVERAGE(Portfolios!$B$2:$B$1004)-Portfolios!B431, 0)</f>
        <v>0</v>
      </c>
    </row>
    <row r="432" spans="1:2">
      <c r="A432" s="11">
        <f>Returns!A432</f>
        <v>0</v>
      </c>
      <c r="B432" s="1">
        <f>MAX(AVERAGE(Portfolios!$B$2:$B$1004)-Portfolios!B432, 0)</f>
        <v>0</v>
      </c>
    </row>
    <row r="433" spans="1:2">
      <c r="A433" s="11">
        <f>Returns!A433</f>
        <v>0</v>
      </c>
      <c r="B433" s="1">
        <f>MAX(AVERAGE(Portfolios!$B$2:$B$1004)-Portfolios!B433, 0)</f>
        <v>0</v>
      </c>
    </row>
    <row r="434" spans="1:2">
      <c r="A434" s="11">
        <f>Returns!A434</f>
        <v>0</v>
      </c>
      <c r="B434" s="1">
        <f>MAX(AVERAGE(Portfolios!$B$2:$B$1004)-Portfolios!B434, 0)</f>
        <v>0</v>
      </c>
    </row>
    <row r="435" spans="1:2">
      <c r="A435" s="11">
        <f>Returns!A435</f>
        <v>0</v>
      </c>
      <c r="B435" s="1">
        <f>MAX(AVERAGE(Portfolios!$B$2:$B$1004)-Portfolios!B435, 0)</f>
        <v>0</v>
      </c>
    </row>
    <row r="436" spans="1:2">
      <c r="A436" s="11">
        <f>Returns!A436</f>
        <v>0</v>
      </c>
      <c r="B436" s="1">
        <f>MAX(AVERAGE(Portfolios!$B$2:$B$1004)-Portfolios!B436, 0)</f>
        <v>0</v>
      </c>
    </row>
    <row r="437" spans="1:2">
      <c r="A437" s="11">
        <f>Returns!A437</f>
        <v>0</v>
      </c>
      <c r="B437" s="1">
        <f>MAX(AVERAGE(Portfolios!$B$2:$B$1004)-Portfolios!B437, 0)</f>
        <v>0</v>
      </c>
    </row>
    <row r="438" spans="1:2">
      <c r="A438" s="11">
        <f>Returns!A438</f>
        <v>0</v>
      </c>
      <c r="B438" s="1">
        <f>MAX(AVERAGE(Portfolios!$B$2:$B$1004)-Portfolios!B438, 0)</f>
        <v>0</v>
      </c>
    </row>
    <row r="439" spans="1:2">
      <c r="A439" s="11">
        <f>Returns!A439</f>
        <v>0</v>
      </c>
      <c r="B439" s="1">
        <f>MAX(AVERAGE(Portfolios!$B$2:$B$1004)-Portfolios!B439, 0)</f>
        <v>0</v>
      </c>
    </row>
    <row r="440" spans="1:2">
      <c r="A440" s="11">
        <f>Returns!A440</f>
        <v>0</v>
      </c>
      <c r="B440" s="1">
        <f>MAX(AVERAGE(Portfolios!$B$2:$B$1004)-Portfolios!B440, 0)</f>
        <v>0</v>
      </c>
    </row>
    <row r="441" spans="1:2">
      <c r="A441" s="11">
        <f>Returns!A441</f>
        <v>0</v>
      </c>
      <c r="B441" s="1">
        <f>MAX(AVERAGE(Portfolios!$B$2:$B$1004)-Portfolios!B441, 0)</f>
        <v>0</v>
      </c>
    </row>
    <row r="442" spans="1:2">
      <c r="A442" s="11">
        <f>Returns!A442</f>
        <v>0</v>
      </c>
      <c r="B442" s="1">
        <f>MAX(AVERAGE(Portfolios!$B$2:$B$1004)-Portfolios!B442, 0)</f>
        <v>0</v>
      </c>
    </row>
    <row r="443" spans="1:2">
      <c r="A443" s="11">
        <f>Returns!A443</f>
        <v>0</v>
      </c>
      <c r="B443" s="1">
        <f>MAX(AVERAGE(Portfolios!$B$2:$B$1004)-Portfolios!B443, 0)</f>
        <v>0</v>
      </c>
    </row>
    <row r="444" spans="1:2">
      <c r="A444" s="11">
        <f>Returns!A444</f>
        <v>0</v>
      </c>
      <c r="B444" s="1">
        <f>MAX(AVERAGE(Portfolios!$B$2:$B$1004)-Portfolios!B444, 0)</f>
        <v>0</v>
      </c>
    </row>
    <row r="445" spans="1:2">
      <c r="A445" s="11">
        <f>Returns!A445</f>
        <v>0</v>
      </c>
      <c r="B445" s="1">
        <f>MAX(AVERAGE(Portfolios!$B$2:$B$1004)-Portfolios!B445, 0)</f>
        <v>0</v>
      </c>
    </row>
    <row r="446" spans="1:2">
      <c r="A446" s="11">
        <f>Returns!A446</f>
        <v>0</v>
      </c>
      <c r="B446" s="1">
        <f>MAX(AVERAGE(Portfolios!$B$2:$B$1004)-Portfolios!B446, 0)</f>
        <v>0</v>
      </c>
    </row>
    <row r="447" spans="1:2">
      <c r="A447" s="11">
        <f>Returns!A447</f>
        <v>0</v>
      </c>
      <c r="B447" s="1">
        <f>MAX(AVERAGE(Portfolios!$B$2:$B$1004)-Portfolios!B447, 0)</f>
        <v>0</v>
      </c>
    </row>
    <row r="448" spans="1:2">
      <c r="A448" s="11">
        <f>Returns!A448</f>
        <v>0</v>
      </c>
      <c r="B448" s="1">
        <f>MAX(AVERAGE(Portfolios!$B$2:$B$1004)-Portfolios!B448, 0)</f>
        <v>0</v>
      </c>
    </row>
    <row r="449" spans="1:2">
      <c r="A449" s="11">
        <f>Returns!A449</f>
        <v>0</v>
      </c>
      <c r="B449" s="1">
        <f>MAX(AVERAGE(Portfolios!$B$2:$B$1004)-Portfolios!B449, 0)</f>
        <v>0</v>
      </c>
    </row>
    <row r="450" spans="1:2">
      <c r="A450" s="11">
        <f>Returns!A450</f>
        <v>0</v>
      </c>
      <c r="B450" s="1">
        <f>MAX(AVERAGE(Portfolios!$B$2:$B$1004)-Portfolios!B450, 0)</f>
        <v>0</v>
      </c>
    </row>
    <row r="451" spans="1:2">
      <c r="A451" s="11">
        <f>Returns!A451</f>
        <v>0</v>
      </c>
      <c r="B451" s="1">
        <f>MAX(AVERAGE(Portfolios!$B$2:$B$1004)-Portfolios!B451, 0)</f>
        <v>0</v>
      </c>
    </row>
    <row r="452" spans="1:2">
      <c r="A452" s="11">
        <f>Returns!A452</f>
        <v>0</v>
      </c>
      <c r="B452" s="1">
        <f>MAX(AVERAGE(Portfolios!$B$2:$B$1004)-Portfolios!B452, 0)</f>
        <v>0</v>
      </c>
    </row>
    <row r="453" spans="1:2">
      <c r="A453" s="11">
        <f>Returns!A453</f>
        <v>0</v>
      </c>
      <c r="B453" s="1">
        <f>MAX(AVERAGE(Portfolios!$B$2:$B$1004)-Portfolios!B453, 0)</f>
        <v>0</v>
      </c>
    </row>
    <row r="454" spans="1:2">
      <c r="A454" s="11">
        <f>Returns!A454</f>
        <v>0</v>
      </c>
      <c r="B454" s="1">
        <f>MAX(AVERAGE(Portfolios!$B$2:$B$1004)-Portfolios!B454, 0)</f>
        <v>0</v>
      </c>
    </row>
    <row r="455" spans="1:2">
      <c r="A455" s="11">
        <f>Returns!A455</f>
        <v>0</v>
      </c>
      <c r="B455" s="1">
        <f>MAX(AVERAGE(Portfolios!$B$2:$B$1004)-Portfolios!B455, 0)</f>
        <v>0</v>
      </c>
    </row>
    <row r="456" spans="1:2">
      <c r="A456" s="11">
        <f>Returns!A456</f>
        <v>0</v>
      </c>
      <c r="B456" s="1">
        <f>MAX(AVERAGE(Portfolios!$B$2:$B$1004)-Portfolios!B456, 0)</f>
        <v>0</v>
      </c>
    </row>
    <row r="457" spans="1:2">
      <c r="A457" s="11">
        <f>Returns!A457</f>
        <v>0</v>
      </c>
      <c r="B457" s="1">
        <f>MAX(AVERAGE(Portfolios!$B$2:$B$1004)-Portfolios!B457, 0)</f>
        <v>0</v>
      </c>
    </row>
    <row r="458" spans="1:2">
      <c r="A458" s="11">
        <f>Returns!A458</f>
        <v>0</v>
      </c>
      <c r="B458" s="1">
        <f>MAX(AVERAGE(Portfolios!$B$2:$B$1004)-Portfolios!B458, 0)</f>
        <v>0</v>
      </c>
    </row>
    <row r="459" spans="1:2">
      <c r="A459" s="11">
        <f>Returns!A459</f>
        <v>0</v>
      </c>
      <c r="B459" s="1">
        <f>MAX(AVERAGE(Portfolios!$B$2:$B$1004)-Portfolios!B459, 0)</f>
        <v>0</v>
      </c>
    </row>
    <row r="460" spans="1:2">
      <c r="A460" s="11">
        <f>Returns!A460</f>
        <v>0</v>
      </c>
      <c r="B460" s="1">
        <f>MAX(AVERAGE(Portfolios!$B$2:$B$1004)-Portfolios!B460, 0)</f>
        <v>0</v>
      </c>
    </row>
    <row r="461" spans="1:2">
      <c r="A461" s="11">
        <f>Returns!A461</f>
        <v>0</v>
      </c>
      <c r="B461" s="1">
        <f>MAX(AVERAGE(Portfolios!$B$2:$B$1004)-Portfolios!B461, 0)</f>
        <v>0</v>
      </c>
    </row>
    <row r="462" spans="1:2">
      <c r="A462" s="11">
        <f>Returns!A462</f>
        <v>0</v>
      </c>
      <c r="B462" s="1">
        <f>MAX(AVERAGE(Portfolios!$B$2:$B$1004)-Portfolios!B462, 0)</f>
        <v>0</v>
      </c>
    </row>
    <row r="463" spans="1:2">
      <c r="A463" s="11">
        <f>Returns!A463</f>
        <v>0</v>
      </c>
      <c r="B463" s="1">
        <f>MAX(AVERAGE(Portfolios!$B$2:$B$1004)-Portfolios!B463, 0)</f>
        <v>0</v>
      </c>
    </row>
    <row r="464" spans="1:2">
      <c r="A464" s="11">
        <f>Returns!A464</f>
        <v>0</v>
      </c>
      <c r="B464" s="1">
        <f>MAX(AVERAGE(Portfolios!$B$2:$B$1004)-Portfolios!B464, 0)</f>
        <v>0</v>
      </c>
    </row>
    <row r="465" spans="1:2">
      <c r="A465" s="11">
        <f>Returns!A465</f>
        <v>0</v>
      </c>
      <c r="B465" s="1">
        <f>MAX(AVERAGE(Portfolios!$B$2:$B$1004)-Portfolios!B465, 0)</f>
        <v>0</v>
      </c>
    </row>
    <row r="466" spans="1:2">
      <c r="A466" s="11">
        <f>Returns!A466</f>
        <v>0</v>
      </c>
      <c r="B466" s="1">
        <f>MAX(AVERAGE(Portfolios!$B$2:$B$1004)-Portfolios!B466, 0)</f>
        <v>0</v>
      </c>
    </row>
    <row r="467" spans="1:2">
      <c r="A467" s="11">
        <f>Returns!A467</f>
        <v>0</v>
      </c>
      <c r="B467" s="1">
        <f>MAX(AVERAGE(Portfolios!$B$2:$B$1004)-Portfolios!B467, 0)</f>
        <v>0</v>
      </c>
    </row>
    <row r="468" spans="1:2">
      <c r="A468" s="11">
        <f>Returns!A468</f>
        <v>0</v>
      </c>
      <c r="B468" s="1">
        <f>MAX(AVERAGE(Portfolios!$B$2:$B$1004)-Portfolios!B468, 0)</f>
        <v>0</v>
      </c>
    </row>
    <row r="469" spans="1:2">
      <c r="A469" s="11">
        <f>Returns!A469</f>
        <v>0</v>
      </c>
      <c r="B469" s="1">
        <f>MAX(AVERAGE(Portfolios!$B$2:$B$1004)-Portfolios!B469, 0)</f>
        <v>0</v>
      </c>
    </row>
    <row r="470" spans="1:2">
      <c r="A470" s="11">
        <f>Returns!A470</f>
        <v>0</v>
      </c>
      <c r="B470" s="1">
        <f>MAX(AVERAGE(Portfolios!$B$2:$B$1004)-Portfolios!B470, 0)</f>
        <v>0</v>
      </c>
    </row>
    <row r="471" spans="1:2">
      <c r="A471" s="11">
        <f>Returns!A471</f>
        <v>0</v>
      </c>
      <c r="B471" s="1">
        <f>MAX(AVERAGE(Portfolios!$B$2:$B$1004)-Portfolios!B471, 0)</f>
        <v>0</v>
      </c>
    </row>
    <row r="472" spans="1:2">
      <c r="A472" s="11">
        <f>Returns!A472</f>
        <v>0</v>
      </c>
      <c r="B472" s="1">
        <f>MAX(AVERAGE(Portfolios!$B$2:$B$1004)-Portfolios!B472, 0)</f>
        <v>0</v>
      </c>
    </row>
    <row r="473" spans="1:2">
      <c r="A473" s="11">
        <f>Returns!A473</f>
        <v>0</v>
      </c>
      <c r="B473" s="1">
        <f>MAX(AVERAGE(Portfolios!$B$2:$B$1004)-Portfolios!B473, 0)</f>
        <v>0</v>
      </c>
    </row>
    <row r="474" spans="1:2">
      <c r="A474" s="11">
        <f>Returns!A474</f>
        <v>0</v>
      </c>
      <c r="B474" s="1">
        <f>MAX(AVERAGE(Portfolios!$B$2:$B$1004)-Portfolios!B474, 0)</f>
        <v>0</v>
      </c>
    </row>
    <row r="475" spans="1:2">
      <c r="A475" s="11">
        <f>Returns!A475</f>
        <v>0</v>
      </c>
      <c r="B475" s="1">
        <f>MAX(AVERAGE(Portfolios!$B$2:$B$1004)-Portfolios!B475, 0)</f>
        <v>0</v>
      </c>
    </row>
    <row r="476" spans="1:2">
      <c r="A476" s="11">
        <f>Returns!A476</f>
        <v>0</v>
      </c>
      <c r="B476" s="1">
        <f>MAX(AVERAGE(Portfolios!$B$2:$B$1004)-Portfolios!B476, 0)</f>
        <v>0</v>
      </c>
    </row>
    <row r="477" spans="1:2">
      <c r="A477" s="11">
        <f>Returns!A477</f>
        <v>0</v>
      </c>
      <c r="B477" s="1">
        <f>MAX(AVERAGE(Portfolios!$B$2:$B$1004)-Portfolios!B477, 0)</f>
        <v>0</v>
      </c>
    </row>
    <row r="478" spans="1:2">
      <c r="A478" s="11">
        <f>Returns!A478</f>
        <v>0</v>
      </c>
      <c r="B478" s="1">
        <f>MAX(AVERAGE(Portfolios!$B$2:$B$1004)-Portfolios!B478, 0)</f>
        <v>0</v>
      </c>
    </row>
    <row r="479" spans="1:2">
      <c r="A479" s="11">
        <f>Returns!A479</f>
        <v>0</v>
      </c>
      <c r="B479" s="1">
        <f>MAX(AVERAGE(Portfolios!$B$2:$B$1004)-Portfolios!B479, 0)</f>
        <v>0</v>
      </c>
    </row>
    <row r="480" spans="1:2">
      <c r="A480" s="11">
        <f>Returns!A480</f>
        <v>0</v>
      </c>
      <c r="B480" s="1">
        <f>MAX(AVERAGE(Portfolios!$B$2:$B$1004)-Portfolios!B480, 0)</f>
        <v>0</v>
      </c>
    </row>
    <row r="481" spans="1:2">
      <c r="A481" s="11">
        <f>Returns!A481</f>
        <v>0</v>
      </c>
      <c r="B481" s="1">
        <f>MAX(AVERAGE(Portfolios!$B$2:$B$1004)-Portfolios!B481, 0)</f>
        <v>0</v>
      </c>
    </row>
    <row r="482" spans="1:2">
      <c r="A482" s="11">
        <f>Returns!A482</f>
        <v>0</v>
      </c>
      <c r="B482" s="1">
        <f>MAX(AVERAGE(Portfolios!$B$2:$B$1004)-Portfolios!B482, 0)</f>
        <v>0</v>
      </c>
    </row>
    <row r="483" spans="1:2">
      <c r="A483" s="11">
        <f>Returns!A483</f>
        <v>0</v>
      </c>
      <c r="B483" s="1">
        <f>MAX(AVERAGE(Portfolios!$B$2:$B$1004)-Portfolios!B483, 0)</f>
        <v>0</v>
      </c>
    </row>
    <row r="484" spans="1:2">
      <c r="A484" s="11">
        <f>Returns!A484</f>
        <v>0</v>
      </c>
      <c r="B484" s="1">
        <f>MAX(AVERAGE(Portfolios!$B$2:$B$1004)-Portfolios!B484, 0)</f>
        <v>0</v>
      </c>
    </row>
    <row r="485" spans="1:2">
      <c r="A485" s="11">
        <f>Returns!A485</f>
        <v>0</v>
      </c>
      <c r="B485" s="1">
        <f>MAX(AVERAGE(Portfolios!$B$2:$B$1004)-Portfolios!B485, 0)</f>
        <v>0</v>
      </c>
    </row>
    <row r="486" spans="1:2">
      <c r="A486" s="11">
        <f>Returns!A486</f>
        <v>0</v>
      </c>
      <c r="B486" s="1">
        <f>MAX(AVERAGE(Portfolios!$B$2:$B$1004)-Portfolios!B486, 0)</f>
        <v>0</v>
      </c>
    </row>
    <row r="487" spans="1:2">
      <c r="A487" s="11">
        <f>Returns!A487</f>
        <v>0</v>
      </c>
      <c r="B487" s="1">
        <f>MAX(AVERAGE(Portfolios!$B$2:$B$1004)-Portfolios!B487, 0)</f>
        <v>0</v>
      </c>
    </row>
    <row r="488" spans="1:2">
      <c r="A488" s="11">
        <f>Returns!A488</f>
        <v>0</v>
      </c>
      <c r="B488" s="1">
        <f>MAX(AVERAGE(Portfolios!$B$2:$B$1004)-Portfolios!B488, 0)</f>
        <v>0</v>
      </c>
    </row>
    <row r="489" spans="1:2">
      <c r="A489" s="11">
        <f>Returns!A489</f>
        <v>0</v>
      </c>
      <c r="B489" s="1">
        <f>MAX(AVERAGE(Portfolios!$B$2:$B$1004)-Portfolios!B489, 0)</f>
        <v>0</v>
      </c>
    </row>
    <row r="490" spans="1:2">
      <c r="A490" s="11">
        <f>Returns!A490</f>
        <v>0</v>
      </c>
      <c r="B490" s="1">
        <f>MAX(AVERAGE(Portfolios!$B$2:$B$1004)-Portfolios!B490, 0)</f>
        <v>0</v>
      </c>
    </row>
    <row r="491" spans="1:2">
      <c r="A491" s="11">
        <f>Returns!A491</f>
        <v>0</v>
      </c>
      <c r="B491" s="1">
        <f>MAX(AVERAGE(Portfolios!$B$2:$B$1004)-Portfolios!B491, 0)</f>
        <v>0</v>
      </c>
    </row>
    <row r="492" spans="1:2">
      <c r="A492" s="11">
        <f>Returns!A492</f>
        <v>0</v>
      </c>
      <c r="B492" s="1">
        <f>MAX(AVERAGE(Portfolios!$B$2:$B$1004)-Portfolios!B492, 0)</f>
        <v>0</v>
      </c>
    </row>
    <row r="493" spans="1:2">
      <c r="A493" s="11">
        <f>Returns!A493</f>
        <v>0</v>
      </c>
      <c r="B493" s="1">
        <f>MAX(AVERAGE(Portfolios!$B$2:$B$1004)-Portfolios!B493, 0)</f>
        <v>0</v>
      </c>
    </row>
    <row r="494" spans="1:2">
      <c r="A494" s="11">
        <f>Returns!A494</f>
        <v>0</v>
      </c>
      <c r="B494" s="1">
        <f>MAX(AVERAGE(Portfolios!$B$2:$B$1004)-Portfolios!B494, 0)</f>
        <v>0</v>
      </c>
    </row>
    <row r="495" spans="1:2">
      <c r="A495" s="11">
        <f>Returns!A495</f>
        <v>0</v>
      </c>
      <c r="B495" s="1">
        <f>MAX(AVERAGE(Portfolios!$B$2:$B$1004)-Portfolios!B495, 0)</f>
        <v>0</v>
      </c>
    </row>
    <row r="496" spans="1:2">
      <c r="A496" s="11">
        <f>Returns!A496</f>
        <v>0</v>
      </c>
      <c r="B496" s="1">
        <f>MAX(AVERAGE(Portfolios!$B$2:$B$1004)-Portfolios!B496, 0)</f>
        <v>0</v>
      </c>
    </row>
    <row r="497" spans="1:2">
      <c r="A497" s="11">
        <f>Returns!A497</f>
        <v>0</v>
      </c>
      <c r="B497" s="1">
        <f>MAX(AVERAGE(Portfolios!$B$2:$B$1004)-Portfolios!B497, 0)</f>
        <v>0</v>
      </c>
    </row>
    <row r="498" spans="1:2">
      <c r="A498" s="11">
        <f>Returns!A498</f>
        <v>0</v>
      </c>
      <c r="B498" s="1">
        <f>MAX(AVERAGE(Portfolios!$B$2:$B$1004)-Portfolios!B498, 0)</f>
        <v>0</v>
      </c>
    </row>
    <row r="499" spans="1:2">
      <c r="A499" s="11">
        <f>Returns!A499</f>
        <v>0</v>
      </c>
      <c r="B499" s="1">
        <f>MAX(AVERAGE(Portfolios!$B$2:$B$1004)-Portfolios!B499, 0)</f>
        <v>0</v>
      </c>
    </row>
    <row r="500" spans="1:2">
      <c r="A500" s="11">
        <f>Returns!A500</f>
        <v>0</v>
      </c>
      <c r="B500" s="1">
        <f>MAX(AVERAGE(Portfolios!$B$2:$B$1004)-Portfolios!B500, 0)</f>
        <v>0</v>
      </c>
    </row>
    <row r="501" spans="1:2">
      <c r="A501" s="11">
        <f>Returns!A501</f>
        <v>0</v>
      </c>
      <c r="B501" s="1">
        <f>MAX(AVERAGE(Portfolios!$B$2:$B$1004)-Portfolios!B501, 0)</f>
        <v>0</v>
      </c>
    </row>
    <row r="502" spans="1:2">
      <c r="A502" s="11">
        <f>Returns!A502</f>
        <v>0</v>
      </c>
      <c r="B502" s="1">
        <f>MAX(AVERAGE(Portfolios!$B$2:$B$1004)-Portfolios!B502, 0)</f>
        <v>0</v>
      </c>
    </row>
    <row r="503" spans="1:2">
      <c r="A503" s="11">
        <f>Returns!A503</f>
        <v>0</v>
      </c>
      <c r="B503" s="1">
        <f>MAX(AVERAGE(Portfolios!$B$2:$B$1004)-Portfolios!B503, 0)</f>
        <v>0</v>
      </c>
    </row>
    <row r="504" spans="1:2">
      <c r="A504" s="11">
        <f>Returns!A504</f>
        <v>0</v>
      </c>
      <c r="B504" s="1">
        <f>MAX(AVERAGE(Portfolios!$B$2:$B$1004)-Portfolios!B504, 0)</f>
        <v>0</v>
      </c>
    </row>
    <row r="505" spans="1:2">
      <c r="A505" s="11">
        <f>Returns!A505</f>
        <v>0</v>
      </c>
      <c r="B505" s="1">
        <f>MAX(AVERAGE(Portfolios!$B$2:$B$1004)-Portfolios!B505, 0)</f>
        <v>0</v>
      </c>
    </row>
    <row r="506" spans="1:2">
      <c r="A506" s="11">
        <f>Returns!A506</f>
        <v>0</v>
      </c>
      <c r="B506" s="1">
        <f>MAX(AVERAGE(Portfolios!$B$2:$B$1004)-Portfolios!B506, 0)</f>
        <v>0</v>
      </c>
    </row>
    <row r="507" spans="1:2">
      <c r="A507" s="11">
        <f>Returns!A507</f>
        <v>0</v>
      </c>
      <c r="B507" s="1">
        <f>MAX(AVERAGE(Portfolios!$B$2:$B$1004)-Portfolios!B507, 0)</f>
        <v>0</v>
      </c>
    </row>
    <row r="508" spans="1:2">
      <c r="A508" s="11">
        <f>Returns!A508</f>
        <v>0</v>
      </c>
      <c r="B508" s="1">
        <f>MAX(AVERAGE(Portfolios!$B$2:$B$1004)-Portfolios!B508, 0)</f>
        <v>0</v>
      </c>
    </row>
    <row r="509" spans="1:2">
      <c r="A509" s="11">
        <f>Returns!A509</f>
        <v>0</v>
      </c>
      <c r="B509" s="1">
        <f>MAX(AVERAGE(Portfolios!$B$2:$B$1004)-Portfolios!B509, 0)</f>
        <v>0</v>
      </c>
    </row>
    <row r="510" spans="1:2">
      <c r="A510" s="11">
        <f>Returns!A510</f>
        <v>0</v>
      </c>
      <c r="B510" s="1">
        <f>MAX(AVERAGE(Portfolios!$B$2:$B$1004)-Portfolios!B510, 0)</f>
        <v>0</v>
      </c>
    </row>
    <row r="511" spans="1:2">
      <c r="A511" s="11">
        <f>Returns!A511</f>
        <v>0</v>
      </c>
      <c r="B511" s="1">
        <f>MAX(AVERAGE(Portfolios!$B$2:$B$1004)-Portfolios!B511, 0)</f>
        <v>0</v>
      </c>
    </row>
    <row r="512" spans="1:2">
      <c r="A512" s="11">
        <f>Returns!A512</f>
        <v>0</v>
      </c>
      <c r="B512" s="1">
        <f>MAX(AVERAGE(Portfolios!$B$2:$B$1004)-Portfolios!B512, 0)</f>
        <v>0</v>
      </c>
    </row>
    <row r="513" spans="1:2">
      <c r="A513" s="11">
        <f>Returns!A513</f>
        <v>0</v>
      </c>
      <c r="B513" s="1">
        <f>MAX(AVERAGE(Portfolios!$B$2:$B$1004)-Portfolios!B513, 0)</f>
        <v>0</v>
      </c>
    </row>
    <row r="514" spans="1:2">
      <c r="A514" s="11">
        <f>Returns!A514</f>
        <v>0</v>
      </c>
      <c r="B514" s="1">
        <f>MAX(AVERAGE(Portfolios!$B$2:$B$1004)-Portfolios!B514, 0)</f>
        <v>0</v>
      </c>
    </row>
    <row r="515" spans="1:2">
      <c r="A515" s="11">
        <f>Returns!A515</f>
        <v>0</v>
      </c>
      <c r="B515" s="1">
        <f>MAX(AVERAGE(Portfolios!$B$2:$B$1004)-Portfolios!B515, 0)</f>
        <v>0</v>
      </c>
    </row>
    <row r="516" spans="1:2">
      <c r="A516" s="11">
        <f>Returns!A516</f>
        <v>0</v>
      </c>
      <c r="B516" s="1">
        <f>MAX(AVERAGE(Portfolios!$B$2:$B$1004)-Portfolios!B516, 0)</f>
        <v>0</v>
      </c>
    </row>
    <row r="517" spans="1:2">
      <c r="A517" s="11">
        <f>Returns!A517</f>
        <v>0</v>
      </c>
      <c r="B517" s="1">
        <f>MAX(AVERAGE(Portfolios!$B$2:$B$1004)-Portfolios!B517, 0)</f>
        <v>0</v>
      </c>
    </row>
    <row r="518" spans="1:2">
      <c r="A518" s="11">
        <f>Returns!A518</f>
        <v>0</v>
      </c>
      <c r="B518" s="1">
        <f>MAX(AVERAGE(Portfolios!$B$2:$B$1004)-Portfolios!B518, 0)</f>
        <v>0</v>
      </c>
    </row>
    <row r="519" spans="1:2">
      <c r="A519" s="11">
        <f>Returns!A519</f>
        <v>0</v>
      </c>
      <c r="B519" s="1">
        <f>MAX(AVERAGE(Portfolios!$B$2:$B$1004)-Portfolios!B519, 0)</f>
        <v>0</v>
      </c>
    </row>
    <row r="520" spans="1:2">
      <c r="A520" s="11">
        <f>Returns!A520</f>
        <v>0</v>
      </c>
      <c r="B520" s="1">
        <f>MAX(AVERAGE(Portfolios!$B$2:$B$1004)-Portfolios!B520, 0)</f>
        <v>0</v>
      </c>
    </row>
    <row r="521" spans="1:2">
      <c r="A521" s="11">
        <f>Returns!A521</f>
        <v>0</v>
      </c>
      <c r="B521" s="1">
        <f>MAX(AVERAGE(Portfolios!$B$2:$B$1004)-Portfolios!B521, 0)</f>
        <v>0</v>
      </c>
    </row>
    <row r="522" spans="1:2">
      <c r="A522" s="11">
        <f>Returns!A522</f>
        <v>0</v>
      </c>
      <c r="B522" s="1">
        <f>MAX(AVERAGE(Portfolios!$B$2:$B$1004)-Portfolios!B522, 0)</f>
        <v>0</v>
      </c>
    </row>
    <row r="523" spans="1:2">
      <c r="A523" s="11">
        <f>Returns!A523</f>
        <v>0</v>
      </c>
      <c r="B523" s="1">
        <f>MAX(AVERAGE(Portfolios!$B$2:$B$1004)-Portfolios!B523, 0)</f>
        <v>0</v>
      </c>
    </row>
    <row r="524" spans="1:2">
      <c r="A524" s="11">
        <f>Returns!A524</f>
        <v>0</v>
      </c>
      <c r="B524" s="1">
        <f>MAX(AVERAGE(Portfolios!$B$2:$B$1004)-Portfolios!B524, 0)</f>
        <v>0</v>
      </c>
    </row>
    <row r="525" spans="1:2">
      <c r="A525" s="11">
        <f>Returns!A525</f>
        <v>0</v>
      </c>
      <c r="B525" s="1">
        <f>MAX(AVERAGE(Portfolios!$B$2:$B$1004)-Portfolios!B525, 0)</f>
        <v>0</v>
      </c>
    </row>
    <row r="526" spans="1:2">
      <c r="A526" s="11">
        <f>Returns!A526</f>
        <v>0</v>
      </c>
      <c r="B526" s="1">
        <f>MAX(AVERAGE(Portfolios!$B$2:$B$1004)-Portfolios!B526, 0)</f>
        <v>0</v>
      </c>
    </row>
    <row r="527" spans="1:2">
      <c r="A527" s="11">
        <f>Returns!A527</f>
        <v>0</v>
      </c>
      <c r="B527" s="1">
        <f>MAX(AVERAGE(Portfolios!$B$2:$B$1004)-Portfolios!B527, 0)</f>
        <v>0</v>
      </c>
    </row>
    <row r="528" spans="1:2">
      <c r="A528" s="11">
        <f>Returns!A528</f>
        <v>0</v>
      </c>
      <c r="B528" s="1">
        <f>MAX(AVERAGE(Portfolios!$B$2:$B$1004)-Portfolios!B528, 0)</f>
        <v>0</v>
      </c>
    </row>
    <row r="529" spans="1:2">
      <c r="A529" s="11">
        <f>Returns!A529</f>
        <v>0</v>
      </c>
      <c r="B529" s="1">
        <f>MAX(AVERAGE(Portfolios!$B$2:$B$1004)-Portfolios!B529, 0)</f>
        <v>0</v>
      </c>
    </row>
    <row r="530" spans="1:2">
      <c r="A530" s="11">
        <f>Returns!A530</f>
        <v>0</v>
      </c>
      <c r="B530" s="1">
        <f>MAX(AVERAGE(Portfolios!$B$2:$B$1004)-Portfolios!B530, 0)</f>
        <v>0</v>
      </c>
    </row>
    <row r="531" spans="1:2">
      <c r="A531" s="11">
        <f>Returns!A531</f>
        <v>0</v>
      </c>
      <c r="B531" s="1">
        <f>MAX(AVERAGE(Portfolios!$B$2:$B$1004)-Portfolios!B531, 0)</f>
        <v>0</v>
      </c>
    </row>
    <row r="532" spans="1:2">
      <c r="A532" s="11">
        <f>Returns!A532</f>
        <v>0</v>
      </c>
      <c r="B532" s="1">
        <f>MAX(AVERAGE(Portfolios!$B$2:$B$1004)-Portfolios!B532, 0)</f>
        <v>0</v>
      </c>
    </row>
    <row r="533" spans="1:2">
      <c r="A533" s="11">
        <f>Returns!A533</f>
        <v>0</v>
      </c>
      <c r="B533" s="1">
        <f>MAX(AVERAGE(Portfolios!$B$2:$B$1004)-Portfolios!B533, 0)</f>
        <v>0</v>
      </c>
    </row>
    <row r="534" spans="1:2">
      <c r="A534" s="11">
        <f>Returns!A534</f>
        <v>0</v>
      </c>
      <c r="B534" s="1">
        <f>MAX(AVERAGE(Portfolios!$B$2:$B$1004)-Portfolios!B534, 0)</f>
        <v>0</v>
      </c>
    </row>
    <row r="535" spans="1:2">
      <c r="A535" s="11">
        <f>Returns!A535</f>
        <v>0</v>
      </c>
      <c r="B535" s="1">
        <f>MAX(AVERAGE(Portfolios!$B$2:$B$1004)-Portfolios!B535, 0)</f>
        <v>0</v>
      </c>
    </row>
    <row r="536" spans="1:2">
      <c r="A536" s="11">
        <f>Returns!A536</f>
        <v>0</v>
      </c>
      <c r="B536" s="1">
        <f>MAX(AVERAGE(Portfolios!$B$2:$B$1004)-Portfolios!B536, 0)</f>
        <v>0</v>
      </c>
    </row>
    <row r="537" spans="1:2">
      <c r="A537" s="11">
        <f>Returns!A537</f>
        <v>0</v>
      </c>
      <c r="B537" s="1">
        <f>MAX(AVERAGE(Portfolios!$B$2:$B$1004)-Portfolios!B537, 0)</f>
        <v>0</v>
      </c>
    </row>
    <row r="538" spans="1:2">
      <c r="A538" s="11">
        <f>Returns!A538</f>
        <v>0</v>
      </c>
      <c r="B538" s="1">
        <f>MAX(AVERAGE(Portfolios!$B$2:$B$1004)-Portfolios!B538, 0)</f>
        <v>0</v>
      </c>
    </row>
    <row r="539" spans="1:2">
      <c r="A539" s="11">
        <f>Returns!A539</f>
        <v>0</v>
      </c>
      <c r="B539" s="1">
        <f>MAX(AVERAGE(Portfolios!$B$2:$B$1004)-Portfolios!B539, 0)</f>
        <v>0</v>
      </c>
    </row>
    <row r="540" spans="1:2">
      <c r="A540" s="11">
        <f>Returns!A540</f>
        <v>0</v>
      </c>
      <c r="B540" s="1">
        <f>MAX(AVERAGE(Portfolios!$B$2:$B$1004)-Portfolios!B540, 0)</f>
        <v>0</v>
      </c>
    </row>
    <row r="541" spans="1:2">
      <c r="A541" s="11">
        <f>Returns!A541</f>
        <v>0</v>
      </c>
      <c r="B541" s="1">
        <f>MAX(AVERAGE(Portfolios!$B$2:$B$1004)-Portfolios!B541, 0)</f>
        <v>0</v>
      </c>
    </row>
    <row r="542" spans="1:2">
      <c r="A542" s="11">
        <f>Returns!A542</f>
        <v>0</v>
      </c>
      <c r="B542" s="1">
        <f>MAX(AVERAGE(Portfolios!$B$2:$B$1004)-Portfolios!B542, 0)</f>
        <v>0</v>
      </c>
    </row>
    <row r="543" spans="1:2">
      <c r="A543" s="11">
        <f>Returns!A543</f>
        <v>0</v>
      </c>
      <c r="B543" s="1">
        <f>MAX(AVERAGE(Portfolios!$B$2:$B$1004)-Portfolios!B543, 0)</f>
        <v>0</v>
      </c>
    </row>
    <row r="544" spans="1:2">
      <c r="A544" s="11">
        <f>Returns!A544</f>
        <v>0</v>
      </c>
      <c r="B544" s="1">
        <f>MAX(AVERAGE(Portfolios!$B$2:$B$1004)-Portfolios!B544, 0)</f>
        <v>0</v>
      </c>
    </row>
    <row r="545" spans="1:2">
      <c r="A545" s="11">
        <f>Returns!A545</f>
        <v>0</v>
      </c>
      <c r="B545" s="1">
        <f>MAX(AVERAGE(Portfolios!$B$2:$B$1004)-Portfolios!B545, 0)</f>
        <v>0</v>
      </c>
    </row>
    <row r="546" spans="1:2">
      <c r="A546" s="11">
        <f>Returns!A546</f>
        <v>0</v>
      </c>
      <c r="B546" s="1">
        <f>MAX(AVERAGE(Portfolios!$B$2:$B$1004)-Portfolios!B546, 0)</f>
        <v>0</v>
      </c>
    </row>
    <row r="547" spans="1:2">
      <c r="A547" s="11">
        <f>Returns!A547</f>
        <v>0</v>
      </c>
      <c r="B547" s="1">
        <f>MAX(AVERAGE(Portfolios!$B$2:$B$1004)-Portfolios!B547, 0)</f>
        <v>0</v>
      </c>
    </row>
    <row r="548" spans="1:2">
      <c r="A548" s="11">
        <f>Returns!A548</f>
        <v>0</v>
      </c>
      <c r="B548" s="1">
        <f>MAX(AVERAGE(Portfolios!$B$2:$B$1004)-Portfolios!B548, 0)</f>
        <v>0</v>
      </c>
    </row>
    <row r="549" spans="1:2">
      <c r="A549" s="11">
        <f>Returns!A549</f>
        <v>0</v>
      </c>
      <c r="B549" s="1">
        <f>MAX(AVERAGE(Portfolios!$B$2:$B$1004)-Portfolios!B549, 0)</f>
        <v>0</v>
      </c>
    </row>
    <row r="550" spans="1:2">
      <c r="A550" s="11">
        <f>Returns!A550</f>
        <v>0</v>
      </c>
      <c r="B550" s="1">
        <f>MAX(AVERAGE(Portfolios!$B$2:$B$1004)-Portfolios!B550, 0)</f>
        <v>0</v>
      </c>
    </row>
    <row r="551" spans="1:2">
      <c r="A551" s="11">
        <f>Returns!A551</f>
        <v>0</v>
      </c>
      <c r="B551" s="1">
        <f>MAX(AVERAGE(Portfolios!$B$2:$B$1004)-Portfolios!B551, 0)</f>
        <v>0</v>
      </c>
    </row>
    <row r="552" spans="1:2">
      <c r="A552" s="11">
        <f>Returns!A552</f>
        <v>0</v>
      </c>
      <c r="B552" s="1">
        <f>MAX(AVERAGE(Portfolios!$B$2:$B$1004)-Portfolios!B552, 0)</f>
        <v>0</v>
      </c>
    </row>
    <row r="553" spans="1:2">
      <c r="A553" s="11">
        <f>Returns!A553</f>
        <v>0</v>
      </c>
      <c r="B553" s="1">
        <f>MAX(AVERAGE(Portfolios!$B$2:$B$1004)-Portfolios!B553, 0)</f>
        <v>0</v>
      </c>
    </row>
    <row r="554" spans="1:2">
      <c r="A554" s="11">
        <f>Returns!A554</f>
        <v>0</v>
      </c>
      <c r="B554" s="1">
        <f>MAX(AVERAGE(Portfolios!$B$2:$B$1004)-Portfolios!B554, 0)</f>
        <v>0</v>
      </c>
    </row>
    <row r="555" spans="1:2">
      <c r="A555" s="11">
        <f>Returns!A555</f>
        <v>0</v>
      </c>
      <c r="B555" s="1">
        <f>MAX(AVERAGE(Portfolios!$B$2:$B$1004)-Portfolios!B555, 0)</f>
        <v>0</v>
      </c>
    </row>
    <row r="556" spans="1:2">
      <c r="A556" s="11">
        <f>Returns!A556</f>
        <v>0</v>
      </c>
      <c r="B556" s="1">
        <f>MAX(AVERAGE(Portfolios!$B$2:$B$1004)-Portfolios!B556, 0)</f>
        <v>0</v>
      </c>
    </row>
    <row r="557" spans="1:2">
      <c r="A557" s="11">
        <f>Returns!A557</f>
        <v>0</v>
      </c>
      <c r="B557" s="1">
        <f>MAX(AVERAGE(Portfolios!$B$2:$B$1004)-Portfolios!B557, 0)</f>
        <v>0</v>
      </c>
    </row>
    <row r="558" spans="1:2">
      <c r="A558" s="11">
        <f>Returns!A558</f>
        <v>0</v>
      </c>
      <c r="B558" s="1">
        <f>MAX(AVERAGE(Portfolios!$B$2:$B$1004)-Portfolios!B558, 0)</f>
        <v>0</v>
      </c>
    </row>
    <row r="559" spans="1:2">
      <c r="A559" s="11">
        <f>Returns!A559</f>
        <v>0</v>
      </c>
      <c r="B559" s="1">
        <f>MAX(AVERAGE(Portfolios!$B$2:$B$1004)-Portfolios!B559, 0)</f>
        <v>0</v>
      </c>
    </row>
    <row r="560" spans="1:2">
      <c r="A560" s="11">
        <f>Returns!A560</f>
        <v>0</v>
      </c>
      <c r="B560" s="1">
        <f>MAX(AVERAGE(Portfolios!$B$2:$B$1004)-Portfolios!B560, 0)</f>
        <v>0</v>
      </c>
    </row>
    <row r="561" spans="1:2">
      <c r="A561" s="11">
        <f>Returns!A561</f>
        <v>0</v>
      </c>
      <c r="B561" s="1">
        <f>MAX(AVERAGE(Portfolios!$B$2:$B$1004)-Portfolios!B561, 0)</f>
        <v>0</v>
      </c>
    </row>
    <row r="562" spans="1:2">
      <c r="A562" s="11">
        <f>Returns!A562</f>
        <v>0</v>
      </c>
      <c r="B562" s="1">
        <f>MAX(AVERAGE(Portfolios!$B$2:$B$1004)-Portfolios!B562, 0)</f>
        <v>0</v>
      </c>
    </row>
    <row r="563" spans="1:2">
      <c r="A563" s="11">
        <f>Returns!A563</f>
        <v>0</v>
      </c>
      <c r="B563" s="1">
        <f>MAX(AVERAGE(Portfolios!$B$2:$B$1004)-Portfolios!B563, 0)</f>
        <v>0</v>
      </c>
    </row>
    <row r="564" spans="1:2">
      <c r="A564" s="11">
        <f>Returns!A564</f>
        <v>0</v>
      </c>
      <c r="B564" s="1">
        <f>MAX(AVERAGE(Portfolios!$B$2:$B$1004)-Portfolios!B564, 0)</f>
        <v>0</v>
      </c>
    </row>
    <row r="565" spans="1:2">
      <c r="A565" s="11">
        <f>Returns!A565</f>
        <v>0</v>
      </c>
      <c r="B565" s="1">
        <f>MAX(AVERAGE(Portfolios!$B$2:$B$1004)-Portfolios!B565, 0)</f>
        <v>0</v>
      </c>
    </row>
    <row r="566" spans="1:2">
      <c r="A566" s="11">
        <f>Returns!A566</f>
        <v>0</v>
      </c>
      <c r="B566" s="1">
        <f>MAX(AVERAGE(Portfolios!$B$2:$B$1004)-Portfolios!B566, 0)</f>
        <v>0</v>
      </c>
    </row>
    <row r="567" spans="1:2">
      <c r="A567" s="11">
        <f>Returns!A567</f>
        <v>0</v>
      </c>
      <c r="B567" s="1">
        <f>MAX(AVERAGE(Portfolios!$B$2:$B$1004)-Portfolios!B567, 0)</f>
        <v>0</v>
      </c>
    </row>
    <row r="568" spans="1:2">
      <c r="A568" s="11">
        <f>Returns!A568</f>
        <v>0</v>
      </c>
      <c r="B568" s="1">
        <f>MAX(AVERAGE(Portfolios!$B$2:$B$1004)-Portfolios!B568, 0)</f>
        <v>0</v>
      </c>
    </row>
    <row r="569" spans="1:2">
      <c r="A569" s="11">
        <f>Returns!A569</f>
        <v>0</v>
      </c>
      <c r="B569" s="1">
        <f>MAX(AVERAGE(Portfolios!$B$2:$B$1004)-Portfolios!B569, 0)</f>
        <v>0</v>
      </c>
    </row>
    <row r="570" spans="1:2">
      <c r="A570" s="11">
        <f>Returns!A570</f>
        <v>0</v>
      </c>
      <c r="B570" s="1">
        <f>MAX(AVERAGE(Portfolios!$B$2:$B$1004)-Portfolios!B570, 0)</f>
        <v>0</v>
      </c>
    </row>
    <row r="571" spans="1:2">
      <c r="A571" s="11">
        <f>Returns!A571</f>
        <v>0</v>
      </c>
      <c r="B571" s="1">
        <f>MAX(AVERAGE(Portfolios!$B$2:$B$1004)-Portfolios!B571, 0)</f>
        <v>0</v>
      </c>
    </row>
    <row r="572" spans="1:2">
      <c r="A572" s="11">
        <f>Returns!A572</f>
        <v>0</v>
      </c>
      <c r="B572" s="1">
        <f>MAX(AVERAGE(Portfolios!$B$2:$B$1004)-Portfolios!B572, 0)</f>
        <v>0</v>
      </c>
    </row>
    <row r="573" spans="1:2">
      <c r="A573" s="11">
        <f>Returns!A573</f>
        <v>0</v>
      </c>
      <c r="B573" s="1">
        <f>MAX(AVERAGE(Portfolios!$B$2:$B$1004)-Portfolios!B573, 0)</f>
        <v>0</v>
      </c>
    </row>
    <row r="574" spans="1:2">
      <c r="A574" s="11">
        <f>Returns!A574</f>
        <v>0</v>
      </c>
      <c r="B574" s="1">
        <f>MAX(AVERAGE(Portfolios!$B$2:$B$1004)-Portfolios!B574, 0)</f>
        <v>0</v>
      </c>
    </row>
    <row r="575" spans="1:2">
      <c r="A575" s="11">
        <f>Returns!A575</f>
        <v>0</v>
      </c>
      <c r="B575" s="1">
        <f>MAX(AVERAGE(Portfolios!$B$2:$B$1004)-Portfolios!B575, 0)</f>
        <v>0</v>
      </c>
    </row>
    <row r="576" spans="1:2">
      <c r="A576" s="11">
        <f>Returns!A576</f>
        <v>0</v>
      </c>
      <c r="B576" s="1">
        <f>MAX(AVERAGE(Portfolios!$B$2:$B$1004)-Portfolios!B576, 0)</f>
        <v>0</v>
      </c>
    </row>
    <row r="577" spans="1:2">
      <c r="A577" s="11">
        <f>Returns!A577</f>
        <v>0</v>
      </c>
      <c r="B577" s="1">
        <f>MAX(AVERAGE(Portfolios!$B$2:$B$1004)-Portfolios!B577, 0)</f>
        <v>0</v>
      </c>
    </row>
    <row r="578" spans="1:2">
      <c r="A578" s="11">
        <f>Returns!A578</f>
        <v>0</v>
      </c>
      <c r="B578" s="1">
        <f>MAX(AVERAGE(Portfolios!$B$2:$B$1004)-Portfolios!B578, 0)</f>
        <v>0</v>
      </c>
    </row>
    <row r="579" spans="1:2">
      <c r="A579" s="11">
        <f>Returns!A579</f>
        <v>0</v>
      </c>
      <c r="B579" s="1">
        <f>MAX(AVERAGE(Portfolios!$B$2:$B$1004)-Portfolios!B579, 0)</f>
        <v>0</v>
      </c>
    </row>
    <row r="580" spans="1:2">
      <c r="A580" s="11">
        <f>Returns!A580</f>
        <v>0</v>
      </c>
      <c r="B580" s="1">
        <f>MAX(AVERAGE(Portfolios!$B$2:$B$1004)-Portfolios!B580, 0)</f>
        <v>0</v>
      </c>
    </row>
    <row r="581" spans="1:2">
      <c r="A581" s="11">
        <f>Returns!A581</f>
        <v>0</v>
      </c>
      <c r="B581" s="1">
        <f>MAX(AVERAGE(Portfolios!$B$2:$B$1004)-Portfolios!B581, 0)</f>
        <v>0</v>
      </c>
    </row>
    <row r="582" spans="1:2">
      <c r="A582" s="11">
        <f>Returns!A582</f>
        <v>0</v>
      </c>
      <c r="B582" s="1">
        <f>MAX(AVERAGE(Portfolios!$B$2:$B$1004)-Portfolios!B582, 0)</f>
        <v>0</v>
      </c>
    </row>
    <row r="583" spans="1:2">
      <c r="A583" s="11">
        <f>Returns!A583</f>
        <v>0</v>
      </c>
      <c r="B583" s="1">
        <f>MAX(AVERAGE(Portfolios!$B$2:$B$1004)-Portfolios!B583, 0)</f>
        <v>0</v>
      </c>
    </row>
    <row r="584" spans="1:2">
      <c r="A584" s="11">
        <f>Returns!A584</f>
        <v>0</v>
      </c>
      <c r="B584" s="1">
        <f>MAX(AVERAGE(Portfolios!$B$2:$B$1004)-Portfolios!B584, 0)</f>
        <v>0</v>
      </c>
    </row>
    <row r="585" spans="1:2">
      <c r="A585" s="11">
        <f>Returns!A585</f>
        <v>0</v>
      </c>
      <c r="B585" s="1">
        <f>MAX(AVERAGE(Portfolios!$B$2:$B$1004)-Portfolios!B585, 0)</f>
        <v>0</v>
      </c>
    </row>
    <row r="586" spans="1:2">
      <c r="A586" s="11">
        <f>Returns!A586</f>
        <v>0</v>
      </c>
      <c r="B586" s="1">
        <f>MAX(AVERAGE(Portfolios!$B$2:$B$1004)-Portfolios!B586, 0)</f>
        <v>0</v>
      </c>
    </row>
    <row r="587" spans="1:2">
      <c r="A587" s="11">
        <f>Returns!A587</f>
        <v>0</v>
      </c>
      <c r="B587" s="1">
        <f>MAX(AVERAGE(Portfolios!$B$2:$B$1004)-Portfolios!B587, 0)</f>
        <v>0</v>
      </c>
    </row>
    <row r="588" spans="1:2">
      <c r="A588" s="11">
        <f>Returns!A588</f>
        <v>0</v>
      </c>
      <c r="B588" s="1">
        <f>MAX(AVERAGE(Portfolios!$B$2:$B$1004)-Portfolios!B588, 0)</f>
        <v>0</v>
      </c>
    </row>
    <row r="589" spans="1:2">
      <c r="A589" s="11">
        <f>Returns!A589</f>
        <v>0</v>
      </c>
      <c r="B589" s="1">
        <f>MAX(AVERAGE(Portfolios!$B$2:$B$1004)-Portfolios!B589, 0)</f>
        <v>0</v>
      </c>
    </row>
    <row r="590" spans="1:2">
      <c r="A590" s="11">
        <f>Returns!A590</f>
        <v>0</v>
      </c>
      <c r="B590" s="1">
        <f>MAX(AVERAGE(Portfolios!$B$2:$B$1004)-Portfolios!B590, 0)</f>
        <v>0</v>
      </c>
    </row>
    <row r="591" spans="1:2">
      <c r="A591" s="11">
        <f>Returns!A591</f>
        <v>0</v>
      </c>
      <c r="B591" s="1">
        <f>MAX(AVERAGE(Portfolios!$B$2:$B$1004)-Portfolios!B591, 0)</f>
        <v>0</v>
      </c>
    </row>
    <row r="592" spans="1:2">
      <c r="A592" s="11">
        <f>Returns!A592</f>
        <v>0</v>
      </c>
      <c r="B592" s="1">
        <f>MAX(AVERAGE(Portfolios!$B$2:$B$1004)-Portfolios!B592, 0)</f>
        <v>0</v>
      </c>
    </row>
    <row r="593" spans="1:2">
      <c r="A593" s="11">
        <f>Returns!A593</f>
        <v>0</v>
      </c>
      <c r="B593" s="1">
        <f>MAX(AVERAGE(Portfolios!$B$2:$B$1004)-Portfolios!B593, 0)</f>
        <v>0</v>
      </c>
    </row>
    <row r="594" spans="1:2">
      <c r="A594" s="11">
        <f>Returns!A594</f>
        <v>0</v>
      </c>
      <c r="B594" s="1">
        <f>MAX(AVERAGE(Portfolios!$B$2:$B$1004)-Portfolios!B594, 0)</f>
        <v>0</v>
      </c>
    </row>
    <row r="595" spans="1:2">
      <c r="A595" s="11">
        <f>Returns!A595</f>
        <v>0</v>
      </c>
      <c r="B595" s="1">
        <f>MAX(AVERAGE(Portfolios!$B$2:$B$1004)-Portfolios!B595, 0)</f>
        <v>0</v>
      </c>
    </row>
    <row r="596" spans="1:2">
      <c r="A596" s="11">
        <f>Returns!A596</f>
        <v>0</v>
      </c>
      <c r="B596" s="1">
        <f>MAX(AVERAGE(Portfolios!$B$2:$B$1004)-Portfolios!B596, 0)</f>
        <v>0</v>
      </c>
    </row>
    <row r="597" spans="1:2">
      <c r="A597" s="11">
        <f>Returns!A597</f>
        <v>0</v>
      </c>
      <c r="B597" s="1">
        <f>MAX(AVERAGE(Portfolios!$B$2:$B$1004)-Portfolios!B597, 0)</f>
        <v>0</v>
      </c>
    </row>
    <row r="598" spans="1:2">
      <c r="A598" s="11">
        <f>Returns!A598</f>
        <v>0</v>
      </c>
      <c r="B598" s="1">
        <f>MAX(AVERAGE(Portfolios!$B$2:$B$1004)-Portfolios!B598, 0)</f>
        <v>0</v>
      </c>
    </row>
    <row r="599" spans="1:2">
      <c r="A599" s="11">
        <f>Returns!A599</f>
        <v>0</v>
      </c>
      <c r="B599" s="1">
        <f>MAX(AVERAGE(Portfolios!$B$2:$B$1004)-Portfolios!B599, 0)</f>
        <v>0</v>
      </c>
    </row>
    <row r="600" spans="1:2">
      <c r="A600" s="11">
        <f>Returns!A600</f>
        <v>0</v>
      </c>
      <c r="B600" s="1">
        <f>MAX(AVERAGE(Portfolios!$B$2:$B$1004)-Portfolios!B600, 0)</f>
        <v>0</v>
      </c>
    </row>
    <row r="601" spans="1:2">
      <c r="A601" s="11">
        <f>Returns!A601</f>
        <v>0</v>
      </c>
      <c r="B601" s="1">
        <f>MAX(AVERAGE(Portfolios!$B$2:$B$1004)-Portfolios!B601, 0)</f>
        <v>0</v>
      </c>
    </row>
    <row r="602" spans="1:2">
      <c r="A602" s="11">
        <f>Returns!A602</f>
        <v>0</v>
      </c>
      <c r="B602" s="1">
        <f>MAX(AVERAGE(Portfolios!$B$2:$B$1004)-Portfolios!B602, 0)</f>
        <v>0</v>
      </c>
    </row>
    <row r="603" spans="1:2">
      <c r="A603" s="11">
        <f>Returns!A603</f>
        <v>0</v>
      </c>
      <c r="B603" s="1">
        <f>MAX(AVERAGE(Portfolios!$B$2:$B$1004)-Portfolios!B603, 0)</f>
        <v>0</v>
      </c>
    </row>
    <row r="604" spans="1:2">
      <c r="A604" s="11">
        <f>Returns!A604</f>
        <v>0</v>
      </c>
      <c r="B604" s="1">
        <f>MAX(AVERAGE(Portfolios!$B$2:$B$1004)-Portfolios!B604, 0)</f>
        <v>0</v>
      </c>
    </row>
    <row r="605" spans="1:2">
      <c r="A605" s="11">
        <f>Returns!A605</f>
        <v>0</v>
      </c>
      <c r="B605" s="1">
        <f>MAX(AVERAGE(Portfolios!$B$2:$B$1004)-Portfolios!B605, 0)</f>
        <v>0</v>
      </c>
    </row>
    <row r="606" spans="1:2">
      <c r="A606" s="11">
        <f>Returns!A606</f>
        <v>0</v>
      </c>
      <c r="B606" s="1">
        <f>MAX(AVERAGE(Portfolios!$B$2:$B$1004)-Portfolios!B606, 0)</f>
        <v>0</v>
      </c>
    </row>
    <row r="607" spans="1:2">
      <c r="A607" s="11">
        <f>Returns!A607</f>
        <v>0</v>
      </c>
      <c r="B607" s="1">
        <f>MAX(AVERAGE(Portfolios!$B$2:$B$1004)-Portfolios!B607, 0)</f>
        <v>0</v>
      </c>
    </row>
    <row r="608" spans="1:2">
      <c r="A608" s="11">
        <f>Returns!A608</f>
        <v>0</v>
      </c>
      <c r="B608" s="1">
        <f>MAX(AVERAGE(Portfolios!$B$2:$B$1004)-Portfolios!B608, 0)</f>
        <v>0</v>
      </c>
    </row>
    <row r="609" spans="1:2">
      <c r="A609" s="11">
        <f>Returns!A609</f>
        <v>0</v>
      </c>
      <c r="B609" s="1">
        <f>MAX(AVERAGE(Portfolios!$B$2:$B$1004)-Portfolios!B609, 0)</f>
        <v>0</v>
      </c>
    </row>
    <row r="610" spans="1:2">
      <c r="A610" s="11">
        <f>Returns!A610</f>
        <v>0</v>
      </c>
      <c r="B610" s="1">
        <f>MAX(AVERAGE(Portfolios!$B$2:$B$1004)-Portfolios!B610, 0)</f>
        <v>0</v>
      </c>
    </row>
    <row r="611" spans="1:2">
      <c r="A611" s="11">
        <f>Returns!A611</f>
        <v>0</v>
      </c>
      <c r="B611" s="1">
        <f>MAX(AVERAGE(Portfolios!$B$2:$B$1004)-Portfolios!B611, 0)</f>
        <v>0</v>
      </c>
    </row>
    <row r="612" spans="1:2">
      <c r="A612" s="11">
        <f>Returns!A612</f>
        <v>0</v>
      </c>
      <c r="B612" s="1">
        <f>MAX(AVERAGE(Portfolios!$B$2:$B$1004)-Portfolios!B612, 0)</f>
        <v>0</v>
      </c>
    </row>
    <row r="613" spans="1:2">
      <c r="A613" s="11">
        <f>Returns!A613</f>
        <v>0</v>
      </c>
      <c r="B613" s="1">
        <f>MAX(AVERAGE(Portfolios!$B$2:$B$1004)-Portfolios!B613, 0)</f>
        <v>0</v>
      </c>
    </row>
    <row r="614" spans="1:2">
      <c r="A614" s="11">
        <f>Returns!A614</f>
        <v>0</v>
      </c>
      <c r="B614" s="1">
        <f>MAX(AVERAGE(Portfolios!$B$2:$B$1004)-Portfolios!B614, 0)</f>
        <v>0</v>
      </c>
    </row>
    <row r="615" spans="1:2">
      <c r="A615" s="11">
        <f>Returns!A615</f>
        <v>0</v>
      </c>
      <c r="B615" s="1">
        <f>MAX(AVERAGE(Portfolios!$B$2:$B$1004)-Portfolios!B615, 0)</f>
        <v>0</v>
      </c>
    </row>
    <row r="616" spans="1:2">
      <c r="A616" s="11">
        <f>Returns!A616</f>
        <v>0</v>
      </c>
      <c r="B616" s="1">
        <f>MAX(AVERAGE(Portfolios!$B$2:$B$1004)-Portfolios!B616, 0)</f>
        <v>0</v>
      </c>
    </row>
    <row r="617" spans="1:2">
      <c r="A617" s="11">
        <f>Returns!A617</f>
        <v>0</v>
      </c>
      <c r="B617" s="1">
        <f>MAX(AVERAGE(Portfolios!$B$2:$B$1004)-Portfolios!B617, 0)</f>
        <v>0</v>
      </c>
    </row>
    <row r="618" spans="1:2">
      <c r="A618" s="11">
        <f>Returns!A618</f>
        <v>0</v>
      </c>
      <c r="B618" s="1">
        <f>MAX(AVERAGE(Portfolios!$B$2:$B$1004)-Portfolios!B618, 0)</f>
        <v>0</v>
      </c>
    </row>
    <row r="619" spans="1:2">
      <c r="A619" s="11">
        <f>Returns!A619</f>
        <v>0</v>
      </c>
      <c r="B619" s="1">
        <f>MAX(AVERAGE(Portfolios!$B$2:$B$1004)-Portfolios!B619, 0)</f>
        <v>0</v>
      </c>
    </row>
    <row r="620" spans="1:2">
      <c r="A620" s="11">
        <f>Returns!A620</f>
        <v>0</v>
      </c>
      <c r="B620" s="1">
        <f>MAX(AVERAGE(Portfolios!$B$2:$B$1004)-Portfolios!B620, 0)</f>
        <v>0</v>
      </c>
    </row>
    <row r="621" spans="1:2">
      <c r="A621" s="11">
        <f>Returns!A621</f>
        <v>0</v>
      </c>
      <c r="B621" s="1">
        <f>MAX(AVERAGE(Portfolios!$B$2:$B$1004)-Portfolios!B621, 0)</f>
        <v>0</v>
      </c>
    </row>
    <row r="622" spans="1:2">
      <c r="A622" s="11">
        <f>Returns!A622</f>
        <v>0</v>
      </c>
      <c r="B622" s="1">
        <f>MAX(AVERAGE(Portfolios!$B$2:$B$1004)-Portfolios!B622, 0)</f>
        <v>0</v>
      </c>
    </row>
    <row r="623" spans="1:2">
      <c r="A623" s="11">
        <f>Returns!A623</f>
        <v>0</v>
      </c>
      <c r="B623" s="1">
        <f>MAX(AVERAGE(Portfolios!$B$2:$B$1004)-Portfolios!B623, 0)</f>
        <v>0</v>
      </c>
    </row>
    <row r="624" spans="1:2">
      <c r="A624" s="11">
        <f>Returns!A624</f>
        <v>0</v>
      </c>
      <c r="B624" s="1">
        <f>MAX(AVERAGE(Portfolios!$B$2:$B$1004)-Portfolios!B624, 0)</f>
        <v>0</v>
      </c>
    </row>
    <row r="625" spans="1:2">
      <c r="A625" s="11">
        <f>Returns!A625</f>
        <v>0</v>
      </c>
      <c r="B625" s="1">
        <f>MAX(AVERAGE(Portfolios!$B$2:$B$1004)-Portfolios!B625, 0)</f>
        <v>0</v>
      </c>
    </row>
    <row r="626" spans="1:2">
      <c r="A626" s="11">
        <f>Returns!A626</f>
        <v>0</v>
      </c>
      <c r="B626" s="1">
        <f>MAX(AVERAGE(Portfolios!$B$2:$B$1004)-Portfolios!B626, 0)</f>
        <v>0</v>
      </c>
    </row>
    <row r="627" spans="1:2">
      <c r="A627" s="11">
        <f>Returns!A627</f>
        <v>0</v>
      </c>
      <c r="B627" s="1">
        <f>MAX(AVERAGE(Portfolios!$B$2:$B$1004)-Portfolios!B627, 0)</f>
        <v>0</v>
      </c>
    </row>
    <row r="628" spans="1:2">
      <c r="A628" s="11">
        <f>Returns!A628</f>
        <v>0</v>
      </c>
      <c r="B628" s="1">
        <f>MAX(AVERAGE(Portfolios!$B$2:$B$1004)-Portfolios!B628, 0)</f>
        <v>0</v>
      </c>
    </row>
    <row r="629" spans="1:2">
      <c r="A629" s="11">
        <f>Returns!A629</f>
        <v>0</v>
      </c>
      <c r="B629" s="1">
        <f>MAX(AVERAGE(Portfolios!$B$2:$B$1004)-Portfolios!B629, 0)</f>
        <v>0</v>
      </c>
    </row>
    <row r="630" spans="1:2">
      <c r="A630" s="11">
        <f>Returns!A630</f>
        <v>0</v>
      </c>
      <c r="B630" s="1">
        <f>MAX(AVERAGE(Portfolios!$B$2:$B$1004)-Portfolios!B630, 0)</f>
        <v>0</v>
      </c>
    </row>
    <row r="631" spans="1:2">
      <c r="A631" s="11">
        <f>Returns!A631</f>
        <v>0</v>
      </c>
      <c r="B631" s="1">
        <f>MAX(AVERAGE(Portfolios!$B$2:$B$1004)-Portfolios!B631, 0)</f>
        <v>0</v>
      </c>
    </row>
    <row r="632" spans="1:2">
      <c r="A632" s="11">
        <f>Returns!A632</f>
        <v>0</v>
      </c>
      <c r="B632" s="1">
        <f>MAX(AVERAGE(Portfolios!$B$2:$B$1004)-Portfolios!B632, 0)</f>
        <v>0</v>
      </c>
    </row>
    <row r="633" spans="1:2">
      <c r="A633" s="11">
        <f>Returns!A633</f>
        <v>0</v>
      </c>
      <c r="B633" s="1">
        <f>MAX(AVERAGE(Portfolios!$B$2:$B$1004)-Portfolios!B633, 0)</f>
        <v>0</v>
      </c>
    </row>
    <row r="634" spans="1:2">
      <c r="A634" s="11">
        <f>Returns!A634</f>
        <v>0</v>
      </c>
      <c r="B634" s="1">
        <f>MAX(AVERAGE(Portfolios!$B$2:$B$1004)-Portfolios!B634, 0)</f>
        <v>0</v>
      </c>
    </row>
    <row r="635" spans="1:2">
      <c r="A635" s="11">
        <f>Returns!A635</f>
        <v>0</v>
      </c>
      <c r="B635" s="1">
        <f>MAX(AVERAGE(Portfolios!$B$2:$B$1004)-Portfolios!B635, 0)</f>
        <v>0</v>
      </c>
    </row>
    <row r="636" spans="1:2">
      <c r="A636" s="11">
        <f>Returns!A636</f>
        <v>0</v>
      </c>
      <c r="B636" s="1">
        <f>MAX(AVERAGE(Portfolios!$B$2:$B$1004)-Portfolios!B636, 0)</f>
        <v>0</v>
      </c>
    </row>
    <row r="637" spans="1:2">
      <c r="A637" s="11">
        <f>Returns!A637</f>
        <v>0</v>
      </c>
      <c r="B637" s="1">
        <f>MAX(AVERAGE(Portfolios!$B$2:$B$1004)-Portfolios!B637, 0)</f>
        <v>0</v>
      </c>
    </row>
    <row r="638" spans="1:2">
      <c r="A638" s="11">
        <f>Returns!A638</f>
        <v>0</v>
      </c>
      <c r="B638" s="1">
        <f>MAX(AVERAGE(Portfolios!$B$2:$B$1004)-Portfolios!B638, 0)</f>
        <v>0</v>
      </c>
    </row>
    <row r="639" spans="1:2">
      <c r="A639" s="11">
        <f>Returns!A639</f>
        <v>0</v>
      </c>
      <c r="B639" s="1">
        <f>MAX(AVERAGE(Portfolios!$B$2:$B$1004)-Portfolios!B639, 0)</f>
        <v>0</v>
      </c>
    </row>
    <row r="640" spans="1:2">
      <c r="A640" s="11">
        <f>Returns!A640</f>
        <v>0</v>
      </c>
      <c r="B640" s="1">
        <f>MAX(AVERAGE(Portfolios!$B$2:$B$1004)-Portfolios!B640, 0)</f>
        <v>0</v>
      </c>
    </row>
    <row r="641" spans="1:2">
      <c r="A641" s="11">
        <f>Returns!A641</f>
        <v>0</v>
      </c>
      <c r="B641" s="1">
        <f>MAX(AVERAGE(Portfolios!$B$2:$B$1004)-Portfolios!B641, 0)</f>
        <v>0</v>
      </c>
    </row>
    <row r="642" spans="1:2">
      <c r="A642" s="11">
        <f>Returns!A642</f>
        <v>0</v>
      </c>
      <c r="B642" s="1">
        <f>MAX(AVERAGE(Portfolios!$B$2:$B$1004)-Portfolios!B642, 0)</f>
        <v>0</v>
      </c>
    </row>
    <row r="643" spans="1:2">
      <c r="A643" s="11">
        <f>Returns!A643</f>
        <v>0</v>
      </c>
      <c r="B643" s="1">
        <f>MAX(AVERAGE(Portfolios!$B$2:$B$1004)-Portfolios!B643, 0)</f>
        <v>0</v>
      </c>
    </row>
    <row r="644" spans="1:2">
      <c r="A644" s="11">
        <f>Returns!A644</f>
        <v>0</v>
      </c>
      <c r="B644" s="1">
        <f>MAX(AVERAGE(Portfolios!$B$2:$B$1004)-Portfolios!B644, 0)</f>
        <v>0</v>
      </c>
    </row>
    <row r="645" spans="1:2">
      <c r="A645" s="11">
        <f>Returns!A645</f>
        <v>0</v>
      </c>
      <c r="B645" s="1">
        <f>MAX(AVERAGE(Portfolios!$B$2:$B$1004)-Portfolios!B645, 0)</f>
        <v>0</v>
      </c>
    </row>
    <row r="646" spans="1:2">
      <c r="A646" s="11">
        <f>Returns!A646</f>
        <v>0</v>
      </c>
      <c r="B646" s="1">
        <f>MAX(AVERAGE(Portfolios!$B$2:$B$1004)-Portfolios!B646, 0)</f>
        <v>0</v>
      </c>
    </row>
    <row r="647" spans="1:2">
      <c r="A647" s="11">
        <f>Returns!A647</f>
        <v>0</v>
      </c>
      <c r="B647" s="1">
        <f>MAX(AVERAGE(Portfolios!$B$2:$B$1004)-Portfolios!B647, 0)</f>
        <v>0</v>
      </c>
    </row>
    <row r="648" spans="1:2">
      <c r="A648" s="11">
        <f>Returns!A648</f>
        <v>0</v>
      </c>
      <c r="B648" s="1">
        <f>MAX(AVERAGE(Portfolios!$B$2:$B$1004)-Portfolios!B648, 0)</f>
        <v>0</v>
      </c>
    </row>
    <row r="649" spans="1:2">
      <c r="A649" s="11">
        <f>Returns!A649</f>
        <v>0</v>
      </c>
      <c r="B649" s="1">
        <f>MAX(AVERAGE(Portfolios!$B$2:$B$1004)-Portfolios!B649, 0)</f>
        <v>0</v>
      </c>
    </row>
    <row r="650" spans="1:2">
      <c r="A650" s="11">
        <f>Returns!A650</f>
        <v>0</v>
      </c>
      <c r="B650" s="1">
        <f>MAX(AVERAGE(Portfolios!$B$2:$B$1004)-Portfolios!B650, 0)</f>
        <v>0</v>
      </c>
    </row>
    <row r="651" spans="1:2">
      <c r="A651" s="11">
        <f>Returns!A651</f>
        <v>0</v>
      </c>
      <c r="B651" s="1">
        <f>MAX(AVERAGE(Portfolios!$B$2:$B$1004)-Portfolios!B651, 0)</f>
        <v>0</v>
      </c>
    </row>
    <row r="652" spans="1:2">
      <c r="A652" s="11">
        <f>Returns!A652</f>
        <v>0</v>
      </c>
      <c r="B652" s="1">
        <f>MAX(AVERAGE(Portfolios!$B$2:$B$1004)-Portfolios!B652, 0)</f>
        <v>0</v>
      </c>
    </row>
    <row r="653" spans="1:2">
      <c r="A653" s="11">
        <f>Returns!A653</f>
        <v>0</v>
      </c>
      <c r="B653" s="1">
        <f>MAX(AVERAGE(Portfolios!$B$2:$B$1004)-Portfolios!B653, 0)</f>
        <v>0</v>
      </c>
    </row>
    <row r="654" spans="1:2">
      <c r="A654" s="11">
        <f>Returns!A654</f>
        <v>0</v>
      </c>
      <c r="B654" s="1">
        <f>MAX(AVERAGE(Portfolios!$B$2:$B$1004)-Portfolios!B654, 0)</f>
        <v>0</v>
      </c>
    </row>
    <row r="655" spans="1:2">
      <c r="A655" s="11">
        <f>Returns!A655</f>
        <v>0</v>
      </c>
      <c r="B655" s="1">
        <f>MAX(AVERAGE(Portfolios!$B$2:$B$1004)-Portfolios!B655, 0)</f>
        <v>0</v>
      </c>
    </row>
    <row r="656" spans="1:2">
      <c r="A656" s="11">
        <f>Returns!A656</f>
        <v>0</v>
      </c>
      <c r="B656" s="1">
        <f>MAX(AVERAGE(Portfolios!$B$2:$B$1004)-Portfolios!B656, 0)</f>
        <v>0</v>
      </c>
    </row>
    <row r="657" spans="1:2">
      <c r="A657" s="11">
        <f>Returns!A657</f>
        <v>0</v>
      </c>
      <c r="B657" s="1">
        <f>MAX(AVERAGE(Portfolios!$B$2:$B$1004)-Portfolios!B657, 0)</f>
        <v>0</v>
      </c>
    </row>
    <row r="658" spans="1:2">
      <c r="A658" s="11">
        <f>Returns!A658</f>
        <v>0</v>
      </c>
      <c r="B658" s="1">
        <f>MAX(AVERAGE(Portfolios!$B$2:$B$1004)-Portfolios!B658, 0)</f>
        <v>0</v>
      </c>
    </row>
    <row r="659" spans="1:2">
      <c r="A659" s="11">
        <f>Returns!A659</f>
        <v>0</v>
      </c>
      <c r="B659" s="1">
        <f>MAX(AVERAGE(Portfolios!$B$2:$B$1004)-Portfolios!B659, 0)</f>
        <v>0</v>
      </c>
    </row>
    <row r="660" spans="1:2">
      <c r="A660" s="11">
        <f>Returns!A660</f>
        <v>0</v>
      </c>
      <c r="B660" s="1">
        <f>MAX(AVERAGE(Portfolios!$B$2:$B$1004)-Portfolios!B660, 0)</f>
        <v>0</v>
      </c>
    </row>
    <row r="661" spans="1:2">
      <c r="A661" s="11">
        <f>Returns!A661</f>
        <v>0</v>
      </c>
      <c r="B661" s="1">
        <f>MAX(AVERAGE(Portfolios!$B$2:$B$1004)-Portfolios!B661, 0)</f>
        <v>0</v>
      </c>
    </row>
    <row r="662" spans="1:2">
      <c r="A662" s="11">
        <f>Returns!A662</f>
        <v>0</v>
      </c>
      <c r="B662" s="1">
        <f>MAX(AVERAGE(Portfolios!$B$2:$B$1004)-Portfolios!B662, 0)</f>
        <v>0</v>
      </c>
    </row>
    <row r="663" spans="1:2">
      <c r="A663" s="11">
        <f>Returns!A663</f>
        <v>0</v>
      </c>
      <c r="B663" s="1">
        <f>MAX(AVERAGE(Portfolios!$B$2:$B$1004)-Portfolios!B663, 0)</f>
        <v>0</v>
      </c>
    </row>
    <row r="664" spans="1:2">
      <c r="A664" s="11">
        <f>Returns!A664</f>
        <v>0</v>
      </c>
      <c r="B664" s="1">
        <f>MAX(AVERAGE(Portfolios!$B$2:$B$1004)-Portfolios!B664, 0)</f>
        <v>0</v>
      </c>
    </row>
    <row r="665" spans="1:2">
      <c r="A665" s="11">
        <f>Returns!A665</f>
        <v>0</v>
      </c>
      <c r="B665" s="1">
        <f>MAX(AVERAGE(Portfolios!$B$2:$B$1004)-Portfolios!B665, 0)</f>
        <v>0</v>
      </c>
    </row>
    <row r="666" spans="1:2">
      <c r="A666" s="11">
        <f>Returns!A666</f>
        <v>0</v>
      </c>
      <c r="B666" s="1">
        <f>MAX(AVERAGE(Portfolios!$B$2:$B$1004)-Portfolios!B666, 0)</f>
        <v>0</v>
      </c>
    </row>
    <row r="667" spans="1:2">
      <c r="A667" s="11">
        <f>Returns!A667</f>
        <v>0</v>
      </c>
      <c r="B667" s="1">
        <f>MAX(AVERAGE(Portfolios!$B$2:$B$1004)-Portfolios!B667, 0)</f>
        <v>0</v>
      </c>
    </row>
    <row r="668" spans="1:2">
      <c r="A668" s="11">
        <f>Returns!A668</f>
        <v>0</v>
      </c>
      <c r="B668" s="1">
        <f>MAX(AVERAGE(Portfolios!$B$2:$B$1004)-Portfolios!B668, 0)</f>
        <v>0</v>
      </c>
    </row>
    <row r="669" spans="1:2">
      <c r="A669" s="11">
        <f>Returns!A669</f>
        <v>0</v>
      </c>
      <c r="B669" s="1">
        <f>MAX(AVERAGE(Portfolios!$B$2:$B$1004)-Portfolios!B669, 0)</f>
        <v>0</v>
      </c>
    </row>
    <row r="670" spans="1:2">
      <c r="A670" s="11">
        <f>Returns!A670</f>
        <v>0</v>
      </c>
      <c r="B670" s="1">
        <f>MAX(AVERAGE(Portfolios!$B$2:$B$1004)-Portfolios!B670, 0)</f>
        <v>0</v>
      </c>
    </row>
    <row r="671" spans="1:2">
      <c r="A671" s="11">
        <f>Returns!A671</f>
        <v>0</v>
      </c>
      <c r="B671" s="1">
        <f>MAX(AVERAGE(Portfolios!$B$2:$B$1004)-Portfolios!B671, 0)</f>
        <v>0</v>
      </c>
    </row>
    <row r="672" spans="1:2">
      <c r="A672" s="11">
        <f>Returns!A672</f>
        <v>0</v>
      </c>
      <c r="B672" s="1">
        <f>MAX(AVERAGE(Portfolios!$B$2:$B$1004)-Portfolios!B672, 0)</f>
        <v>0</v>
      </c>
    </row>
    <row r="673" spans="1:2">
      <c r="A673" s="11">
        <f>Returns!A673</f>
        <v>0</v>
      </c>
      <c r="B673" s="1">
        <f>MAX(AVERAGE(Portfolios!$B$2:$B$1004)-Portfolios!B673, 0)</f>
        <v>0</v>
      </c>
    </row>
    <row r="674" spans="1:2">
      <c r="A674" s="11">
        <f>Returns!A674</f>
        <v>0</v>
      </c>
      <c r="B674" s="1">
        <f>MAX(AVERAGE(Portfolios!$B$2:$B$1004)-Portfolios!B674, 0)</f>
        <v>0</v>
      </c>
    </row>
    <row r="675" spans="1:2">
      <c r="A675" s="11">
        <f>Returns!A675</f>
        <v>0</v>
      </c>
      <c r="B675" s="1">
        <f>MAX(AVERAGE(Portfolios!$B$2:$B$1004)-Portfolios!B675, 0)</f>
        <v>0</v>
      </c>
    </row>
    <row r="676" spans="1:2">
      <c r="A676" s="11">
        <f>Returns!A676</f>
        <v>0</v>
      </c>
      <c r="B676" s="1">
        <f>MAX(AVERAGE(Portfolios!$B$2:$B$1004)-Portfolios!B676, 0)</f>
        <v>0</v>
      </c>
    </row>
    <row r="677" spans="1:2">
      <c r="A677" s="11">
        <f>Returns!A677</f>
        <v>0</v>
      </c>
      <c r="B677" s="1">
        <f>MAX(AVERAGE(Portfolios!$B$2:$B$1004)-Portfolios!B677, 0)</f>
        <v>0</v>
      </c>
    </row>
    <row r="678" spans="1:2">
      <c r="A678" s="11">
        <f>Returns!A678</f>
        <v>0</v>
      </c>
      <c r="B678" s="1">
        <f>MAX(AVERAGE(Portfolios!$B$2:$B$1004)-Portfolios!B678, 0)</f>
        <v>0</v>
      </c>
    </row>
    <row r="679" spans="1:2">
      <c r="A679" s="11">
        <f>Returns!A679</f>
        <v>0</v>
      </c>
      <c r="B679" s="1">
        <f>MAX(AVERAGE(Portfolios!$B$2:$B$1004)-Portfolios!B679, 0)</f>
        <v>0</v>
      </c>
    </row>
    <row r="680" spans="1:2">
      <c r="A680" s="11">
        <f>Returns!A680</f>
        <v>0</v>
      </c>
      <c r="B680" s="1">
        <f>MAX(AVERAGE(Portfolios!$B$2:$B$1004)-Portfolios!B680, 0)</f>
        <v>0</v>
      </c>
    </row>
    <row r="681" spans="1:2">
      <c r="A681" s="11">
        <f>Returns!A681</f>
        <v>0</v>
      </c>
      <c r="B681" s="1">
        <f>MAX(AVERAGE(Portfolios!$B$2:$B$1004)-Portfolios!B681, 0)</f>
        <v>0</v>
      </c>
    </row>
    <row r="682" spans="1:2">
      <c r="A682" s="11">
        <f>Returns!A682</f>
        <v>0</v>
      </c>
      <c r="B682" s="1">
        <f>MAX(AVERAGE(Portfolios!$B$2:$B$1004)-Portfolios!B682, 0)</f>
        <v>0</v>
      </c>
    </row>
    <row r="683" spans="1:2">
      <c r="A683" s="11">
        <f>Returns!A683</f>
        <v>0</v>
      </c>
      <c r="B683" s="1">
        <f>MAX(AVERAGE(Portfolios!$B$2:$B$1004)-Portfolios!B683, 0)</f>
        <v>0</v>
      </c>
    </row>
    <row r="684" spans="1:2">
      <c r="A684" s="11">
        <f>Returns!A684</f>
        <v>0</v>
      </c>
      <c r="B684" s="1">
        <f>MAX(AVERAGE(Portfolios!$B$2:$B$1004)-Portfolios!B684, 0)</f>
        <v>0</v>
      </c>
    </row>
    <row r="685" spans="1:2">
      <c r="A685" s="11">
        <f>Returns!A685</f>
        <v>0</v>
      </c>
      <c r="B685" s="1">
        <f>MAX(AVERAGE(Portfolios!$B$2:$B$1004)-Portfolios!B685, 0)</f>
        <v>0</v>
      </c>
    </row>
    <row r="686" spans="1:2">
      <c r="A686" s="11">
        <f>Returns!A686</f>
        <v>0</v>
      </c>
      <c r="B686" s="1">
        <f>MAX(AVERAGE(Portfolios!$B$2:$B$1004)-Portfolios!B686, 0)</f>
        <v>0</v>
      </c>
    </row>
    <row r="687" spans="1:2">
      <c r="A687" s="11">
        <f>Returns!A687</f>
        <v>0</v>
      </c>
      <c r="B687" s="1">
        <f>MAX(AVERAGE(Portfolios!$B$2:$B$1004)-Portfolios!B687, 0)</f>
        <v>0</v>
      </c>
    </row>
    <row r="688" spans="1:2">
      <c r="A688" s="11">
        <f>Returns!A688</f>
        <v>0</v>
      </c>
      <c r="B688" s="1">
        <f>MAX(AVERAGE(Portfolios!$B$2:$B$1004)-Portfolios!B688, 0)</f>
        <v>0</v>
      </c>
    </row>
    <row r="689" spans="1:2">
      <c r="A689" s="11">
        <f>Returns!A689</f>
        <v>0</v>
      </c>
      <c r="B689" s="1">
        <f>MAX(AVERAGE(Portfolios!$B$2:$B$1004)-Portfolios!B689, 0)</f>
        <v>0</v>
      </c>
    </row>
    <row r="690" spans="1:2">
      <c r="A690" s="11">
        <f>Returns!A690</f>
        <v>0</v>
      </c>
      <c r="B690" s="1">
        <f>MAX(AVERAGE(Portfolios!$B$2:$B$1004)-Portfolios!B690, 0)</f>
        <v>0</v>
      </c>
    </row>
    <row r="691" spans="1:2">
      <c r="A691" s="11">
        <f>Returns!A691</f>
        <v>0</v>
      </c>
      <c r="B691" s="1">
        <f>MAX(AVERAGE(Portfolios!$B$2:$B$1004)-Portfolios!B691, 0)</f>
        <v>0</v>
      </c>
    </row>
    <row r="692" spans="1:2">
      <c r="A692" s="11">
        <f>Returns!A692</f>
        <v>0</v>
      </c>
      <c r="B692" s="1">
        <f>MAX(AVERAGE(Portfolios!$B$2:$B$1004)-Portfolios!B692, 0)</f>
        <v>0</v>
      </c>
    </row>
    <row r="693" spans="1:2">
      <c r="A693" s="11">
        <f>Returns!A693</f>
        <v>0</v>
      </c>
      <c r="B693" s="1">
        <f>MAX(AVERAGE(Portfolios!$B$2:$B$1004)-Portfolios!B693, 0)</f>
        <v>0</v>
      </c>
    </row>
    <row r="694" spans="1:2">
      <c r="A694" s="11">
        <f>Returns!A694</f>
        <v>0</v>
      </c>
      <c r="B694" s="1">
        <f>MAX(AVERAGE(Portfolios!$B$2:$B$1004)-Portfolios!B694, 0)</f>
        <v>0</v>
      </c>
    </row>
    <row r="695" spans="1:2">
      <c r="A695" s="11">
        <f>Returns!A695</f>
        <v>0</v>
      </c>
      <c r="B695" s="1">
        <f>MAX(AVERAGE(Portfolios!$B$2:$B$1004)-Portfolios!B695, 0)</f>
        <v>0</v>
      </c>
    </row>
    <row r="696" spans="1:2">
      <c r="A696" s="11">
        <f>Returns!A696</f>
        <v>0</v>
      </c>
      <c r="B696" s="1">
        <f>MAX(AVERAGE(Portfolios!$B$2:$B$1004)-Portfolios!B696, 0)</f>
        <v>0</v>
      </c>
    </row>
    <row r="697" spans="1:2">
      <c r="A697" s="11">
        <f>Returns!A697</f>
        <v>0</v>
      </c>
      <c r="B697" s="1">
        <f>MAX(AVERAGE(Portfolios!$B$2:$B$1004)-Portfolios!B697, 0)</f>
        <v>0</v>
      </c>
    </row>
    <row r="698" spans="1:2">
      <c r="A698" s="11">
        <f>Returns!A698</f>
        <v>0</v>
      </c>
      <c r="B698" s="1">
        <f>MAX(AVERAGE(Portfolios!$B$2:$B$1004)-Portfolios!B698, 0)</f>
        <v>0</v>
      </c>
    </row>
    <row r="699" spans="1:2">
      <c r="A699" s="11">
        <f>Returns!A699</f>
        <v>0</v>
      </c>
      <c r="B699" s="1">
        <f>MAX(AVERAGE(Portfolios!$B$2:$B$1004)-Portfolios!B699, 0)</f>
        <v>0</v>
      </c>
    </row>
    <row r="700" spans="1:2">
      <c r="A700" s="11">
        <f>Returns!A700</f>
        <v>0</v>
      </c>
      <c r="B700" s="1">
        <f>MAX(AVERAGE(Portfolios!$B$2:$B$1004)-Portfolios!B700, 0)</f>
        <v>0</v>
      </c>
    </row>
    <row r="701" spans="1:2">
      <c r="A701" s="11">
        <f>Returns!A701</f>
        <v>0</v>
      </c>
      <c r="B701" s="1">
        <f>MAX(AVERAGE(Portfolios!$B$2:$B$1004)-Portfolios!B701, 0)</f>
        <v>0</v>
      </c>
    </row>
    <row r="702" spans="1:2">
      <c r="A702" s="11">
        <f>Returns!A702</f>
        <v>0</v>
      </c>
      <c r="B702" s="1">
        <f>MAX(AVERAGE(Portfolios!$B$2:$B$1004)-Portfolios!B702, 0)</f>
        <v>0</v>
      </c>
    </row>
    <row r="703" spans="1:2">
      <c r="A703" s="11">
        <f>Returns!A703</f>
        <v>0</v>
      </c>
      <c r="B703" s="1">
        <f>MAX(AVERAGE(Portfolios!$B$2:$B$1004)-Portfolios!B703, 0)</f>
        <v>0</v>
      </c>
    </row>
    <row r="704" spans="1:2">
      <c r="A704" s="11">
        <f>Returns!A704</f>
        <v>0</v>
      </c>
      <c r="B704" s="1">
        <f>MAX(AVERAGE(Portfolios!$B$2:$B$1004)-Portfolios!B704, 0)</f>
        <v>0</v>
      </c>
    </row>
    <row r="705" spans="1:2">
      <c r="A705" s="11">
        <f>Returns!A705</f>
        <v>0</v>
      </c>
      <c r="B705" s="1">
        <f>MAX(AVERAGE(Portfolios!$B$2:$B$1004)-Portfolios!B705, 0)</f>
        <v>0</v>
      </c>
    </row>
    <row r="706" spans="1:2">
      <c r="A706" s="11">
        <f>Returns!A706</f>
        <v>0</v>
      </c>
      <c r="B706" s="1">
        <f>MAX(AVERAGE(Portfolios!$B$2:$B$1004)-Portfolios!B706, 0)</f>
        <v>0</v>
      </c>
    </row>
    <row r="707" spans="1:2">
      <c r="A707" s="11">
        <f>Returns!A707</f>
        <v>0</v>
      </c>
      <c r="B707" s="1">
        <f>MAX(AVERAGE(Portfolios!$B$2:$B$1004)-Portfolios!B707, 0)</f>
        <v>0</v>
      </c>
    </row>
    <row r="708" spans="1:2">
      <c r="A708" s="11">
        <f>Returns!A708</f>
        <v>0</v>
      </c>
      <c r="B708" s="1">
        <f>MAX(AVERAGE(Portfolios!$B$2:$B$1004)-Portfolios!B708, 0)</f>
        <v>0</v>
      </c>
    </row>
    <row r="709" spans="1:2">
      <c r="A709" s="11">
        <f>Returns!A709</f>
        <v>0</v>
      </c>
      <c r="B709" s="1">
        <f>MAX(AVERAGE(Portfolios!$B$2:$B$1004)-Portfolios!B709, 0)</f>
        <v>0</v>
      </c>
    </row>
    <row r="710" spans="1:2">
      <c r="A710" s="11">
        <f>Returns!A710</f>
        <v>0</v>
      </c>
      <c r="B710" s="1">
        <f>MAX(AVERAGE(Portfolios!$B$2:$B$1004)-Portfolios!B710, 0)</f>
        <v>0</v>
      </c>
    </row>
    <row r="711" spans="1:2">
      <c r="A711" s="11">
        <f>Returns!A711</f>
        <v>0</v>
      </c>
      <c r="B711" s="1">
        <f>MAX(AVERAGE(Portfolios!$B$2:$B$1004)-Portfolios!B711, 0)</f>
        <v>0</v>
      </c>
    </row>
    <row r="712" spans="1:2">
      <c r="A712" s="11">
        <f>Returns!A712</f>
        <v>0</v>
      </c>
      <c r="B712" s="1">
        <f>MAX(AVERAGE(Portfolios!$B$2:$B$1004)-Portfolios!B712, 0)</f>
        <v>0</v>
      </c>
    </row>
    <row r="713" spans="1:2">
      <c r="A713" s="11">
        <f>Returns!A713</f>
        <v>0</v>
      </c>
      <c r="B713" s="1">
        <f>MAX(AVERAGE(Portfolios!$B$2:$B$1004)-Portfolios!B713, 0)</f>
        <v>0</v>
      </c>
    </row>
    <row r="714" spans="1:2">
      <c r="A714" s="11">
        <f>Returns!A714</f>
        <v>0</v>
      </c>
      <c r="B714" s="1">
        <f>MAX(AVERAGE(Portfolios!$B$2:$B$1004)-Portfolios!B714, 0)</f>
        <v>0</v>
      </c>
    </row>
    <row r="715" spans="1:2">
      <c r="A715" s="11">
        <f>Returns!A715</f>
        <v>0</v>
      </c>
      <c r="B715" s="1">
        <f>MAX(AVERAGE(Portfolios!$B$2:$B$1004)-Portfolios!B715, 0)</f>
        <v>0</v>
      </c>
    </row>
    <row r="716" spans="1:2">
      <c r="A716" s="11">
        <f>Returns!A716</f>
        <v>0</v>
      </c>
      <c r="B716" s="1">
        <f>MAX(AVERAGE(Portfolios!$B$2:$B$1004)-Portfolios!B716, 0)</f>
        <v>0</v>
      </c>
    </row>
    <row r="717" spans="1:2">
      <c r="A717" s="11">
        <f>Returns!A717</f>
        <v>0</v>
      </c>
      <c r="B717" s="1">
        <f>MAX(AVERAGE(Portfolios!$B$2:$B$1004)-Portfolios!B717, 0)</f>
        <v>0</v>
      </c>
    </row>
    <row r="718" spans="1:2">
      <c r="A718" s="11">
        <f>Returns!A718</f>
        <v>0</v>
      </c>
      <c r="B718" s="1">
        <f>MAX(AVERAGE(Portfolios!$B$2:$B$1004)-Portfolios!B718, 0)</f>
        <v>0</v>
      </c>
    </row>
    <row r="719" spans="1:2">
      <c r="A719" s="11">
        <f>Returns!A719</f>
        <v>0</v>
      </c>
      <c r="B719" s="1">
        <f>MAX(AVERAGE(Portfolios!$B$2:$B$1004)-Portfolios!B719, 0)</f>
        <v>0</v>
      </c>
    </row>
    <row r="720" spans="1:2">
      <c r="A720" s="11">
        <f>Returns!A720</f>
        <v>0</v>
      </c>
      <c r="B720" s="1">
        <f>MAX(AVERAGE(Portfolios!$B$2:$B$1004)-Portfolios!B720, 0)</f>
        <v>0</v>
      </c>
    </row>
    <row r="721" spans="1:2">
      <c r="A721" s="11">
        <f>Returns!A721</f>
        <v>0</v>
      </c>
      <c r="B721" s="1">
        <f>MAX(AVERAGE(Portfolios!$B$2:$B$1004)-Portfolios!B721, 0)</f>
        <v>0</v>
      </c>
    </row>
    <row r="722" spans="1:2">
      <c r="A722" s="11">
        <f>Returns!A722</f>
        <v>0</v>
      </c>
      <c r="B722" s="1">
        <f>MAX(AVERAGE(Portfolios!$B$2:$B$1004)-Portfolios!B722, 0)</f>
        <v>0</v>
      </c>
    </row>
    <row r="723" spans="1:2">
      <c r="A723" s="11">
        <f>Returns!A723</f>
        <v>0</v>
      </c>
      <c r="B723" s="1">
        <f>MAX(AVERAGE(Portfolios!$B$2:$B$1004)-Portfolios!B723, 0)</f>
        <v>0</v>
      </c>
    </row>
    <row r="724" spans="1:2">
      <c r="A724" s="11">
        <f>Returns!A724</f>
        <v>0</v>
      </c>
      <c r="B724" s="1">
        <f>MAX(AVERAGE(Portfolios!$B$2:$B$1004)-Portfolios!B724, 0)</f>
        <v>0</v>
      </c>
    </row>
    <row r="725" spans="1:2">
      <c r="A725" s="11">
        <f>Returns!A725</f>
        <v>0</v>
      </c>
      <c r="B725" s="1">
        <f>MAX(AVERAGE(Portfolios!$B$2:$B$1004)-Portfolios!B725, 0)</f>
        <v>0</v>
      </c>
    </row>
    <row r="726" spans="1:2">
      <c r="A726" s="11">
        <f>Returns!A726</f>
        <v>0</v>
      </c>
      <c r="B726" s="1">
        <f>MAX(AVERAGE(Portfolios!$B$2:$B$1004)-Portfolios!B726, 0)</f>
        <v>0</v>
      </c>
    </row>
    <row r="727" spans="1:2">
      <c r="A727" s="11">
        <f>Returns!A727</f>
        <v>0</v>
      </c>
      <c r="B727" s="1">
        <f>MAX(AVERAGE(Portfolios!$B$2:$B$1004)-Portfolios!B727, 0)</f>
        <v>0</v>
      </c>
    </row>
    <row r="728" spans="1:2">
      <c r="A728" s="11">
        <f>Returns!A728</f>
        <v>0</v>
      </c>
      <c r="B728" s="1">
        <f>MAX(AVERAGE(Portfolios!$B$2:$B$1004)-Portfolios!B728, 0)</f>
        <v>0</v>
      </c>
    </row>
    <row r="729" spans="1:2">
      <c r="A729" s="11">
        <f>Returns!A729</f>
        <v>0</v>
      </c>
      <c r="B729" s="1">
        <f>MAX(AVERAGE(Portfolios!$B$2:$B$1004)-Portfolios!B729, 0)</f>
        <v>0</v>
      </c>
    </row>
    <row r="730" spans="1:2">
      <c r="A730" s="11">
        <f>Returns!A730</f>
        <v>0</v>
      </c>
      <c r="B730" s="1">
        <f>MAX(AVERAGE(Portfolios!$B$2:$B$1004)-Portfolios!B730, 0)</f>
        <v>0</v>
      </c>
    </row>
    <row r="731" spans="1:2">
      <c r="A731" s="11">
        <f>Returns!A731</f>
        <v>0</v>
      </c>
      <c r="B731" s="1">
        <f>MAX(AVERAGE(Portfolios!$B$2:$B$1004)-Portfolios!B731, 0)</f>
        <v>0</v>
      </c>
    </row>
    <row r="732" spans="1:2">
      <c r="A732" s="11">
        <f>Returns!A732</f>
        <v>0</v>
      </c>
      <c r="B732" s="1">
        <f>MAX(AVERAGE(Portfolios!$B$2:$B$1004)-Portfolios!B732, 0)</f>
        <v>0</v>
      </c>
    </row>
    <row r="733" spans="1:2">
      <c r="A733" s="11">
        <f>Returns!A733</f>
        <v>0</v>
      </c>
      <c r="B733" s="1">
        <f>MAX(AVERAGE(Portfolios!$B$2:$B$1004)-Portfolios!B733, 0)</f>
        <v>0</v>
      </c>
    </row>
    <row r="734" spans="1:2">
      <c r="A734" s="11">
        <f>Returns!A734</f>
        <v>0</v>
      </c>
      <c r="B734" s="1">
        <f>MAX(AVERAGE(Portfolios!$B$2:$B$1004)-Portfolios!B734, 0)</f>
        <v>0</v>
      </c>
    </row>
    <row r="735" spans="1:2">
      <c r="A735" s="11">
        <f>Returns!A735</f>
        <v>0</v>
      </c>
      <c r="B735" s="1">
        <f>MAX(AVERAGE(Portfolios!$B$2:$B$1004)-Portfolios!B735, 0)</f>
        <v>0</v>
      </c>
    </row>
    <row r="736" spans="1:2">
      <c r="A736" s="11">
        <f>Returns!A736</f>
        <v>0</v>
      </c>
      <c r="B736" s="1">
        <f>MAX(AVERAGE(Portfolios!$B$2:$B$1004)-Portfolios!B736, 0)</f>
        <v>0</v>
      </c>
    </row>
    <row r="737" spans="1:2">
      <c r="A737" s="11">
        <f>Returns!A737</f>
        <v>0</v>
      </c>
      <c r="B737" s="1">
        <f>MAX(AVERAGE(Portfolios!$B$2:$B$1004)-Portfolios!B737, 0)</f>
        <v>0</v>
      </c>
    </row>
    <row r="738" spans="1:2">
      <c r="A738" s="11">
        <f>Returns!A738</f>
        <v>0</v>
      </c>
      <c r="B738" s="1">
        <f>MAX(AVERAGE(Portfolios!$B$2:$B$1004)-Portfolios!B738, 0)</f>
        <v>0</v>
      </c>
    </row>
    <row r="739" spans="1:2">
      <c r="A739" s="11">
        <f>Returns!A739</f>
        <v>0</v>
      </c>
      <c r="B739" s="1">
        <f>MAX(AVERAGE(Portfolios!$B$2:$B$1004)-Portfolios!B739, 0)</f>
        <v>0</v>
      </c>
    </row>
    <row r="740" spans="1:2">
      <c r="A740" s="11">
        <f>Returns!A740</f>
        <v>0</v>
      </c>
      <c r="B740" s="1">
        <f>MAX(AVERAGE(Portfolios!$B$2:$B$1004)-Portfolios!B740, 0)</f>
        <v>0</v>
      </c>
    </row>
    <row r="741" spans="1:2">
      <c r="A741" s="11">
        <f>Returns!A741</f>
        <v>0</v>
      </c>
      <c r="B741" s="1">
        <f>MAX(AVERAGE(Portfolios!$B$2:$B$1004)-Portfolios!B741, 0)</f>
        <v>0</v>
      </c>
    </row>
    <row r="742" spans="1:2">
      <c r="A742" s="11">
        <f>Returns!A742</f>
        <v>0</v>
      </c>
      <c r="B742" s="1">
        <f>MAX(AVERAGE(Portfolios!$B$2:$B$1004)-Portfolios!B742, 0)</f>
        <v>0</v>
      </c>
    </row>
    <row r="743" spans="1:2">
      <c r="A743" s="11">
        <f>Returns!A743</f>
        <v>0</v>
      </c>
      <c r="B743" s="1">
        <f>MAX(AVERAGE(Portfolios!$B$2:$B$1004)-Portfolios!B743, 0)</f>
        <v>0</v>
      </c>
    </row>
    <row r="744" spans="1:2">
      <c r="A744" s="11">
        <f>Returns!A744</f>
        <v>0</v>
      </c>
      <c r="B744" s="1">
        <f>MAX(AVERAGE(Portfolios!$B$2:$B$1004)-Portfolios!B744, 0)</f>
        <v>0</v>
      </c>
    </row>
    <row r="745" spans="1:2">
      <c r="A745" s="11">
        <f>Returns!A745</f>
        <v>0</v>
      </c>
      <c r="B745" s="1">
        <f>MAX(AVERAGE(Portfolios!$B$2:$B$1004)-Portfolios!B745, 0)</f>
        <v>0</v>
      </c>
    </row>
    <row r="746" spans="1:2">
      <c r="A746" s="11">
        <f>Returns!A746</f>
        <v>0</v>
      </c>
      <c r="B746" s="1">
        <f>MAX(AVERAGE(Portfolios!$B$2:$B$1004)-Portfolios!B746, 0)</f>
        <v>0</v>
      </c>
    </row>
    <row r="747" spans="1:2">
      <c r="A747" s="11">
        <f>Returns!A747</f>
        <v>0</v>
      </c>
      <c r="B747" s="1">
        <f>MAX(AVERAGE(Portfolios!$B$2:$B$1004)-Portfolios!B747, 0)</f>
        <v>0</v>
      </c>
    </row>
    <row r="748" spans="1:2">
      <c r="A748" s="11">
        <f>Returns!A748</f>
        <v>0</v>
      </c>
      <c r="B748" s="1">
        <f>MAX(AVERAGE(Portfolios!$B$2:$B$1004)-Portfolios!B748, 0)</f>
        <v>0</v>
      </c>
    </row>
    <row r="749" spans="1:2">
      <c r="A749" s="11">
        <f>Returns!A749</f>
        <v>0</v>
      </c>
      <c r="B749" s="1">
        <f>MAX(AVERAGE(Portfolios!$B$2:$B$1004)-Portfolios!B749, 0)</f>
        <v>0</v>
      </c>
    </row>
    <row r="750" spans="1:2">
      <c r="A750" s="11">
        <f>Returns!A750</f>
        <v>0</v>
      </c>
      <c r="B750" s="1">
        <f>MAX(AVERAGE(Portfolios!$B$2:$B$1004)-Portfolios!B750, 0)</f>
        <v>0</v>
      </c>
    </row>
    <row r="751" spans="1:2">
      <c r="A751" s="11">
        <f>Returns!A751</f>
        <v>0</v>
      </c>
      <c r="B751" s="1">
        <f>MAX(AVERAGE(Portfolios!$B$2:$B$1004)-Portfolios!B751, 0)</f>
        <v>0</v>
      </c>
    </row>
    <row r="752" spans="1:2">
      <c r="A752" s="11">
        <f>Returns!A752</f>
        <v>0</v>
      </c>
      <c r="B752" s="1">
        <f>MAX(AVERAGE(Portfolios!$B$2:$B$1004)-Portfolios!B752, 0)</f>
        <v>0</v>
      </c>
    </row>
    <row r="753" spans="1:2">
      <c r="A753" s="11">
        <f>Returns!A753</f>
        <v>0</v>
      </c>
      <c r="B753" s="1">
        <f>MAX(AVERAGE(Portfolios!$B$2:$B$1004)-Portfolios!B753, 0)</f>
        <v>0</v>
      </c>
    </row>
    <row r="754" spans="1:2">
      <c r="A754" s="11">
        <f>Returns!A754</f>
        <v>0</v>
      </c>
      <c r="B754" s="1">
        <f>MAX(AVERAGE(Portfolios!$B$2:$B$1004)-Portfolios!B754, 0)</f>
        <v>0</v>
      </c>
    </row>
    <row r="755" spans="1:2">
      <c r="A755" s="11">
        <f>Returns!A755</f>
        <v>0</v>
      </c>
      <c r="B755" s="1">
        <f>MAX(AVERAGE(Portfolios!$B$2:$B$1004)-Portfolios!B755, 0)</f>
        <v>0</v>
      </c>
    </row>
    <row r="756" spans="1:2">
      <c r="A756" s="11">
        <f>Returns!A756</f>
        <v>0</v>
      </c>
      <c r="B756" s="1">
        <f>MAX(AVERAGE(Portfolios!$B$2:$B$1004)-Portfolios!B756, 0)</f>
        <v>0</v>
      </c>
    </row>
    <row r="757" spans="1:2">
      <c r="A757" s="11">
        <f>Returns!A757</f>
        <v>0</v>
      </c>
      <c r="B757" s="1">
        <f>MAX(AVERAGE(Portfolios!$B$2:$B$1004)-Portfolios!B757, 0)</f>
        <v>0</v>
      </c>
    </row>
    <row r="758" spans="1:2">
      <c r="A758" s="11">
        <f>Returns!A758</f>
        <v>0</v>
      </c>
      <c r="B758" s="1">
        <f>MAX(AVERAGE(Portfolios!$B$2:$B$1004)-Portfolios!B758, 0)</f>
        <v>0</v>
      </c>
    </row>
    <row r="759" spans="1:2">
      <c r="A759" s="11">
        <f>Returns!A759</f>
        <v>0</v>
      </c>
      <c r="B759" s="1">
        <f>MAX(AVERAGE(Portfolios!$B$2:$B$1004)-Portfolios!B759, 0)</f>
        <v>0</v>
      </c>
    </row>
    <row r="760" spans="1:2">
      <c r="A760" s="11">
        <f>Returns!A760</f>
        <v>0</v>
      </c>
      <c r="B760" s="1">
        <f>MAX(AVERAGE(Portfolios!$B$2:$B$1004)-Portfolios!B760, 0)</f>
        <v>0</v>
      </c>
    </row>
    <row r="761" spans="1:2">
      <c r="A761" s="11">
        <f>Returns!A761</f>
        <v>0</v>
      </c>
      <c r="B761" s="1">
        <f>MAX(AVERAGE(Portfolios!$B$2:$B$1004)-Portfolios!B761, 0)</f>
        <v>0</v>
      </c>
    </row>
    <row r="762" spans="1:2">
      <c r="A762" s="11">
        <f>Returns!A762</f>
        <v>0</v>
      </c>
      <c r="B762" s="1">
        <f>MAX(AVERAGE(Portfolios!$B$2:$B$1004)-Portfolios!B762, 0)</f>
        <v>0</v>
      </c>
    </row>
    <row r="763" spans="1:2">
      <c r="A763" s="11">
        <f>Returns!A763</f>
        <v>0</v>
      </c>
      <c r="B763" s="1">
        <f>MAX(AVERAGE(Portfolios!$B$2:$B$1004)-Portfolios!B763, 0)</f>
        <v>0</v>
      </c>
    </row>
    <row r="764" spans="1:2">
      <c r="A764" s="11">
        <f>Returns!A764</f>
        <v>0</v>
      </c>
      <c r="B764" s="1">
        <f>MAX(AVERAGE(Portfolios!$B$2:$B$1004)-Portfolios!B764, 0)</f>
        <v>0</v>
      </c>
    </row>
    <row r="765" spans="1:2">
      <c r="A765" s="11">
        <f>Returns!A765</f>
        <v>0</v>
      </c>
      <c r="B765" s="1">
        <f>MAX(AVERAGE(Portfolios!$B$2:$B$1004)-Portfolios!B765, 0)</f>
        <v>0</v>
      </c>
    </row>
    <row r="766" spans="1:2">
      <c r="A766" s="11">
        <f>Returns!A766</f>
        <v>0</v>
      </c>
      <c r="B766" s="1">
        <f>MAX(AVERAGE(Portfolios!$B$2:$B$1004)-Portfolios!B766, 0)</f>
        <v>0</v>
      </c>
    </row>
    <row r="767" spans="1:2">
      <c r="A767" s="11">
        <f>Returns!A767</f>
        <v>0</v>
      </c>
      <c r="B767" s="1">
        <f>MAX(AVERAGE(Portfolios!$B$2:$B$1004)-Portfolios!B767, 0)</f>
        <v>0</v>
      </c>
    </row>
    <row r="768" spans="1:2">
      <c r="A768" s="11">
        <f>Returns!A768</f>
        <v>0</v>
      </c>
      <c r="B768" s="1">
        <f>MAX(AVERAGE(Portfolios!$B$2:$B$1004)-Portfolios!B768, 0)</f>
        <v>0</v>
      </c>
    </row>
    <row r="769" spans="1:2">
      <c r="A769" s="11">
        <f>Returns!A769</f>
        <v>0</v>
      </c>
      <c r="B769" s="1">
        <f>MAX(AVERAGE(Portfolios!$B$2:$B$1004)-Portfolios!B769, 0)</f>
        <v>0</v>
      </c>
    </row>
    <row r="770" spans="1:2">
      <c r="A770" s="11">
        <f>Returns!A770</f>
        <v>0</v>
      </c>
      <c r="B770" s="1">
        <f>MAX(AVERAGE(Portfolios!$B$2:$B$1004)-Portfolios!B770, 0)</f>
        <v>0</v>
      </c>
    </row>
    <row r="771" spans="1:2">
      <c r="A771" s="11">
        <f>Returns!A771</f>
        <v>0</v>
      </c>
      <c r="B771" s="1">
        <f>MAX(AVERAGE(Portfolios!$B$2:$B$1004)-Portfolios!B771, 0)</f>
        <v>0</v>
      </c>
    </row>
    <row r="772" spans="1:2">
      <c r="A772" s="11">
        <f>Returns!A772</f>
        <v>0</v>
      </c>
      <c r="B772" s="1">
        <f>MAX(AVERAGE(Portfolios!$B$2:$B$1004)-Portfolios!B772, 0)</f>
        <v>0</v>
      </c>
    </row>
    <row r="773" spans="1:2">
      <c r="A773" s="11">
        <f>Returns!A773</f>
        <v>0</v>
      </c>
      <c r="B773" s="1">
        <f>MAX(AVERAGE(Portfolios!$B$2:$B$1004)-Portfolios!B773, 0)</f>
        <v>0</v>
      </c>
    </row>
    <row r="774" spans="1:2">
      <c r="A774" s="11">
        <f>Returns!A774</f>
        <v>0</v>
      </c>
      <c r="B774" s="1">
        <f>MAX(AVERAGE(Portfolios!$B$2:$B$1004)-Portfolios!B774, 0)</f>
        <v>0</v>
      </c>
    </row>
    <row r="775" spans="1:2">
      <c r="A775" s="11">
        <f>Returns!A775</f>
        <v>0</v>
      </c>
      <c r="B775" s="1">
        <f>MAX(AVERAGE(Portfolios!$B$2:$B$1004)-Portfolios!B775, 0)</f>
        <v>0</v>
      </c>
    </row>
    <row r="776" spans="1:2">
      <c r="A776" s="11">
        <f>Returns!A776</f>
        <v>0</v>
      </c>
      <c r="B776" s="1">
        <f>MAX(AVERAGE(Portfolios!$B$2:$B$1004)-Portfolios!B776, 0)</f>
        <v>0</v>
      </c>
    </row>
    <row r="777" spans="1:2">
      <c r="A777" s="11">
        <f>Returns!A777</f>
        <v>0</v>
      </c>
      <c r="B777" s="1">
        <f>MAX(AVERAGE(Portfolios!$B$2:$B$1004)-Portfolios!B777, 0)</f>
        <v>0</v>
      </c>
    </row>
    <row r="778" spans="1:2">
      <c r="A778" s="11">
        <f>Returns!A778</f>
        <v>0</v>
      </c>
      <c r="B778" s="1">
        <f>MAX(AVERAGE(Portfolios!$B$2:$B$1004)-Portfolios!B778, 0)</f>
        <v>0</v>
      </c>
    </row>
    <row r="779" spans="1:2">
      <c r="A779" s="11">
        <f>Returns!A779</f>
        <v>0</v>
      </c>
      <c r="B779" s="1">
        <f>MAX(AVERAGE(Portfolios!$B$2:$B$1004)-Portfolios!B779, 0)</f>
        <v>0</v>
      </c>
    </row>
    <row r="780" spans="1:2">
      <c r="A780" s="11">
        <f>Returns!A780</f>
        <v>0</v>
      </c>
      <c r="B780" s="1">
        <f>MAX(AVERAGE(Portfolios!$B$2:$B$1004)-Portfolios!B780, 0)</f>
        <v>0</v>
      </c>
    </row>
    <row r="781" spans="1:2">
      <c r="A781" s="11">
        <f>Returns!A781</f>
        <v>0</v>
      </c>
      <c r="B781" s="1">
        <f>MAX(AVERAGE(Portfolios!$B$2:$B$1004)-Portfolios!B781, 0)</f>
        <v>0</v>
      </c>
    </row>
    <row r="782" spans="1:2">
      <c r="A782" s="11">
        <f>Returns!A782</f>
        <v>0</v>
      </c>
      <c r="B782" s="1">
        <f>MAX(AVERAGE(Portfolios!$B$2:$B$1004)-Portfolios!B782, 0)</f>
        <v>0</v>
      </c>
    </row>
    <row r="783" spans="1:2">
      <c r="A783" s="11">
        <f>Returns!A783</f>
        <v>0</v>
      </c>
      <c r="B783" s="1">
        <f>MAX(AVERAGE(Portfolios!$B$2:$B$1004)-Portfolios!B783, 0)</f>
        <v>0</v>
      </c>
    </row>
    <row r="784" spans="1:2">
      <c r="A784" s="11">
        <f>Returns!A784</f>
        <v>0</v>
      </c>
      <c r="B784" s="1">
        <f>MAX(AVERAGE(Portfolios!$B$2:$B$1004)-Portfolios!B784, 0)</f>
        <v>0</v>
      </c>
    </row>
    <row r="785" spans="1:2">
      <c r="A785" s="11">
        <f>Returns!A785</f>
        <v>0</v>
      </c>
      <c r="B785" s="1">
        <f>MAX(AVERAGE(Portfolios!$B$2:$B$1004)-Portfolios!B785, 0)</f>
        <v>0</v>
      </c>
    </row>
    <row r="786" spans="1:2">
      <c r="A786" s="11">
        <f>Returns!A786</f>
        <v>0</v>
      </c>
      <c r="B786" s="1">
        <f>MAX(AVERAGE(Portfolios!$B$2:$B$1004)-Portfolios!B786, 0)</f>
        <v>0</v>
      </c>
    </row>
    <row r="787" spans="1:2">
      <c r="A787" s="11">
        <f>Returns!A787</f>
        <v>0</v>
      </c>
      <c r="B787" s="1">
        <f>MAX(AVERAGE(Portfolios!$B$2:$B$1004)-Portfolios!B787, 0)</f>
        <v>0</v>
      </c>
    </row>
    <row r="788" spans="1:2">
      <c r="A788" s="11">
        <f>Returns!A788</f>
        <v>0</v>
      </c>
      <c r="B788" s="1">
        <f>MAX(AVERAGE(Portfolios!$B$2:$B$1004)-Portfolios!B788, 0)</f>
        <v>0</v>
      </c>
    </row>
    <row r="789" spans="1:2">
      <c r="A789" s="11">
        <f>Returns!A789</f>
        <v>0</v>
      </c>
      <c r="B789" s="1">
        <f>MAX(AVERAGE(Portfolios!$B$2:$B$1004)-Portfolios!B789, 0)</f>
        <v>0</v>
      </c>
    </row>
    <row r="790" spans="1:2">
      <c r="A790" s="11">
        <f>Returns!A790</f>
        <v>0</v>
      </c>
      <c r="B790" s="1">
        <f>MAX(AVERAGE(Portfolios!$B$2:$B$1004)-Portfolios!B790, 0)</f>
        <v>0</v>
      </c>
    </row>
    <row r="791" spans="1:2">
      <c r="A791" s="11">
        <f>Returns!A791</f>
        <v>0</v>
      </c>
      <c r="B791" s="1">
        <f>MAX(AVERAGE(Portfolios!$B$2:$B$1004)-Portfolios!B791, 0)</f>
        <v>0</v>
      </c>
    </row>
    <row r="792" spans="1:2">
      <c r="A792" s="11">
        <f>Returns!A792</f>
        <v>0</v>
      </c>
      <c r="B792" s="1">
        <f>MAX(AVERAGE(Portfolios!$B$2:$B$1004)-Portfolios!B792, 0)</f>
        <v>0</v>
      </c>
    </row>
    <row r="793" spans="1:2">
      <c r="A793" s="11">
        <f>Returns!A793</f>
        <v>0</v>
      </c>
      <c r="B793" s="1">
        <f>MAX(AVERAGE(Portfolios!$B$2:$B$1004)-Portfolios!B793, 0)</f>
        <v>0</v>
      </c>
    </row>
    <row r="794" spans="1:2">
      <c r="A794" s="11">
        <f>Returns!A794</f>
        <v>0</v>
      </c>
      <c r="B794" s="1">
        <f>MAX(AVERAGE(Portfolios!$B$2:$B$1004)-Portfolios!B794, 0)</f>
        <v>0</v>
      </c>
    </row>
    <row r="795" spans="1:2">
      <c r="A795" s="11">
        <f>Returns!A795</f>
        <v>0</v>
      </c>
      <c r="B795" s="1">
        <f>MAX(AVERAGE(Portfolios!$B$2:$B$1004)-Portfolios!B795, 0)</f>
        <v>0</v>
      </c>
    </row>
    <row r="796" spans="1:2">
      <c r="A796" s="11">
        <f>Returns!A796</f>
        <v>0</v>
      </c>
      <c r="B796" s="1">
        <f>MAX(AVERAGE(Portfolios!$B$2:$B$1004)-Portfolios!B796, 0)</f>
        <v>0</v>
      </c>
    </row>
    <row r="797" spans="1:2">
      <c r="A797" s="11">
        <f>Returns!A797</f>
        <v>0</v>
      </c>
      <c r="B797" s="1">
        <f>MAX(AVERAGE(Portfolios!$B$2:$B$1004)-Portfolios!B797, 0)</f>
        <v>0</v>
      </c>
    </row>
    <row r="798" spans="1:2">
      <c r="A798" s="11">
        <f>Returns!A798</f>
        <v>0</v>
      </c>
      <c r="B798" s="1">
        <f>MAX(AVERAGE(Portfolios!$B$2:$B$1004)-Portfolios!B798, 0)</f>
        <v>0</v>
      </c>
    </row>
    <row r="799" spans="1:2">
      <c r="A799" s="11">
        <f>Returns!A799</f>
        <v>0</v>
      </c>
      <c r="B799" s="1">
        <f>MAX(AVERAGE(Portfolios!$B$2:$B$1004)-Portfolios!B799, 0)</f>
        <v>0</v>
      </c>
    </row>
    <row r="800" spans="1:2">
      <c r="A800" s="11">
        <f>Returns!A800</f>
        <v>0</v>
      </c>
      <c r="B800" s="1">
        <f>MAX(AVERAGE(Portfolios!$B$2:$B$1004)-Portfolios!B800, 0)</f>
        <v>0</v>
      </c>
    </row>
    <row r="801" spans="1:2">
      <c r="A801" s="11">
        <f>Returns!A801</f>
        <v>0</v>
      </c>
      <c r="B801" s="1">
        <f>MAX(AVERAGE(Portfolios!$B$2:$B$1004)-Portfolios!B801, 0)</f>
        <v>0</v>
      </c>
    </row>
    <row r="802" spans="1:2">
      <c r="A802" s="11">
        <f>Returns!A802</f>
        <v>0</v>
      </c>
      <c r="B802" s="1">
        <f>MAX(AVERAGE(Portfolios!$B$2:$B$1004)-Portfolios!B802, 0)</f>
        <v>0</v>
      </c>
    </row>
    <row r="803" spans="1:2">
      <c r="A803" s="11">
        <f>Returns!A803</f>
        <v>0</v>
      </c>
      <c r="B803" s="1">
        <f>MAX(AVERAGE(Portfolios!$B$2:$B$1004)-Portfolios!B803, 0)</f>
        <v>0</v>
      </c>
    </row>
    <row r="804" spans="1:2">
      <c r="A804" s="11">
        <f>Returns!A804</f>
        <v>0</v>
      </c>
      <c r="B804" s="1">
        <f>MAX(AVERAGE(Portfolios!$B$2:$B$1004)-Portfolios!B804, 0)</f>
        <v>0</v>
      </c>
    </row>
    <row r="805" spans="1:2">
      <c r="A805" s="11">
        <f>Returns!A805</f>
        <v>0</v>
      </c>
      <c r="B805" s="1">
        <f>MAX(AVERAGE(Portfolios!$B$2:$B$1004)-Portfolios!B805, 0)</f>
        <v>0</v>
      </c>
    </row>
    <row r="806" spans="1:2">
      <c r="A806" s="11">
        <f>Returns!A806</f>
        <v>0</v>
      </c>
      <c r="B806" s="1">
        <f>MAX(AVERAGE(Portfolios!$B$2:$B$1004)-Portfolios!B806, 0)</f>
        <v>0</v>
      </c>
    </row>
    <row r="807" spans="1:2">
      <c r="A807" s="11">
        <f>Returns!A807</f>
        <v>0</v>
      </c>
      <c r="B807" s="1">
        <f>MAX(AVERAGE(Portfolios!$B$2:$B$1004)-Portfolios!B807, 0)</f>
        <v>0</v>
      </c>
    </row>
    <row r="808" spans="1:2">
      <c r="A808" s="11">
        <f>Returns!A808</f>
        <v>0</v>
      </c>
      <c r="B808" s="1">
        <f>MAX(AVERAGE(Portfolios!$B$2:$B$1004)-Portfolios!B808, 0)</f>
        <v>0</v>
      </c>
    </row>
    <row r="809" spans="1:2">
      <c r="A809" s="11">
        <f>Returns!A809</f>
        <v>0</v>
      </c>
      <c r="B809" s="1">
        <f>MAX(AVERAGE(Portfolios!$B$2:$B$1004)-Portfolios!B809, 0)</f>
        <v>0</v>
      </c>
    </row>
    <row r="810" spans="1:2">
      <c r="A810" s="11">
        <f>Returns!A810</f>
        <v>0</v>
      </c>
      <c r="B810" s="1">
        <f>MAX(AVERAGE(Portfolios!$B$2:$B$1004)-Portfolios!B810, 0)</f>
        <v>0</v>
      </c>
    </row>
    <row r="811" spans="1:2">
      <c r="A811" s="11">
        <f>Returns!A811</f>
        <v>0</v>
      </c>
      <c r="B811" s="1">
        <f>MAX(AVERAGE(Portfolios!$B$2:$B$1004)-Portfolios!B811, 0)</f>
        <v>0</v>
      </c>
    </row>
    <row r="812" spans="1:2">
      <c r="A812" s="11">
        <f>Returns!A812</f>
        <v>0</v>
      </c>
      <c r="B812" s="1">
        <f>MAX(AVERAGE(Portfolios!$B$2:$B$1004)-Portfolios!B812, 0)</f>
        <v>0</v>
      </c>
    </row>
    <row r="813" spans="1:2">
      <c r="A813" s="11">
        <f>Returns!A813</f>
        <v>0</v>
      </c>
      <c r="B813" s="1">
        <f>MAX(AVERAGE(Portfolios!$B$2:$B$1004)-Portfolios!B813, 0)</f>
        <v>0</v>
      </c>
    </row>
    <row r="814" spans="1:2">
      <c r="A814" s="11">
        <f>Returns!A814</f>
        <v>0</v>
      </c>
      <c r="B814" s="1">
        <f>MAX(AVERAGE(Portfolios!$B$2:$B$1004)-Portfolios!B814, 0)</f>
        <v>0</v>
      </c>
    </row>
    <row r="815" spans="1:2">
      <c r="A815" s="11">
        <f>Returns!A815</f>
        <v>0</v>
      </c>
      <c r="B815" s="1">
        <f>MAX(AVERAGE(Portfolios!$B$2:$B$1004)-Portfolios!B815, 0)</f>
        <v>0</v>
      </c>
    </row>
    <row r="816" spans="1:2">
      <c r="A816" s="11">
        <f>Returns!A816</f>
        <v>0</v>
      </c>
      <c r="B816" s="1">
        <f>MAX(AVERAGE(Portfolios!$B$2:$B$1004)-Portfolios!B816, 0)</f>
        <v>0</v>
      </c>
    </row>
    <row r="817" spans="1:2">
      <c r="A817" s="11">
        <f>Returns!A817</f>
        <v>0</v>
      </c>
      <c r="B817" s="1">
        <f>MAX(AVERAGE(Portfolios!$B$2:$B$1004)-Portfolios!B817, 0)</f>
        <v>0</v>
      </c>
    </row>
    <row r="818" spans="1:2">
      <c r="A818" s="11">
        <f>Returns!A818</f>
        <v>0</v>
      </c>
      <c r="B818" s="1">
        <f>MAX(AVERAGE(Portfolios!$B$2:$B$1004)-Portfolios!B818, 0)</f>
        <v>0</v>
      </c>
    </row>
    <row r="819" spans="1:2">
      <c r="A819" s="11">
        <f>Returns!A819</f>
        <v>0</v>
      </c>
      <c r="B819" s="1">
        <f>MAX(AVERAGE(Portfolios!$B$2:$B$1004)-Portfolios!B819, 0)</f>
        <v>0</v>
      </c>
    </row>
    <row r="820" spans="1:2">
      <c r="A820" s="11">
        <f>Returns!A820</f>
        <v>0</v>
      </c>
      <c r="B820" s="1">
        <f>MAX(AVERAGE(Portfolios!$B$2:$B$1004)-Portfolios!B820, 0)</f>
        <v>0</v>
      </c>
    </row>
    <row r="821" spans="1:2">
      <c r="A821" s="11">
        <f>Returns!A821</f>
        <v>0</v>
      </c>
      <c r="B821" s="1">
        <f>MAX(AVERAGE(Portfolios!$B$2:$B$1004)-Portfolios!B821, 0)</f>
        <v>0</v>
      </c>
    </row>
    <row r="822" spans="1:2">
      <c r="A822" s="11">
        <f>Returns!A822</f>
        <v>0</v>
      </c>
      <c r="B822" s="1">
        <f>MAX(AVERAGE(Portfolios!$B$2:$B$1004)-Portfolios!B822, 0)</f>
        <v>0</v>
      </c>
    </row>
    <row r="823" spans="1:2">
      <c r="A823" s="11">
        <f>Returns!A823</f>
        <v>0</v>
      </c>
      <c r="B823" s="1">
        <f>MAX(AVERAGE(Portfolios!$B$2:$B$1004)-Portfolios!B823, 0)</f>
        <v>0</v>
      </c>
    </row>
    <row r="824" spans="1:2">
      <c r="A824" s="11">
        <f>Returns!A824</f>
        <v>0</v>
      </c>
      <c r="B824" s="1">
        <f>MAX(AVERAGE(Portfolios!$B$2:$B$1004)-Portfolios!B824, 0)</f>
        <v>0</v>
      </c>
    </row>
    <row r="825" spans="1:2">
      <c r="A825" s="11">
        <f>Returns!A825</f>
        <v>0</v>
      </c>
      <c r="B825" s="1">
        <f>MAX(AVERAGE(Portfolios!$B$2:$B$1004)-Portfolios!B825, 0)</f>
        <v>0</v>
      </c>
    </row>
    <row r="826" spans="1:2">
      <c r="A826" s="11">
        <f>Returns!A826</f>
        <v>0</v>
      </c>
      <c r="B826" s="1">
        <f>MAX(AVERAGE(Portfolios!$B$2:$B$1004)-Portfolios!B826, 0)</f>
        <v>0</v>
      </c>
    </row>
    <row r="827" spans="1:2">
      <c r="A827" s="11">
        <f>Returns!A827</f>
        <v>0</v>
      </c>
      <c r="B827" s="1">
        <f>MAX(AVERAGE(Portfolios!$B$2:$B$1004)-Portfolios!B827, 0)</f>
        <v>0</v>
      </c>
    </row>
    <row r="828" spans="1:2">
      <c r="A828" s="11">
        <f>Returns!A828</f>
        <v>0</v>
      </c>
      <c r="B828" s="1">
        <f>MAX(AVERAGE(Portfolios!$B$2:$B$1004)-Portfolios!B828, 0)</f>
        <v>0</v>
      </c>
    </row>
    <row r="829" spans="1:2">
      <c r="A829" s="11">
        <f>Returns!A829</f>
        <v>0</v>
      </c>
      <c r="B829" s="1">
        <f>MAX(AVERAGE(Portfolios!$B$2:$B$1004)-Portfolios!B829, 0)</f>
        <v>0</v>
      </c>
    </row>
    <row r="830" spans="1:2">
      <c r="A830" s="11">
        <f>Returns!A830</f>
        <v>0</v>
      </c>
      <c r="B830" s="1">
        <f>MAX(AVERAGE(Portfolios!$B$2:$B$1004)-Portfolios!B830, 0)</f>
        <v>0</v>
      </c>
    </row>
    <row r="831" spans="1:2">
      <c r="A831" s="11">
        <f>Returns!A831</f>
        <v>0</v>
      </c>
      <c r="B831" s="1">
        <f>MAX(AVERAGE(Portfolios!$B$2:$B$1004)-Portfolios!B831, 0)</f>
        <v>0</v>
      </c>
    </row>
    <row r="832" spans="1:2">
      <c r="A832" s="11">
        <f>Returns!A832</f>
        <v>0</v>
      </c>
      <c r="B832" s="1">
        <f>MAX(AVERAGE(Portfolios!$B$2:$B$1004)-Portfolios!B832, 0)</f>
        <v>0</v>
      </c>
    </row>
    <row r="833" spans="1:2">
      <c r="A833" s="11">
        <f>Returns!A833</f>
        <v>0</v>
      </c>
      <c r="B833" s="1">
        <f>MAX(AVERAGE(Portfolios!$B$2:$B$1004)-Portfolios!B833, 0)</f>
        <v>0</v>
      </c>
    </row>
    <row r="834" spans="1:2">
      <c r="A834" s="11">
        <f>Returns!A834</f>
        <v>0</v>
      </c>
      <c r="B834" s="1">
        <f>MAX(AVERAGE(Portfolios!$B$2:$B$1004)-Portfolios!B834, 0)</f>
        <v>0</v>
      </c>
    </row>
    <row r="835" spans="1:2">
      <c r="A835" s="11">
        <f>Returns!A835</f>
        <v>0</v>
      </c>
      <c r="B835" s="1">
        <f>MAX(AVERAGE(Portfolios!$B$2:$B$1004)-Portfolios!B835, 0)</f>
        <v>0</v>
      </c>
    </row>
    <row r="836" spans="1:2">
      <c r="A836" s="11">
        <f>Returns!A836</f>
        <v>0</v>
      </c>
      <c r="B836" s="1">
        <f>MAX(AVERAGE(Portfolios!$B$2:$B$1004)-Portfolios!B836, 0)</f>
        <v>0</v>
      </c>
    </row>
    <row r="837" spans="1:2">
      <c r="A837" s="11">
        <f>Returns!A837</f>
        <v>0</v>
      </c>
      <c r="B837" s="1">
        <f>MAX(AVERAGE(Portfolios!$B$2:$B$1004)-Portfolios!B837, 0)</f>
        <v>0</v>
      </c>
    </row>
    <row r="838" spans="1:2">
      <c r="A838" s="11">
        <f>Returns!A838</f>
        <v>0</v>
      </c>
      <c r="B838" s="1">
        <f>MAX(AVERAGE(Portfolios!$B$2:$B$1004)-Portfolios!B838, 0)</f>
        <v>0</v>
      </c>
    </row>
    <row r="839" spans="1:2">
      <c r="A839" s="11">
        <f>Returns!A839</f>
        <v>0</v>
      </c>
      <c r="B839" s="1">
        <f>MAX(AVERAGE(Portfolios!$B$2:$B$1004)-Portfolios!B839, 0)</f>
        <v>0</v>
      </c>
    </row>
    <row r="840" spans="1:2">
      <c r="A840" s="11">
        <f>Returns!A840</f>
        <v>0</v>
      </c>
      <c r="B840" s="1">
        <f>MAX(AVERAGE(Portfolios!$B$2:$B$1004)-Portfolios!B840, 0)</f>
        <v>0</v>
      </c>
    </row>
    <row r="841" spans="1:2">
      <c r="A841" s="11">
        <f>Returns!A841</f>
        <v>0</v>
      </c>
      <c r="B841" s="1">
        <f>MAX(AVERAGE(Portfolios!$B$2:$B$1004)-Portfolios!B841, 0)</f>
        <v>0</v>
      </c>
    </row>
    <row r="842" spans="1:2">
      <c r="A842" s="11">
        <f>Returns!A842</f>
        <v>0</v>
      </c>
      <c r="B842" s="1">
        <f>MAX(AVERAGE(Portfolios!$B$2:$B$1004)-Portfolios!B842, 0)</f>
        <v>0</v>
      </c>
    </row>
    <row r="843" spans="1:2">
      <c r="A843" s="11">
        <f>Returns!A843</f>
        <v>0</v>
      </c>
      <c r="B843" s="1">
        <f>MAX(AVERAGE(Portfolios!$B$2:$B$1004)-Portfolios!B843, 0)</f>
        <v>0</v>
      </c>
    </row>
    <row r="844" spans="1:2">
      <c r="A844" s="11">
        <f>Returns!A844</f>
        <v>0</v>
      </c>
      <c r="B844" s="1">
        <f>MAX(AVERAGE(Portfolios!$B$2:$B$1004)-Portfolios!B844, 0)</f>
        <v>0</v>
      </c>
    </row>
    <row r="845" spans="1:2">
      <c r="A845" s="11">
        <f>Returns!A845</f>
        <v>0</v>
      </c>
      <c r="B845" s="1">
        <f>MAX(AVERAGE(Portfolios!$B$2:$B$1004)-Portfolios!B845, 0)</f>
        <v>0</v>
      </c>
    </row>
    <row r="846" spans="1:2">
      <c r="A846" s="11">
        <f>Returns!A846</f>
        <v>0</v>
      </c>
      <c r="B846" s="1">
        <f>MAX(AVERAGE(Portfolios!$B$2:$B$1004)-Portfolios!B846, 0)</f>
        <v>0</v>
      </c>
    </row>
    <row r="847" spans="1:2">
      <c r="A847" s="11">
        <f>Returns!A847</f>
        <v>0</v>
      </c>
      <c r="B847" s="1">
        <f>MAX(AVERAGE(Portfolios!$B$2:$B$1004)-Portfolios!B847, 0)</f>
        <v>0</v>
      </c>
    </row>
    <row r="848" spans="1:2">
      <c r="A848" s="11">
        <f>Returns!A848</f>
        <v>0</v>
      </c>
      <c r="B848" s="1">
        <f>MAX(AVERAGE(Portfolios!$B$2:$B$1004)-Portfolios!B848, 0)</f>
        <v>0</v>
      </c>
    </row>
    <row r="849" spans="1:2">
      <c r="A849" s="11">
        <f>Returns!A849</f>
        <v>0</v>
      </c>
      <c r="B849" s="1">
        <f>MAX(AVERAGE(Portfolios!$B$2:$B$1004)-Portfolios!B849, 0)</f>
        <v>0</v>
      </c>
    </row>
    <row r="850" spans="1:2">
      <c r="A850" s="11">
        <f>Returns!A850</f>
        <v>0</v>
      </c>
      <c r="B850" s="1">
        <f>MAX(AVERAGE(Portfolios!$B$2:$B$1004)-Portfolios!B850, 0)</f>
        <v>0</v>
      </c>
    </row>
    <row r="851" spans="1:2">
      <c r="A851" s="11">
        <f>Returns!A851</f>
        <v>0</v>
      </c>
      <c r="B851" s="1">
        <f>MAX(AVERAGE(Portfolios!$B$2:$B$1004)-Portfolios!B851, 0)</f>
        <v>0</v>
      </c>
    </row>
    <row r="852" spans="1:2">
      <c r="A852" s="11">
        <f>Returns!A852</f>
        <v>0</v>
      </c>
      <c r="B852" s="1">
        <f>MAX(AVERAGE(Portfolios!$B$2:$B$1004)-Portfolios!B852, 0)</f>
        <v>0</v>
      </c>
    </row>
    <row r="853" spans="1:2">
      <c r="A853" s="11">
        <f>Returns!A853</f>
        <v>0</v>
      </c>
      <c r="B853" s="1">
        <f>MAX(AVERAGE(Portfolios!$B$2:$B$1004)-Portfolios!B853, 0)</f>
        <v>0</v>
      </c>
    </row>
    <row r="854" spans="1:2">
      <c r="A854" s="11">
        <f>Returns!A854</f>
        <v>0</v>
      </c>
      <c r="B854" s="1">
        <f>MAX(AVERAGE(Portfolios!$B$2:$B$1004)-Portfolios!B854, 0)</f>
        <v>0</v>
      </c>
    </row>
    <row r="855" spans="1:2">
      <c r="A855" s="11">
        <f>Returns!A855</f>
        <v>0</v>
      </c>
      <c r="B855" s="1">
        <f>MAX(AVERAGE(Portfolios!$B$2:$B$1004)-Portfolios!B855, 0)</f>
        <v>0</v>
      </c>
    </row>
    <row r="856" spans="1:2">
      <c r="A856" s="11">
        <f>Returns!A856</f>
        <v>0</v>
      </c>
      <c r="B856" s="1">
        <f>MAX(AVERAGE(Portfolios!$B$2:$B$1004)-Portfolios!B856, 0)</f>
        <v>0</v>
      </c>
    </row>
    <row r="857" spans="1:2">
      <c r="A857" s="11">
        <f>Returns!A857</f>
        <v>0</v>
      </c>
      <c r="B857" s="1">
        <f>MAX(AVERAGE(Portfolios!$B$2:$B$1004)-Portfolios!B857, 0)</f>
        <v>0</v>
      </c>
    </row>
    <row r="858" spans="1:2">
      <c r="A858" s="11">
        <f>Returns!A858</f>
        <v>0</v>
      </c>
      <c r="B858" s="1">
        <f>MAX(AVERAGE(Portfolios!$B$2:$B$1004)-Portfolios!B858, 0)</f>
        <v>0</v>
      </c>
    </row>
    <row r="859" spans="1:2">
      <c r="A859" s="11">
        <f>Returns!A859</f>
        <v>0</v>
      </c>
      <c r="B859" s="1">
        <f>MAX(AVERAGE(Portfolios!$B$2:$B$1004)-Portfolios!B859, 0)</f>
        <v>0</v>
      </c>
    </row>
    <row r="860" spans="1:2">
      <c r="A860" s="11">
        <f>Returns!A860</f>
        <v>0</v>
      </c>
      <c r="B860" s="1">
        <f>MAX(AVERAGE(Portfolios!$B$2:$B$1004)-Portfolios!B860, 0)</f>
        <v>0</v>
      </c>
    </row>
    <row r="861" spans="1:2">
      <c r="A861" s="11">
        <f>Returns!A861</f>
        <v>0</v>
      </c>
      <c r="B861" s="1">
        <f>MAX(AVERAGE(Portfolios!$B$2:$B$1004)-Portfolios!B861, 0)</f>
        <v>0</v>
      </c>
    </row>
    <row r="862" spans="1:2">
      <c r="A862" s="11">
        <f>Returns!A862</f>
        <v>0</v>
      </c>
      <c r="B862" s="1">
        <f>MAX(AVERAGE(Portfolios!$B$2:$B$1004)-Portfolios!B862, 0)</f>
        <v>0</v>
      </c>
    </row>
    <row r="863" spans="1:2">
      <c r="A863" s="11">
        <f>Returns!A863</f>
        <v>0</v>
      </c>
      <c r="B863" s="1">
        <f>MAX(AVERAGE(Portfolios!$B$2:$B$1004)-Portfolios!B863, 0)</f>
        <v>0</v>
      </c>
    </row>
    <row r="864" spans="1:2">
      <c r="A864" s="11">
        <f>Returns!A864</f>
        <v>0</v>
      </c>
      <c r="B864" s="1">
        <f>MAX(AVERAGE(Portfolios!$B$2:$B$1004)-Portfolios!B864, 0)</f>
        <v>0</v>
      </c>
    </row>
    <row r="865" spans="1:2">
      <c r="A865" s="11">
        <f>Returns!A865</f>
        <v>0</v>
      </c>
      <c r="B865" s="1">
        <f>MAX(AVERAGE(Portfolios!$B$2:$B$1004)-Portfolios!B865, 0)</f>
        <v>0</v>
      </c>
    </row>
    <row r="866" spans="1:2">
      <c r="A866" s="11">
        <f>Returns!A866</f>
        <v>0</v>
      </c>
      <c r="B866" s="1">
        <f>MAX(AVERAGE(Portfolios!$B$2:$B$1004)-Portfolios!B866, 0)</f>
        <v>0</v>
      </c>
    </row>
    <row r="867" spans="1:2">
      <c r="A867" s="11">
        <f>Returns!A867</f>
        <v>0</v>
      </c>
      <c r="B867" s="1">
        <f>MAX(AVERAGE(Portfolios!$B$2:$B$1004)-Portfolios!B867, 0)</f>
        <v>0</v>
      </c>
    </row>
    <row r="868" spans="1:2">
      <c r="A868" s="11">
        <f>Returns!A868</f>
        <v>0</v>
      </c>
      <c r="B868" s="1">
        <f>MAX(AVERAGE(Portfolios!$B$2:$B$1004)-Portfolios!B868, 0)</f>
        <v>0</v>
      </c>
    </row>
    <row r="869" spans="1:2">
      <c r="A869" s="11">
        <f>Returns!A869</f>
        <v>0</v>
      </c>
      <c r="B869" s="1">
        <f>MAX(AVERAGE(Portfolios!$B$2:$B$1004)-Portfolios!B869, 0)</f>
        <v>0</v>
      </c>
    </row>
    <row r="870" spans="1:2">
      <c r="A870" s="11">
        <f>Returns!A870</f>
        <v>0</v>
      </c>
      <c r="B870" s="1">
        <f>MAX(AVERAGE(Portfolios!$B$2:$B$1004)-Portfolios!B870, 0)</f>
        <v>0</v>
      </c>
    </row>
    <row r="871" spans="1:2">
      <c r="A871" s="11">
        <f>Returns!A871</f>
        <v>0</v>
      </c>
      <c r="B871" s="1">
        <f>MAX(AVERAGE(Portfolios!$B$2:$B$1004)-Portfolios!B871, 0)</f>
        <v>0</v>
      </c>
    </row>
    <row r="872" spans="1:2">
      <c r="A872" s="11">
        <f>Returns!A872</f>
        <v>0</v>
      </c>
      <c r="B872" s="1">
        <f>MAX(AVERAGE(Portfolios!$B$2:$B$1004)-Portfolios!B872, 0)</f>
        <v>0</v>
      </c>
    </row>
    <row r="873" spans="1:2">
      <c r="A873" s="11">
        <f>Returns!A873</f>
        <v>0</v>
      </c>
      <c r="B873" s="1">
        <f>MAX(AVERAGE(Portfolios!$B$2:$B$1004)-Portfolios!B873, 0)</f>
        <v>0</v>
      </c>
    </row>
    <row r="874" spans="1:2">
      <c r="A874" s="11">
        <f>Returns!A874</f>
        <v>0</v>
      </c>
      <c r="B874" s="1">
        <f>MAX(AVERAGE(Portfolios!$B$2:$B$1004)-Portfolios!B874, 0)</f>
        <v>0</v>
      </c>
    </row>
    <row r="875" spans="1:2">
      <c r="A875" s="11">
        <f>Returns!A875</f>
        <v>0</v>
      </c>
      <c r="B875" s="1">
        <f>MAX(AVERAGE(Portfolios!$B$2:$B$1004)-Portfolios!B875, 0)</f>
        <v>0</v>
      </c>
    </row>
    <row r="876" spans="1:2">
      <c r="A876" s="11">
        <f>Returns!A876</f>
        <v>0</v>
      </c>
      <c r="B876" s="1">
        <f>MAX(AVERAGE(Portfolios!$B$2:$B$1004)-Portfolios!B876, 0)</f>
        <v>0</v>
      </c>
    </row>
    <row r="877" spans="1:2">
      <c r="A877" s="11">
        <f>Returns!A877</f>
        <v>0</v>
      </c>
      <c r="B877" s="1">
        <f>MAX(AVERAGE(Portfolios!$B$2:$B$1004)-Portfolios!B877, 0)</f>
        <v>0</v>
      </c>
    </row>
    <row r="878" spans="1:2">
      <c r="A878" s="11">
        <f>Returns!A878</f>
        <v>0</v>
      </c>
      <c r="B878" s="1">
        <f>MAX(AVERAGE(Portfolios!$B$2:$B$1004)-Portfolios!B878, 0)</f>
        <v>0</v>
      </c>
    </row>
    <row r="879" spans="1:2">
      <c r="A879" s="11">
        <f>Returns!A879</f>
        <v>0</v>
      </c>
      <c r="B879" s="1">
        <f>MAX(AVERAGE(Portfolios!$B$2:$B$1004)-Portfolios!B879, 0)</f>
        <v>0</v>
      </c>
    </row>
    <row r="880" spans="1:2">
      <c r="A880" s="11">
        <f>Returns!A880</f>
        <v>0</v>
      </c>
      <c r="B880" s="1">
        <f>MAX(AVERAGE(Portfolios!$B$2:$B$1004)-Portfolios!B880, 0)</f>
        <v>0</v>
      </c>
    </row>
    <row r="881" spans="1:2">
      <c r="A881" s="11">
        <f>Returns!A881</f>
        <v>0</v>
      </c>
      <c r="B881" s="1">
        <f>MAX(AVERAGE(Portfolios!$B$2:$B$1004)-Portfolios!B881, 0)</f>
        <v>0</v>
      </c>
    </row>
    <row r="882" spans="1:2">
      <c r="A882" s="11">
        <f>Returns!A882</f>
        <v>0</v>
      </c>
      <c r="B882" s="1">
        <f>MAX(AVERAGE(Portfolios!$B$2:$B$1004)-Portfolios!B882, 0)</f>
        <v>0</v>
      </c>
    </row>
    <row r="883" spans="1:2">
      <c r="A883" s="11">
        <f>Returns!A883</f>
        <v>0</v>
      </c>
      <c r="B883" s="1">
        <f>MAX(AVERAGE(Portfolios!$B$2:$B$1004)-Portfolios!B883, 0)</f>
        <v>0</v>
      </c>
    </row>
    <row r="884" spans="1:2">
      <c r="A884" s="11">
        <f>Returns!A884</f>
        <v>0</v>
      </c>
      <c r="B884" s="1">
        <f>MAX(AVERAGE(Portfolios!$B$2:$B$1004)-Portfolios!B884, 0)</f>
        <v>0</v>
      </c>
    </row>
    <row r="885" spans="1:2">
      <c r="A885" s="11">
        <f>Returns!A885</f>
        <v>0</v>
      </c>
      <c r="B885" s="1">
        <f>MAX(AVERAGE(Portfolios!$B$2:$B$1004)-Portfolios!B885, 0)</f>
        <v>0</v>
      </c>
    </row>
    <row r="886" spans="1:2">
      <c r="A886" s="11">
        <f>Returns!A886</f>
        <v>0</v>
      </c>
      <c r="B886" s="1">
        <f>MAX(AVERAGE(Portfolios!$B$2:$B$1004)-Portfolios!B886, 0)</f>
        <v>0</v>
      </c>
    </row>
    <row r="887" spans="1:2">
      <c r="A887" s="11">
        <f>Returns!A887</f>
        <v>0</v>
      </c>
      <c r="B887" s="1">
        <f>MAX(AVERAGE(Portfolios!$B$2:$B$1004)-Portfolios!B887, 0)</f>
        <v>0</v>
      </c>
    </row>
    <row r="888" spans="1:2">
      <c r="A888" s="11">
        <f>Returns!A888</f>
        <v>0</v>
      </c>
      <c r="B888" s="1">
        <f>MAX(AVERAGE(Portfolios!$B$2:$B$1004)-Portfolios!B888, 0)</f>
        <v>0</v>
      </c>
    </row>
    <row r="889" spans="1:2">
      <c r="A889" s="11">
        <f>Returns!A889</f>
        <v>0</v>
      </c>
      <c r="B889" s="1">
        <f>MAX(AVERAGE(Portfolios!$B$2:$B$1004)-Portfolios!B889, 0)</f>
        <v>0</v>
      </c>
    </row>
    <row r="890" spans="1:2">
      <c r="A890" s="11">
        <f>Returns!A890</f>
        <v>0</v>
      </c>
      <c r="B890" s="1">
        <f>MAX(AVERAGE(Portfolios!$B$2:$B$1004)-Portfolios!B890, 0)</f>
        <v>0</v>
      </c>
    </row>
    <row r="891" spans="1:2">
      <c r="A891" s="11">
        <f>Returns!A891</f>
        <v>0</v>
      </c>
      <c r="B891" s="1">
        <f>MAX(AVERAGE(Portfolios!$B$2:$B$1004)-Portfolios!B891, 0)</f>
        <v>0</v>
      </c>
    </row>
    <row r="892" spans="1:2">
      <c r="A892" s="11">
        <f>Returns!A892</f>
        <v>0</v>
      </c>
      <c r="B892" s="1">
        <f>MAX(AVERAGE(Portfolios!$B$2:$B$1004)-Portfolios!B892, 0)</f>
        <v>0</v>
      </c>
    </row>
    <row r="893" spans="1:2">
      <c r="A893" s="11">
        <f>Returns!A893</f>
        <v>0</v>
      </c>
      <c r="B893" s="1">
        <f>MAX(AVERAGE(Portfolios!$B$2:$B$1004)-Portfolios!B893, 0)</f>
        <v>0</v>
      </c>
    </row>
    <row r="894" spans="1:2">
      <c r="A894" s="11">
        <f>Returns!A894</f>
        <v>0</v>
      </c>
      <c r="B894" s="1">
        <f>MAX(AVERAGE(Portfolios!$B$2:$B$1004)-Portfolios!B894, 0)</f>
        <v>0</v>
      </c>
    </row>
    <row r="895" spans="1:2">
      <c r="A895" s="11">
        <f>Returns!A895</f>
        <v>0</v>
      </c>
      <c r="B895" s="1">
        <f>MAX(AVERAGE(Portfolios!$B$2:$B$1004)-Portfolios!B895, 0)</f>
        <v>0</v>
      </c>
    </row>
    <row r="896" spans="1:2">
      <c r="A896" s="11">
        <f>Returns!A896</f>
        <v>0</v>
      </c>
      <c r="B896" s="1">
        <f>MAX(AVERAGE(Portfolios!$B$2:$B$1004)-Portfolios!B896, 0)</f>
        <v>0</v>
      </c>
    </row>
    <row r="897" spans="1:2">
      <c r="A897" s="11">
        <f>Returns!A897</f>
        <v>0</v>
      </c>
      <c r="B897" s="1">
        <f>MAX(AVERAGE(Portfolios!$B$2:$B$1004)-Portfolios!B897, 0)</f>
        <v>0</v>
      </c>
    </row>
    <row r="898" spans="1:2">
      <c r="A898" s="11">
        <f>Returns!A898</f>
        <v>0</v>
      </c>
      <c r="B898" s="1">
        <f>MAX(AVERAGE(Portfolios!$B$2:$B$1004)-Portfolios!B898, 0)</f>
        <v>0</v>
      </c>
    </row>
    <row r="899" spans="1:2">
      <c r="A899" s="11">
        <f>Returns!A899</f>
        <v>0</v>
      </c>
      <c r="B899" s="1">
        <f>MAX(AVERAGE(Portfolios!$B$2:$B$1004)-Portfolios!B899, 0)</f>
        <v>0</v>
      </c>
    </row>
    <row r="900" spans="1:2">
      <c r="A900" s="11">
        <f>Returns!A900</f>
        <v>0</v>
      </c>
      <c r="B900" s="1">
        <f>MAX(AVERAGE(Portfolios!$B$2:$B$1004)-Portfolios!B900, 0)</f>
        <v>0</v>
      </c>
    </row>
    <row r="901" spans="1:2">
      <c r="A901" s="11">
        <f>Returns!A901</f>
        <v>0</v>
      </c>
      <c r="B901" s="1">
        <f>MAX(AVERAGE(Portfolios!$B$2:$B$1004)-Portfolios!B901, 0)</f>
        <v>0</v>
      </c>
    </row>
    <row r="902" spans="1:2">
      <c r="A902" s="11">
        <f>Returns!A902</f>
        <v>0</v>
      </c>
      <c r="B902" s="1">
        <f>MAX(AVERAGE(Portfolios!$B$2:$B$1004)-Portfolios!B902, 0)</f>
        <v>0</v>
      </c>
    </row>
    <row r="903" spans="1:2">
      <c r="A903" s="11">
        <f>Returns!A903</f>
        <v>0</v>
      </c>
      <c r="B903" s="1">
        <f>MAX(AVERAGE(Portfolios!$B$2:$B$1004)-Portfolios!B903, 0)</f>
        <v>0</v>
      </c>
    </row>
    <row r="904" spans="1:2">
      <c r="A904" s="11">
        <f>Returns!A904</f>
        <v>0</v>
      </c>
      <c r="B904" s="1">
        <f>MAX(AVERAGE(Portfolios!$B$2:$B$1004)-Portfolios!B904, 0)</f>
        <v>0</v>
      </c>
    </row>
    <row r="905" spans="1:2">
      <c r="A905" s="11">
        <f>Returns!A905</f>
        <v>0</v>
      </c>
      <c r="B905" s="1">
        <f>MAX(AVERAGE(Portfolios!$B$2:$B$1004)-Portfolios!B905, 0)</f>
        <v>0</v>
      </c>
    </row>
    <row r="906" spans="1:2">
      <c r="A906" s="11">
        <f>Returns!A906</f>
        <v>0</v>
      </c>
      <c r="B906" s="1">
        <f>MAX(AVERAGE(Portfolios!$B$2:$B$1004)-Portfolios!B906, 0)</f>
        <v>0</v>
      </c>
    </row>
    <row r="907" spans="1:2">
      <c r="A907" s="11">
        <f>Returns!A907</f>
        <v>0</v>
      </c>
      <c r="B907" s="1">
        <f>MAX(AVERAGE(Portfolios!$B$2:$B$1004)-Portfolios!B907, 0)</f>
        <v>0</v>
      </c>
    </row>
    <row r="908" spans="1:2">
      <c r="A908" s="11">
        <f>Returns!A908</f>
        <v>0</v>
      </c>
      <c r="B908" s="1">
        <f>MAX(AVERAGE(Portfolios!$B$2:$B$1004)-Portfolios!B908, 0)</f>
        <v>0</v>
      </c>
    </row>
    <row r="909" spans="1:2">
      <c r="A909" s="11">
        <f>Returns!A909</f>
        <v>0</v>
      </c>
      <c r="B909" s="1">
        <f>MAX(AVERAGE(Portfolios!$B$2:$B$1004)-Portfolios!B909, 0)</f>
        <v>0</v>
      </c>
    </row>
    <row r="910" spans="1:2">
      <c r="A910" s="11">
        <f>Returns!A910</f>
        <v>0</v>
      </c>
      <c r="B910" s="1">
        <f>MAX(AVERAGE(Portfolios!$B$2:$B$1004)-Portfolios!B910, 0)</f>
        <v>0</v>
      </c>
    </row>
    <row r="911" spans="1:2">
      <c r="A911" s="11">
        <f>Returns!A911</f>
        <v>0</v>
      </c>
      <c r="B911" s="1">
        <f>MAX(AVERAGE(Portfolios!$B$2:$B$1004)-Portfolios!B911, 0)</f>
        <v>0</v>
      </c>
    </row>
    <row r="912" spans="1:2">
      <c r="A912" s="11">
        <f>Returns!A912</f>
        <v>0</v>
      </c>
      <c r="B912" s="1">
        <f>MAX(AVERAGE(Portfolios!$B$2:$B$1004)-Portfolios!B912, 0)</f>
        <v>0</v>
      </c>
    </row>
    <row r="913" spans="1:2">
      <c r="A913" s="11">
        <f>Returns!A913</f>
        <v>0</v>
      </c>
      <c r="B913" s="1">
        <f>MAX(AVERAGE(Portfolios!$B$2:$B$1004)-Portfolios!B913, 0)</f>
        <v>0</v>
      </c>
    </row>
    <row r="914" spans="1:2">
      <c r="A914" s="11">
        <f>Returns!A914</f>
        <v>0</v>
      </c>
      <c r="B914" s="1">
        <f>MAX(AVERAGE(Portfolios!$B$2:$B$1004)-Portfolios!B914, 0)</f>
        <v>0</v>
      </c>
    </row>
    <row r="915" spans="1:2">
      <c r="A915" s="11">
        <f>Returns!A915</f>
        <v>0</v>
      </c>
      <c r="B915" s="1">
        <f>MAX(AVERAGE(Portfolios!$B$2:$B$1004)-Portfolios!B915, 0)</f>
        <v>0</v>
      </c>
    </row>
    <row r="916" spans="1:2">
      <c r="A916" s="11">
        <f>Returns!A916</f>
        <v>0</v>
      </c>
      <c r="B916" s="1">
        <f>MAX(AVERAGE(Portfolios!$B$2:$B$1004)-Portfolios!B916, 0)</f>
        <v>0</v>
      </c>
    </row>
    <row r="917" spans="1:2">
      <c r="A917" s="11">
        <f>Returns!A917</f>
        <v>0</v>
      </c>
      <c r="B917" s="1">
        <f>MAX(AVERAGE(Portfolios!$B$2:$B$1004)-Portfolios!B917, 0)</f>
        <v>0</v>
      </c>
    </row>
    <row r="918" spans="1:2">
      <c r="A918" s="11">
        <f>Returns!A918</f>
        <v>0</v>
      </c>
      <c r="B918" s="1">
        <f>MAX(AVERAGE(Portfolios!$B$2:$B$1004)-Portfolios!B918, 0)</f>
        <v>0</v>
      </c>
    </row>
    <row r="919" spans="1:2">
      <c r="A919" s="11">
        <f>Returns!A919</f>
        <v>0</v>
      </c>
      <c r="B919" s="1">
        <f>MAX(AVERAGE(Portfolios!$B$2:$B$1004)-Portfolios!B919, 0)</f>
        <v>0</v>
      </c>
    </row>
    <row r="920" spans="1:2">
      <c r="A920" s="11">
        <f>Returns!A920</f>
        <v>0</v>
      </c>
      <c r="B920" s="1">
        <f>MAX(AVERAGE(Portfolios!$B$2:$B$1004)-Portfolios!B920, 0)</f>
        <v>0</v>
      </c>
    </row>
    <row r="921" spans="1:2">
      <c r="A921" s="11">
        <f>Returns!A921</f>
        <v>0</v>
      </c>
      <c r="B921" s="1">
        <f>MAX(AVERAGE(Portfolios!$B$2:$B$1004)-Portfolios!B921, 0)</f>
        <v>0</v>
      </c>
    </row>
    <row r="922" spans="1:2">
      <c r="A922" s="11">
        <f>Returns!A922</f>
        <v>0</v>
      </c>
      <c r="B922" s="1">
        <f>MAX(AVERAGE(Portfolios!$B$2:$B$1004)-Portfolios!B922, 0)</f>
        <v>0</v>
      </c>
    </row>
    <row r="923" spans="1:2">
      <c r="A923" s="11">
        <f>Returns!A923</f>
        <v>0</v>
      </c>
      <c r="B923" s="1">
        <f>MAX(AVERAGE(Portfolios!$B$2:$B$1004)-Portfolios!B923, 0)</f>
        <v>0</v>
      </c>
    </row>
    <row r="924" spans="1:2">
      <c r="A924" s="11">
        <f>Returns!A924</f>
        <v>0</v>
      </c>
      <c r="B924" s="1">
        <f>MAX(AVERAGE(Portfolios!$B$2:$B$1004)-Portfolios!B924, 0)</f>
        <v>0</v>
      </c>
    </row>
    <row r="925" spans="1:2">
      <c r="A925" s="11">
        <f>Returns!A925</f>
        <v>0</v>
      </c>
      <c r="B925" s="1">
        <f>MAX(AVERAGE(Portfolios!$B$2:$B$1004)-Portfolios!B925, 0)</f>
        <v>0</v>
      </c>
    </row>
    <row r="926" spans="1:2">
      <c r="A926" s="11">
        <f>Returns!A926</f>
        <v>0</v>
      </c>
      <c r="B926" s="1">
        <f>MAX(AVERAGE(Portfolios!$B$2:$B$1004)-Portfolios!B926, 0)</f>
        <v>0</v>
      </c>
    </row>
    <row r="927" spans="1:2">
      <c r="A927" s="11">
        <f>Returns!A927</f>
        <v>0</v>
      </c>
      <c r="B927" s="1">
        <f>MAX(AVERAGE(Portfolios!$B$2:$B$1004)-Portfolios!B927, 0)</f>
        <v>0</v>
      </c>
    </row>
    <row r="928" spans="1:2">
      <c r="A928" s="11">
        <f>Returns!A928</f>
        <v>0</v>
      </c>
      <c r="B928" s="1">
        <f>MAX(AVERAGE(Portfolios!$B$2:$B$1004)-Portfolios!B928, 0)</f>
        <v>0</v>
      </c>
    </row>
    <row r="929" spans="1:2">
      <c r="A929" s="11">
        <f>Returns!A929</f>
        <v>0</v>
      </c>
      <c r="B929" s="1">
        <f>MAX(AVERAGE(Portfolios!$B$2:$B$1004)-Portfolios!B929, 0)</f>
        <v>0</v>
      </c>
    </row>
    <row r="930" spans="1:2">
      <c r="A930" s="11">
        <f>Returns!A930</f>
        <v>0</v>
      </c>
      <c r="B930" s="1">
        <f>MAX(AVERAGE(Portfolios!$B$2:$B$1004)-Portfolios!B930, 0)</f>
        <v>0</v>
      </c>
    </row>
    <row r="931" spans="1:2">
      <c r="A931" s="11">
        <f>Returns!A931</f>
        <v>0</v>
      </c>
      <c r="B931" s="1">
        <f>MAX(AVERAGE(Portfolios!$B$2:$B$1004)-Portfolios!B931, 0)</f>
        <v>0</v>
      </c>
    </row>
    <row r="932" spans="1:2">
      <c r="A932" s="11">
        <f>Returns!A932</f>
        <v>0</v>
      </c>
      <c r="B932" s="1">
        <f>MAX(AVERAGE(Portfolios!$B$2:$B$1004)-Portfolios!B932, 0)</f>
        <v>0</v>
      </c>
    </row>
    <row r="933" spans="1:2">
      <c r="A933" s="11">
        <f>Returns!A933</f>
        <v>0</v>
      </c>
      <c r="B933" s="1">
        <f>MAX(AVERAGE(Portfolios!$B$2:$B$1004)-Portfolios!B933, 0)</f>
        <v>0</v>
      </c>
    </row>
    <row r="934" spans="1:2">
      <c r="A934" s="11">
        <f>Returns!A934</f>
        <v>0</v>
      </c>
      <c r="B934" s="1">
        <f>MAX(AVERAGE(Portfolios!$B$2:$B$1004)-Portfolios!B934, 0)</f>
        <v>0</v>
      </c>
    </row>
    <row r="935" spans="1:2">
      <c r="A935" s="11">
        <f>Returns!A935</f>
        <v>0</v>
      </c>
      <c r="B935" s="1">
        <f>MAX(AVERAGE(Portfolios!$B$2:$B$1004)-Portfolios!B935, 0)</f>
        <v>0</v>
      </c>
    </row>
    <row r="936" spans="1:2">
      <c r="A936" s="11">
        <f>Returns!A936</f>
        <v>0</v>
      </c>
      <c r="B936" s="1">
        <f>MAX(AVERAGE(Portfolios!$B$2:$B$1004)-Portfolios!B936, 0)</f>
        <v>0</v>
      </c>
    </row>
    <row r="937" spans="1:2">
      <c r="A937" s="11">
        <f>Returns!A937</f>
        <v>0</v>
      </c>
      <c r="B937" s="1">
        <f>MAX(AVERAGE(Portfolios!$B$2:$B$1004)-Portfolios!B937, 0)</f>
        <v>0</v>
      </c>
    </row>
    <row r="938" spans="1:2">
      <c r="A938" s="11">
        <f>Returns!A938</f>
        <v>0</v>
      </c>
      <c r="B938" s="1">
        <f>MAX(AVERAGE(Portfolios!$B$2:$B$1004)-Portfolios!B938, 0)</f>
        <v>0</v>
      </c>
    </row>
    <row r="939" spans="1:2">
      <c r="A939" s="11">
        <f>Returns!A939</f>
        <v>0</v>
      </c>
      <c r="B939" s="1">
        <f>MAX(AVERAGE(Portfolios!$B$2:$B$1004)-Portfolios!B939, 0)</f>
        <v>0</v>
      </c>
    </row>
    <row r="940" spans="1:2">
      <c r="A940" s="11">
        <f>Returns!A940</f>
        <v>0</v>
      </c>
      <c r="B940" s="1">
        <f>MAX(AVERAGE(Portfolios!$B$2:$B$1004)-Portfolios!B940, 0)</f>
        <v>0</v>
      </c>
    </row>
    <row r="941" spans="1:2">
      <c r="A941" s="11">
        <f>Returns!A941</f>
        <v>0</v>
      </c>
      <c r="B941" s="1">
        <f>MAX(AVERAGE(Portfolios!$B$2:$B$1004)-Portfolios!B941, 0)</f>
        <v>0</v>
      </c>
    </row>
    <row r="942" spans="1:2">
      <c r="A942" s="11">
        <f>Returns!A942</f>
        <v>0</v>
      </c>
      <c r="B942" s="1">
        <f>MAX(AVERAGE(Portfolios!$B$2:$B$1004)-Portfolios!B942, 0)</f>
        <v>0</v>
      </c>
    </row>
    <row r="943" spans="1:2">
      <c r="A943" s="11">
        <f>Returns!A943</f>
        <v>0</v>
      </c>
      <c r="B943" s="1">
        <f>MAX(AVERAGE(Portfolios!$B$2:$B$1004)-Portfolios!B943, 0)</f>
        <v>0</v>
      </c>
    </row>
    <row r="944" spans="1:2">
      <c r="A944" s="11">
        <f>Returns!A944</f>
        <v>0</v>
      </c>
      <c r="B944" s="1">
        <f>MAX(AVERAGE(Portfolios!$B$2:$B$1004)-Portfolios!B944, 0)</f>
        <v>0</v>
      </c>
    </row>
    <row r="945" spans="1:2">
      <c r="A945" s="11">
        <f>Returns!A945</f>
        <v>0</v>
      </c>
      <c r="B945" s="1">
        <f>MAX(AVERAGE(Portfolios!$B$2:$B$1004)-Portfolios!B945, 0)</f>
        <v>0</v>
      </c>
    </row>
    <row r="946" spans="1:2">
      <c r="A946" s="11">
        <f>Returns!A946</f>
        <v>0</v>
      </c>
      <c r="B946" s="1">
        <f>MAX(AVERAGE(Portfolios!$B$2:$B$1004)-Portfolios!B946, 0)</f>
        <v>0</v>
      </c>
    </row>
    <row r="947" spans="1:2">
      <c r="A947" s="11">
        <f>Returns!A947</f>
        <v>0</v>
      </c>
      <c r="B947" s="1">
        <f>MAX(AVERAGE(Portfolios!$B$2:$B$1004)-Portfolios!B947, 0)</f>
        <v>0</v>
      </c>
    </row>
    <row r="948" spans="1:2">
      <c r="A948" s="11">
        <f>Returns!A948</f>
        <v>0</v>
      </c>
      <c r="B948" s="1">
        <f>MAX(AVERAGE(Portfolios!$B$2:$B$1004)-Portfolios!B948, 0)</f>
        <v>0</v>
      </c>
    </row>
    <row r="949" spans="1:2">
      <c r="A949" s="11">
        <f>Returns!A949</f>
        <v>0</v>
      </c>
      <c r="B949" s="1">
        <f>MAX(AVERAGE(Portfolios!$B$2:$B$1004)-Portfolios!B949, 0)</f>
        <v>0</v>
      </c>
    </row>
    <row r="950" spans="1:2">
      <c r="A950" s="11">
        <f>Returns!A950</f>
        <v>0</v>
      </c>
      <c r="B950" s="1">
        <f>MAX(AVERAGE(Portfolios!$B$2:$B$1004)-Portfolios!B950, 0)</f>
        <v>0</v>
      </c>
    </row>
    <row r="951" spans="1:2">
      <c r="A951" s="11">
        <f>Returns!A951</f>
        <v>0</v>
      </c>
      <c r="B951" s="1">
        <f>MAX(AVERAGE(Portfolios!$B$2:$B$1004)-Portfolios!B951, 0)</f>
        <v>0</v>
      </c>
    </row>
    <row r="952" spans="1:2">
      <c r="A952" s="11">
        <f>Returns!A952</f>
        <v>0</v>
      </c>
      <c r="B952" s="1">
        <f>MAX(AVERAGE(Portfolios!$B$2:$B$1004)-Portfolios!B952, 0)</f>
        <v>0</v>
      </c>
    </row>
    <row r="953" spans="1:2">
      <c r="A953" s="11">
        <f>Returns!A953</f>
        <v>0</v>
      </c>
      <c r="B953" s="1">
        <f>MAX(AVERAGE(Portfolios!$B$2:$B$1004)-Portfolios!B953, 0)</f>
        <v>0</v>
      </c>
    </row>
    <row r="954" spans="1:2">
      <c r="A954" s="11">
        <f>Returns!A954</f>
        <v>0</v>
      </c>
      <c r="B954" s="1">
        <f>MAX(AVERAGE(Portfolios!$B$2:$B$1004)-Portfolios!B954, 0)</f>
        <v>0</v>
      </c>
    </row>
    <row r="955" spans="1:2">
      <c r="A955" s="11">
        <f>Returns!A955</f>
        <v>0</v>
      </c>
      <c r="B955" s="1">
        <f>MAX(AVERAGE(Portfolios!$B$2:$B$1004)-Portfolios!B955, 0)</f>
        <v>0</v>
      </c>
    </row>
    <row r="956" spans="1:2">
      <c r="A956" s="11">
        <f>Returns!A956</f>
        <v>0</v>
      </c>
      <c r="B956" s="1">
        <f>MAX(AVERAGE(Portfolios!$B$2:$B$1004)-Portfolios!B956, 0)</f>
        <v>0</v>
      </c>
    </row>
    <row r="957" spans="1:2">
      <c r="A957" s="11">
        <f>Returns!A957</f>
        <v>0</v>
      </c>
      <c r="B957" s="1">
        <f>MAX(AVERAGE(Portfolios!$B$2:$B$1004)-Portfolios!B957, 0)</f>
        <v>0</v>
      </c>
    </row>
    <row r="958" spans="1:2">
      <c r="A958" s="11">
        <f>Returns!A958</f>
        <v>0</v>
      </c>
      <c r="B958" s="1">
        <f>MAX(AVERAGE(Portfolios!$B$2:$B$1004)-Portfolios!B958, 0)</f>
        <v>0</v>
      </c>
    </row>
    <row r="959" spans="1:2">
      <c r="A959" s="11">
        <f>Returns!A959</f>
        <v>0</v>
      </c>
      <c r="B959" s="1">
        <f>MAX(AVERAGE(Portfolios!$B$2:$B$1004)-Portfolios!B959, 0)</f>
        <v>0</v>
      </c>
    </row>
    <row r="960" spans="1:2">
      <c r="A960" s="11">
        <f>Returns!A960</f>
        <v>0</v>
      </c>
      <c r="B960" s="1">
        <f>MAX(AVERAGE(Portfolios!$B$2:$B$1004)-Portfolios!B960, 0)</f>
        <v>0</v>
      </c>
    </row>
    <row r="961" spans="1:2">
      <c r="A961" s="11">
        <f>Returns!A961</f>
        <v>0</v>
      </c>
      <c r="B961" s="1">
        <f>MAX(AVERAGE(Portfolios!$B$2:$B$1004)-Portfolios!B961, 0)</f>
        <v>0</v>
      </c>
    </row>
    <row r="962" spans="1:2">
      <c r="A962" s="11">
        <f>Returns!A962</f>
        <v>0</v>
      </c>
      <c r="B962" s="1">
        <f>MAX(AVERAGE(Portfolios!$B$2:$B$1004)-Portfolios!B962, 0)</f>
        <v>0</v>
      </c>
    </row>
    <row r="963" spans="1:2">
      <c r="A963" s="11">
        <f>Returns!A963</f>
        <v>0</v>
      </c>
      <c r="B963" s="1">
        <f>MAX(AVERAGE(Portfolios!$B$2:$B$1004)-Portfolios!B963, 0)</f>
        <v>0</v>
      </c>
    </row>
    <row r="964" spans="1:2">
      <c r="A964" s="11">
        <f>Returns!A964</f>
        <v>0</v>
      </c>
      <c r="B964" s="1">
        <f>MAX(AVERAGE(Portfolios!$B$2:$B$1004)-Portfolios!B964, 0)</f>
        <v>0</v>
      </c>
    </row>
    <row r="965" spans="1:2">
      <c r="A965" s="11">
        <f>Returns!A965</f>
        <v>0</v>
      </c>
      <c r="B965" s="1">
        <f>MAX(AVERAGE(Portfolios!$B$2:$B$1004)-Portfolios!B965, 0)</f>
        <v>0</v>
      </c>
    </row>
    <row r="966" spans="1:2">
      <c r="A966" s="11">
        <f>Returns!A966</f>
        <v>0</v>
      </c>
      <c r="B966" s="1">
        <f>MAX(AVERAGE(Portfolios!$B$2:$B$1004)-Portfolios!B966, 0)</f>
        <v>0</v>
      </c>
    </row>
    <row r="967" spans="1:2">
      <c r="A967" s="11">
        <f>Returns!A967</f>
        <v>0</v>
      </c>
      <c r="B967" s="1">
        <f>MAX(AVERAGE(Portfolios!$B$2:$B$1004)-Portfolios!B967, 0)</f>
        <v>0</v>
      </c>
    </row>
    <row r="968" spans="1:2">
      <c r="A968" s="11">
        <f>Returns!A968</f>
        <v>0</v>
      </c>
      <c r="B968" s="1">
        <f>MAX(AVERAGE(Portfolios!$B$2:$B$1004)-Portfolios!B968, 0)</f>
        <v>0</v>
      </c>
    </row>
    <row r="969" spans="1:2">
      <c r="A969" s="11">
        <f>Returns!A969</f>
        <v>0</v>
      </c>
      <c r="B969" s="1">
        <f>MAX(AVERAGE(Portfolios!$B$2:$B$1004)-Portfolios!B969, 0)</f>
        <v>0</v>
      </c>
    </row>
    <row r="970" spans="1:2">
      <c r="A970" s="11">
        <f>Returns!A970</f>
        <v>0</v>
      </c>
      <c r="B970" s="1">
        <f>MAX(AVERAGE(Portfolios!$B$2:$B$1004)-Portfolios!B970, 0)</f>
        <v>0</v>
      </c>
    </row>
    <row r="971" spans="1:2">
      <c r="A971" s="11">
        <f>Returns!A971</f>
        <v>0</v>
      </c>
      <c r="B971" s="1">
        <f>MAX(AVERAGE(Portfolios!$B$2:$B$1004)-Portfolios!B971, 0)</f>
        <v>0</v>
      </c>
    </row>
    <row r="972" spans="1:2">
      <c r="A972" s="11">
        <f>Returns!A972</f>
        <v>0</v>
      </c>
      <c r="B972" s="1">
        <f>MAX(AVERAGE(Portfolios!$B$2:$B$1004)-Portfolios!B972, 0)</f>
        <v>0</v>
      </c>
    </row>
    <row r="973" spans="1:2">
      <c r="A973" s="11">
        <f>Returns!A973</f>
        <v>0</v>
      </c>
      <c r="B973" s="1">
        <f>MAX(AVERAGE(Portfolios!$B$2:$B$1004)-Portfolios!B973, 0)</f>
        <v>0</v>
      </c>
    </row>
    <row r="974" spans="1:2">
      <c r="A974" s="11">
        <f>Returns!A974</f>
        <v>0</v>
      </c>
      <c r="B974" s="1">
        <f>MAX(AVERAGE(Portfolios!$B$2:$B$1004)-Portfolios!B974, 0)</f>
        <v>0</v>
      </c>
    </row>
    <row r="975" spans="1:2">
      <c r="A975" s="11">
        <f>Returns!A975</f>
        <v>0</v>
      </c>
      <c r="B975" s="1">
        <f>MAX(AVERAGE(Portfolios!$B$2:$B$1004)-Portfolios!B975, 0)</f>
        <v>0</v>
      </c>
    </row>
    <row r="976" spans="1:2">
      <c r="A976" s="11">
        <f>Returns!A976</f>
        <v>0</v>
      </c>
      <c r="B976" s="1">
        <f>MAX(AVERAGE(Portfolios!$B$2:$B$1004)-Portfolios!B976, 0)</f>
        <v>0</v>
      </c>
    </row>
    <row r="977" spans="1:2">
      <c r="A977" s="11">
        <f>Returns!A977</f>
        <v>0</v>
      </c>
      <c r="B977" s="1">
        <f>MAX(AVERAGE(Portfolios!$B$2:$B$1004)-Portfolios!B977, 0)</f>
        <v>0</v>
      </c>
    </row>
    <row r="978" spans="1:2">
      <c r="A978" s="11">
        <f>Returns!A978</f>
        <v>0</v>
      </c>
      <c r="B978" s="1">
        <f>MAX(AVERAGE(Portfolios!$B$2:$B$1004)-Portfolios!B978, 0)</f>
        <v>0</v>
      </c>
    </row>
    <row r="979" spans="1:2">
      <c r="A979" s="11">
        <f>Returns!A979</f>
        <v>0</v>
      </c>
      <c r="B979" s="1">
        <f>MAX(AVERAGE(Portfolios!$B$2:$B$1004)-Portfolios!B979, 0)</f>
        <v>0</v>
      </c>
    </row>
    <row r="980" spans="1:2">
      <c r="A980" s="11">
        <f>Returns!A980</f>
        <v>0</v>
      </c>
      <c r="B980" s="1">
        <f>MAX(AVERAGE(Portfolios!$B$2:$B$1004)-Portfolios!B980, 0)</f>
        <v>0</v>
      </c>
    </row>
    <row r="981" spans="1:2">
      <c r="A981" s="11">
        <f>Returns!A981</f>
        <v>0</v>
      </c>
      <c r="B981" s="1">
        <f>MAX(AVERAGE(Portfolios!$B$2:$B$1004)-Portfolios!B981, 0)</f>
        <v>0</v>
      </c>
    </row>
    <row r="982" spans="1:2">
      <c r="A982" s="11">
        <f>Returns!A982</f>
        <v>0</v>
      </c>
      <c r="B982" s="1">
        <f>MAX(AVERAGE(Portfolios!$B$2:$B$1004)-Portfolios!B982, 0)</f>
        <v>0</v>
      </c>
    </row>
    <row r="983" spans="1:2">
      <c r="A983" s="11">
        <f>Returns!A983</f>
        <v>0</v>
      </c>
      <c r="B983" s="1">
        <f>MAX(AVERAGE(Portfolios!$B$2:$B$1004)-Portfolios!B983, 0)</f>
        <v>0</v>
      </c>
    </row>
    <row r="984" spans="1:2">
      <c r="A984" s="11">
        <f>Returns!A984</f>
        <v>0</v>
      </c>
      <c r="B984" s="1">
        <f>MAX(AVERAGE(Portfolios!$B$2:$B$1004)-Portfolios!B984, 0)</f>
        <v>0</v>
      </c>
    </row>
    <row r="985" spans="1:2">
      <c r="A985" s="11">
        <f>Returns!A985</f>
        <v>0</v>
      </c>
      <c r="B985" s="1">
        <f>MAX(AVERAGE(Portfolios!$B$2:$B$1004)-Portfolios!B985, 0)</f>
        <v>0</v>
      </c>
    </row>
    <row r="986" spans="1:2">
      <c r="A986" s="11">
        <f>Returns!A986</f>
        <v>0</v>
      </c>
      <c r="B986" s="1">
        <f>MAX(AVERAGE(Portfolios!$B$2:$B$1004)-Portfolios!B986, 0)</f>
        <v>0</v>
      </c>
    </row>
    <row r="987" spans="1:2">
      <c r="A987" s="11">
        <f>Returns!A987</f>
        <v>0</v>
      </c>
      <c r="B987" s="1">
        <f>MAX(AVERAGE(Portfolios!$B$2:$B$1004)-Portfolios!B987, 0)</f>
        <v>0</v>
      </c>
    </row>
    <row r="988" spans="1:2">
      <c r="A988" s="11">
        <f>Returns!A988</f>
        <v>0</v>
      </c>
      <c r="B988" s="1">
        <f>MAX(AVERAGE(Portfolios!$B$2:$B$1004)-Portfolios!B988, 0)</f>
        <v>0</v>
      </c>
    </row>
    <row r="989" spans="1:2">
      <c r="A989" s="11">
        <f>Returns!A989</f>
        <v>0</v>
      </c>
      <c r="B989" s="1">
        <f>MAX(AVERAGE(Portfolios!$B$2:$B$1004)-Portfolios!B989, 0)</f>
        <v>0</v>
      </c>
    </row>
    <row r="990" spans="1:2">
      <c r="A990" s="11">
        <f>Returns!A990</f>
        <v>0</v>
      </c>
      <c r="B990" s="1">
        <f>MAX(AVERAGE(Portfolios!$B$2:$B$1004)-Portfolios!B990, 0)</f>
        <v>0</v>
      </c>
    </row>
    <row r="991" spans="1:2">
      <c r="A991" s="11">
        <f>Returns!A991</f>
        <v>0</v>
      </c>
      <c r="B991" s="1">
        <f>MAX(AVERAGE(Portfolios!$B$2:$B$1004)-Portfolios!B991, 0)</f>
        <v>0</v>
      </c>
    </row>
    <row r="992" spans="1:2">
      <c r="A992" s="11">
        <f>Returns!A992</f>
        <v>0</v>
      </c>
      <c r="B992" s="1">
        <f>MAX(AVERAGE(Portfolios!$B$2:$B$1004)-Portfolios!B992, 0)</f>
        <v>0</v>
      </c>
    </row>
    <row r="993" spans="1:2">
      <c r="A993" s="11">
        <f>Returns!A993</f>
        <v>0</v>
      </c>
      <c r="B993" s="1">
        <f>MAX(AVERAGE(Portfolios!$B$2:$B$1004)-Portfolios!B993, 0)</f>
        <v>0</v>
      </c>
    </row>
    <row r="994" spans="1:2">
      <c r="A994" s="11">
        <f>Returns!A994</f>
        <v>0</v>
      </c>
      <c r="B994" s="1">
        <f>MAX(AVERAGE(Portfolios!$B$2:$B$1004)-Portfolios!B994, 0)</f>
        <v>0</v>
      </c>
    </row>
    <row r="995" spans="1:2">
      <c r="A995" s="11">
        <f>Returns!A995</f>
        <v>0</v>
      </c>
      <c r="B995" s="1">
        <f>MAX(AVERAGE(Portfolios!$B$2:$B$1004)-Portfolios!B995, 0)</f>
        <v>0</v>
      </c>
    </row>
    <row r="996" spans="1:2">
      <c r="A996" s="11">
        <f>Returns!A996</f>
        <v>0</v>
      </c>
      <c r="B996" s="1">
        <f>MAX(AVERAGE(Portfolios!$B$2:$B$1004)-Portfolios!B996, 0)</f>
        <v>0</v>
      </c>
    </row>
    <row r="997" spans="1:2">
      <c r="A997" s="11">
        <f>Returns!A997</f>
        <v>0</v>
      </c>
      <c r="B997" s="1">
        <f>MAX(AVERAGE(Portfolios!$B$2:$B$1004)-Portfolios!B997, 0)</f>
        <v>0</v>
      </c>
    </row>
    <row r="998" spans="1:2">
      <c r="A998" s="11">
        <f>Returns!A998</f>
        <v>0</v>
      </c>
      <c r="B998" s="1">
        <f>MAX(AVERAGE(Portfolios!$B$2:$B$1004)-Portfolios!B998, 0)</f>
        <v>0</v>
      </c>
    </row>
    <row r="999" spans="1:2">
      <c r="A999" s="11">
        <f>Returns!A999</f>
        <v>0</v>
      </c>
      <c r="B999" s="1">
        <f>MAX(AVERAGE(Portfolios!$B$2:$B$1004)-Portfolios!B999, 0)</f>
        <v>0</v>
      </c>
    </row>
    <row r="1000" spans="1:2">
      <c r="A1000" s="11">
        <f>Returns!A1000</f>
        <v>0</v>
      </c>
      <c r="B1000" s="1">
        <f>MAX(AVERAGE(Portfolios!$B$2:$B$1004)-Portfolios!B1000, 0)</f>
        <v>0</v>
      </c>
    </row>
    <row r="1001" spans="1:2">
      <c r="A1001" s="11">
        <f>Returns!A1001</f>
        <v>0</v>
      </c>
      <c r="B1001" s="1">
        <f>MAX(AVERAGE(Portfolios!$B$2:$B$1004)-Portfolios!B1001, 0)</f>
        <v>0</v>
      </c>
    </row>
    <row r="1002" spans="1:2">
      <c r="A1002" s="11">
        <f>Returns!A1002</f>
        <v>0</v>
      </c>
      <c r="B1002" s="1">
        <f>MAX(AVERAGE(Portfolios!$B$2:$B$1004)-Portfolios!B1002, 0)</f>
        <v>0</v>
      </c>
    </row>
    <row r="1003" spans="1:2">
      <c r="A1003" s="11">
        <f>Returns!A1003</f>
        <v>0</v>
      </c>
      <c r="B1003" s="1">
        <f>MAX(AVERAGE(Portfolios!$B$2:$B$1004)-Portfolios!B1003, 0)</f>
        <v>0</v>
      </c>
    </row>
    <row r="1004" spans="1:2">
      <c r="A1004" s="11">
        <f>Returns!A1004</f>
        <v>0</v>
      </c>
      <c r="B1004" s="1">
        <f>MAX(AVERAGE(Portfolios!$B$2:$B$1004)-Portfolios!B1004,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2026-10-03T17:08:18Z</dcterms:created>
  <dcterms:modified xsi:type="dcterms:W3CDTF">2026-10-03T17:08:18Z</dcterms:modified>
</cp:coreProperties>
</file>