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sume" sheetId="1" r:id="rId1"/>
    <sheet name="Returns" sheetId="2" r:id="rId2"/>
    <sheet name="Portfolios" sheetId="3" r:id="rId3"/>
    <sheet name="Absdev" sheetId="4" r:id="rId4"/>
    <sheet name="CumRet" sheetId="5" r:id="rId5"/>
    <sheet name="Drawdown" sheetId="6" r:id="rId6"/>
    <sheet name="devBelowTarget" sheetId="7" r:id="rId7"/>
    <sheet name="devBelowMean" sheetId="8" r:id="rId8"/>
  </sheets>
  <calcPr calcId="124519" fullCalcOnLoad="1"/>
</workbook>
</file>

<file path=xl/sharedStrings.xml><?xml version="1.0" encoding="utf-8"?>
<sst xmlns="http://schemas.openxmlformats.org/spreadsheetml/2006/main" count="98" uniqueCount="59">
  <si>
    <t>weights</t>
  </si>
  <si>
    <t>APA</t>
  </si>
  <si>
    <t>BA</t>
  </si>
  <si>
    <t>BAX</t>
  </si>
  <si>
    <t>BMY</t>
  </si>
  <si>
    <t>CMCSA</t>
  </si>
  <si>
    <t>CNP</t>
  </si>
  <si>
    <t>CPB</t>
  </si>
  <si>
    <t>DE</t>
  </si>
  <si>
    <t>HPQ</t>
  </si>
  <si>
    <t>JCI</t>
  </si>
  <si>
    <t>JPM</t>
  </si>
  <si>
    <t>LUV</t>
  </si>
  <si>
    <t>MO</t>
  </si>
  <si>
    <t>MRSH</t>
  </si>
  <si>
    <t>MSFT</t>
  </si>
  <si>
    <t>NI</t>
  </si>
  <si>
    <t>PCAR</t>
  </si>
  <si>
    <t>PSA</t>
  </si>
  <si>
    <t>SHW</t>
  </si>
  <si>
    <t>T</t>
  </si>
  <si>
    <t>TGT</t>
  </si>
  <si>
    <t>TMO</t>
  </si>
  <si>
    <t>TXT</t>
  </si>
  <si>
    <t>VZ</t>
  </si>
  <si>
    <t>ZION</t>
  </si>
  <si>
    <t>Date</t>
  </si>
  <si>
    <t>Profitability and Other Inputs</t>
  </si>
  <si>
    <t>Total Days in DataBase</t>
  </si>
  <si>
    <t>Mean Return (1)</t>
  </si>
  <si>
    <t>Compound Annual Growth Rate (CAGR)</t>
  </si>
  <si>
    <t>Minimum Acceptable Return (MAR) (1)</t>
  </si>
  <si>
    <t>Alpha</t>
  </si>
  <si>
    <t>Risk Measures based on Returns</t>
  </si>
  <si>
    <t>Standard Deviation (2)</t>
  </si>
  <si>
    <t>Mean Absolute Deviation (MAD) (2)</t>
  </si>
  <si>
    <t>Semi Standard Deviation (2)</t>
  </si>
  <si>
    <t>First Lower Partial Moment (FLPM) (2)</t>
  </si>
  <si>
    <t>Second Lower Partial Moment (SLPM) (2)</t>
  </si>
  <si>
    <t>Value at Risk (VaR) (2)</t>
  </si>
  <si>
    <t>Conditional Value at Risk (CVaR) (2)</t>
  </si>
  <si>
    <t>Entropic Value at Risk (EVaR) (2)</t>
  </si>
  <si>
    <t>Worst Realization (2)</t>
  </si>
  <si>
    <t>Skewness</t>
  </si>
  <si>
    <t>Kurtosis</t>
  </si>
  <si>
    <t>Risk Measures based on Drawdowns (3)</t>
  </si>
  <si>
    <t>Ulcer Index (UCI)</t>
  </si>
  <si>
    <t>Average Drawdown (ADD)</t>
  </si>
  <si>
    <t>Drawdown at Risk (DaR)</t>
  </si>
  <si>
    <t>Conditional Drawdown at Risk (CDaR)</t>
  </si>
  <si>
    <t>Entropic Drawdown at Risk (CDaR)</t>
  </si>
  <si>
    <t>Max Drawdown (MDD)</t>
  </si>
  <si>
    <t>Portfolio 1</t>
  </si>
  <si>
    <t>Copyright (c) 2020-2024, Dany Cajas
All rights reserved.
Redistribution and use in source and binary forms, with or without modification, are permitted provided that the following conditions are met:
* Redistributions of source code must retain the above copyright notice, this  list of conditions and the following disclaimer.
* Redistributions in binary form must reproduce the above copyright notice, this list of conditions and the following disclaimer in the documentation and/or other materials provided with the distribution.
* Neither the name of Riskfolio-Lib nor the names of its contributors may be used to endorse or promote products derived from this software without specific prior written permission.
THIS SOFTWARE IS PROVIDED BY THE COPYRIGHT HOLDERS AND CONTRIBUTORS "AS IS" AND ANY EXPRESS OR IMPLIED WARRANTIES, INCLUDING, BUT NOT LIMITED TO, THE IMPLIED WARRANTIES OF MERCHANTABILITY AND FITNESS FOR A PARTICULAR PURPOSE ARE DISCLAIMED. IN NO EVENT SHALL THE COPYRIGHT HOLDER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t>
  </si>
  <si>
    <t>https://github.com/dcajasn/Riskfolio-Lib</t>
  </si>
  <si>
    <t>(1) Annualized, multiplied by 252</t>
  </si>
  <si>
    <t>(2) Annualized, multiplied by √252</t>
  </si>
  <si>
    <t>(3) Based on uncompounded cumulated returns</t>
  </si>
  <si>
    <t>Riskfolio-Lib Report</t>
  </si>
</sst>
</file>

<file path=xl/styles.xml><?xml version="1.0" encoding="utf-8"?>
<styleSheet xmlns="http://schemas.openxmlformats.org/spreadsheetml/2006/main">
  <numFmts count="4">
    <numFmt numFmtId="164" formatCode="0.0000%"/>
    <numFmt numFmtId="165" formatCode="0,000"/>
    <numFmt numFmtId="166" formatCode="0.0000"/>
    <numFmt numFmtId="167" formatCode="yyyy-mm-dd"/>
  </numFmts>
  <fonts count="4">
    <font>
      <sz val="11"/>
      <color theme="1"/>
      <name val="Calibri"/>
      <family val="2"/>
      <scheme val="minor"/>
    </font>
    <font>
      <b/>
      <sz val="28"/>
      <color theme="1"/>
      <name val="Calibri"/>
      <family val="2"/>
      <scheme val="minor"/>
    </font>
    <font>
      <u/>
      <sz val="11"/>
      <color theme="10"/>
      <name val="Calibri"/>
      <family val="2"/>
    </font>
    <font>
      <b/>
      <sz val="11"/>
      <color theme="1"/>
      <name val="Calibri"/>
      <family val="2"/>
      <scheme val="minor"/>
    </font>
  </fonts>
  <fills count="2">
    <fill>
      <patternFill patternType="none"/>
    </fill>
    <fill>
      <patternFill patternType="gray125"/>
    </fill>
  </fills>
  <borders count="4">
    <border>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2">
    <xf numFmtId="0" fontId="0" fillId="0" borderId="0" xfId="0"/>
    <xf numFmtId="164" fontId="0" fillId="0" borderId="0" xfId="0" applyNumberFormat="1"/>
    <xf numFmtId="0" fontId="1" fillId="0" borderId="1" xfId="0" applyFont="1" applyBorder="1"/>
    <xf numFmtId="0" fontId="0" fillId="0" borderId="0" xfId="0" applyAlignment="1">
      <alignment horizontal="left" vertical="justify" wrapText="1"/>
    </xf>
    <xf numFmtId="0" fontId="2" fillId="0" borderId="0" xfId="1" applyAlignment="1" applyProtection="1"/>
    <xf numFmtId="0" fontId="3" fillId="0" borderId="2" xfId="0" applyFont="1" applyBorder="1"/>
    <xf numFmtId="165" fontId="0" fillId="0" borderId="2" xfId="0" applyNumberFormat="1" applyBorder="1"/>
    <xf numFmtId="164" fontId="0" fillId="0" borderId="2" xfId="0" applyNumberFormat="1" applyBorder="1"/>
    <xf numFmtId="166" fontId="0" fillId="0" borderId="2" xfId="0" applyNumberFormat="1" applyBorder="1"/>
    <xf numFmtId="0" fontId="3" fillId="0" borderId="3" xfId="0" applyFont="1" applyBorder="1" applyAlignment="1">
      <alignment horizontal="center" vertical="top"/>
    </xf>
    <xf numFmtId="167" fontId="3" fillId="0" borderId="0" xfId="0" applyNumberFormat="1" applyFont="1"/>
    <xf numFmtId="167" fontId="3" fillId="0" borderId="2" xfId="0" applyNumberFormat="1" applyFont="1" applyBorder="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dcajasn/Riskfolio-Lib" TargetMode="External"/></Relationships>
</file>

<file path=xl/worksheets/sheet1.xml><?xml version="1.0" encoding="utf-8"?>
<worksheet xmlns="http://schemas.openxmlformats.org/spreadsheetml/2006/main" xmlns:r="http://schemas.openxmlformats.org/officeDocument/2006/relationships">
  <dimension ref="A1:ALP62"/>
  <sheetViews>
    <sheetView showGridLines="0" tabSelected="1" workbookViewId="0"/>
  </sheetViews>
  <sheetFormatPr defaultRowHeight="15"/>
  <cols>
    <col min="1" max="1" width="36.7109375" customWidth="1"/>
    <col min="2" max="1004" width="11.7109375" style="1" customWidth="1"/>
  </cols>
  <sheetData>
    <row r="1" spans="1:11">
      <c r="A1" s="2" t="s">
        <v>58</v>
      </c>
    </row>
    <row r="2" spans="1:11" ht="215" customHeight="1">
      <c r="A2" s="3" t="s">
        <v>53</v>
      </c>
      <c r="B2" s="3"/>
      <c r="C2" s="3"/>
      <c r="D2" s="3"/>
      <c r="E2" s="3"/>
      <c r="F2" s="3"/>
      <c r="G2" s="3"/>
      <c r="H2" s="3"/>
      <c r="I2" s="3"/>
      <c r="J2" s="3"/>
      <c r="K2" s="3"/>
    </row>
    <row r="3" spans="1:11">
      <c r="A3" s="4" t="s">
        <v>54</v>
      </c>
    </row>
    <row r="4" spans="1:11">
      <c r="B4" s="5" t="s">
        <v>52</v>
      </c>
    </row>
    <row r="5" spans="1:11">
      <c r="A5" s="5" t="s">
        <v>27</v>
      </c>
    </row>
    <row r="6" spans="1:11">
      <c r="A6" s="5" t="s">
        <v>28</v>
      </c>
      <c r="B6" s="6">
        <f>1453</f>
        <v>0</v>
      </c>
    </row>
    <row r="7" spans="1:11">
      <c r="A7" s="5" t="s">
        <v>29</v>
      </c>
      <c r="B7" s="7">
        <f>AVERAGE(Portfolios!$B$2:$B$1004) * 252</f>
        <v>0</v>
      </c>
    </row>
    <row r="8" spans="1:11">
      <c r="A8" s="5" t="s">
        <v>30</v>
      </c>
      <c r="B8" s="7">
        <f t="array" ref="B8">PRODUCT(1 + Portfolios!$B$2:$B$1004)^(252/1453)-1</f>
        <v>0</v>
      </c>
    </row>
    <row r="9" spans="1:11">
      <c r="A9" s="5" t="s">
        <v>31</v>
      </c>
      <c r="B9" s="7">
        <f>0</f>
        <v>0</v>
      </c>
    </row>
    <row r="10" spans="1:11">
      <c r="A10" s="5" t="s">
        <v>32</v>
      </c>
      <c r="B10" s="7">
        <f>0.05</f>
        <v>0</v>
      </c>
    </row>
    <row r="12" spans="1:11">
      <c r="A12" s="5" t="s">
        <v>33</v>
      </c>
    </row>
    <row r="13" spans="1:11">
      <c r="A13" s="5" t="s">
        <v>34</v>
      </c>
      <c r="B13" s="7">
        <f>STDEV(Portfolios!$B$2:$B$1004) * SQRT(252)</f>
        <v>0</v>
      </c>
    </row>
    <row r="14" spans="1:11">
      <c r="A14" s="5" t="s">
        <v>35</v>
      </c>
      <c r="B14" s="7">
        <f>AVERAGE(Absdev!$B$2:$B$1004) * SQRT(252)</f>
        <v>0</v>
      </c>
    </row>
    <row r="15" spans="1:11">
      <c r="A15" s="5" t="s">
        <v>36</v>
      </c>
      <c r="B15" s="7">
        <f>SQRT(SUMSQ(devBelowMean!$B$2:$B$1004)/(COUNT(devBelowMean!$B$2:$B$1004) - 1)) * SQRT(252)</f>
        <v>0</v>
      </c>
    </row>
    <row r="16" spans="1:11">
      <c r="A16" s="5" t="s">
        <v>37</v>
      </c>
      <c r="B16" s="7">
        <f>AVERAGE(devBelowTarget!$B$2:$B$1004) * SQRT(252)</f>
        <v>0</v>
      </c>
    </row>
    <row r="17" spans="1:2">
      <c r="A17" s="5" t="s">
        <v>38</v>
      </c>
      <c r="B17" s="7">
        <f>SQRT(SUMSQ(devBelowTarget!$B$2:$B$1004)/(COUNT(devBelowTarget!$B$2:$B$1004) - 1)) * SQRT(252)</f>
        <v>0</v>
      </c>
    </row>
    <row r="18" spans="1:2">
      <c r="A18" s="5" t="s">
        <v>39</v>
      </c>
      <c r="B18" s="7">
        <f>-SMALL(Portfolios!$B$2:$B$1004,ROUNDUP(COUNT(Portfolios!$B$2:$B$1004)*B10,0)) * SQRT(252)</f>
        <v>0</v>
      </c>
    </row>
    <row r="19" spans="1:2">
      <c r="A19" s="5" t="s">
        <v>40</v>
      </c>
      <c r="B19" s="7">
        <f>-((SUMIF(Portfolios!$B$2:$B$1004,"&lt;="&amp;(-B18/SQRT(252)),Portfolios!$B$2:$B$1004)-ROUNDUP(COUNT(Portfolios!$B$2:$B$1004)*B10,0)*(-B18/SQRT(252)))/(COUNT(Portfolios!$B$2:$B$1004)*B10)-B18/SQRT(252)) * SQRT(252)</f>
        <v>0</v>
      </c>
    </row>
    <row r="20" spans="1:2">
      <c r="A20" s="5" t="s">
        <v>41</v>
      </c>
      <c r="B20" s="7">
        <f>0.025027801227800548 * SQRT(252)</f>
        <v>0</v>
      </c>
    </row>
    <row r="21" spans="1:2">
      <c r="A21" s="5" t="s">
        <v>42</v>
      </c>
      <c r="B21" s="7">
        <f>-MIN(Portfolios!$B$2:$B$1004) * SQRT(252)</f>
        <v>0</v>
      </c>
    </row>
    <row r="22" spans="1:2">
      <c r="A22" s="5" t="s">
        <v>43</v>
      </c>
      <c r="B22" s="8">
        <f>SKEW(Portfolios!$B$2:$B$1004)</f>
        <v>0</v>
      </c>
    </row>
    <row r="23" spans="1:2">
      <c r="A23" s="5" t="s">
        <v>44</v>
      </c>
      <c r="B23" s="8">
        <f>KURT(Portfolios!$B$2:$B$1004)</f>
        <v>0</v>
      </c>
    </row>
    <row r="25" spans="1:2">
      <c r="A25" s="5" t="s">
        <v>45</v>
      </c>
    </row>
    <row r="26" spans="1:2">
      <c r="A26" s="5" t="s">
        <v>46</v>
      </c>
      <c r="B26" s="7">
        <f>SQRT(SUMSQ(Drawdown!$B$2:$B$1004)/COUNT(Drawdown!$B$2:$B$1004))</f>
        <v>0</v>
      </c>
    </row>
    <row r="27" spans="1:2">
      <c r="A27" s="5" t="s">
        <v>47</v>
      </c>
      <c r="B27" s="7">
        <f>AVERAGE(Drawdown!$B$2:$B$1004)</f>
        <v>0</v>
      </c>
    </row>
    <row r="28" spans="1:2">
      <c r="A28" s="5" t="s">
        <v>48</v>
      </c>
      <c r="B28" s="7">
        <f>+LARGE(Drawdown!$B$2:$B$1004,ROUNDUP(COUNT(Drawdown!$B$2:$B$1004)*B10,0))</f>
        <v>0</v>
      </c>
    </row>
    <row r="29" spans="1:2">
      <c r="A29" s="5" t="s">
        <v>49</v>
      </c>
      <c r="B29" s="7">
        <f>((SUMIF(Drawdown!$B$2:$B$1004,"&gt;="&amp;LARGE(Drawdown!$B$2:$B$1004,ROUNDUP(COUNT(Drawdown!$B$2:$B$1004)*B10,0)),Drawdown!$B$2:$B$1004)-ROUNDUP(COUNT(Drawdown!$B$2:$B$1004)*B10,0)*LARGE(Drawdown!$B$2:$B$1004,ROUNDUP(COUNT(Drawdown!$B$2:$B$1004)*B10,0)))/(COUNT(Drawdown!$B$2:$B$1004)*B10)+LARGE(Drawdown!$B$2:$B$1004,ROUNDUP(COUNT(Drawdown!$B$2:$B$1004)*B10,0)))</f>
        <v>0</v>
      </c>
    </row>
    <row r="30" spans="1:2">
      <c r="A30" s="5" t="s">
        <v>50</v>
      </c>
      <c r="B30" s="7">
        <f>0.10194495121557334</f>
        <v>0</v>
      </c>
    </row>
    <row r="31" spans="1:2">
      <c r="A31" s="5" t="s">
        <v>51</v>
      </c>
      <c r="B31" s="7">
        <f>MAX(Drawdown!$B$2:$B$1004)</f>
        <v>0</v>
      </c>
    </row>
    <row r="32" spans="1:2">
      <c r="A32" t="s">
        <v>55</v>
      </c>
    </row>
    <row r="33" spans="1:2">
      <c r="A33" t="s">
        <v>56</v>
      </c>
    </row>
    <row r="34" spans="1:2">
      <c r="A34" t="s">
        <v>57</v>
      </c>
    </row>
    <row r="37" spans="1:2">
      <c r="B37" s="5" t="s">
        <v>52</v>
      </c>
    </row>
    <row r="38" spans="1:2">
      <c r="A38" s="9" t="s">
        <v>1</v>
      </c>
      <c r="B38" s="1">
        <v>7.775114891307521E-10</v>
      </c>
    </row>
    <row r="39" spans="1:2">
      <c r="A39" s="9" t="s">
        <v>2</v>
      </c>
      <c r="B39" s="1">
        <v>0.05523054835910826</v>
      </c>
    </row>
    <row r="40" spans="1:2">
      <c r="A40" s="9" t="s">
        <v>3</v>
      </c>
      <c r="B40" s="1">
        <v>0.1029322102833363</v>
      </c>
    </row>
    <row r="41" spans="1:2">
      <c r="A41" s="9" t="s">
        <v>4</v>
      </c>
      <c r="B41" s="1">
        <v>1.933195786794487E-09</v>
      </c>
    </row>
    <row r="42" spans="1:2">
      <c r="A42" s="9" t="s">
        <v>5</v>
      </c>
      <c r="B42" s="1">
        <v>8.451075704211967E-09</v>
      </c>
    </row>
    <row r="43" spans="1:2">
      <c r="A43" s="9" t="s">
        <v>6</v>
      </c>
      <c r="B43" s="1">
        <v>0.07841097048570467</v>
      </c>
    </row>
    <row r="44" spans="1:2">
      <c r="A44" s="9" t="s">
        <v>7</v>
      </c>
      <c r="B44" s="1">
        <v>4.285104795835518E-09</v>
      </c>
    </row>
    <row r="45" spans="1:2">
      <c r="A45" s="9" t="s">
        <v>8</v>
      </c>
      <c r="B45" s="1">
        <v>0.0265296650480137</v>
      </c>
    </row>
    <row r="46" spans="1:2">
      <c r="A46" s="9" t="s">
        <v>9</v>
      </c>
      <c r="B46" s="1">
        <v>3.494339713760894E-09</v>
      </c>
    </row>
    <row r="47" spans="1:2">
      <c r="A47" s="9" t="s">
        <v>10</v>
      </c>
      <c r="B47" s="1">
        <v>3.61346646028843E-09</v>
      </c>
    </row>
    <row r="48" spans="1:2">
      <c r="A48" s="9" t="s">
        <v>11</v>
      </c>
      <c r="B48" s="1">
        <v>0.07459338818208967</v>
      </c>
    </row>
    <row r="49" spans="1:2">
      <c r="A49" s="9" t="s">
        <v>12</v>
      </c>
      <c r="B49" s="1">
        <v>2.177163586552333E-09</v>
      </c>
    </row>
    <row r="50" spans="1:2">
      <c r="A50" s="9" t="s">
        <v>13</v>
      </c>
      <c r="B50" s="1">
        <v>2.68222386115442E-09</v>
      </c>
    </row>
    <row r="51" spans="1:2">
      <c r="A51" s="9" t="s">
        <v>14</v>
      </c>
      <c r="B51" s="1">
        <v>0.1935498131928787</v>
      </c>
    </row>
    <row r="52" spans="1:2">
      <c r="A52" s="9" t="s">
        <v>15</v>
      </c>
      <c r="B52" s="1">
        <v>0.164120754807228</v>
      </c>
    </row>
    <row r="53" spans="1:2">
      <c r="A53" s="9" t="s">
        <v>16</v>
      </c>
      <c r="B53" s="1">
        <v>0.1058424791704926</v>
      </c>
    </row>
    <row r="54" spans="1:2">
      <c r="A54" s="9" t="s">
        <v>17</v>
      </c>
      <c r="B54" s="1">
        <v>4.220152914556041E-09</v>
      </c>
    </row>
    <row r="55" spans="1:2">
      <c r="A55" s="9" t="s">
        <v>18</v>
      </c>
      <c r="B55" s="1">
        <v>2.952454006154293E-09</v>
      </c>
    </row>
    <row r="56" spans="1:2">
      <c r="A56" s="9" t="s">
        <v>19</v>
      </c>
      <c r="B56" s="1">
        <v>0.09415894681441508</v>
      </c>
    </row>
    <row r="57" spans="1:2">
      <c r="A57" s="9" t="s">
        <v>20</v>
      </c>
      <c r="B57" s="1">
        <v>1.591741013978063E-08</v>
      </c>
    </row>
    <row r="58" spans="1:2">
      <c r="A58" s="9" t="s">
        <v>21</v>
      </c>
      <c r="B58" s="1">
        <v>0.06816495411795727</v>
      </c>
    </row>
    <row r="59" spans="1:2">
      <c r="A59" s="9" t="s">
        <v>22</v>
      </c>
      <c r="B59" s="1">
        <v>2.127756101454941E-08</v>
      </c>
    </row>
    <row r="60" spans="1:2">
      <c r="A60" s="9" t="s">
        <v>23</v>
      </c>
      <c r="B60" s="1">
        <v>1.120871930806101E-09</v>
      </c>
    </row>
    <row r="61" spans="1:2">
      <c r="A61" s="9" t="s">
        <v>24</v>
      </c>
      <c r="B61" s="1">
        <v>0.03646618859934329</v>
      </c>
    </row>
    <row r="62" spans="1:2">
      <c r="A62" s="9" t="s">
        <v>25</v>
      </c>
      <c r="B62" s="1">
        <v>8.0369011550266E-09</v>
      </c>
    </row>
  </sheetData>
  <mergeCells count="1">
    <mergeCell ref="A2:K2"/>
  </mergeCells>
  <hyperlinks>
    <hyperlink ref="A3" r:id="rId1"/>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ALP1004"/>
  <sheetViews>
    <sheetView showGridLines="0" workbookViewId="0"/>
  </sheetViews>
  <sheetFormatPr defaultRowHeight="15"/>
  <cols>
    <col min="1" max="1" width="10.7109375" style="10" customWidth="1"/>
    <col min="2" max="1004" width="9.7109375" style="1" customWidth="1"/>
  </cols>
  <sheetData>
    <row r="1" spans="1:26">
      <c r="A1" s="5" t="s">
        <v>26</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c r="T1" s="9" t="s">
        <v>19</v>
      </c>
      <c r="U1" s="9" t="s">
        <v>20</v>
      </c>
      <c r="V1" s="9" t="s">
        <v>21</v>
      </c>
      <c r="W1" s="9" t="s">
        <v>22</v>
      </c>
      <c r="X1" s="9" t="s">
        <v>23</v>
      </c>
      <c r="Y1" s="9" t="s">
        <v>24</v>
      </c>
      <c r="Z1" s="9" t="s">
        <v>25</v>
      </c>
    </row>
    <row r="2" spans="1:26">
      <c r="A2" s="11">
        <v>42374</v>
      </c>
      <c r="B2" s="1">
        <v>-0.02025694691611246</v>
      </c>
      <c r="C2" s="1">
        <v>0.004057038430365312</v>
      </c>
      <c r="D2" s="1">
        <v>0.004035748025317032</v>
      </c>
      <c r="E2" s="1">
        <v>0.01969291824264396</v>
      </c>
      <c r="F2" s="1">
        <v>0.0001798740728324866</v>
      </c>
      <c r="G2" s="1">
        <v>0.009304940871867728</v>
      </c>
      <c r="H2" s="1">
        <v>0.003677968586708769</v>
      </c>
      <c r="I2" s="1">
        <v>0.005783622972998614</v>
      </c>
      <c r="J2" s="1">
        <v>0.00948284920777942</v>
      </c>
      <c r="K2" s="1">
        <v>-0.01195340829329894</v>
      </c>
      <c r="L2" s="1">
        <v>0.001729136105677709</v>
      </c>
      <c r="M2" s="1">
        <v>0.01191620645320945</v>
      </c>
      <c r="N2" s="1">
        <v>0.0202126291465643</v>
      </c>
      <c r="O2" s="1">
        <v>0.008284269175371506</v>
      </c>
      <c r="P2" s="1">
        <v>0.004561943132879831</v>
      </c>
      <c r="Q2" s="1">
        <v>0.01588089990075048</v>
      </c>
      <c r="R2" s="1">
        <v>0.000211693048258077</v>
      </c>
      <c r="S2" s="1">
        <v>0.02823615978673288</v>
      </c>
      <c r="T2" s="1">
        <v>0.004043109817354784</v>
      </c>
      <c r="U2" s="1">
        <v>0.006986894344670258</v>
      </c>
      <c r="V2" s="1">
        <v>0.01753865873201477</v>
      </c>
      <c r="W2" s="1">
        <v>-0.00172993044077252</v>
      </c>
      <c r="X2" s="1">
        <v>0.002409507043239056</v>
      </c>
      <c r="Y2" s="1">
        <v>0.01373499171398374</v>
      </c>
      <c r="Z2" s="1">
        <v>-0.01085721163872799</v>
      </c>
    </row>
    <row r="3" spans="1:26">
      <c r="A3" s="11">
        <v>42375</v>
      </c>
      <c r="B3" s="1">
        <v>-0.1148632975611011</v>
      </c>
      <c r="C3" s="1">
        <v>-0.01587867197153769</v>
      </c>
      <c r="D3" s="1">
        <v>0.002411258809848382</v>
      </c>
      <c r="E3" s="1">
        <v>-0.01755681135352827</v>
      </c>
      <c r="F3" s="1">
        <v>-0.007726781466750432</v>
      </c>
      <c r="G3" s="1">
        <v>-0.012473102248581</v>
      </c>
      <c r="H3" s="1">
        <v>-0.001735850498800873</v>
      </c>
      <c r="I3" s="1">
        <v>-0.0112390430401732</v>
      </c>
      <c r="J3" s="1">
        <v>-0.03586665427901947</v>
      </c>
      <c r="K3" s="1">
        <v>-0.009551090873413992</v>
      </c>
      <c r="L3" s="1">
        <v>-0.0144355443181714</v>
      </c>
      <c r="M3" s="1">
        <v>0.009184803384890472</v>
      </c>
      <c r="N3" s="1">
        <v>0.01058889750929803</v>
      </c>
      <c r="O3" s="1">
        <v>-0.01205033744883832</v>
      </c>
      <c r="P3" s="1">
        <v>-0.0181651441905657</v>
      </c>
      <c r="Q3" s="1">
        <v>0.005547135297179429</v>
      </c>
      <c r="R3" s="1">
        <v>0.0002119130247517642</v>
      </c>
      <c r="S3" s="1">
        <v>0.001591870968233433</v>
      </c>
      <c r="T3" s="1">
        <v>-0.02893115907260257</v>
      </c>
      <c r="U3" s="1">
        <v>0.003107741618876947</v>
      </c>
      <c r="V3" s="1">
        <v>-0.01015491472417174</v>
      </c>
      <c r="W3" s="1">
        <v>-0.007652440337941435</v>
      </c>
      <c r="X3" s="1">
        <v>-0.03004760430269404</v>
      </c>
      <c r="Y3" s="1">
        <v>-0.009034752011261471</v>
      </c>
      <c r="Z3" s="1">
        <v>-0.02914494701333681</v>
      </c>
    </row>
    <row r="4" spans="1:26">
      <c r="A4" s="11">
        <v>42376</v>
      </c>
      <c r="B4" s="1">
        <v>-0.05138835257048846</v>
      </c>
      <c r="C4" s="1">
        <v>-0.04192179447388955</v>
      </c>
      <c r="D4" s="1">
        <v>-0.01657286981422323</v>
      </c>
      <c r="E4" s="1">
        <v>-0.02769917818803913</v>
      </c>
      <c r="F4" s="1">
        <v>-0.01104680021289928</v>
      </c>
      <c r="G4" s="1">
        <v>-0.01976922898390476</v>
      </c>
      <c r="H4" s="1">
        <v>-0.01220664496563362</v>
      </c>
      <c r="I4" s="1">
        <v>-0.008855923155695167</v>
      </c>
      <c r="J4" s="1">
        <v>-0.04605850002922052</v>
      </c>
      <c r="K4" s="1">
        <v>-0.02539381349517833</v>
      </c>
      <c r="L4" s="1">
        <v>-0.04043959949483378</v>
      </c>
      <c r="M4" s="1">
        <v>-0.02100330876544299</v>
      </c>
      <c r="N4" s="1">
        <v>-0.0174071499405325</v>
      </c>
      <c r="O4" s="1">
        <v>-0.007577123857103074</v>
      </c>
      <c r="P4" s="1">
        <v>-0.03478290000343121</v>
      </c>
      <c r="Q4" s="1">
        <v>-0.02206607022665386</v>
      </c>
      <c r="R4" s="1">
        <v>-0.03030958424872987</v>
      </c>
      <c r="S4" s="1">
        <v>-0.01041044755351139</v>
      </c>
      <c r="T4" s="1">
        <v>-0.02741723514022343</v>
      </c>
      <c r="U4" s="1">
        <v>-0.01614795717878148</v>
      </c>
      <c r="V4" s="1">
        <v>-0.002699889237686603</v>
      </c>
      <c r="W4" s="1">
        <v>-0.02284475771692185</v>
      </c>
      <c r="X4" s="1">
        <v>-0.02057050402297422</v>
      </c>
      <c r="Y4" s="1">
        <v>-0.005492132424158025</v>
      </c>
      <c r="Z4" s="1">
        <v>-0.0300192744685116</v>
      </c>
    </row>
    <row r="5" spans="1:26">
      <c r="A5" s="11">
        <v>42377</v>
      </c>
      <c r="B5" s="1">
        <v>0.0027357008031208</v>
      </c>
      <c r="C5" s="1">
        <v>-0.02270504010317687</v>
      </c>
      <c r="D5" s="1">
        <v>-0.01603692815715263</v>
      </c>
      <c r="E5" s="1">
        <v>-0.02542529711674857</v>
      </c>
      <c r="F5" s="1">
        <v>0.001098819641815574</v>
      </c>
      <c r="G5" s="1">
        <v>-0.00224117567808102</v>
      </c>
      <c r="H5" s="1">
        <v>0.005706760552371515</v>
      </c>
      <c r="I5" s="1">
        <v>-0.0164015785968129</v>
      </c>
      <c r="J5" s="1">
        <v>-0.01764186717720206</v>
      </c>
      <c r="K5" s="1">
        <v>-0.00164883258232984</v>
      </c>
      <c r="L5" s="1">
        <v>-0.02239944576554265</v>
      </c>
      <c r="M5" s="1">
        <v>0.006197713850616626</v>
      </c>
      <c r="N5" s="1">
        <v>0.001720339483722411</v>
      </c>
      <c r="O5" s="1">
        <v>-0.01396692431142177</v>
      </c>
      <c r="P5" s="1">
        <v>0.003067128919587825</v>
      </c>
      <c r="Q5" s="1">
        <v>-0.001538276139748329</v>
      </c>
      <c r="R5" s="1">
        <v>-0.01136578209719374</v>
      </c>
      <c r="S5" s="1">
        <v>-0.007308124813221517</v>
      </c>
      <c r="T5" s="1">
        <v>0.0008275163646598305</v>
      </c>
      <c r="U5" s="1">
        <v>0.0008952527708911973</v>
      </c>
      <c r="V5" s="1">
        <v>-0.03383844477268205</v>
      </c>
      <c r="W5" s="1">
        <v>-0.001116655636883568</v>
      </c>
      <c r="X5" s="1">
        <v>-0.01138675465001515</v>
      </c>
      <c r="Y5" s="1">
        <v>-0.009719607691922927</v>
      </c>
      <c r="Z5" s="1">
        <v>-0.01125358787329767</v>
      </c>
    </row>
    <row r="6" spans="1:26">
      <c r="A6" s="11">
        <v>42380</v>
      </c>
      <c r="B6" s="1">
        <v>-0.04338304410189542</v>
      </c>
      <c r="C6" s="1">
        <v>0.001692441147242318</v>
      </c>
      <c r="D6" s="1">
        <v>-0.01685075094323085</v>
      </c>
      <c r="E6" s="1">
        <v>-0.01021487322795167</v>
      </c>
      <c r="F6" s="1">
        <v>0.0009145480659455973</v>
      </c>
      <c r="G6" s="1">
        <v>-0.01179102841337543</v>
      </c>
      <c r="H6" s="1">
        <v>0.005674057085698792</v>
      </c>
      <c r="I6" s="1">
        <v>0.005287268709249338</v>
      </c>
      <c r="J6" s="1">
        <v>0.006616463116186466</v>
      </c>
      <c r="K6" s="1">
        <v>0.0003302596618326437</v>
      </c>
      <c r="L6" s="1">
        <v>-0.00152726674646364</v>
      </c>
      <c r="M6" s="1">
        <v>-0.004027485837047373</v>
      </c>
      <c r="N6" s="1">
        <v>0.02094749122479467</v>
      </c>
      <c r="O6" s="1">
        <v>-0.01454177169365556</v>
      </c>
      <c r="P6" s="1">
        <v>-0.0005736476154833969</v>
      </c>
      <c r="Q6" s="1">
        <v>0.01643559724796551</v>
      </c>
      <c r="R6" s="1">
        <v>0</v>
      </c>
      <c r="S6" s="1">
        <v>0.009869444571663832</v>
      </c>
      <c r="T6" s="1">
        <v>0.0008273554590128018</v>
      </c>
      <c r="U6" s="1">
        <v>0.01222415146813405</v>
      </c>
      <c r="V6" s="1">
        <v>0.01456942446210618</v>
      </c>
      <c r="W6" s="1">
        <v>0.005366760519740277</v>
      </c>
      <c r="X6" s="1">
        <v>-0.00460680574090766</v>
      </c>
      <c r="Y6" s="1">
        <v>0.005799806521875839</v>
      </c>
      <c r="Z6" s="1">
        <v>-0.01991889172396655</v>
      </c>
    </row>
    <row r="7" spans="1:26">
      <c r="A7" s="11">
        <v>42381</v>
      </c>
      <c r="B7" s="1">
        <v>0.0102678408406216</v>
      </c>
      <c r="C7" s="1">
        <v>0.01313268987981053</v>
      </c>
      <c r="D7" s="1">
        <v>-0.003091078245384682</v>
      </c>
      <c r="E7" s="1">
        <v>0.007303619286189944</v>
      </c>
      <c r="F7" s="1">
        <v>0.002741039957957714</v>
      </c>
      <c r="G7" s="1">
        <v>-0.01704524225515647</v>
      </c>
      <c r="H7" s="1">
        <v>0.04046679386208996</v>
      </c>
      <c r="I7" s="1">
        <v>0.004989653740624211</v>
      </c>
      <c r="J7" s="1">
        <v>0.01596225075167368</v>
      </c>
      <c r="K7" s="1">
        <v>0.009577198763286221</v>
      </c>
      <c r="L7" s="1">
        <v>0.002209645145150541</v>
      </c>
      <c r="M7" s="1">
        <v>0.01522353949672173</v>
      </c>
      <c r="N7" s="1">
        <v>-0.001345705456726409</v>
      </c>
      <c r="O7" s="1">
        <v>0.0093905758204329</v>
      </c>
      <c r="P7" s="1">
        <v>0.009178013475002134</v>
      </c>
      <c r="Q7" s="1">
        <v>-0.01263255995619217</v>
      </c>
      <c r="R7" s="1">
        <v>-0.0008841934813420549</v>
      </c>
      <c r="S7" s="1">
        <v>0.00200284825425201</v>
      </c>
      <c r="T7" s="1">
        <v>0.01839038220772848</v>
      </c>
      <c r="U7" s="1">
        <v>-0.0014724933161675</v>
      </c>
      <c r="V7" s="1">
        <v>0.01298029940889922</v>
      </c>
      <c r="W7" s="1">
        <v>0.0154953160333533</v>
      </c>
      <c r="X7" s="1">
        <v>0.004885875283695329</v>
      </c>
      <c r="Y7" s="1">
        <v>-0.003548411453035416</v>
      </c>
      <c r="Z7" s="1">
        <v>-0.00414730653884543</v>
      </c>
    </row>
    <row r="8" spans="1:26">
      <c r="A8" s="11">
        <v>42382</v>
      </c>
      <c r="B8" s="1">
        <v>0.005082165487642953</v>
      </c>
      <c r="C8" s="1">
        <v>-0.02880558389549814</v>
      </c>
      <c r="D8" s="1">
        <v>-0.01831996447929451</v>
      </c>
      <c r="E8" s="1">
        <v>-0.03404775819751782</v>
      </c>
      <c r="F8" s="1">
        <v>-0.02405686554743314</v>
      </c>
      <c r="G8" s="1">
        <v>-0.01329479574785708</v>
      </c>
      <c r="H8" s="1">
        <v>-0.01290227601407401</v>
      </c>
      <c r="I8" s="1">
        <v>-0.01744441205464065</v>
      </c>
      <c r="J8" s="1">
        <v>-0.02218116275079141</v>
      </c>
      <c r="K8" s="1">
        <v>-0.02486123795228345</v>
      </c>
      <c r="L8" s="1">
        <v>-0.02747641907352361</v>
      </c>
      <c r="M8" s="1">
        <v>-0.05342048136259336</v>
      </c>
      <c r="N8" s="1">
        <v>-0.02694492670949999</v>
      </c>
      <c r="O8" s="1">
        <v>-0.008353980511620063</v>
      </c>
      <c r="P8" s="1">
        <v>-0.02159888697438894</v>
      </c>
      <c r="Q8" s="1">
        <v>-0.003582532936394212</v>
      </c>
      <c r="R8" s="1">
        <v>-0.01969490715951638</v>
      </c>
      <c r="S8" s="1">
        <v>-0.003277997336428862</v>
      </c>
      <c r="T8" s="1">
        <v>-0.02134561254576128</v>
      </c>
      <c r="U8" s="1">
        <v>-0.004720162198456945</v>
      </c>
      <c r="V8" s="1">
        <v>-0.02344595345621592</v>
      </c>
      <c r="W8" s="1">
        <v>-0.02336302913757093</v>
      </c>
      <c r="X8" s="1">
        <v>-0.02891523127290896</v>
      </c>
      <c r="Y8" s="1">
        <v>-0.01736046843178096</v>
      </c>
      <c r="Z8" s="1">
        <v>-0.04664765872044752</v>
      </c>
    </row>
    <row r="9" spans="1:26">
      <c r="A9" s="11">
        <v>42383</v>
      </c>
      <c r="B9" s="1">
        <v>0.04016839158418573</v>
      </c>
      <c r="C9" s="1">
        <v>0.008429615163506821</v>
      </c>
      <c r="D9" s="1">
        <v>0.01378111016771189</v>
      </c>
      <c r="E9" s="1">
        <v>0.03639023496579652</v>
      </c>
      <c r="F9" s="1">
        <v>0.02801147585074237</v>
      </c>
      <c r="G9" s="1">
        <v>0.0328056715578946</v>
      </c>
      <c r="H9" s="1">
        <v>0.01326027616472047</v>
      </c>
      <c r="I9" s="1">
        <v>0.005189458998033247</v>
      </c>
      <c r="J9" s="1">
        <v>0.003780873303535159</v>
      </c>
      <c r="K9" s="1">
        <v>0.0137537810329611</v>
      </c>
      <c r="L9" s="1">
        <v>0.0149985150637364</v>
      </c>
      <c r="M9" s="1">
        <v>0.001732484652276156</v>
      </c>
      <c r="N9" s="1">
        <v>0.007615468375259393</v>
      </c>
      <c r="O9" s="1">
        <v>0.02565589376334954</v>
      </c>
      <c r="P9" s="1">
        <v>0.02846614489191257</v>
      </c>
      <c r="Q9" s="1">
        <v>0.02722121952498613</v>
      </c>
      <c r="R9" s="1">
        <v>0.03182857453791099</v>
      </c>
      <c r="S9" s="1">
        <v>0.001524170589134677</v>
      </c>
      <c r="T9" s="1">
        <v>0.00862521327734278</v>
      </c>
      <c r="U9" s="1">
        <v>0.01659775397490448</v>
      </c>
      <c r="V9" s="1">
        <v>-0.01716909836171177</v>
      </c>
      <c r="W9" s="1">
        <v>0.01510080464803121</v>
      </c>
      <c r="X9" s="1">
        <v>0.0002631127100782837</v>
      </c>
      <c r="Y9" s="1">
        <v>0.01630839174761278</v>
      </c>
      <c r="Z9" s="1">
        <v>0.00436902427254382</v>
      </c>
    </row>
    <row r="10" spans="1:26">
      <c r="A10" s="11">
        <v>42384</v>
      </c>
      <c r="B10" s="1">
        <v>-0.04590873221297287</v>
      </c>
      <c r="C10" s="1">
        <v>-0.0276314725574337</v>
      </c>
      <c r="D10" s="1">
        <v>-0.005947200178433198</v>
      </c>
      <c r="E10" s="1">
        <v>-0.01149453291942193</v>
      </c>
      <c r="F10" s="1">
        <v>-0.02107227275497969</v>
      </c>
      <c r="G10" s="1">
        <v>-0.01871769608748708</v>
      </c>
      <c r="H10" s="1">
        <v>-0.009347453919665627</v>
      </c>
      <c r="I10" s="1">
        <v>-0.006521721065637309</v>
      </c>
      <c r="J10" s="1">
        <v>-0.04802267717696829</v>
      </c>
      <c r="K10" s="1">
        <v>0.002316674989106371</v>
      </c>
      <c r="L10" s="1">
        <v>-0.01993124233291432</v>
      </c>
      <c r="M10" s="1">
        <v>-0.01729670991085885</v>
      </c>
      <c r="N10" s="1">
        <v>-0.0175200769157775</v>
      </c>
      <c r="O10" s="1">
        <v>-0.02538737933141755</v>
      </c>
      <c r="P10" s="1">
        <v>-0.03991693115137129</v>
      </c>
      <c r="Q10" s="1">
        <v>-0.01300008330470082</v>
      </c>
      <c r="R10" s="1">
        <v>-0.008750634026365445</v>
      </c>
      <c r="S10" s="1">
        <v>-0.004725039408827403</v>
      </c>
      <c r="T10" s="1">
        <v>-0.004686853227414356</v>
      </c>
      <c r="U10" s="1">
        <v>-0.009038130803933231</v>
      </c>
      <c r="V10" s="1">
        <v>-0.004686967094298389</v>
      </c>
      <c r="W10" s="1">
        <v>-0.02231395404253578</v>
      </c>
      <c r="X10" s="1">
        <v>-0.01606931619501406</v>
      </c>
      <c r="Y10" s="1">
        <v>-0.009806400887606426</v>
      </c>
      <c r="Z10" s="1">
        <v>-0.02827333735046389</v>
      </c>
    </row>
    <row r="11" spans="1:26">
      <c r="A11" s="11">
        <v>42388</v>
      </c>
      <c r="B11" s="1">
        <v>-0.02405887872732348</v>
      </c>
      <c r="C11" s="1">
        <v>0.003422790038067447</v>
      </c>
      <c r="D11" s="1">
        <v>0.007407535730417525</v>
      </c>
      <c r="E11" s="1">
        <v>0.006849414443107493</v>
      </c>
      <c r="F11" s="1">
        <v>0.006680609972346208</v>
      </c>
      <c r="G11" s="1">
        <v>0.01156041707822486</v>
      </c>
      <c r="H11" s="1">
        <v>0.02528767462179426</v>
      </c>
      <c r="I11" s="1">
        <v>-0.009026070399135944</v>
      </c>
      <c r="J11" s="1">
        <v>-0.03461930972919647</v>
      </c>
      <c r="K11" s="1">
        <v>0.007593101280937153</v>
      </c>
      <c r="L11" s="1">
        <v>-0.0005261917948341521</v>
      </c>
      <c r="M11" s="1">
        <v>-0.00427447331679498</v>
      </c>
      <c r="N11" s="1">
        <v>0.02097937608525613</v>
      </c>
      <c r="O11" s="1">
        <v>-0.001148904250594107</v>
      </c>
      <c r="P11" s="1">
        <v>-0.008433086755318731</v>
      </c>
      <c r="Q11" s="1">
        <v>0.01519790694053036</v>
      </c>
      <c r="R11" s="1">
        <v>-0.006179895245547407</v>
      </c>
      <c r="S11" s="1">
        <v>0.007604144877013219</v>
      </c>
      <c r="T11" s="1">
        <v>-0.0113588807200985</v>
      </c>
      <c r="U11" s="1">
        <v>0.01529914409505184</v>
      </c>
      <c r="V11" s="1">
        <v>-0.01198637585815066</v>
      </c>
      <c r="W11" s="1">
        <v>0.01619487025850797</v>
      </c>
      <c r="X11" s="1">
        <v>-0.01472595735567583</v>
      </c>
      <c r="Y11" s="1">
        <v>0.009903518762792274</v>
      </c>
      <c r="Z11" s="1">
        <v>-0.01790542911364246</v>
      </c>
    </row>
    <row r="12" spans="1:26">
      <c r="A12" s="11">
        <v>42389</v>
      </c>
      <c r="B12" s="1">
        <v>0.01110138187822485</v>
      </c>
      <c r="C12" s="1">
        <v>-0.03109643168822596</v>
      </c>
      <c r="D12" s="1">
        <v>-0.01696848579246013</v>
      </c>
      <c r="E12" s="1">
        <v>0.005378833958938234</v>
      </c>
      <c r="F12" s="1">
        <v>-0.01179688511728405</v>
      </c>
      <c r="G12" s="1">
        <v>-0.03428598368203439</v>
      </c>
      <c r="H12" s="1">
        <v>-0.004233439580535237</v>
      </c>
      <c r="I12" s="1">
        <v>-0.006348537854329206</v>
      </c>
      <c r="J12" s="1">
        <v>-0.0215159343554413</v>
      </c>
      <c r="K12" s="1">
        <v>-0.01632853552681079</v>
      </c>
      <c r="L12" s="1">
        <v>-0.02631107212781836</v>
      </c>
      <c r="M12" s="1">
        <v>-0.007575905642224767</v>
      </c>
      <c r="N12" s="1">
        <v>-0.02020560302799979</v>
      </c>
      <c r="O12" s="1">
        <v>-0.01169721847459015</v>
      </c>
      <c r="P12" s="1">
        <v>0.004549009025351936</v>
      </c>
      <c r="Q12" s="1">
        <v>-0.02894198067997067</v>
      </c>
      <c r="R12" s="1">
        <v>0.006662569070657431</v>
      </c>
      <c r="S12" s="1">
        <v>-0.0405286347718965</v>
      </c>
      <c r="T12" s="1">
        <v>0.02515185957610511</v>
      </c>
      <c r="U12" s="1">
        <v>-0.01767616013543805</v>
      </c>
      <c r="V12" s="1">
        <v>-0.02383015079748307</v>
      </c>
      <c r="W12" s="1">
        <v>-0.01378692733137221</v>
      </c>
      <c r="X12" s="1">
        <v>-0.0119556845236185</v>
      </c>
      <c r="Y12" s="1">
        <v>-0.01002926856818853</v>
      </c>
      <c r="Z12" s="1">
        <v>-0.02142177919868193</v>
      </c>
    </row>
    <row r="13" spans="1:26">
      <c r="A13" s="11">
        <v>42390</v>
      </c>
      <c r="B13" s="1">
        <v>0.07598958254883259</v>
      </c>
      <c r="C13" s="1">
        <v>0.01031605233965438</v>
      </c>
      <c r="D13" s="1">
        <v>0.01409649789031175</v>
      </c>
      <c r="E13" s="1">
        <v>-0.00660876175319336</v>
      </c>
      <c r="F13" s="1">
        <v>0.0132435151762873</v>
      </c>
      <c r="G13" s="1">
        <v>0.03136137635497294</v>
      </c>
      <c r="H13" s="1">
        <v>-0.0001845681040628655</v>
      </c>
      <c r="I13" s="1">
        <v>0.01430544122978783</v>
      </c>
      <c r="J13" s="1">
        <v>0.04083718742945375</v>
      </c>
      <c r="K13" s="1">
        <v>0.005701002132998623</v>
      </c>
      <c r="L13" s="1">
        <v>-0.004683876661271791</v>
      </c>
      <c r="M13" s="1">
        <v>0.00508934314845555</v>
      </c>
      <c r="N13" s="1">
        <v>0.004019226219742933</v>
      </c>
      <c r="O13" s="1">
        <v>0.001171498616048039</v>
      </c>
      <c r="P13" s="1">
        <v>-0.006103770837286082</v>
      </c>
      <c r="Q13" s="1">
        <v>0.003596778956295177</v>
      </c>
      <c r="R13" s="1">
        <v>0.01058874864175863</v>
      </c>
      <c r="S13" s="1">
        <v>0.00320427682542257</v>
      </c>
      <c r="T13" s="1">
        <v>0.002444824133952528</v>
      </c>
      <c r="U13" s="1">
        <v>0.01887871910951699</v>
      </c>
      <c r="V13" s="1">
        <v>0.01553503760426445</v>
      </c>
      <c r="W13" s="1">
        <v>-0.01029720173582771</v>
      </c>
      <c r="X13" s="1">
        <v>0.004125025795387094</v>
      </c>
      <c r="Y13" s="1">
        <v>0.03264252551353808</v>
      </c>
      <c r="Z13" s="1">
        <v>-0.01769899606396841</v>
      </c>
    </row>
    <row r="14" spans="1:26">
      <c r="A14" s="11">
        <v>42391</v>
      </c>
      <c r="B14" s="1">
        <v>0.05746503201426845</v>
      </c>
      <c r="C14" s="1">
        <v>0.009805565283572459</v>
      </c>
      <c r="D14" s="1">
        <v>0.02326259371035833</v>
      </c>
      <c r="E14" s="1">
        <v>0.02011724258715941</v>
      </c>
      <c r="F14" s="1">
        <v>0.01859335615657942</v>
      </c>
      <c r="G14" s="1">
        <v>0.02007986300345777</v>
      </c>
      <c r="H14" s="1">
        <v>0.01035269231905245</v>
      </c>
      <c r="I14" s="1">
        <v>0.02163504992479548</v>
      </c>
      <c r="J14" s="1">
        <v>-0.01408411432370016</v>
      </c>
      <c r="K14" s="1">
        <v>0.0200066375666661</v>
      </c>
      <c r="L14" s="1">
        <v>0.03076938364235415</v>
      </c>
      <c r="M14" s="1">
        <v>-0.01265876710107561</v>
      </c>
      <c r="N14" s="1">
        <v>0.01444724688068266</v>
      </c>
      <c r="O14" s="1">
        <v>0.01949667424483215</v>
      </c>
      <c r="P14" s="1">
        <v>0.03585612629986001</v>
      </c>
      <c r="Q14" s="1">
        <v>0.03840303413920521</v>
      </c>
      <c r="R14" s="1">
        <v>0.01571706627001546</v>
      </c>
      <c r="S14" s="1">
        <v>0.02766972247472621</v>
      </c>
      <c r="T14" s="1">
        <v>0.01642504890942553</v>
      </c>
      <c r="U14" s="1">
        <v>0.01737089273011438</v>
      </c>
      <c r="V14" s="1">
        <v>0.01573399934516595</v>
      </c>
      <c r="W14" s="1">
        <v>0.02756703067288857</v>
      </c>
      <c r="X14" s="1">
        <v>0.02574646978622264</v>
      </c>
      <c r="Y14" s="1">
        <v>0.02550743466467709</v>
      </c>
      <c r="Z14" s="1">
        <v>0.01991424626960314</v>
      </c>
    </row>
    <row r="15" spans="1:26">
      <c r="A15" s="11">
        <v>42394</v>
      </c>
      <c r="B15" s="1">
        <v>-0.04951733836190186</v>
      </c>
      <c r="C15" s="1">
        <v>-0.00481510083782799</v>
      </c>
      <c r="D15" s="1">
        <v>-0.0005545013767359608</v>
      </c>
      <c r="E15" s="1">
        <v>-0.0229812438941307</v>
      </c>
      <c r="F15" s="1">
        <v>-0.02024211407089493</v>
      </c>
      <c r="G15" s="1">
        <v>-0.03824484321422517</v>
      </c>
      <c r="H15" s="1">
        <v>-0.0007316434385559178</v>
      </c>
      <c r="I15" s="1">
        <v>-0.03793056253508142</v>
      </c>
      <c r="J15" s="1">
        <v>-0.03163267301810102</v>
      </c>
      <c r="K15" s="1">
        <v>0.1163777901133427</v>
      </c>
      <c r="L15" s="1">
        <v>-0.02265148030419306</v>
      </c>
      <c r="M15" s="1">
        <v>-0.02051296973978245</v>
      </c>
      <c r="N15" s="1">
        <v>0.002059595889183807</v>
      </c>
      <c r="O15" s="1">
        <v>-0.01376907947600658</v>
      </c>
      <c r="P15" s="1">
        <v>-0.009562097119783508</v>
      </c>
      <c r="Q15" s="1">
        <v>0.004930457050821513</v>
      </c>
      <c r="R15" s="1">
        <v>-0.01762303497684181</v>
      </c>
      <c r="S15" s="1">
        <v>-0.0008882143799882058</v>
      </c>
      <c r="T15" s="1">
        <v>-0.02347933170036698</v>
      </c>
      <c r="U15" s="1">
        <v>-0.003984029924865462</v>
      </c>
      <c r="V15" s="1">
        <v>-0.01147438731891715</v>
      </c>
      <c r="W15" s="1">
        <v>-0.004286522044064545</v>
      </c>
      <c r="X15" s="1">
        <v>-0.0165554934221851</v>
      </c>
      <c r="Y15" s="1">
        <v>-0.0002125866162866474</v>
      </c>
      <c r="Z15" s="1">
        <v>-0.05206854176090325</v>
      </c>
    </row>
    <row r="16" spans="1:26">
      <c r="A16" s="11">
        <v>42395</v>
      </c>
      <c r="B16" s="1">
        <v>0.01602940606882508</v>
      </c>
      <c r="C16" s="1">
        <v>0.03225546215720354</v>
      </c>
      <c r="D16" s="1">
        <v>0.01359238528666906</v>
      </c>
      <c r="E16" s="1">
        <v>-0.00365564119793127</v>
      </c>
      <c r="F16" s="1">
        <v>0.01162146221143212</v>
      </c>
      <c r="G16" s="1">
        <v>0.01578945041054292</v>
      </c>
      <c r="H16" s="1">
        <v>0.009888325650194707</v>
      </c>
      <c r="I16" s="1">
        <v>0.0249373064464935</v>
      </c>
      <c r="J16" s="1">
        <v>0.01580602825273525</v>
      </c>
      <c r="K16" s="1">
        <v>-0.004977849615501517</v>
      </c>
      <c r="L16" s="1">
        <v>0.02551213348631198</v>
      </c>
      <c r="M16" s="1">
        <v>0.004450723104490129</v>
      </c>
      <c r="N16" s="1">
        <v>0.009589044296747451</v>
      </c>
      <c r="O16" s="1">
        <v>0.006980347302757206</v>
      </c>
      <c r="P16" s="1">
        <v>0.007336998756934499</v>
      </c>
      <c r="Q16" s="1">
        <v>-0.003434807087013825</v>
      </c>
      <c r="R16" s="1">
        <v>0.04025380909924947</v>
      </c>
      <c r="S16" s="1">
        <v>0.02408007657602251</v>
      </c>
      <c r="T16" s="1">
        <v>0.02162704148204231</v>
      </c>
      <c r="U16" s="1">
        <v>0.01142886919304797</v>
      </c>
      <c r="V16" s="1">
        <v>0.02205429710781326</v>
      </c>
      <c r="W16" s="1">
        <v>-0.004676150405809043</v>
      </c>
      <c r="X16" s="1">
        <v>0.02443673677575564</v>
      </c>
      <c r="Y16" s="1">
        <v>0.02594065650836286</v>
      </c>
      <c r="Z16" s="1">
        <v>0.04217718817109617</v>
      </c>
    </row>
    <row r="17" spans="1:26">
      <c r="A17" s="11">
        <v>42396</v>
      </c>
      <c r="B17" s="1">
        <v>0.0157776275424264</v>
      </c>
      <c r="C17" s="1">
        <v>-0.0892897870908369</v>
      </c>
      <c r="D17" s="1">
        <v>-0.001094860749432436</v>
      </c>
      <c r="E17" s="1">
        <v>-0.01563253828265976</v>
      </c>
      <c r="F17" s="1">
        <v>-0.01312907797891627</v>
      </c>
      <c r="G17" s="1">
        <v>-0.0034541573217306</v>
      </c>
      <c r="H17" s="1">
        <v>-0.002719977983823396</v>
      </c>
      <c r="I17" s="1">
        <v>0.0008153705194262617</v>
      </c>
      <c r="J17" s="1">
        <v>-0.002074916411879402</v>
      </c>
      <c r="K17" s="1">
        <v>-0.01059451085837904</v>
      </c>
      <c r="L17" s="1">
        <v>-0.000700803250061055</v>
      </c>
      <c r="M17" s="1">
        <v>-0.02814724828784687</v>
      </c>
      <c r="N17" s="1">
        <v>0</v>
      </c>
      <c r="O17" s="1">
        <v>-0.005969456079518043</v>
      </c>
      <c r="P17" s="1">
        <v>-0.01820965456919599</v>
      </c>
      <c r="Q17" s="1">
        <v>-0.008370020396282873</v>
      </c>
      <c r="R17" s="1">
        <v>-0.01345947435326866</v>
      </c>
      <c r="S17" s="1">
        <v>-0.02087023142489164</v>
      </c>
      <c r="T17" s="1">
        <v>0.01134651285028765</v>
      </c>
      <c r="U17" s="1">
        <v>0.00225956085325052</v>
      </c>
      <c r="V17" s="1">
        <v>0.003549315014848453</v>
      </c>
      <c r="W17" s="1">
        <v>0.01290104183606622</v>
      </c>
      <c r="X17" s="1">
        <v>-0.1335811032891431</v>
      </c>
      <c r="Y17" s="1">
        <v>0.01616606533322873</v>
      </c>
      <c r="Z17" s="1">
        <v>0.02494149535470513</v>
      </c>
    </row>
    <row r="18" spans="1:26">
      <c r="A18" s="11">
        <v>42397</v>
      </c>
      <c r="B18" s="1">
        <v>0.05099607200520517</v>
      </c>
      <c r="C18" s="1">
        <v>0.01226609667050793</v>
      </c>
      <c r="D18" s="1">
        <v>-0.02191789613376394</v>
      </c>
      <c r="E18" s="1">
        <v>-0.008912707641742568</v>
      </c>
      <c r="F18" s="1">
        <v>-0.0001848275297358093</v>
      </c>
      <c r="G18" s="1">
        <v>0.01328742925320325</v>
      </c>
      <c r="H18" s="1">
        <v>0.01327309060363824</v>
      </c>
      <c r="I18" s="1">
        <v>0.01602598101311781</v>
      </c>
      <c r="J18" s="1">
        <v>-0.01455289446076957</v>
      </c>
      <c r="K18" s="1">
        <v>-0.00416427348322046</v>
      </c>
      <c r="L18" s="1">
        <v>0.004207415109960699</v>
      </c>
      <c r="M18" s="1">
        <v>-0.02949837407323108</v>
      </c>
      <c r="N18" s="1">
        <v>0.01136340041175732</v>
      </c>
      <c r="O18" s="1">
        <v>0.003487147722111006</v>
      </c>
      <c r="P18" s="1">
        <v>0.01639977957184269</v>
      </c>
      <c r="Q18" s="1">
        <v>0.03028753624228431</v>
      </c>
      <c r="R18" s="1">
        <v>0.009593109347974416</v>
      </c>
      <c r="S18" s="1">
        <v>0.003545380093832318</v>
      </c>
      <c r="T18" s="1">
        <v>-0.0102679365879329</v>
      </c>
      <c r="U18" s="1">
        <v>0.001409511874650882</v>
      </c>
      <c r="V18" s="1">
        <v>0.004243860638060148</v>
      </c>
      <c r="W18" s="1">
        <v>-0.05639425943769361</v>
      </c>
      <c r="X18" s="1">
        <v>0.02753175444923528</v>
      </c>
      <c r="Y18" s="1">
        <v>-0.0004083245987415163</v>
      </c>
      <c r="Z18" s="1">
        <v>0.01698804318655789</v>
      </c>
    </row>
    <row r="19" spans="1:26">
      <c r="A19" s="11">
        <v>42398</v>
      </c>
      <c r="B19" s="1">
        <v>0.04778347146893314</v>
      </c>
      <c r="C19" s="1">
        <v>0.01796468956345731</v>
      </c>
      <c r="D19" s="1">
        <v>0.02520985745531346</v>
      </c>
      <c r="E19" s="1">
        <v>0.01635062709387913</v>
      </c>
      <c r="F19" s="1">
        <v>0.02956970142375015</v>
      </c>
      <c r="G19" s="1">
        <v>0.01881372825480376</v>
      </c>
      <c r="H19" s="1">
        <v>0.01220131297559135</v>
      </c>
      <c r="I19" s="1">
        <v>0.02940831999329485</v>
      </c>
      <c r="J19" s="1">
        <v>0.02426150410561956</v>
      </c>
      <c r="K19" s="1">
        <v>0.02718027311345761</v>
      </c>
      <c r="L19" s="1">
        <v>0.03875702401319114</v>
      </c>
      <c r="M19" s="1">
        <v>0.03951350544085197</v>
      </c>
      <c r="N19" s="1">
        <v>0.02481963753783178</v>
      </c>
      <c r="O19" s="1">
        <v>0.02953674020662223</v>
      </c>
      <c r="P19" s="1">
        <v>0.05820219310390362</v>
      </c>
      <c r="Q19" s="1">
        <v>0.0125305898039898</v>
      </c>
      <c r="R19" s="1">
        <v>0.03610588582058183</v>
      </c>
      <c r="S19" s="1">
        <v>0.01806771806489649</v>
      </c>
      <c r="T19" s="1">
        <v>0.02407274670333814</v>
      </c>
      <c r="U19" s="1">
        <v>0.01491668836777427</v>
      </c>
      <c r="V19" s="1">
        <v>0.02014334225835746</v>
      </c>
      <c r="W19" s="1">
        <v>0.03035035000356578</v>
      </c>
      <c r="X19" s="1">
        <v>0.01875558164099433</v>
      </c>
      <c r="Y19" s="1">
        <v>0.01958785640261951</v>
      </c>
      <c r="Z19" s="1">
        <v>0.02392760081194711</v>
      </c>
    </row>
    <row r="20" spans="1:26">
      <c r="A20" s="11">
        <v>42401</v>
      </c>
      <c r="B20" s="1">
        <v>-0.04043226014271339</v>
      </c>
      <c r="C20" s="1">
        <v>0.01190368871657488</v>
      </c>
      <c r="D20" s="1">
        <v>0.01857949305626949</v>
      </c>
      <c r="E20" s="1">
        <v>-0.02155736565321309</v>
      </c>
      <c r="F20" s="1">
        <v>0.001794759001593205</v>
      </c>
      <c r="G20" s="1">
        <v>0.04196963777966345</v>
      </c>
      <c r="H20" s="1">
        <v>0.007977573948473315</v>
      </c>
      <c r="I20" s="1">
        <v>-0.00272681857126289</v>
      </c>
      <c r="J20" s="1">
        <v>0.02677662201150866</v>
      </c>
      <c r="K20" s="1">
        <v>-0.009014146000043466</v>
      </c>
      <c r="L20" s="1">
        <v>-0.01075663219132328</v>
      </c>
      <c r="M20" s="1">
        <v>0.01834146524138092</v>
      </c>
      <c r="N20" s="1">
        <v>-0.002781750932965732</v>
      </c>
      <c r="O20" s="1">
        <v>-0.001125196697677744</v>
      </c>
      <c r="P20" s="1">
        <v>-0.006897738341160475</v>
      </c>
      <c r="Q20" s="1">
        <v>0.01380310880300972</v>
      </c>
      <c r="R20" s="1">
        <v>-0.01080075119872359</v>
      </c>
      <c r="S20" s="1">
        <v>0.002051028589548531</v>
      </c>
      <c r="T20" s="1">
        <v>-0.003206994083643777</v>
      </c>
      <c r="U20" s="1">
        <v>0.003328360046879197</v>
      </c>
      <c r="V20" s="1">
        <v>0.005662148357973296</v>
      </c>
      <c r="W20" s="1">
        <v>-0.01037398176233806</v>
      </c>
      <c r="X20" s="1">
        <v>-0.03009962229943763</v>
      </c>
      <c r="Y20" s="1">
        <v>0.01580994276881587</v>
      </c>
      <c r="Z20" s="1">
        <v>-0.007936179311561986</v>
      </c>
    </row>
    <row r="21" spans="1:26">
      <c r="A21" s="11">
        <v>42402</v>
      </c>
      <c r="B21" s="1">
        <v>-0.05561004830154026</v>
      </c>
      <c r="C21" s="1">
        <v>-0.03323454646076229</v>
      </c>
      <c r="D21" s="1">
        <v>0.01797209938792577</v>
      </c>
      <c r="E21" s="1">
        <v>-0.03206181331396163</v>
      </c>
      <c r="F21" s="1">
        <v>-0.0218597524459313</v>
      </c>
      <c r="G21" s="1">
        <v>-0.01074124823372902</v>
      </c>
      <c r="H21" s="1">
        <v>-0.009673028429808661</v>
      </c>
      <c r="I21" s="1">
        <v>-0.02890667011479087</v>
      </c>
      <c r="J21" s="1">
        <v>-0.009027242714039652</v>
      </c>
      <c r="K21" s="1">
        <v>-0.009683190350662563</v>
      </c>
      <c r="L21" s="1">
        <v>-0.03109033658514337</v>
      </c>
      <c r="M21" s="1">
        <v>-0.04802922383965247</v>
      </c>
      <c r="N21" s="1">
        <v>-0.007384356322383212</v>
      </c>
      <c r="O21" s="1">
        <v>-0.01727065229317082</v>
      </c>
      <c r="P21" s="1">
        <v>-0.03125545427226284</v>
      </c>
      <c r="Q21" s="1">
        <v>-0.001878293421901822</v>
      </c>
      <c r="R21" s="1">
        <v>-0.0208073595494439</v>
      </c>
      <c r="S21" s="1">
        <v>0.004486836921014259</v>
      </c>
      <c r="T21" s="1">
        <v>-0.02315128177657821</v>
      </c>
      <c r="U21" s="1">
        <v>-0.003317318815471038</v>
      </c>
      <c r="V21" s="1">
        <v>0.006590481633678147</v>
      </c>
      <c r="W21" s="1">
        <v>-0.02907645065989495</v>
      </c>
      <c r="X21" s="1">
        <v>-0.04308506741598195</v>
      </c>
      <c r="Y21" s="1">
        <v>-0.01674598622120538</v>
      </c>
      <c r="Z21" s="1">
        <v>-0.04266682449554349</v>
      </c>
    </row>
    <row r="22" spans="1:26">
      <c r="A22" s="11">
        <v>42403</v>
      </c>
      <c r="B22" s="1">
        <v>0.0697794283227533</v>
      </c>
      <c r="C22" s="1">
        <v>0.03701494261659977</v>
      </c>
      <c r="D22" s="1">
        <v>0.008168464846772361</v>
      </c>
      <c r="E22" s="1">
        <v>0.02123324864565901</v>
      </c>
      <c r="F22" s="1">
        <v>0.05953479077995993</v>
      </c>
      <c r="G22" s="1">
        <v>0.03420181626294472</v>
      </c>
      <c r="H22" s="1">
        <v>-0.0003554259689876327</v>
      </c>
      <c r="I22" s="1">
        <v>0.01112926720519392</v>
      </c>
      <c r="J22" s="1">
        <v>-0.02327919090891839</v>
      </c>
      <c r="K22" s="1">
        <v>0.01570371267263826</v>
      </c>
      <c r="L22" s="1">
        <v>0.006663115124887042</v>
      </c>
      <c r="M22" s="1">
        <v>0.01014515976730945</v>
      </c>
      <c r="N22" s="1">
        <v>-0.01074552753091862</v>
      </c>
      <c r="O22" s="1">
        <v>0.009360171688123531</v>
      </c>
      <c r="P22" s="1">
        <v>-0.01584956754316691</v>
      </c>
      <c r="Q22" s="1">
        <v>0.01034791410162472</v>
      </c>
      <c r="R22" s="1">
        <v>0.005470282514182134</v>
      </c>
      <c r="S22" s="1">
        <v>-0.008267472399146714</v>
      </c>
      <c r="T22" s="1">
        <v>0.03177393537328266</v>
      </c>
      <c r="U22" s="1">
        <v>0.01830329539427611</v>
      </c>
      <c r="V22" s="1">
        <v>-0.01009410260282406</v>
      </c>
      <c r="W22" s="1">
        <v>-0.006619866299733879</v>
      </c>
      <c r="X22" s="1">
        <v>0.01637294957938784</v>
      </c>
      <c r="Y22" s="1">
        <v>0.01422611909720617</v>
      </c>
      <c r="Z22" s="1">
        <v>0.01114207455383931</v>
      </c>
    </row>
    <row r="23" spans="1:26">
      <c r="A23" s="11">
        <v>42404</v>
      </c>
      <c r="B23" s="1">
        <v>-0.01212429335952681</v>
      </c>
      <c r="C23" s="1">
        <v>0.01427760802563816</v>
      </c>
      <c r="D23" s="1">
        <v>0.0007843187850624656</v>
      </c>
      <c r="E23" s="1">
        <v>-0.006985716974233558</v>
      </c>
      <c r="F23" s="1">
        <v>0.006396763236329095</v>
      </c>
      <c r="G23" s="1">
        <v>-0.005249044307337969</v>
      </c>
      <c r="H23" s="1">
        <v>-0.01687687799772519</v>
      </c>
      <c r="I23" s="1">
        <v>0.04362781002694316</v>
      </c>
      <c r="J23" s="1">
        <v>0.02176140423425355</v>
      </c>
      <c r="K23" s="1">
        <v>0.01225237122761969</v>
      </c>
      <c r="L23" s="1">
        <v>0.01724434861667512</v>
      </c>
      <c r="M23" s="1">
        <v>0.01927261482388998</v>
      </c>
      <c r="N23" s="1">
        <v>-0.006016078493613963</v>
      </c>
      <c r="O23" s="1">
        <v>0.02517022163026805</v>
      </c>
      <c r="P23" s="1">
        <v>-0.003067128851352297</v>
      </c>
      <c r="Q23" s="1">
        <v>-0.007737488469618969</v>
      </c>
      <c r="R23" s="1">
        <v>0.04624373434484585</v>
      </c>
      <c r="S23" s="1">
        <v>-0.02722130338651452</v>
      </c>
      <c r="T23" s="1">
        <v>0.01323657986471138</v>
      </c>
      <c r="U23" s="1">
        <v>-0.005174515459697826</v>
      </c>
      <c r="V23" s="1">
        <v>-0.03486296088676144</v>
      </c>
      <c r="W23" s="1">
        <v>0.01388321559956784</v>
      </c>
      <c r="X23" s="1">
        <v>0.0006195567269822178</v>
      </c>
      <c r="Y23" s="1">
        <v>-0.00375374831382691</v>
      </c>
      <c r="Z23" s="1">
        <v>0.01239670881918364</v>
      </c>
    </row>
    <row r="24" spans="1:26">
      <c r="A24" s="11">
        <v>42405</v>
      </c>
      <c r="B24" s="1">
        <v>-0.04148246481214457</v>
      </c>
      <c r="C24" s="1">
        <v>-0.008494715913826334</v>
      </c>
      <c r="D24" s="1">
        <v>-0.02089303358887606</v>
      </c>
      <c r="E24" s="1">
        <v>-0.001172875033708332</v>
      </c>
      <c r="F24" s="1">
        <v>0.02061515791531043</v>
      </c>
      <c r="G24" s="1">
        <v>-0.005277098437384886</v>
      </c>
      <c r="H24" s="1">
        <v>0.009034972764577098</v>
      </c>
      <c r="I24" s="1">
        <v>-0.003557416780521128</v>
      </c>
      <c r="J24" s="1">
        <v>0.005071482102868341</v>
      </c>
      <c r="K24" s="1">
        <v>0.008068957164737434</v>
      </c>
      <c r="L24" s="1">
        <v>-0.01113026532107286</v>
      </c>
      <c r="M24" s="1">
        <v>-0.04953398793954678</v>
      </c>
      <c r="N24" s="1">
        <v>0.005380290390556652</v>
      </c>
      <c r="O24" s="1">
        <v>0.008860896068780155</v>
      </c>
      <c r="P24" s="1">
        <v>-0.03538471396544707</v>
      </c>
      <c r="Q24" s="1">
        <v>-0.008506437450802484</v>
      </c>
      <c r="R24" s="1">
        <v>0.002199772004402023</v>
      </c>
      <c r="S24" s="1">
        <v>-0.03691861258943252</v>
      </c>
      <c r="T24" s="1">
        <v>-0.01590705445313523</v>
      </c>
      <c r="U24" s="1">
        <v>0.009581190126515482</v>
      </c>
      <c r="V24" s="1">
        <v>-0.00685331239667275</v>
      </c>
      <c r="W24" s="1">
        <v>-0.03614986281015564</v>
      </c>
      <c r="X24" s="1">
        <v>0</v>
      </c>
      <c r="Y24" s="1">
        <v>0.01070812632849028</v>
      </c>
      <c r="Z24" s="1">
        <v>-0.01904752484695027</v>
      </c>
    </row>
    <row r="25" spans="1:26">
      <c r="A25" s="11">
        <v>42408</v>
      </c>
      <c r="B25" s="1">
        <v>-0.03764373057006676</v>
      </c>
      <c r="C25" s="1">
        <v>-0.02521181523070615</v>
      </c>
      <c r="D25" s="1">
        <v>-0.03974385123995039</v>
      </c>
      <c r="E25" s="1">
        <v>0.01827963252464415</v>
      </c>
      <c r="F25" s="1">
        <v>-0.0001682803922502529</v>
      </c>
      <c r="G25" s="1">
        <v>-0.02228126560935373</v>
      </c>
      <c r="H25" s="1">
        <v>0.006984539441130977</v>
      </c>
      <c r="I25" s="1">
        <v>-0.01721533864408342</v>
      </c>
      <c r="J25" s="1">
        <v>-0.05449067965059651</v>
      </c>
      <c r="K25" s="1">
        <v>-0.007146856604425933</v>
      </c>
      <c r="L25" s="1">
        <v>-0.02095217844412689</v>
      </c>
      <c r="M25" s="1">
        <v>-0.02717828242260867</v>
      </c>
      <c r="N25" s="1">
        <v>0.005350519812003629</v>
      </c>
      <c r="O25" s="1">
        <v>0.006404445509365919</v>
      </c>
      <c r="P25" s="1">
        <v>-0.01495217396814685</v>
      </c>
      <c r="Q25" s="1">
        <v>-0.003336626687516886</v>
      </c>
      <c r="R25" s="1">
        <v>-0.004390219585753141</v>
      </c>
      <c r="S25" s="1">
        <v>-0.03436894698839255</v>
      </c>
      <c r="T25" s="1">
        <v>-0.0370529874605301</v>
      </c>
      <c r="U25" s="1">
        <v>0.006236332281421841</v>
      </c>
      <c r="V25" s="1">
        <v>0.00632532655566509</v>
      </c>
      <c r="W25" s="1">
        <v>-0.01006707077008029</v>
      </c>
      <c r="X25" s="1">
        <v>0.005572258359466398</v>
      </c>
      <c r="Y25" s="1">
        <v>-0.004512622802787636</v>
      </c>
      <c r="Z25" s="1">
        <v>-0.04207114347307794</v>
      </c>
    </row>
    <row r="26" spans="1:26">
      <c r="A26" s="11">
        <v>42409</v>
      </c>
      <c r="B26" s="1">
        <v>-0.05321961284690246</v>
      </c>
      <c r="C26" s="1">
        <v>-0.00493866561395051</v>
      </c>
      <c r="D26" s="1">
        <v>0.005277132506828375</v>
      </c>
      <c r="E26" s="1">
        <v>0.004940632525308075</v>
      </c>
      <c r="F26" s="1">
        <v>-0.02003384825458387</v>
      </c>
      <c r="G26" s="1">
        <v>0.006511498005008942</v>
      </c>
      <c r="H26" s="1">
        <v>0.01742839089118542</v>
      </c>
      <c r="I26" s="1">
        <v>0.01310513724530771</v>
      </c>
      <c r="J26" s="1">
        <v>-0.01921036914479823</v>
      </c>
      <c r="K26" s="1">
        <v>-0.002303658636595429</v>
      </c>
      <c r="L26" s="1">
        <v>-0.006013453123723589</v>
      </c>
      <c r="M26" s="1">
        <v>0.01526484725071331</v>
      </c>
      <c r="N26" s="1">
        <v>0.005489164569554505</v>
      </c>
      <c r="O26" s="1">
        <v>0.005091150778264497</v>
      </c>
      <c r="P26" s="1">
        <v>-0.002630906918424492</v>
      </c>
      <c r="Q26" s="1">
        <v>0.01578236282164958</v>
      </c>
      <c r="R26" s="1">
        <v>-0.001002131438187503</v>
      </c>
      <c r="S26" s="1">
        <v>0.01720679474928954</v>
      </c>
      <c r="T26" s="1">
        <v>0.0235169114818774</v>
      </c>
      <c r="U26" s="1">
        <v>-0.01239550398212863</v>
      </c>
      <c r="V26" s="1">
        <v>-0.002000025467473132</v>
      </c>
      <c r="W26" s="1">
        <v>0.02058404190062024</v>
      </c>
      <c r="X26" s="1">
        <v>-0.01385434491209692</v>
      </c>
      <c r="Y26" s="1">
        <v>-0.01162812705159622</v>
      </c>
      <c r="Z26" s="1">
        <v>0.002412737709647006</v>
      </c>
    </row>
    <row r="27" spans="1:26">
      <c r="A27" s="11">
        <v>42410</v>
      </c>
      <c r="B27" s="1">
        <v>-0.007026986597960638</v>
      </c>
      <c r="C27" s="1">
        <v>-0.012140273065263</v>
      </c>
      <c r="D27" s="1">
        <v>0.0198952482265371</v>
      </c>
      <c r="E27" s="1">
        <v>0.0009833045056208967</v>
      </c>
      <c r="F27" s="1">
        <v>-0.04123004132419705</v>
      </c>
      <c r="G27" s="1">
        <v>-0.002156675941314634</v>
      </c>
      <c r="H27" s="1">
        <v>0.01188586478864084</v>
      </c>
      <c r="I27" s="1">
        <v>-0.008580806306145328</v>
      </c>
      <c r="J27" s="1">
        <v>0.00979358039747491</v>
      </c>
      <c r="K27" s="1">
        <v>-0.01587284450987159</v>
      </c>
      <c r="L27" s="1">
        <v>-0.01209975664978458</v>
      </c>
      <c r="M27" s="1">
        <v>0.008227035108928193</v>
      </c>
      <c r="N27" s="1">
        <v>-0.006616785742710407</v>
      </c>
      <c r="O27" s="1">
        <v>0.004160609256476544</v>
      </c>
      <c r="P27" s="1">
        <v>0.008725534748939223</v>
      </c>
      <c r="Q27" s="1">
        <v>0.01129948379637535</v>
      </c>
      <c r="R27" s="1">
        <v>-0.01754014906633272</v>
      </c>
      <c r="S27" s="1">
        <v>0.0126650715674721</v>
      </c>
      <c r="T27" s="1">
        <v>0.001109182780390849</v>
      </c>
      <c r="U27" s="1">
        <v>-0.00600266605875599</v>
      </c>
      <c r="V27" s="1">
        <v>-0.01574582717611173</v>
      </c>
      <c r="W27" s="1">
        <v>0.008115847522196518</v>
      </c>
      <c r="X27" s="1">
        <v>-0.0009365586666730819</v>
      </c>
      <c r="Y27" s="1">
        <v>-0.003389391674806674</v>
      </c>
      <c r="Z27" s="1">
        <v>-0.001444269433892309</v>
      </c>
    </row>
    <row r="28" spans="1:26">
      <c r="A28" s="11">
        <v>42411</v>
      </c>
      <c r="B28" s="1">
        <v>-0.0268892107294898</v>
      </c>
      <c r="C28" s="1">
        <v>-0.06806460976265771</v>
      </c>
      <c r="D28" s="1">
        <v>-0.0279051666156841</v>
      </c>
      <c r="E28" s="1">
        <v>-0.02554035358798379</v>
      </c>
      <c r="F28" s="1">
        <v>0.004121256542803708</v>
      </c>
      <c r="G28" s="1">
        <v>-0.03298256953147682</v>
      </c>
      <c r="H28" s="1">
        <v>-0.009673316004220167</v>
      </c>
      <c r="I28" s="1">
        <v>-0.01291846785622819</v>
      </c>
      <c r="J28" s="1">
        <v>-0.0280171190508951</v>
      </c>
      <c r="K28" s="1">
        <v>-0.02492710054567826</v>
      </c>
      <c r="L28" s="1">
        <v>-0.04412825057171454</v>
      </c>
      <c r="M28" s="1">
        <v>-0.005627532172314043</v>
      </c>
      <c r="N28" s="1">
        <v>-0.0009996060918316951</v>
      </c>
      <c r="O28" s="1">
        <v>-0.01008833820027977</v>
      </c>
      <c r="P28" s="1">
        <v>-0.0004021765158019885</v>
      </c>
      <c r="Q28" s="1">
        <v>-0.01769120844783079</v>
      </c>
      <c r="R28" s="1">
        <v>-0.009029485094887768</v>
      </c>
      <c r="S28" s="1">
        <v>-0.004409211924262135</v>
      </c>
      <c r="T28" s="1">
        <v>-0.01911277978963999</v>
      </c>
      <c r="U28" s="1">
        <v>-0.006039059306510164</v>
      </c>
      <c r="V28" s="1">
        <v>-0.0103254428315569</v>
      </c>
      <c r="W28" s="1">
        <v>-0.01721675133264755</v>
      </c>
      <c r="X28" s="1">
        <v>-0.02781257607295839</v>
      </c>
      <c r="Y28" s="1">
        <v>-0.01180467587628731</v>
      </c>
      <c r="Z28" s="1">
        <v>-0.04050131268372525</v>
      </c>
    </row>
    <row r="29" spans="1:26">
      <c r="A29" s="11">
        <v>42412</v>
      </c>
      <c r="B29" s="1">
        <v>0.06253619306046354</v>
      </c>
      <c r="C29" s="1">
        <v>0.001752266255547807</v>
      </c>
      <c r="D29" s="1">
        <v>0.02034521853814297</v>
      </c>
      <c r="E29" s="1">
        <v>0.01142469159361847</v>
      </c>
      <c r="F29" s="1">
        <v>0.01320435938607578</v>
      </c>
      <c r="G29" s="1">
        <v>0.01813051535944088</v>
      </c>
      <c r="H29" s="1">
        <v>0.01587279925003116</v>
      </c>
      <c r="I29" s="1">
        <v>0.02434240951683009</v>
      </c>
      <c r="J29" s="1">
        <v>0.04434601630102741</v>
      </c>
      <c r="K29" s="1">
        <v>0.008120493033259457</v>
      </c>
      <c r="L29" s="1">
        <v>0.08328639359396184</v>
      </c>
      <c r="M29" s="1">
        <v>0.02546702777509835</v>
      </c>
      <c r="N29" s="1">
        <v>-0.0003328205301849074</v>
      </c>
      <c r="O29" s="1">
        <v>0.02056397190726922</v>
      </c>
      <c r="P29" s="1">
        <v>0.01630096671488546</v>
      </c>
      <c r="Q29" s="1">
        <v>0.008530624609260018</v>
      </c>
      <c r="R29" s="1">
        <v>0.03541085455950044</v>
      </c>
      <c r="S29" s="1">
        <v>-0.00519494773586715</v>
      </c>
      <c r="T29" s="1">
        <v>0.03538015155368002</v>
      </c>
      <c r="U29" s="1">
        <v>0.007180222930739388</v>
      </c>
      <c r="V29" s="1">
        <v>0.03644974906835063</v>
      </c>
      <c r="W29" s="1">
        <v>0.02579080269786926</v>
      </c>
      <c r="X29" s="1">
        <v>0.03117967482775974</v>
      </c>
      <c r="Y29" s="1">
        <v>0.0145774844530957</v>
      </c>
      <c r="Z29" s="1">
        <v>0.05477395322102141</v>
      </c>
    </row>
    <row r="30" spans="1:26">
      <c r="A30" s="11">
        <v>42416</v>
      </c>
      <c r="B30" s="1">
        <v>0.02573225034275262</v>
      </c>
      <c r="C30" s="1">
        <v>0.03654606828565488</v>
      </c>
      <c r="D30" s="1">
        <v>0.02185173406513008</v>
      </c>
      <c r="E30" s="1">
        <v>0.03289031978388546</v>
      </c>
      <c r="F30" s="1">
        <v>0.01232872664507556</v>
      </c>
      <c r="G30" s="1">
        <v>0.007234454136914259</v>
      </c>
      <c r="H30" s="1">
        <v>0.02060448735478926</v>
      </c>
      <c r="I30" s="1">
        <v>0.01967542147271106</v>
      </c>
      <c r="J30" s="1">
        <v>0.04140090024582177</v>
      </c>
      <c r="K30" s="1">
        <v>0.02028663038057288</v>
      </c>
      <c r="L30" s="1">
        <v>0.01495911508132353</v>
      </c>
      <c r="M30" s="1">
        <v>0.02317892753216633</v>
      </c>
      <c r="N30" s="1">
        <v>0.00550263139930629</v>
      </c>
      <c r="O30" s="1">
        <v>0.007489575393298864</v>
      </c>
      <c r="P30" s="1">
        <v>0.01894691806985915</v>
      </c>
      <c r="Q30" s="1">
        <v>-0.007988286593376248</v>
      </c>
      <c r="R30" s="1">
        <v>0.02720046774976881</v>
      </c>
      <c r="S30" s="1">
        <v>0.01956244850152888</v>
      </c>
      <c r="T30" s="1">
        <v>0.008922281647134378</v>
      </c>
      <c r="U30" s="1">
        <v>0.004935695405201335</v>
      </c>
      <c r="V30" s="1">
        <v>0.0221587033230688</v>
      </c>
      <c r="W30" s="1">
        <v>0.00743184837249089</v>
      </c>
      <c r="X30" s="1">
        <v>0.02369078299935046</v>
      </c>
      <c r="Y30" s="1">
        <v>0.0025943791247105</v>
      </c>
      <c r="Z30" s="1">
        <v>0.03583353279154045</v>
      </c>
    </row>
    <row r="31" spans="1:26">
      <c r="A31" s="11">
        <v>42417</v>
      </c>
      <c r="B31" s="1">
        <v>0.0691220389230589</v>
      </c>
      <c r="C31" s="1">
        <v>0.03321488768124303</v>
      </c>
      <c r="D31" s="1">
        <v>0.02138510657286496</v>
      </c>
      <c r="E31" s="1">
        <v>0.02798341591460485</v>
      </c>
      <c r="F31" s="1">
        <v>0.003827310220900326</v>
      </c>
      <c r="G31" s="1">
        <v>0.01325942636424071</v>
      </c>
      <c r="H31" s="1">
        <v>0.02456298123610656</v>
      </c>
      <c r="I31" s="1">
        <v>0.02029800515513536</v>
      </c>
      <c r="J31" s="1">
        <v>0.027522935135047</v>
      </c>
      <c r="K31" s="1">
        <v>0.02192978982207006</v>
      </c>
      <c r="L31" s="1">
        <v>0.007197931506442545</v>
      </c>
      <c r="M31" s="1">
        <v>0.0385649701521118</v>
      </c>
      <c r="N31" s="1">
        <v>0.001658133105705506</v>
      </c>
      <c r="O31" s="1">
        <v>0.01539786139647492</v>
      </c>
      <c r="P31" s="1">
        <v>0.02603228018420123</v>
      </c>
      <c r="Q31" s="1">
        <v>0.01136881710983006</v>
      </c>
      <c r="R31" s="1">
        <v>0.01343430906421195</v>
      </c>
      <c r="S31" s="1">
        <v>0.03329447210646741</v>
      </c>
      <c r="T31" s="1">
        <v>0.0008112904423691614</v>
      </c>
      <c r="U31" s="1">
        <v>-0.0002726602321517779</v>
      </c>
      <c r="V31" s="1">
        <v>0.008391499623995324</v>
      </c>
      <c r="W31" s="1">
        <v>0.02574157637157826</v>
      </c>
      <c r="X31" s="1">
        <v>0.01400781650662286</v>
      </c>
      <c r="Y31" s="1">
        <v>0.001592700695917992</v>
      </c>
      <c r="Z31" s="1">
        <v>-0.004151113513334859</v>
      </c>
    </row>
    <row r="32" spans="1:26">
      <c r="A32" s="11">
        <v>42418</v>
      </c>
      <c r="B32" s="1">
        <v>-0.03145279728729866</v>
      </c>
      <c r="C32" s="1">
        <v>0.01057244695301329</v>
      </c>
      <c r="D32" s="1">
        <v>-0.003664354908645362</v>
      </c>
      <c r="E32" s="1">
        <v>-0.00938649839615302</v>
      </c>
      <c r="F32" s="1">
        <v>-0.006585553064699323</v>
      </c>
      <c r="G32" s="1">
        <v>0.01199525840777405</v>
      </c>
      <c r="H32" s="1">
        <v>0.0009848347841274752</v>
      </c>
      <c r="I32" s="1">
        <v>-0.01350848077159528</v>
      </c>
      <c r="J32" s="1">
        <v>0.0436510029142072</v>
      </c>
      <c r="K32" s="1">
        <v>-0.01287573796774866</v>
      </c>
      <c r="L32" s="1">
        <v>-0.01633536428749383</v>
      </c>
      <c r="M32" s="1">
        <v>0.01272382856151189</v>
      </c>
      <c r="N32" s="1">
        <v>0.003642628755252675</v>
      </c>
      <c r="O32" s="1">
        <v>0.002266248218757205</v>
      </c>
      <c r="P32" s="1">
        <v>-0.004387544873184157</v>
      </c>
      <c r="Q32" s="1">
        <v>0.02435622786310843</v>
      </c>
      <c r="R32" s="1">
        <v>-0.01479353974251407</v>
      </c>
      <c r="S32" s="1">
        <v>0.002478232345404674</v>
      </c>
      <c r="T32" s="1">
        <v>-0.01686286089123523</v>
      </c>
      <c r="U32" s="1">
        <v>0.009552352473364945</v>
      </c>
      <c r="V32" s="1">
        <v>0.00596419725911157</v>
      </c>
      <c r="W32" s="1">
        <v>-0.007727391994810984</v>
      </c>
      <c r="X32" s="1">
        <v>0.01351305944227699</v>
      </c>
      <c r="Y32" s="1">
        <v>0.01232083689343577</v>
      </c>
      <c r="Z32" s="1">
        <v>-0.01945362036059917</v>
      </c>
    </row>
    <row r="33" spans="1:26">
      <c r="A33" s="11">
        <v>42419</v>
      </c>
      <c r="B33" s="1">
        <v>-0.03788628082426626</v>
      </c>
      <c r="C33" s="1">
        <v>-0.02049839205243165</v>
      </c>
      <c r="D33" s="1">
        <v>-0.01103184511260702</v>
      </c>
      <c r="E33" s="1">
        <v>0.007580524988487714</v>
      </c>
      <c r="F33" s="1">
        <v>0.007676264917139797</v>
      </c>
      <c r="G33" s="1">
        <v>-0.00646508031635562</v>
      </c>
      <c r="H33" s="1">
        <v>-0.0003282245368170233</v>
      </c>
      <c r="I33" s="1">
        <v>-0.04145395063871482</v>
      </c>
      <c r="J33" s="1">
        <v>-0.01901158949945736</v>
      </c>
      <c r="K33" s="1">
        <v>-0.02695651536673993</v>
      </c>
      <c r="L33" s="1">
        <v>0.000173380620646757</v>
      </c>
      <c r="M33" s="1">
        <v>0.007948779955093466</v>
      </c>
      <c r="N33" s="1">
        <v>-0.0009899496824886667</v>
      </c>
      <c r="O33" s="1">
        <v>-0.00330448157369656</v>
      </c>
      <c r="P33" s="1">
        <v>-0.007089325484422315</v>
      </c>
      <c r="Q33" s="1">
        <v>0</v>
      </c>
      <c r="R33" s="1">
        <v>-0.007409994059109803</v>
      </c>
      <c r="S33" s="1">
        <v>0.02127941439336234</v>
      </c>
      <c r="T33" s="1">
        <v>0.002865320121807402</v>
      </c>
      <c r="U33" s="1">
        <v>-0.01135431965548184</v>
      </c>
      <c r="V33" s="1">
        <v>-0.00289572317027853</v>
      </c>
      <c r="W33" s="1">
        <v>0.003623919727783198</v>
      </c>
      <c r="X33" s="1">
        <v>-0.01392586447149957</v>
      </c>
      <c r="Y33" s="1">
        <v>-0.001570617911223482</v>
      </c>
      <c r="Z33" s="1">
        <v>0.0113367341864048</v>
      </c>
    </row>
    <row r="34" spans="1:26">
      <c r="A34" s="11">
        <v>42422</v>
      </c>
      <c r="B34" s="1">
        <v>0.0610765771565005</v>
      </c>
      <c r="C34" s="1">
        <v>0.01936452866647631</v>
      </c>
      <c r="D34" s="1">
        <v>0.02018559842249212</v>
      </c>
      <c r="E34" s="1">
        <v>-0.001567430202268572</v>
      </c>
      <c r="F34" s="1">
        <v>0.006751797708328233</v>
      </c>
      <c r="G34" s="1">
        <v>0.01084575470587779</v>
      </c>
      <c r="H34" s="1">
        <v>-0.003117675482707694</v>
      </c>
      <c r="I34" s="1">
        <v>0.01818225677866137</v>
      </c>
      <c r="J34" s="1">
        <v>0.03488400913141287</v>
      </c>
      <c r="K34" s="1">
        <v>0.01787338420728934</v>
      </c>
      <c r="L34" s="1">
        <v>0.01297158758106098</v>
      </c>
      <c r="M34" s="1">
        <v>0.03841295419018831</v>
      </c>
      <c r="N34" s="1">
        <v>0.01073330091606373</v>
      </c>
      <c r="O34" s="1">
        <v>0.004187983746753998</v>
      </c>
      <c r="P34" s="1">
        <v>0.01601688513282906</v>
      </c>
      <c r="Q34" s="1">
        <v>0.001828349359612957</v>
      </c>
      <c r="R34" s="1">
        <v>0.02632569868508661</v>
      </c>
      <c r="S34" s="1">
        <v>0.006627664092850205</v>
      </c>
      <c r="T34" s="1">
        <v>0.008962090047143212</v>
      </c>
      <c r="U34" s="1">
        <v>0.007929880301573933</v>
      </c>
      <c r="V34" s="1">
        <v>0.00207435985901383</v>
      </c>
      <c r="W34" s="1">
        <v>0.009834181186135771</v>
      </c>
      <c r="X34" s="1">
        <v>0.02644207054321135</v>
      </c>
      <c r="Y34" s="1">
        <v>0.004129144584376521</v>
      </c>
      <c r="Z34" s="1">
        <v>0.03736559075536849</v>
      </c>
    </row>
    <row r="35" spans="1:26">
      <c r="A35" s="11">
        <v>42423</v>
      </c>
      <c r="B35" s="1">
        <v>-0.04367576959525377</v>
      </c>
      <c r="C35" s="1">
        <v>-0.004174306577561127</v>
      </c>
      <c r="D35" s="1">
        <v>-0.00182269620709552</v>
      </c>
      <c r="E35" s="1">
        <v>-0.0255890062672457</v>
      </c>
      <c r="F35" s="1">
        <v>-0.01048982082889205</v>
      </c>
      <c r="G35" s="1">
        <v>-0.003218737350075052</v>
      </c>
      <c r="H35" s="1">
        <v>0.002469518068415333</v>
      </c>
      <c r="I35" s="1">
        <v>-0.01607164753716506</v>
      </c>
      <c r="J35" s="1">
        <v>-0.0346445018150231</v>
      </c>
      <c r="K35" s="1">
        <v>-0.01024326392825914</v>
      </c>
      <c r="L35" s="1">
        <v>-0.04183071352827961</v>
      </c>
      <c r="M35" s="1">
        <v>0.006369388078576232</v>
      </c>
      <c r="N35" s="1">
        <v>0.005064462821708915</v>
      </c>
      <c r="O35" s="1">
        <v>-0.007993155292938314</v>
      </c>
      <c r="P35" s="1">
        <v>-0.02792029406266616</v>
      </c>
      <c r="Q35" s="1">
        <v>-0.005020073198182873</v>
      </c>
      <c r="R35" s="1">
        <v>-0.0141652107202388</v>
      </c>
      <c r="S35" s="1">
        <v>0.000315344085406899</v>
      </c>
      <c r="T35" s="1">
        <v>-0.01198573462891939</v>
      </c>
      <c r="U35" s="1">
        <v>-0.003255482121433673</v>
      </c>
      <c r="V35" s="1">
        <v>0.02097429441534082</v>
      </c>
      <c r="W35" s="1">
        <v>-0.012933616765886</v>
      </c>
      <c r="X35" s="1">
        <v>-0.007903788559516789</v>
      </c>
      <c r="Y35" s="1">
        <v>-0.008615756157849486</v>
      </c>
      <c r="Z35" s="1">
        <v>-0.04502453063256184</v>
      </c>
    </row>
    <row r="36" spans="1:26">
      <c r="A36" s="11">
        <v>42424</v>
      </c>
      <c r="B36" s="1">
        <v>0.01900715959172294</v>
      </c>
      <c r="C36" s="1">
        <v>-0.01120629006450413</v>
      </c>
      <c r="D36" s="1">
        <v>0.01643246477490945</v>
      </c>
      <c r="E36" s="1">
        <v>0.002577788480255805</v>
      </c>
      <c r="F36" s="1">
        <v>0.01494586787145225</v>
      </c>
      <c r="G36" s="1">
        <v>0.01506987552714079</v>
      </c>
      <c r="H36" s="1">
        <v>-0.006075663377685059</v>
      </c>
      <c r="I36" s="1">
        <v>0.02411251701389827</v>
      </c>
      <c r="J36" s="1">
        <v>0.04946641858215739</v>
      </c>
      <c r="K36" s="1">
        <v>0.0171497769717357</v>
      </c>
      <c r="L36" s="1">
        <v>0.0003564855372506504</v>
      </c>
      <c r="M36" s="1">
        <v>0.006816074275268091</v>
      </c>
      <c r="N36" s="1">
        <v>-0.002600781717489342</v>
      </c>
      <c r="O36" s="1">
        <v>0.006305743275642817</v>
      </c>
      <c r="P36" s="1">
        <v>0.003517186183011445</v>
      </c>
      <c r="Q36" s="1">
        <v>-0.002293857399821575</v>
      </c>
      <c r="R36" s="1">
        <v>-0.006407706238591659</v>
      </c>
      <c r="S36" s="1">
        <v>-0.01497715856337867</v>
      </c>
      <c r="T36" s="1">
        <v>0.01962980620642907</v>
      </c>
      <c r="U36" s="1">
        <v>0.009798273479487474</v>
      </c>
      <c r="V36" s="1">
        <v>0.03987004347202094</v>
      </c>
      <c r="W36" s="1">
        <v>0.0002310157063374341</v>
      </c>
      <c r="X36" s="1">
        <v>0.003245651985908315</v>
      </c>
      <c r="Y36" s="1">
        <v>0.003752942276713078</v>
      </c>
      <c r="Z36" s="1">
        <v>-0.02498790400064854</v>
      </c>
    </row>
    <row r="37" spans="1:26">
      <c r="A37" s="11">
        <v>42425</v>
      </c>
      <c r="B37" s="1">
        <v>-0.02098430892481551</v>
      </c>
      <c r="C37" s="1">
        <v>0.01064097425917243</v>
      </c>
      <c r="D37" s="1">
        <v>0.02232438605261056</v>
      </c>
      <c r="E37" s="1">
        <v>0.01285553833806752</v>
      </c>
      <c r="F37" s="1">
        <v>0.002225935661831491</v>
      </c>
      <c r="G37" s="1">
        <v>0.01484600476066733</v>
      </c>
      <c r="H37" s="1">
        <v>0.0345280658154703</v>
      </c>
      <c r="I37" s="1">
        <v>0.007594295298049225</v>
      </c>
      <c r="J37" s="1">
        <v>-0.04436219806245367</v>
      </c>
      <c r="K37" s="1">
        <v>0.01395372347402501</v>
      </c>
      <c r="L37" s="1">
        <v>0.01549692945833248</v>
      </c>
      <c r="M37" s="1">
        <v>0.02973855408653203</v>
      </c>
      <c r="N37" s="1">
        <v>0.01662313738208199</v>
      </c>
      <c r="O37" s="1">
        <v>0.005395889425524381</v>
      </c>
      <c r="P37" s="1">
        <v>0.01440803582545058</v>
      </c>
      <c r="Q37" s="1">
        <v>0.01287382797081116</v>
      </c>
      <c r="R37" s="1">
        <v>0.01270284286684187</v>
      </c>
      <c r="S37" s="1">
        <v>0.02072679998217652</v>
      </c>
      <c r="T37" s="1">
        <v>0.02545727781794715</v>
      </c>
      <c r="U37" s="1">
        <v>0.00727768128134465</v>
      </c>
      <c r="V37" s="1">
        <v>0.02248515689476172</v>
      </c>
      <c r="W37" s="1">
        <v>0.006165062791789522</v>
      </c>
      <c r="X37" s="1">
        <v>0.01500012696917508</v>
      </c>
      <c r="Y37" s="1">
        <v>0.005706063800833494</v>
      </c>
      <c r="Z37" s="1">
        <v>0.02659541892934647</v>
      </c>
    </row>
    <row r="38" spans="1:26">
      <c r="A38" s="11">
        <v>42426</v>
      </c>
      <c r="B38" s="1">
        <v>0.04445603801722586</v>
      </c>
      <c r="C38" s="1">
        <v>0.0114709073047683</v>
      </c>
      <c r="D38" s="1">
        <v>-0.01029099259086375</v>
      </c>
      <c r="E38" s="1">
        <v>-0.01237488115891916</v>
      </c>
      <c r="F38" s="1">
        <v>-0.01059261880113394</v>
      </c>
      <c r="G38" s="1">
        <v>-0.0318700821252732</v>
      </c>
      <c r="H38" s="1">
        <v>-0.01022038653181379</v>
      </c>
      <c r="I38" s="1">
        <v>-0.001632873377926169</v>
      </c>
      <c r="J38" s="1">
        <v>0.02901372536873836</v>
      </c>
      <c r="K38" s="1">
        <v>0.01519481061238115</v>
      </c>
      <c r="L38" s="1">
        <v>0.009296649497310128</v>
      </c>
      <c r="M38" s="1">
        <v>-0.009861420256054743</v>
      </c>
      <c r="N38" s="1">
        <v>-0.01346570681413628</v>
      </c>
      <c r="O38" s="1">
        <v>-0.004501181517690411</v>
      </c>
      <c r="P38" s="1">
        <v>-0.01535472346341638</v>
      </c>
      <c r="Q38" s="1">
        <v>-0.02360406092901202</v>
      </c>
      <c r="R38" s="1">
        <v>0.002508461079036461</v>
      </c>
      <c r="S38" s="1">
        <v>-0.004155630789116849</v>
      </c>
      <c r="T38" s="1">
        <v>0.02851638845050597</v>
      </c>
      <c r="U38" s="1">
        <v>-0.006422248258826424</v>
      </c>
      <c r="V38" s="1">
        <v>-0.003050917961664457</v>
      </c>
      <c r="W38" s="1">
        <v>0.001072184899618467</v>
      </c>
      <c r="X38" s="1">
        <v>0.001158819012081258</v>
      </c>
      <c r="Y38" s="1">
        <v>-0.001760856390776722</v>
      </c>
      <c r="Z38" s="1">
        <v>0.02543593755799756</v>
      </c>
    </row>
    <row r="39" spans="1:26">
      <c r="A39" s="11">
        <v>42429</v>
      </c>
      <c r="B39" s="1">
        <v>-0.03014934576321582</v>
      </c>
      <c r="C39" s="1">
        <v>0.0001690657717927646</v>
      </c>
      <c r="D39" s="1">
        <v>0.002028886047439338</v>
      </c>
      <c r="E39" s="1">
        <v>-0.005140668052378783</v>
      </c>
      <c r="F39" s="1">
        <v>-0.003108609850424715</v>
      </c>
      <c r="G39" s="1">
        <v>0.005396646512863201</v>
      </c>
      <c r="H39" s="1">
        <v>-0.003710654570588945</v>
      </c>
      <c r="I39" s="1">
        <v>0.008934209059123788</v>
      </c>
      <c r="J39" s="1">
        <v>0.004698985763468944</v>
      </c>
      <c r="K39" s="1">
        <v>-0.006495505311407967</v>
      </c>
      <c r="L39" s="1">
        <v>-0.02155017718781693</v>
      </c>
      <c r="M39" s="1">
        <v>-0.005216868938270558</v>
      </c>
      <c r="N39" s="1">
        <v>0.0004870049751546368</v>
      </c>
      <c r="O39" s="1">
        <v>-0.007825935986768395</v>
      </c>
      <c r="P39" s="1">
        <v>-0.008187708034877894</v>
      </c>
      <c r="Q39" s="1">
        <v>-0.001394598144929371</v>
      </c>
      <c r="R39" s="1">
        <v>-0.008662100941696727</v>
      </c>
      <c r="S39" s="1">
        <v>-0.01791020004405663</v>
      </c>
      <c r="T39" s="1">
        <v>-0.009266397282048922</v>
      </c>
      <c r="U39" s="1">
        <v>-0.00484789057104984</v>
      </c>
      <c r="V39" s="1">
        <v>0.0002551768350123051</v>
      </c>
      <c r="W39" s="1">
        <v>-0.01162925728295217</v>
      </c>
      <c r="X39" s="1">
        <v>-0.01157713032936736</v>
      </c>
      <c r="Y39" s="1">
        <v>-0.005684155035505012</v>
      </c>
      <c r="Z39" s="1">
        <v>-0.02067087179886162</v>
      </c>
    </row>
    <row r="40" spans="1:26">
      <c r="A40" s="11">
        <v>42430</v>
      </c>
      <c r="B40" s="1">
        <v>0.008881752013779609</v>
      </c>
      <c r="C40" s="1">
        <v>0.01506178452065798</v>
      </c>
      <c r="D40" s="1">
        <v>0.01189606768053597</v>
      </c>
      <c r="E40" s="1">
        <v>0.0369775100520453</v>
      </c>
      <c r="F40" s="1">
        <v>0.02581000879635043</v>
      </c>
      <c r="G40" s="1">
        <v>0.002146857211589914</v>
      </c>
      <c r="H40" s="1">
        <v>-0.01036473449106445</v>
      </c>
      <c r="I40" s="1">
        <v>0.01085054347641834</v>
      </c>
      <c r="J40" s="1">
        <v>0.02245122768411401</v>
      </c>
      <c r="K40" s="1">
        <v>0.02387762540067118</v>
      </c>
      <c r="L40" s="1">
        <v>0.05150992418396183</v>
      </c>
      <c r="M40" s="1">
        <v>0.01492544739183255</v>
      </c>
      <c r="N40" s="1">
        <v>0.002598987330229674</v>
      </c>
      <c r="O40" s="1">
        <v>0.01822927225825755</v>
      </c>
      <c r="P40" s="1">
        <v>0.03341209742130102</v>
      </c>
      <c r="Q40" s="1">
        <v>0.000930865572620343</v>
      </c>
      <c r="R40" s="1">
        <v>0.02349511059222453</v>
      </c>
      <c r="S40" s="1">
        <v>0.02168395753770813</v>
      </c>
      <c r="T40" s="1">
        <v>0.03940879533998953</v>
      </c>
      <c r="U40" s="1">
        <v>0.01190828584644876</v>
      </c>
      <c r="V40" s="1">
        <v>0.03199478574548165</v>
      </c>
      <c r="W40" s="1">
        <v>0.04713979655239409</v>
      </c>
      <c r="X40" s="1">
        <v>0.01024862469435917</v>
      </c>
      <c r="Y40" s="1">
        <v>0.01439034950292184</v>
      </c>
      <c r="Z40" s="1">
        <v>0.04643513810787558</v>
      </c>
    </row>
    <row r="41" spans="1:26">
      <c r="A41" s="11">
        <v>42431</v>
      </c>
      <c r="B41" s="1">
        <v>0.08674303661531879</v>
      </c>
      <c r="C41" s="1">
        <v>-0.002584079914793369</v>
      </c>
      <c r="D41" s="1">
        <v>-0.003888582088547032</v>
      </c>
      <c r="E41" s="1">
        <v>0.0105883906979034</v>
      </c>
      <c r="F41" s="1">
        <v>0.002532844410986224</v>
      </c>
      <c r="G41" s="1">
        <v>0.008034876323979478</v>
      </c>
      <c r="H41" s="1">
        <v>0.005727637765969629</v>
      </c>
      <c r="I41" s="1">
        <v>0.009747170536916094</v>
      </c>
      <c r="J41" s="1">
        <v>-0.002745166139006439</v>
      </c>
      <c r="K41" s="1">
        <v>-0.004164775534792553</v>
      </c>
      <c r="L41" s="1">
        <v>0.009459386796369706</v>
      </c>
      <c r="M41" s="1">
        <v>-0.01317670757049716</v>
      </c>
      <c r="N41" s="1">
        <v>-0.003725771354357366</v>
      </c>
      <c r="O41" s="1">
        <v>-0.004303601985973349</v>
      </c>
      <c r="P41" s="1">
        <v>0.007036907274327042</v>
      </c>
      <c r="Q41" s="1">
        <v>0.02651160819037601</v>
      </c>
      <c r="R41" s="1">
        <v>-0.008347614281251858</v>
      </c>
      <c r="S41" s="1">
        <v>0.004982464746543291</v>
      </c>
      <c r="T41" s="1">
        <v>-0.02656896249345686</v>
      </c>
      <c r="U41" s="1">
        <v>0.008023164266844018</v>
      </c>
      <c r="V41" s="1">
        <v>0.001729060972126328</v>
      </c>
      <c r="W41" s="1">
        <v>0.0209940316849011</v>
      </c>
      <c r="X41" s="1">
        <v>-0.009565134443596524</v>
      </c>
      <c r="Y41" s="1">
        <v>0.01282520231826645</v>
      </c>
      <c r="Z41" s="1">
        <v>0.02330770029123164</v>
      </c>
    </row>
    <row r="42" spans="1:26">
      <c r="A42" s="11">
        <v>42432</v>
      </c>
      <c r="B42" s="1">
        <v>0.07433846861434468</v>
      </c>
      <c r="C42" s="1">
        <v>-0.0003343435025138231</v>
      </c>
      <c r="D42" s="1">
        <v>-0.009569197914568006</v>
      </c>
      <c r="E42" s="1">
        <v>0.001540779289031402</v>
      </c>
      <c r="F42" s="1">
        <v>0.009264081404632085</v>
      </c>
      <c r="G42" s="1">
        <v>-0.002125819237730253</v>
      </c>
      <c r="H42" s="1">
        <v>0.00667088038528818</v>
      </c>
      <c r="I42" s="1">
        <v>0.02236018311956478</v>
      </c>
      <c r="J42" s="1">
        <v>0.01926602365203722</v>
      </c>
      <c r="K42" s="1">
        <v>0.006969747009985872</v>
      </c>
      <c r="L42" s="1">
        <v>0.003346622504656116</v>
      </c>
      <c r="M42" s="1">
        <v>0.002145978489504818</v>
      </c>
      <c r="N42" s="1">
        <v>0.01186942566720517</v>
      </c>
      <c r="O42" s="1">
        <v>-0.001555718579170362</v>
      </c>
      <c r="P42" s="1">
        <v>-0.01133119813035599</v>
      </c>
      <c r="Q42" s="1">
        <v>0.01223393208334067</v>
      </c>
      <c r="R42" s="1">
        <v>0.03424541405319448</v>
      </c>
      <c r="S42" s="1">
        <v>-0.01155505062522943</v>
      </c>
      <c r="T42" s="1">
        <v>-0.006210900219738469</v>
      </c>
      <c r="U42" s="1">
        <v>0.007959930282746441</v>
      </c>
      <c r="V42" s="1">
        <v>-0.01713892487255508</v>
      </c>
      <c r="W42" s="1">
        <v>0.003981801906723037</v>
      </c>
      <c r="X42" s="1">
        <v>-0.01551084479898002</v>
      </c>
      <c r="Y42" s="1">
        <v>-0.004412991460952975</v>
      </c>
      <c r="Z42" s="1">
        <v>0.03197586490352844</v>
      </c>
    </row>
    <row r="43" spans="1:26">
      <c r="A43" s="11">
        <v>42433</v>
      </c>
      <c r="B43" s="1">
        <v>0.06542502997743838</v>
      </c>
      <c r="C43" s="1">
        <v>0.01220642137311878</v>
      </c>
      <c r="D43" s="1">
        <v>0.003305499662441758</v>
      </c>
      <c r="E43" s="1">
        <v>-0.004461504110457537</v>
      </c>
      <c r="F43" s="1">
        <v>-0.003004065955936941</v>
      </c>
      <c r="G43" s="1">
        <v>0.03780594861102693</v>
      </c>
      <c r="H43" s="1">
        <v>0.001293057135668851</v>
      </c>
      <c r="I43" s="1">
        <v>0.01446203643692034</v>
      </c>
      <c r="J43" s="1">
        <v>0.006300702732023433</v>
      </c>
      <c r="K43" s="1">
        <v>0.004983624214378368</v>
      </c>
      <c r="L43" s="1">
        <v>0.001500944390379955</v>
      </c>
      <c r="M43" s="1">
        <v>-0.01261005749906985</v>
      </c>
      <c r="N43" s="1">
        <v>0.01205247650223806</v>
      </c>
      <c r="O43" s="1">
        <v>0.004501959252540377</v>
      </c>
      <c r="P43" s="1">
        <v>-0.006112823392005806</v>
      </c>
      <c r="Q43" s="1">
        <v>0.002685450148313562</v>
      </c>
      <c r="R43" s="1">
        <v>-0.01183905627834025</v>
      </c>
      <c r="S43" s="1">
        <v>-0.01287454126678822</v>
      </c>
      <c r="T43" s="1">
        <v>0.0177208374610951</v>
      </c>
      <c r="U43" s="1">
        <v>-0.001579703316082037</v>
      </c>
      <c r="V43" s="1">
        <v>0.01781447408546932</v>
      </c>
      <c r="W43" s="1">
        <v>0.01175450525023969</v>
      </c>
      <c r="X43" s="1">
        <v>-0.01902441971877189</v>
      </c>
      <c r="Y43" s="1">
        <v>-0.001541606441305965</v>
      </c>
      <c r="Z43" s="1">
        <v>0.03310727595336838</v>
      </c>
    </row>
    <row r="44" spans="1:26">
      <c r="A44" s="11">
        <v>42436</v>
      </c>
      <c r="B44" s="1">
        <v>0.06203115354688071</v>
      </c>
      <c r="C44" s="1">
        <v>0.01511517290277387</v>
      </c>
      <c r="D44" s="1">
        <v>0.009122826991166955</v>
      </c>
      <c r="E44" s="1">
        <v>0.0275070604521912</v>
      </c>
      <c r="F44" s="1">
        <v>-0.01305657528318138</v>
      </c>
      <c r="G44" s="1">
        <v>0.01026207097823129</v>
      </c>
      <c r="H44" s="1">
        <v>0.001614543235994637</v>
      </c>
      <c r="I44" s="1">
        <v>0.009424882646648758</v>
      </c>
      <c r="J44" s="1">
        <v>0.02297426757955523</v>
      </c>
      <c r="K44" s="1">
        <v>0.0008261890192549082</v>
      </c>
      <c r="L44" s="1">
        <v>-0.001831850085549203</v>
      </c>
      <c r="M44" s="1">
        <v>-0.0004820447986854104</v>
      </c>
      <c r="N44" s="1">
        <v>-0.01857731413353569</v>
      </c>
      <c r="O44" s="1">
        <v>-0.00551620329169511</v>
      </c>
      <c r="P44" s="1">
        <v>-0.01921979003871932</v>
      </c>
      <c r="Q44" s="1">
        <v>-0.001785505213634853</v>
      </c>
      <c r="R44" s="1">
        <v>0.004305833043780405</v>
      </c>
      <c r="S44" s="1">
        <v>0.002480416840046518</v>
      </c>
      <c r="T44" s="1">
        <v>-0.001914661653964034</v>
      </c>
      <c r="U44" s="1">
        <v>0.005272974294155519</v>
      </c>
      <c r="V44" s="1">
        <v>-0.003821031087150151</v>
      </c>
      <c r="W44" s="1">
        <v>0.008909745020288851</v>
      </c>
      <c r="X44" s="1">
        <v>-0.002424860190408107</v>
      </c>
      <c r="Y44" s="1">
        <v>0.007720512541786295</v>
      </c>
      <c r="Z44" s="1">
        <v>0.004108355727431956</v>
      </c>
    </row>
    <row r="45" spans="1:26">
      <c r="A45" s="11">
        <v>42437</v>
      </c>
      <c r="B45" s="1">
        <v>-0.09506031544858451</v>
      </c>
      <c r="C45" s="1">
        <v>-0.004475275767985232</v>
      </c>
      <c r="D45" s="1">
        <v>-0.006026789903112673</v>
      </c>
      <c r="E45" s="1">
        <v>-0.00345903284566873</v>
      </c>
      <c r="F45" s="1">
        <v>-0.01136355013173118</v>
      </c>
      <c r="G45" s="1">
        <v>0.008634047815294865</v>
      </c>
      <c r="H45" s="1">
        <v>0.007412934393370207</v>
      </c>
      <c r="I45" s="1">
        <v>-0.02135857996375479</v>
      </c>
      <c r="J45" s="1">
        <v>-0.02298837132336584</v>
      </c>
      <c r="K45" s="1">
        <v>-0.01486381264932357</v>
      </c>
      <c r="L45" s="1">
        <v>-0.01935257857778305</v>
      </c>
      <c r="M45" s="1">
        <v>0.002652158795104054</v>
      </c>
      <c r="N45" s="1">
        <v>0.007927343158597999</v>
      </c>
      <c r="O45" s="1">
        <v>-0.004333361330302044</v>
      </c>
      <c r="P45" s="1">
        <v>0.01215018196781825</v>
      </c>
      <c r="Q45" s="1">
        <v>0.005366809842597631</v>
      </c>
      <c r="R45" s="1">
        <v>-0.02479002749024495</v>
      </c>
      <c r="S45" s="1">
        <v>-0.006584755303381984</v>
      </c>
      <c r="T45" s="1">
        <v>-0.0003256412494253569</v>
      </c>
      <c r="U45" s="1">
        <v>-0.001048651428498526</v>
      </c>
      <c r="V45" s="1">
        <v>-0.003588509701189402</v>
      </c>
      <c r="W45" s="1">
        <v>-0.01744932698313462</v>
      </c>
      <c r="X45" s="1">
        <v>-0.01245391175284116</v>
      </c>
      <c r="Y45" s="1">
        <v>0.004788263991971187</v>
      </c>
      <c r="Z45" s="1">
        <v>-0.03109654673458828</v>
      </c>
    </row>
    <row r="46" spans="1:26">
      <c r="A46" s="11">
        <v>42438</v>
      </c>
      <c r="B46" s="1">
        <v>0.001299228914843908</v>
      </c>
      <c r="C46" s="1">
        <v>0.004168428600383134</v>
      </c>
      <c r="D46" s="1">
        <v>0.0002531240298702109</v>
      </c>
      <c r="E46" s="1">
        <v>-0.01086593051760265</v>
      </c>
      <c r="F46" s="1">
        <v>0.008406276947515279</v>
      </c>
      <c r="G46" s="1">
        <v>0.004531144292602596</v>
      </c>
      <c r="H46" s="1">
        <v>0.0118383644091784</v>
      </c>
      <c r="I46" s="1">
        <v>-0.009660172054086202</v>
      </c>
      <c r="J46" s="1">
        <v>0.02805400733454877</v>
      </c>
      <c r="K46" s="1">
        <v>0.005588289547009406</v>
      </c>
      <c r="L46" s="1">
        <v>0.00578412056594968</v>
      </c>
      <c r="M46" s="1">
        <v>0.01755222686827485</v>
      </c>
      <c r="N46" s="1">
        <v>0.008186288151960985</v>
      </c>
      <c r="O46" s="1">
        <v>0.004700370167554757</v>
      </c>
      <c r="P46" s="1">
        <v>0.02303911174248996</v>
      </c>
      <c r="Q46" s="1">
        <v>0.006227618038638916</v>
      </c>
      <c r="R46" s="1">
        <v>-0.001911711416071271</v>
      </c>
      <c r="S46" s="1">
        <v>0.003896588192172867</v>
      </c>
      <c r="T46" s="1">
        <v>-0.003548244073969364</v>
      </c>
      <c r="U46" s="1">
        <v>-0.002888484586688445</v>
      </c>
      <c r="V46" s="1">
        <v>0.00844405069418408</v>
      </c>
      <c r="W46" s="1">
        <v>-0.006687060166106651</v>
      </c>
      <c r="X46" s="1">
        <v>0.02062114481938271</v>
      </c>
      <c r="Y46" s="1">
        <v>-0.002287220745214147</v>
      </c>
      <c r="Z46" s="1">
        <v>-0.004223186783230859</v>
      </c>
    </row>
    <row r="47" spans="1:26">
      <c r="A47" s="11">
        <v>42439</v>
      </c>
      <c r="B47" s="1">
        <v>0.0004328007557152791</v>
      </c>
      <c r="C47" s="1">
        <v>0.0006512846491941726</v>
      </c>
      <c r="D47" s="1">
        <v>0.005303522212822376</v>
      </c>
      <c r="E47" s="1">
        <v>-0.009154817968991535</v>
      </c>
      <c r="F47" s="1">
        <v>-0.006975347242767826</v>
      </c>
      <c r="G47" s="1">
        <v>0.01202999439715713</v>
      </c>
      <c r="H47" s="1">
        <v>-0.002529862515821324</v>
      </c>
      <c r="I47" s="1">
        <v>-0.007947921533574265</v>
      </c>
      <c r="J47" s="1">
        <v>0.00528166002643049</v>
      </c>
      <c r="K47" s="1">
        <v>-0.01583789500923449</v>
      </c>
      <c r="L47" s="1">
        <v>-0.008626370569639108</v>
      </c>
      <c r="M47" s="1">
        <v>-0.001417600896631011</v>
      </c>
      <c r="N47" s="1">
        <v>0.003025455852832426</v>
      </c>
      <c r="O47" s="1">
        <v>0.0003465203169772391</v>
      </c>
      <c r="P47" s="1">
        <v>-0.01495070829333744</v>
      </c>
      <c r="Q47" s="1">
        <v>0.006631697009622073</v>
      </c>
      <c r="R47" s="1">
        <v>-0.008425705526685534</v>
      </c>
      <c r="S47" s="1">
        <v>0.0004405021294517919</v>
      </c>
      <c r="T47" s="1">
        <v>0.01595109533182471</v>
      </c>
      <c r="U47" s="1">
        <v>0.008688765013120214</v>
      </c>
      <c r="V47" s="1">
        <v>0.003571470669489596</v>
      </c>
      <c r="W47" s="1">
        <v>-0.001375570532951786</v>
      </c>
      <c r="X47" s="1">
        <v>-0.00603105961864514</v>
      </c>
      <c r="Y47" s="1">
        <v>-0.0003818012853318287</v>
      </c>
      <c r="Z47" s="1">
        <v>0.02374893204890571</v>
      </c>
    </row>
    <row r="48" spans="1:26">
      <c r="A48" s="11">
        <v>42440</v>
      </c>
      <c r="B48" s="1">
        <v>0.05881064130499425</v>
      </c>
      <c r="C48" s="1">
        <v>0.01374630526994269</v>
      </c>
      <c r="D48" s="1">
        <v>0.01708559176554747</v>
      </c>
      <c r="E48" s="1">
        <v>0.0003077294333317937</v>
      </c>
      <c r="F48" s="1">
        <v>0.0135343965025192</v>
      </c>
      <c r="G48" s="1">
        <v>0.004458208001257846</v>
      </c>
      <c r="H48" s="1">
        <v>0.0142657235679684</v>
      </c>
      <c r="I48" s="1">
        <v>0.006918981582048733</v>
      </c>
      <c r="J48" s="1">
        <v>0.02451819002831623</v>
      </c>
      <c r="K48" s="1">
        <v>0.02428002029787057</v>
      </c>
      <c r="L48" s="1">
        <v>0.01245523236203394</v>
      </c>
      <c r="M48" s="1">
        <v>0.02531938218986096</v>
      </c>
      <c r="N48" s="1">
        <v>-0.006807350760509423</v>
      </c>
      <c r="O48" s="1">
        <v>0.01749538765218528</v>
      </c>
      <c r="P48" s="1">
        <v>0.01959669232273953</v>
      </c>
      <c r="Q48" s="1">
        <v>-0.001318068247578408</v>
      </c>
      <c r="R48" s="1">
        <v>0.01834646050466437</v>
      </c>
      <c r="S48" s="1">
        <v>0.02727996287777201</v>
      </c>
      <c r="T48" s="1">
        <v>0.01870577685115338</v>
      </c>
      <c r="U48" s="1">
        <v>0.001305594844447366</v>
      </c>
      <c r="V48" s="1">
        <v>0.004539542697939325</v>
      </c>
      <c r="W48" s="1">
        <v>0.01748772647457786</v>
      </c>
      <c r="X48" s="1">
        <v>0.02851959385247071</v>
      </c>
      <c r="Y48" s="1">
        <v>0.004013089575488626</v>
      </c>
      <c r="Z48" s="1">
        <v>0.03272570296388322</v>
      </c>
    </row>
    <row r="49" spans="1:26">
      <c r="A49" s="11">
        <v>42443</v>
      </c>
      <c r="B49" s="1">
        <v>-0.0159281004991928</v>
      </c>
      <c r="C49" s="1">
        <v>0.01372080432604394</v>
      </c>
      <c r="D49" s="1">
        <v>-0.0009876639828956257</v>
      </c>
      <c r="E49" s="1">
        <v>-0.01293079636859207</v>
      </c>
      <c r="F49" s="1">
        <v>0.00118321086623685</v>
      </c>
      <c r="G49" s="1">
        <v>0.007396273428453615</v>
      </c>
      <c r="H49" s="1">
        <v>-0.00750139048434173</v>
      </c>
      <c r="I49" s="1">
        <v>-0.01326094621737195</v>
      </c>
      <c r="J49" s="1">
        <v>-0.01965772060974502</v>
      </c>
      <c r="K49" s="1">
        <v>0.004410478883687396</v>
      </c>
      <c r="L49" s="1">
        <v>-0.003707620734699879</v>
      </c>
      <c r="M49" s="1">
        <v>0.01130835247008033</v>
      </c>
      <c r="N49" s="1">
        <v>0</v>
      </c>
      <c r="O49" s="1">
        <v>0.001532037201690928</v>
      </c>
      <c r="P49" s="1">
        <v>0.001884084741653247</v>
      </c>
      <c r="Q49" s="1">
        <v>0.001758809001662032</v>
      </c>
      <c r="R49" s="1">
        <v>0.01877511117788133</v>
      </c>
      <c r="S49" s="1">
        <v>0.01799094480322494</v>
      </c>
      <c r="T49" s="1">
        <v>-0.004002830131872082</v>
      </c>
      <c r="U49" s="1">
        <v>-0.001042568286892642</v>
      </c>
      <c r="V49" s="1">
        <v>-0.001221251956405545</v>
      </c>
      <c r="W49" s="1">
        <v>-0.003209209500247279</v>
      </c>
      <c r="X49" s="1">
        <v>-0.001474908408895526</v>
      </c>
      <c r="Y49" s="1">
        <v>0.0001908132618644309</v>
      </c>
      <c r="Z49" s="1">
        <v>-0.004011333047273857</v>
      </c>
    </row>
    <row r="50" spans="1:26">
      <c r="A50" s="11">
        <v>42444</v>
      </c>
      <c r="B50" s="1">
        <v>-0.005395406800526525</v>
      </c>
      <c r="C50" s="1">
        <v>0.0001582528881152179</v>
      </c>
      <c r="D50" s="1">
        <v>-0.007913438693892605</v>
      </c>
      <c r="E50" s="1">
        <v>-0.006862360009687096</v>
      </c>
      <c r="F50" s="1">
        <v>0.00287036023699927</v>
      </c>
      <c r="G50" s="1">
        <v>0.003915543652511344</v>
      </c>
      <c r="H50" s="1">
        <v>0.002361767468722853</v>
      </c>
      <c r="I50" s="1">
        <v>-0.01466062246428557</v>
      </c>
      <c r="J50" s="1">
        <v>-0.006103138366255867</v>
      </c>
      <c r="K50" s="1">
        <v>-0.009605026472407352</v>
      </c>
      <c r="L50" s="1">
        <v>0.001353498619707461</v>
      </c>
      <c r="M50" s="1">
        <v>-0.004564145364052918</v>
      </c>
      <c r="N50" s="1">
        <v>-0.002419072784100806</v>
      </c>
      <c r="O50" s="1">
        <v>0.005269392903800574</v>
      </c>
      <c r="P50" s="1">
        <v>0.007899175459856744</v>
      </c>
      <c r="Q50" s="1">
        <v>-0.004828699390046709</v>
      </c>
      <c r="R50" s="1">
        <v>-0.005770465818248249</v>
      </c>
      <c r="S50" s="1">
        <v>0.01463212210553544</v>
      </c>
      <c r="T50" s="1">
        <v>-0.003348460470126935</v>
      </c>
      <c r="U50" s="1">
        <v>0.005218691555089583</v>
      </c>
      <c r="V50" s="1">
        <v>-0.001467754876235627</v>
      </c>
      <c r="W50" s="1">
        <v>-0.0108033009698687</v>
      </c>
      <c r="X50" s="1">
        <v>-0.01004458008984599</v>
      </c>
      <c r="Y50" s="1">
        <v>0.002474323821061164</v>
      </c>
      <c r="Z50" s="1">
        <v>0</v>
      </c>
    </row>
    <row r="51" spans="1:26">
      <c r="A51" s="11">
        <v>42445</v>
      </c>
      <c r="B51" s="1">
        <v>0.02753999699601706</v>
      </c>
      <c r="C51" s="1">
        <v>0.009575853309710336</v>
      </c>
      <c r="D51" s="1">
        <v>-0.002242769886054763</v>
      </c>
      <c r="E51" s="1">
        <v>-0.01633156660424484</v>
      </c>
      <c r="F51" s="1">
        <v>0.008585627529674511</v>
      </c>
      <c r="G51" s="1">
        <v>0.005850537787000842</v>
      </c>
      <c r="H51" s="1">
        <v>0.009268045620346443</v>
      </c>
      <c r="I51" s="1">
        <v>0.009423308400593466</v>
      </c>
      <c r="J51" s="1">
        <v>0.01929873519135872</v>
      </c>
      <c r="K51" s="1">
        <v>0.007204044026452916</v>
      </c>
      <c r="L51" s="1">
        <v>-0.004729948638784842</v>
      </c>
      <c r="M51" s="1">
        <v>0.01215020776062214</v>
      </c>
      <c r="N51" s="1">
        <v>0.003394901950594553</v>
      </c>
      <c r="O51" s="1">
        <v>-0.003720173747489675</v>
      </c>
      <c r="P51" s="1">
        <v>0.01418181112238104</v>
      </c>
      <c r="Q51" s="1">
        <v>0.01896804149316211</v>
      </c>
      <c r="R51" s="1">
        <v>0.01142073031856561</v>
      </c>
      <c r="S51" s="1">
        <v>0.0171531276983421</v>
      </c>
      <c r="T51" s="1">
        <v>0.01510210398937728</v>
      </c>
      <c r="U51" s="1">
        <v>0.006490346878455178</v>
      </c>
      <c r="V51" s="1">
        <v>0.009063178170366504</v>
      </c>
      <c r="W51" s="1">
        <v>0.005931045341053265</v>
      </c>
      <c r="X51" s="1">
        <v>0.02118786983597931</v>
      </c>
      <c r="Y51" s="1">
        <v>0.01025202247585799</v>
      </c>
      <c r="Z51" s="1">
        <v>-0.00120806111857763</v>
      </c>
    </row>
    <row r="52" spans="1:26">
      <c r="A52" s="11">
        <v>42446</v>
      </c>
      <c r="B52" s="1">
        <v>0.02477187605251241</v>
      </c>
      <c r="C52" s="1">
        <v>0.02453544832923149</v>
      </c>
      <c r="D52" s="1">
        <v>-0.007744323854721791</v>
      </c>
      <c r="E52" s="1">
        <v>-0.01867832805882041</v>
      </c>
      <c r="F52" s="1">
        <v>0.01402096076111814</v>
      </c>
      <c r="G52" s="1">
        <v>0.0213284010714736</v>
      </c>
      <c r="H52" s="1">
        <v>0.001867567486323551</v>
      </c>
      <c r="I52" s="1">
        <v>0.0202678029149157</v>
      </c>
      <c r="J52" s="1">
        <v>0.008605330068523598</v>
      </c>
      <c r="K52" s="1">
        <v>0.009078421192895147</v>
      </c>
      <c r="L52" s="1">
        <v>-0.002885359593271408</v>
      </c>
      <c r="M52" s="1">
        <v>-0.01245726705370698</v>
      </c>
      <c r="N52" s="1">
        <v>0.004188682440003477</v>
      </c>
      <c r="O52" s="1">
        <v>0.01578411263354695</v>
      </c>
      <c r="P52" s="1">
        <v>0.005703830735523052</v>
      </c>
      <c r="Q52" s="1">
        <v>0.009956693175594999</v>
      </c>
      <c r="R52" s="1">
        <v>0.01703072734338651</v>
      </c>
      <c r="S52" s="1">
        <v>0.006416952202955795</v>
      </c>
      <c r="T52" s="1">
        <v>0.0002788423919175553</v>
      </c>
      <c r="U52" s="1">
        <v>0.009027689007452322</v>
      </c>
      <c r="V52" s="1">
        <v>0.00764702872189571</v>
      </c>
      <c r="W52" s="1">
        <v>-0.005968000875771207</v>
      </c>
      <c r="X52" s="1">
        <v>0.02191663134109145</v>
      </c>
      <c r="Y52" s="1">
        <v>0.007893754631036032</v>
      </c>
      <c r="Z52" s="1">
        <v>0.008467790897901173</v>
      </c>
    </row>
    <row r="53" spans="1:26">
      <c r="A53" s="11">
        <v>42447</v>
      </c>
      <c r="B53" s="1">
        <v>-0.01664353766243631</v>
      </c>
      <c r="C53" s="1">
        <v>0.0249427218987115</v>
      </c>
      <c r="D53" s="1">
        <v>0.01032235315720675</v>
      </c>
      <c r="E53" s="1">
        <v>0.0221249855168506</v>
      </c>
      <c r="F53" s="1">
        <v>-0.0162959709194973</v>
      </c>
      <c r="G53" s="1">
        <v>-0.01613635240531819</v>
      </c>
      <c r="H53" s="1">
        <v>-0.0004660427943392609</v>
      </c>
      <c r="I53" s="1">
        <v>-0.005176832757081251</v>
      </c>
      <c r="J53" s="1">
        <v>0.03924916025880432</v>
      </c>
      <c r="K53" s="1">
        <v>-0.003271153586459907</v>
      </c>
      <c r="L53" s="1">
        <v>0.02944685174870365</v>
      </c>
      <c r="M53" s="1">
        <v>0.02064213881682564</v>
      </c>
      <c r="N53" s="1">
        <v>-0.0126744967990633</v>
      </c>
      <c r="O53" s="1">
        <v>-0.0008351349148829623</v>
      </c>
      <c r="P53" s="1">
        <v>-0.02140511242460297</v>
      </c>
      <c r="Q53" s="1">
        <v>-0.02271737431931364</v>
      </c>
      <c r="R53" s="1">
        <v>0.004368375153880333</v>
      </c>
      <c r="S53" s="1">
        <v>-0.001111993591120242</v>
      </c>
      <c r="T53" s="1">
        <v>0.005573360395088489</v>
      </c>
      <c r="U53" s="1">
        <v>-0.01431527107171326</v>
      </c>
      <c r="V53" s="1">
        <v>-0.003734482632387515</v>
      </c>
      <c r="W53" s="1">
        <v>0.01265853747332102</v>
      </c>
      <c r="X53" s="1">
        <v>0.03431528105661674</v>
      </c>
      <c r="Y53" s="1">
        <v>-0.007272290009703752</v>
      </c>
      <c r="Z53" s="1">
        <v>0.00799659381604112</v>
      </c>
    </row>
    <row r="54" spans="1:26">
      <c r="A54" s="11">
        <v>42450</v>
      </c>
      <c r="B54" s="1">
        <v>0.005037384989463156</v>
      </c>
      <c r="C54" s="1">
        <v>0.01418344262260018</v>
      </c>
      <c r="D54" s="1">
        <v>-0.001993893214206732</v>
      </c>
      <c r="E54" s="1">
        <v>-0.002069161322010071</v>
      </c>
      <c r="F54" s="1">
        <v>0.001338447545236265</v>
      </c>
      <c r="G54" s="1">
        <v>0.01061249421136101</v>
      </c>
      <c r="H54" s="1">
        <v>-0.0004662600914951964</v>
      </c>
      <c r="I54" s="1">
        <v>0.001088980484649449</v>
      </c>
      <c r="J54" s="1">
        <v>0.002463096376692508</v>
      </c>
      <c r="K54" s="1">
        <v>-0.001368035970447878</v>
      </c>
      <c r="L54" s="1">
        <v>-0.0003302868273767912</v>
      </c>
      <c r="M54" s="1">
        <v>0.01101132656570569</v>
      </c>
      <c r="N54" s="1">
        <v>0.002925020290927449</v>
      </c>
      <c r="O54" s="1">
        <v>-0.0005017286597084336</v>
      </c>
      <c r="P54" s="1">
        <v>0.006917435996301791</v>
      </c>
      <c r="Q54" s="1">
        <v>0.003947138251928939</v>
      </c>
      <c r="R54" s="1">
        <v>-0.004530630712750616</v>
      </c>
      <c r="S54" s="1">
        <v>-0.01926155586624967</v>
      </c>
      <c r="T54" s="1">
        <v>-0.05334481236303379</v>
      </c>
      <c r="U54" s="1">
        <v>0.009336011241296127</v>
      </c>
      <c r="V54" s="1">
        <v>-0.006166052471021977</v>
      </c>
      <c r="W54" s="1">
        <v>-0.002643190613173751</v>
      </c>
      <c r="X54" s="1">
        <v>0.005253380844971955</v>
      </c>
      <c r="Y54" s="1">
        <v>0.003756415050887973</v>
      </c>
      <c r="Z54" s="1">
        <v>0.007140124201665765</v>
      </c>
    </row>
    <row r="55" spans="1:26">
      <c r="A55" s="11">
        <v>42451</v>
      </c>
      <c r="B55" s="1">
        <v>0.007818654903896549</v>
      </c>
      <c r="C55" s="1">
        <v>-0.005447106386429312</v>
      </c>
      <c r="D55" s="1">
        <v>0.01373286101718096</v>
      </c>
      <c r="E55" s="1">
        <v>0.001594841618505205</v>
      </c>
      <c r="F55" s="1">
        <v>0.0005013025677871319</v>
      </c>
      <c r="G55" s="1">
        <v>0.0009543348608240798</v>
      </c>
      <c r="H55" s="1">
        <v>-0.01570548291107876</v>
      </c>
      <c r="I55" s="1">
        <v>-0.005561001898248152</v>
      </c>
      <c r="J55" s="1">
        <v>0.00409503683947321</v>
      </c>
      <c r="K55" s="1">
        <v>-0.009312166231487451</v>
      </c>
      <c r="L55" s="1">
        <v>-0.003639103985503267</v>
      </c>
      <c r="M55" s="1">
        <v>-0.008446539785911367</v>
      </c>
      <c r="N55" s="1">
        <v>-0.01166570758754293</v>
      </c>
      <c r="O55" s="1">
        <v>-0.0006691546864873166</v>
      </c>
      <c r="P55" s="1">
        <v>0.003898867226360236</v>
      </c>
      <c r="Q55" s="1">
        <v>-0.003931619605790915</v>
      </c>
      <c r="R55" s="1">
        <v>-0.008556411749860104</v>
      </c>
      <c r="S55" s="1">
        <v>-0.001362131788466447</v>
      </c>
      <c r="T55" s="1">
        <v>0.03187123479207865</v>
      </c>
      <c r="U55" s="1">
        <v>-0.007450673183291179</v>
      </c>
      <c r="V55" s="1">
        <v>-0.006082635489681021</v>
      </c>
      <c r="W55" s="1">
        <v>-0.00558628382133719</v>
      </c>
      <c r="X55" s="1">
        <v>0.006875390883019694</v>
      </c>
      <c r="Y55" s="1">
        <v>-0.004303988449152696</v>
      </c>
      <c r="Z55" s="1">
        <v>-0.001575221460094811</v>
      </c>
    </row>
    <row r="56" spans="1:26">
      <c r="A56" s="11">
        <v>42452</v>
      </c>
      <c r="B56" s="1">
        <v>-0.04794085310618179</v>
      </c>
      <c r="C56" s="1">
        <v>-0.01672576099938727</v>
      </c>
      <c r="D56" s="1">
        <v>0.002216915389547713</v>
      </c>
      <c r="E56" s="1">
        <v>-0.007324817056505784</v>
      </c>
      <c r="F56" s="1">
        <v>-0.01035580342415954</v>
      </c>
      <c r="G56" s="1">
        <v>-0.001430010473325138</v>
      </c>
      <c r="H56" s="1">
        <v>0.002053944679282438</v>
      </c>
      <c r="I56" s="1">
        <v>-0.01726216118363189</v>
      </c>
      <c r="J56" s="1">
        <v>-0.01957585662516037</v>
      </c>
      <c r="K56" s="1">
        <v>-0.01244122959966876</v>
      </c>
      <c r="L56" s="1">
        <v>-0.004980143972088569</v>
      </c>
      <c r="M56" s="1">
        <v>-0.00403488035854882</v>
      </c>
      <c r="N56" s="1">
        <v>0.006721473547871781</v>
      </c>
      <c r="O56" s="1">
        <v>-0.003180727662492111</v>
      </c>
      <c r="P56" s="1">
        <v>-0.001849400571050319</v>
      </c>
      <c r="Q56" s="1">
        <v>0.009648689661746923</v>
      </c>
      <c r="R56" s="1">
        <v>-0.01432193379808699</v>
      </c>
      <c r="S56" s="1">
        <v>0.004925865080228631</v>
      </c>
      <c r="T56" s="1">
        <v>0.00351046911169095</v>
      </c>
      <c r="U56" s="1">
        <v>-0.002330060338802009</v>
      </c>
      <c r="V56" s="1">
        <v>-0.002447905732227862</v>
      </c>
      <c r="W56" s="1">
        <v>-0.0002161337745725245</v>
      </c>
      <c r="X56" s="1">
        <v>-0.0005457850103803841</v>
      </c>
      <c r="Y56" s="1">
        <v>-0.005637706836236545</v>
      </c>
      <c r="Z56" s="1">
        <v>-0.01617351221006913</v>
      </c>
    </row>
    <row r="57" spans="1:26">
      <c r="A57" s="11">
        <v>42453</v>
      </c>
      <c r="B57" s="1">
        <v>0.02068496554113675</v>
      </c>
      <c r="C57" s="1">
        <v>-0.00556978687533316</v>
      </c>
      <c r="D57" s="1">
        <v>-0.01425430577972275</v>
      </c>
      <c r="E57" s="1">
        <v>0.002887363173937674</v>
      </c>
      <c r="F57" s="1">
        <v>0.01282672601962553</v>
      </c>
      <c r="G57" s="1">
        <v>0.002865070436452344</v>
      </c>
      <c r="H57" s="1">
        <v>-0.004098779216244575</v>
      </c>
      <c r="I57" s="1">
        <v>-0.007422228892388638</v>
      </c>
      <c r="J57" s="1">
        <v>0.00416010723640392</v>
      </c>
      <c r="K57" s="1">
        <v>0.008118702200788697</v>
      </c>
      <c r="L57" s="1">
        <v>-0.007673941999068457</v>
      </c>
      <c r="M57" s="1">
        <v>-0.008327434453068827</v>
      </c>
      <c r="N57" s="1">
        <v>-0.00863067534966977</v>
      </c>
      <c r="O57" s="1">
        <v>0.004366535823341344</v>
      </c>
      <c r="P57" s="1">
        <v>0.004446720733000786</v>
      </c>
      <c r="Q57" s="1">
        <v>0.0004347003539817429</v>
      </c>
      <c r="R57" s="1">
        <v>-0.004284975532949487</v>
      </c>
      <c r="S57" s="1">
        <v>0.00558085275514042</v>
      </c>
      <c r="T57" s="1">
        <v>-0.005795109113294838</v>
      </c>
      <c r="U57" s="1">
        <v>0.008822412347887498</v>
      </c>
      <c r="V57" s="1">
        <v>0.00662555781537133</v>
      </c>
      <c r="W57" s="1">
        <v>0.001440863416753091</v>
      </c>
      <c r="X57" s="1">
        <v>-0.01175220646000175</v>
      </c>
      <c r="Y57" s="1">
        <v>0.01228523200879672</v>
      </c>
      <c r="Z57" s="1">
        <v>0.003207389069374011</v>
      </c>
    </row>
    <row r="58" spans="1:26">
      <c r="A58" s="11">
        <v>42457</v>
      </c>
      <c r="B58" s="1">
        <v>-0.009007177751987339</v>
      </c>
      <c r="C58" s="1">
        <v>-0.006282094149622774</v>
      </c>
      <c r="D58" s="1">
        <v>0.00922454495587921</v>
      </c>
      <c r="E58" s="1">
        <v>0.003998758999774976</v>
      </c>
      <c r="F58" s="1">
        <v>0.001333493688671306</v>
      </c>
      <c r="G58" s="1">
        <v>-0.009999700736846751</v>
      </c>
      <c r="H58" s="1">
        <v>0.003324184176086487</v>
      </c>
      <c r="I58" s="1">
        <v>-0.0008720875741692335</v>
      </c>
      <c r="J58" s="1">
        <v>0</v>
      </c>
      <c r="K58" s="1">
        <v>0.004443188633163064</v>
      </c>
      <c r="L58" s="1">
        <v>-0.001345221343783454</v>
      </c>
      <c r="M58" s="1">
        <v>-0.005674226687129358</v>
      </c>
      <c r="N58" s="1">
        <v>0.01231904408757023</v>
      </c>
      <c r="O58" s="1">
        <v>0.004013371496043971</v>
      </c>
      <c r="P58" s="1">
        <v>-0.01235911370008802</v>
      </c>
      <c r="Q58" s="1">
        <v>-0.004776626374938586</v>
      </c>
      <c r="R58" s="1">
        <v>0.006174091712818575</v>
      </c>
      <c r="S58" s="1">
        <v>0.0119243536909508</v>
      </c>
      <c r="T58" s="1">
        <v>0.009170144546027048</v>
      </c>
      <c r="U58" s="1">
        <v>0.004886772924191485</v>
      </c>
      <c r="V58" s="1">
        <v>0.009263721914785972</v>
      </c>
      <c r="W58" s="1">
        <v>-0.003524623317408992</v>
      </c>
      <c r="X58" s="1">
        <v>-0.003594961019455445</v>
      </c>
      <c r="Y58" s="1">
        <v>-0.002987512859902175</v>
      </c>
      <c r="Z58" s="1">
        <v>-0.01079100679215983</v>
      </c>
    </row>
    <row r="59" spans="1:26">
      <c r="A59" s="11">
        <v>42458</v>
      </c>
      <c r="B59" s="1">
        <v>0.003098805911063263</v>
      </c>
      <c r="C59" s="1">
        <v>-0.003122896793981367</v>
      </c>
      <c r="D59" s="1">
        <v>0.0197630070703918</v>
      </c>
      <c r="E59" s="1">
        <v>0.0226221255871164</v>
      </c>
      <c r="F59" s="1">
        <v>0.01098339261681947</v>
      </c>
      <c r="G59" s="1">
        <v>0.02212553626931513</v>
      </c>
      <c r="H59" s="1">
        <v>0.01246461735814797</v>
      </c>
      <c r="I59" s="1">
        <v>0.01168778754252786</v>
      </c>
      <c r="J59" s="1">
        <v>0.01739823407957974</v>
      </c>
      <c r="K59" s="1">
        <v>-0.0002766714801846204</v>
      </c>
      <c r="L59" s="1">
        <v>-0.006229033157151731</v>
      </c>
      <c r="M59" s="1">
        <v>0.01894544077250027</v>
      </c>
      <c r="N59" s="1">
        <v>0.006490889200787109</v>
      </c>
      <c r="O59" s="1">
        <v>0.008660878916853187</v>
      </c>
      <c r="P59" s="1">
        <v>0.02185271872963335</v>
      </c>
      <c r="Q59" s="1">
        <v>0.01090796743028632</v>
      </c>
      <c r="R59" s="1">
        <v>0.01822264498144999</v>
      </c>
      <c r="S59" s="1">
        <v>0.0172314518276131</v>
      </c>
      <c r="T59" s="1">
        <v>0.00588154456081269</v>
      </c>
      <c r="U59" s="1">
        <v>0.009725883064908292</v>
      </c>
      <c r="V59" s="1">
        <v>0.002053327379682113</v>
      </c>
      <c r="W59" s="1">
        <v>0.01169386803688943</v>
      </c>
      <c r="X59" s="1">
        <v>0.003330323860061268</v>
      </c>
      <c r="Y59" s="1">
        <v>0.0121719402707714</v>
      </c>
      <c r="Z59" s="1">
        <v>-0.01696999744561012</v>
      </c>
    </row>
    <row r="60" spans="1:26">
      <c r="A60" s="11">
        <v>42459</v>
      </c>
      <c r="B60" s="1">
        <v>0.001647011551778599</v>
      </c>
      <c r="C60" s="1">
        <v>-0.01757339227647137</v>
      </c>
      <c r="D60" s="1">
        <v>-0.000484207329188413</v>
      </c>
      <c r="E60" s="1">
        <v>-0.005798492697923652</v>
      </c>
      <c r="F60" s="1">
        <v>0.0008229305304947587</v>
      </c>
      <c r="G60" s="1">
        <v>-0.01882350641284947</v>
      </c>
      <c r="H60" s="1">
        <v>-0.0001558601763692602</v>
      </c>
      <c r="I60" s="1">
        <v>-0.004720686127715812</v>
      </c>
      <c r="J60" s="1">
        <v>0.001628655090893494</v>
      </c>
      <c r="K60" s="1">
        <v>0.01272134938895331</v>
      </c>
      <c r="L60" s="1">
        <v>0.01151950423989634</v>
      </c>
      <c r="M60" s="1">
        <v>0.007616587212767589</v>
      </c>
      <c r="N60" s="1">
        <v>0.008866325162706579</v>
      </c>
      <c r="O60" s="1">
        <v>0.002972367223452732</v>
      </c>
      <c r="P60" s="1">
        <v>0.006214421037229467</v>
      </c>
      <c r="Q60" s="1">
        <v>0.009494953780980087</v>
      </c>
      <c r="R60" s="1">
        <v>-0.003469732506238832</v>
      </c>
      <c r="S60" s="1">
        <v>-0.004736067657192145</v>
      </c>
      <c r="T60" s="1">
        <v>-0.004096514033117282</v>
      </c>
      <c r="U60" s="1">
        <v>-0.002027856310531262</v>
      </c>
      <c r="V60" s="1">
        <v>0.007592877420239841</v>
      </c>
      <c r="W60" s="1">
        <v>0.004567187803714123</v>
      </c>
      <c r="X60" s="1">
        <v>0.004702700006572025</v>
      </c>
      <c r="Y60" s="1">
        <v>-0.0001849536560920573</v>
      </c>
      <c r="Z60" s="1">
        <v>0.01233034782593156</v>
      </c>
    </row>
    <row r="61" spans="1:26">
      <c r="A61" s="11">
        <v>42460</v>
      </c>
      <c r="B61" s="1">
        <v>0.003495509885112158</v>
      </c>
      <c r="C61" s="1">
        <v>-0.01275466891091326</v>
      </c>
      <c r="D61" s="1">
        <v>-0.004362905219869595</v>
      </c>
      <c r="E61" s="1">
        <v>0.006935870283714785</v>
      </c>
      <c r="F61" s="1">
        <v>0.004605620375917052</v>
      </c>
      <c r="G61" s="1">
        <v>0.003357278038281342</v>
      </c>
      <c r="H61" s="1">
        <v>-0.005766872724677241</v>
      </c>
      <c r="I61" s="1">
        <v>-0.03906648815448666</v>
      </c>
      <c r="J61" s="1">
        <v>0.001626228609672653</v>
      </c>
      <c r="K61" s="1">
        <v>0.00245782465047073</v>
      </c>
      <c r="L61" s="1">
        <v>-0.008206164066427046</v>
      </c>
      <c r="M61" s="1">
        <v>-0.004001881671793051</v>
      </c>
      <c r="N61" s="1">
        <v>0.001278322335299231</v>
      </c>
      <c r="O61" s="1">
        <v>0.0008230479259221379</v>
      </c>
      <c r="P61" s="1">
        <v>0.003269770841655806</v>
      </c>
      <c r="Q61" s="1">
        <v>0.007268232778843808</v>
      </c>
      <c r="R61" s="1">
        <v>0.002198844279975409</v>
      </c>
      <c r="S61" s="1">
        <v>0.009589701808590645</v>
      </c>
      <c r="T61" s="1">
        <v>0.000843760253261161</v>
      </c>
      <c r="U61" s="1">
        <v>-0.005080108326904642</v>
      </c>
      <c r="V61" s="1">
        <v>-0.01578925830869193</v>
      </c>
      <c r="W61" s="1">
        <v>0.005681688691989484</v>
      </c>
      <c r="X61" s="1">
        <v>0.003854302076117921</v>
      </c>
      <c r="Y61" s="1">
        <v>0.0007404451111741039</v>
      </c>
      <c r="Z61" s="1">
        <v>-0.01705206085988287</v>
      </c>
    </row>
    <row r="62" spans="1:26">
      <c r="A62" s="11">
        <v>42461</v>
      </c>
      <c r="B62" s="1">
        <v>-0.02683901362401087</v>
      </c>
      <c r="C62" s="1">
        <v>0.0001576377027419085</v>
      </c>
      <c r="D62" s="1">
        <v>0.01484910175596821</v>
      </c>
      <c r="E62" s="1">
        <v>0.01612393926508093</v>
      </c>
      <c r="F62" s="1">
        <v>0.01293363815898085</v>
      </c>
      <c r="G62" s="1">
        <v>0.01338443232984243</v>
      </c>
      <c r="H62" s="1">
        <v>0.02147678614482351</v>
      </c>
      <c r="I62" s="1">
        <v>-0.006364101998038829</v>
      </c>
      <c r="J62" s="1">
        <v>-0.004870432807086655</v>
      </c>
      <c r="K62" s="1">
        <v>0.002724048835262227</v>
      </c>
      <c r="L62" s="1">
        <v>0.01097597755185453</v>
      </c>
      <c r="M62" s="1">
        <v>-0.005357087668031446</v>
      </c>
      <c r="N62" s="1">
        <v>0.006383883215394848</v>
      </c>
      <c r="O62" s="1">
        <v>0.009541290766079458</v>
      </c>
      <c r="P62" s="1">
        <v>0.006156306178461302</v>
      </c>
      <c r="Q62" s="1">
        <v>0.01103525900930102</v>
      </c>
      <c r="R62" s="1">
        <v>-0.008776610191037593</v>
      </c>
      <c r="S62" s="1">
        <v>-0.001123804664823536</v>
      </c>
      <c r="T62" s="1">
        <v>0.01046842597937436</v>
      </c>
      <c r="U62" s="1">
        <v>-0.003063628561106646</v>
      </c>
      <c r="V62" s="1">
        <v>0.005833484217207641</v>
      </c>
      <c r="W62" s="1">
        <v>0.007627801161288472</v>
      </c>
      <c r="X62" s="1">
        <v>0.006308400032134731</v>
      </c>
      <c r="Y62" s="1">
        <v>-0.001294450252637969</v>
      </c>
      <c r="Z62" s="1">
        <v>-0.001652420405933608</v>
      </c>
    </row>
    <row r="63" spans="1:26">
      <c r="A63" s="11">
        <v>42464</v>
      </c>
      <c r="B63" s="1">
        <v>-0.01431582895049588</v>
      </c>
      <c r="C63" s="1">
        <v>-0.004883409308174547</v>
      </c>
      <c r="D63" s="1">
        <v>0.009354927517021272</v>
      </c>
      <c r="E63" s="1">
        <v>0.0163302661475988</v>
      </c>
      <c r="F63" s="1">
        <v>-0.002678838305158027</v>
      </c>
      <c r="G63" s="1">
        <v>-0.01132092820117925</v>
      </c>
      <c r="H63" s="1">
        <v>0.004757668414165028</v>
      </c>
      <c r="I63" s="1">
        <v>-0.007842912748021846</v>
      </c>
      <c r="J63" s="1">
        <v>-0.01305071938117142</v>
      </c>
      <c r="K63" s="1">
        <v>-0.008150366167948619</v>
      </c>
      <c r="L63" s="1">
        <v>-0.003870144263680264</v>
      </c>
      <c r="M63" s="1">
        <v>-0.01009900394092977</v>
      </c>
      <c r="N63" s="1">
        <v>0.002695880060726186</v>
      </c>
      <c r="O63" s="1">
        <v>-0.002607355372478359</v>
      </c>
      <c r="P63" s="1">
        <v>-0.002519678772681555</v>
      </c>
      <c r="Q63" s="1">
        <v>-0.009235300600723972</v>
      </c>
      <c r="R63" s="1">
        <v>-0.009961388308881269</v>
      </c>
      <c r="S63" s="1">
        <v>0.00272201721188936</v>
      </c>
      <c r="T63" s="1">
        <v>-0.001807960074938442</v>
      </c>
      <c r="U63" s="1">
        <v>0.007938611235875914</v>
      </c>
      <c r="V63" s="1">
        <v>-0.005557699642014136</v>
      </c>
      <c r="W63" s="1">
        <v>0.009672533739268685</v>
      </c>
      <c r="X63" s="1">
        <v>-0.002452997571469107</v>
      </c>
      <c r="Y63" s="1">
        <v>0.007590998448276487</v>
      </c>
      <c r="Z63" s="1">
        <v>-0.001241154853042548</v>
      </c>
    </row>
    <row r="64" spans="1:26">
      <c r="A64" s="11">
        <v>42465</v>
      </c>
      <c r="B64" s="1">
        <v>0.01089320899201396</v>
      </c>
      <c r="C64" s="1">
        <v>0.00546125913256601</v>
      </c>
      <c r="D64" s="1">
        <v>-0.01829846849936334</v>
      </c>
      <c r="E64" s="1">
        <v>-0.003182965446270836</v>
      </c>
      <c r="F64" s="1">
        <v>-0.004883666347597515</v>
      </c>
      <c r="G64" s="1">
        <v>-0.02146940933778152</v>
      </c>
      <c r="H64" s="1">
        <v>-0.01634355016928701</v>
      </c>
      <c r="I64" s="1">
        <v>0.002239706803741859</v>
      </c>
      <c r="J64" s="1">
        <v>-0.01239645671917911</v>
      </c>
      <c r="K64" s="1">
        <v>-0.02985474021242474</v>
      </c>
      <c r="L64" s="1">
        <v>-0.01418935844144831</v>
      </c>
      <c r="M64" s="1">
        <v>-0.01088187474975844</v>
      </c>
      <c r="N64" s="1">
        <v>-0.004744673165751889</v>
      </c>
      <c r="O64" s="1">
        <v>-0.012579568018809</v>
      </c>
      <c r="P64" s="1">
        <v>-0.01569522309497751</v>
      </c>
      <c r="Q64" s="1">
        <v>-0.01525458002194624</v>
      </c>
      <c r="R64" s="1">
        <v>-0.01565133400402541</v>
      </c>
      <c r="S64" s="1">
        <v>-0.008759455825302132</v>
      </c>
      <c r="T64" s="1">
        <v>0.0003829954584293471</v>
      </c>
      <c r="U64" s="1">
        <v>-0.004319272634249027</v>
      </c>
      <c r="V64" s="1">
        <v>-0.002430440177955573</v>
      </c>
      <c r="W64" s="1">
        <v>-0.01853474918799236</v>
      </c>
      <c r="X64" s="1">
        <v>-0.005464310452588328</v>
      </c>
      <c r="Y64" s="1">
        <v>-0.006063504825761679</v>
      </c>
      <c r="Z64" s="1">
        <v>-0.0198837916457254</v>
      </c>
    </row>
    <row r="65" spans="1:26">
      <c r="A65" s="11">
        <v>42466</v>
      </c>
      <c r="B65" s="1">
        <v>0.0513411038806757</v>
      </c>
      <c r="C65" s="1">
        <v>0.007085088276619356</v>
      </c>
      <c r="D65" s="1">
        <v>0.02202815764529231</v>
      </c>
      <c r="E65" s="1">
        <v>0.01186109424060589</v>
      </c>
      <c r="F65" s="1">
        <v>0.01750365604650117</v>
      </c>
      <c r="G65" s="1">
        <v>0.0102387981761165</v>
      </c>
      <c r="H65" s="1">
        <v>0.003105730955478725</v>
      </c>
      <c r="I65" s="1">
        <v>0.003548828817922844</v>
      </c>
      <c r="J65" s="1">
        <v>0.02761507479303837</v>
      </c>
      <c r="K65" s="1">
        <v>-0.005081532717934212</v>
      </c>
      <c r="L65" s="1">
        <v>0.007711120285474715</v>
      </c>
      <c r="M65" s="1">
        <v>0.0009171227078150768</v>
      </c>
      <c r="N65" s="1">
        <v>0.01001128950151275</v>
      </c>
      <c r="O65" s="1">
        <v>0.01014489438670418</v>
      </c>
      <c r="P65" s="1">
        <v>0.01026369471308497</v>
      </c>
      <c r="Q65" s="1">
        <v>0.008605756142725962</v>
      </c>
      <c r="R65" s="1">
        <v>0.005868227219113065</v>
      </c>
      <c r="S65" s="1">
        <v>-0.0004382565907228297</v>
      </c>
      <c r="T65" s="1">
        <v>0.01228962303176417</v>
      </c>
      <c r="U65" s="1">
        <v>0.002218246534970492</v>
      </c>
      <c r="V65" s="1">
        <v>0.0008528125771536388</v>
      </c>
      <c r="W65" s="1">
        <v>0.02638239046859048</v>
      </c>
      <c r="X65" s="1">
        <v>0.01401130969268749</v>
      </c>
      <c r="Y65" s="1">
        <v>-9.382626851939246E-05</v>
      </c>
      <c r="Z65" s="1">
        <v>0.01310211304311348</v>
      </c>
    </row>
    <row r="66" spans="1:26">
      <c r="A66" s="11">
        <v>42467</v>
      </c>
      <c r="B66" s="1">
        <v>-0.01145479543903483</v>
      </c>
      <c r="C66" s="1">
        <v>-0.007269737880272631</v>
      </c>
      <c r="D66" s="1">
        <v>-0.01160537076150725</v>
      </c>
      <c r="E66" s="1">
        <v>-0.00390773515146714</v>
      </c>
      <c r="F66" s="1">
        <v>-0.01286169384553115</v>
      </c>
      <c r="G66" s="1">
        <v>0.0004830426455906256</v>
      </c>
      <c r="H66" s="1">
        <v>-0.006657630260689884</v>
      </c>
      <c r="I66" s="1">
        <v>-0.002095568477579968</v>
      </c>
      <c r="J66" s="1">
        <v>-0.02361555433902718</v>
      </c>
      <c r="K66" s="1">
        <v>-0.005391752353922641</v>
      </c>
      <c r="L66" s="1">
        <v>-0.02533591121442891</v>
      </c>
      <c r="M66" s="1">
        <v>-0.0004580914869029007</v>
      </c>
      <c r="N66" s="1">
        <v>-0.002360140949485001</v>
      </c>
      <c r="O66" s="1">
        <v>-0.009384704739761607</v>
      </c>
      <c r="P66" s="1">
        <v>-0.01197382956268145</v>
      </c>
      <c r="Q66" s="1">
        <v>-0.0008528021346012604</v>
      </c>
      <c r="R66" s="1">
        <v>-0.01354918256591797</v>
      </c>
      <c r="S66" s="1">
        <v>0.0003656704885275364</v>
      </c>
      <c r="T66" s="1">
        <v>0.006740303072491738</v>
      </c>
      <c r="U66" s="1">
        <v>-0.001293639169939076</v>
      </c>
      <c r="V66" s="1">
        <v>-0.007302538560309046</v>
      </c>
      <c r="W66" s="1">
        <v>-0.02108744901698667</v>
      </c>
      <c r="X66" s="1">
        <v>-0.001084060215923111</v>
      </c>
      <c r="Y66" s="1">
        <v>-0.02840015270085949</v>
      </c>
      <c r="Z66" s="1">
        <v>-0.02795175584004483</v>
      </c>
    </row>
    <row r="67" spans="1:26">
      <c r="A67" s="11">
        <v>42468</v>
      </c>
      <c r="B67" s="1">
        <v>0.02988432658247908</v>
      </c>
      <c r="C67" s="1">
        <v>0.006929198619018528</v>
      </c>
      <c r="D67" s="1">
        <v>0.002635547215154466</v>
      </c>
      <c r="E67" s="1">
        <v>-0.003167914443431674</v>
      </c>
      <c r="F67" s="1">
        <v>0.003257426042705847</v>
      </c>
      <c r="G67" s="1">
        <v>0.008682862224288934</v>
      </c>
      <c r="H67" s="1">
        <v>0.005480776781444208</v>
      </c>
      <c r="I67" s="1">
        <v>0.001706158496729504</v>
      </c>
      <c r="J67" s="1">
        <v>0.005837993712667355</v>
      </c>
      <c r="K67" s="1">
        <v>0.01055615510615193</v>
      </c>
      <c r="L67" s="1">
        <v>0.007327328479848738</v>
      </c>
      <c r="M67" s="1">
        <v>0.01947298815714893</v>
      </c>
      <c r="N67" s="1">
        <v>0.006150615308315954</v>
      </c>
      <c r="O67" s="1">
        <v>0.005650672220576025</v>
      </c>
      <c r="P67" s="1">
        <v>-0.0007343189102185788</v>
      </c>
      <c r="Q67" s="1">
        <v>0.005550497936007037</v>
      </c>
      <c r="R67" s="1">
        <v>0.004387023610177732</v>
      </c>
      <c r="S67" s="1">
        <v>0.000803063056287634</v>
      </c>
      <c r="T67" s="1">
        <v>0.01451864984302476</v>
      </c>
      <c r="U67" s="1">
        <v>-0.00233227380519585</v>
      </c>
      <c r="V67" s="1">
        <v>-0.008458555125569811</v>
      </c>
      <c r="W67" s="1">
        <v>0.001126413788819614</v>
      </c>
      <c r="X67" s="1">
        <v>-0.005153221335285063</v>
      </c>
      <c r="Y67" s="1">
        <v>0.00346157528961144</v>
      </c>
      <c r="Z67" s="1">
        <v>0.007296190640693201</v>
      </c>
    </row>
    <row r="68" spans="1:26">
      <c r="A68" s="11">
        <v>42471</v>
      </c>
      <c r="B68" s="1">
        <v>-0.014015283448641</v>
      </c>
      <c r="C68" s="1">
        <v>0.0002346525375958031</v>
      </c>
      <c r="D68" s="1">
        <v>0.002389809525357611</v>
      </c>
      <c r="E68" s="1">
        <v>-0.001362369701003563</v>
      </c>
      <c r="F68" s="1">
        <v>-0.002597187056434413</v>
      </c>
      <c r="G68" s="1">
        <v>-0.002390910718702122</v>
      </c>
      <c r="H68" s="1">
        <v>-0.004983579711157593</v>
      </c>
      <c r="I68" s="1">
        <v>-0.007338374856962426</v>
      </c>
      <c r="J68" s="1">
        <v>0.005804109358723553</v>
      </c>
      <c r="K68" s="1">
        <v>0.006211361082642419</v>
      </c>
      <c r="L68" s="1">
        <v>0.007966666147124046</v>
      </c>
      <c r="M68" s="1">
        <v>-0.002921424108420445</v>
      </c>
      <c r="N68" s="1">
        <v>-0.00768030288798216</v>
      </c>
      <c r="O68" s="1">
        <v>0.003140126769303198</v>
      </c>
      <c r="P68" s="1">
        <v>-0.002021400884965829</v>
      </c>
      <c r="Q68" s="1">
        <v>-0.003397079919385315</v>
      </c>
      <c r="R68" s="1">
        <v>0.00132983505685691</v>
      </c>
      <c r="S68" s="1">
        <v>-0.006568120876306871</v>
      </c>
      <c r="T68" s="1">
        <v>-0.007643569919738247</v>
      </c>
      <c r="U68" s="1">
        <v>-0.002857116685110794</v>
      </c>
      <c r="V68" s="1">
        <v>-0.01372444791218053</v>
      </c>
      <c r="W68" s="1">
        <v>-0.003867725341730188</v>
      </c>
      <c r="X68" s="1">
        <v>0.003816684780825641</v>
      </c>
      <c r="Y68" s="1">
        <v>-0.01092415756288589</v>
      </c>
      <c r="Z68" s="1">
        <v>0.0106516206030316</v>
      </c>
    </row>
    <row r="69" spans="1:26">
      <c r="A69" s="11">
        <v>42472</v>
      </c>
      <c r="B69" s="1">
        <v>0.06686714953517203</v>
      </c>
      <c r="C69" s="1">
        <v>0.01219610399469451</v>
      </c>
      <c r="D69" s="1">
        <v>0.002146084843487772</v>
      </c>
      <c r="E69" s="1">
        <v>0.01303366275866757</v>
      </c>
      <c r="F69" s="1">
        <v>0.004557408764655158</v>
      </c>
      <c r="G69" s="1">
        <v>0.01917529716100064</v>
      </c>
      <c r="H69" s="1">
        <v>0.001408646596485097</v>
      </c>
      <c r="I69" s="1">
        <v>0.0112208337389561</v>
      </c>
      <c r="J69" s="1">
        <v>0.007419748945094451</v>
      </c>
      <c r="K69" s="1">
        <v>0.009259201618438517</v>
      </c>
      <c r="L69" s="1">
        <v>0.0185567371646056</v>
      </c>
      <c r="M69" s="1">
        <v>0.006310636588681806</v>
      </c>
      <c r="N69" s="1">
        <v>0.008055275864834233</v>
      </c>
      <c r="O69" s="1">
        <v>0.01317947865071467</v>
      </c>
      <c r="P69" s="1">
        <v>0.006260512300970023</v>
      </c>
      <c r="Q69" s="1">
        <v>0.006816865957989693</v>
      </c>
      <c r="R69" s="1">
        <v>0.01764054983736085</v>
      </c>
      <c r="S69" s="1">
        <v>0.01436184531090801</v>
      </c>
      <c r="T69" s="1">
        <v>0.01001012197982742</v>
      </c>
      <c r="U69" s="1">
        <v>0.00729337711362299</v>
      </c>
      <c r="V69" s="1">
        <v>0.0126618303282342</v>
      </c>
      <c r="W69" s="1">
        <v>0.00543572878314813</v>
      </c>
      <c r="X69" s="1">
        <v>0.008962182559373977</v>
      </c>
      <c r="Y69" s="1">
        <v>0.006588028538661472</v>
      </c>
      <c r="Z69" s="1">
        <v>0.03246243485843214</v>
      </c>
    </row>
    <row r="70" spans="1:26">
      <c r="A70" s="11">
        <v>42473</v>
      </c>
      <c r="B70" s="1">
        <v>-0.01557543382406446</v>
      </c>
      <c r="C70" s="1">
        <v>0.01289889070985217</v>
      </c>
      <c r="D70" s="1">
        <v>0.007375920592756602</v>
      </c>
      <c r="E70" s="1">
        <v>0.01092217856981392</v>
      </c>
      <c r="F70" s="1">
        <v>0.003726212436636622</v>
      </c>
      <c r="G70" s="1">
        <v>-0.002822322507447406</v>
      </c>
      <c r="H70" s="1">
        <v>-0.01828707184646905</v>
      </c>
      <c r="I70" s="1">
        <v>0.02428216003801942</v>
      </c>
      <c r="J70" s="1">
        <v>0.03436980525882305</v>
      </c>
      <c r="K70" s="1">
        <v>0.02057289858673128</v>
      </c>
      <c r="L70" s="1">
        <v>0.04234135213394419</v>
      </c>
      <c r="M70" s="1">
        <v>0.02665145537228053</v>
      </c>
      <c r="N70" s="1">
        <v>-0.02742053123090427</v>
      </c>
      <c r="O70" s="1">
        <v>0.01056907358783366</v>
      </c>
      <c r="P70" s="1">
        <v>0.01280840975441278</v>
      </c>
      <c r="Q70" s="1">
        <v>-0.009733262416212307</v>
      </c>
      <c r="R70" s="1">
        <v>0.03560124572195278</v>
      </c>
      <c r="S70" s="1">
        <v>-0.0153897174245089</v>
      </c>
      <c r="T70" s="1">
        <v>-0.001948915369282211</v>
      </c>
      <c r="U70" s="1">
        <v>-0.01086098650887524</v>
      </c>
      <c r="V70" s="1">
        <v>0.009656033434394695</v>
      </c>
      <c r="W70" s="1">
        <v>0.01839527614061631</v>
      </c>
      <c r="X70" s="1">
        <v>0.02449579774604249</v>
      </c>
      <c r="Y70" s="1">
        <v>-0.01270453480411948</v>
      </c>
      <c r="Z70" s="1">
        <v>0.03429980609950767</v>
      </c>
    </row>
    <row r="71" spans="1:26">
      <c r="A71" s="11">
        <v>42474</v>
      </c>
      <c r="B71" s="1">
        <v>0.009721790949174691</v>
      </c>
      <c r="C71" s="1">
        <v>-0.002211448291022156</v>
      </c>
      <c r="D71" s="1">
        <v>0.007321703365542165</v>
      </c>
      <c r="E71" s="1">
        <v>0.004439964019185894</v>
      </c>
      <c r="F71" s="1">
        <v>-0.001775429939593232</v>
      </c>
      <c r="G71" s="1">
        <v>-0.01132092820117925</v>
      </c>
      <c r="H71" s="1">
        <v>-0.0167173719973942</v>
      </c>
      <c r="I71" s="1">
        <v>-0.01019633436742018</v>
      </c>
      <c r="J71" s="1">
        <v>-0.007119728531829073</v>
      </c>
      <c r="K71" s="1">
        <v>0.008716436228429991</v>
      </c>
      <c r="L71" s="1">
        <v>0.01294711353057476</v>
      </c>
      <c r="M71" s="1">
        <v>0.01897927131604282</v>
      </c>
      <c r="N71" s="1">
        <v>-0.00773326344725922</v>
      </c>
      <c r="O71" s="1">
        <v>-0.002896076409148685</v>
      </c>
      <c r="P71" s="1">
        <v>0.0001809621239432513</v>
      </c>
      <c r="Q71" s="1">
        <v>0.001282128148770934</v>
      </c>
      <c r="R71" s="1">
        <v>0.004499269050547205</v>
      </c>
      <c r="S71" s="1">
        <v>-0.01750565205387455</v>
      </c>
      <c r="T71" s="1">
        <v>-0.008684344848501113</v>
      </c>
      <c r="U71" s="1">
        <v>0.004444281429206942</v>
      </c>
      <c r="V71" s="1">
        <v>0.002696977968554837</v>
      </c>
      <c r="W71" s="1">
        <v>-0.002964740505234431</v>
      </c>
      <c r="X71" s="1">
        <v>-0.002627500357094026</v>
      </c>
      <c r="Y71" s="1">
        <v>0.001364631770727431</v>
      </c>
      <c r="Z71" s="1">
        <v>0.009869664709979187</v>
      </c>
    </row>
    <row r="72" spans="1:26">
      <c r="A72" s="11">
        <v>42475</v>
      </c>
      <c r="B72" s="1">
        <v>-0.01736847344255588</v>
      </c>
      <c r="C72" s="1">
        <v>0.002139886022194171</v>
      </c>
      <c r="D72" s="1">
        <v>0.0009381466347739842</v>
      </c>
      <c r="E72" s="1">
        <v>0.002651833032568218</v>
      </c>
      <c r="F72" s="1">
        <v>0.002102201137328841</v>
      </c>
      <c r="G72" s="1">
        <v>0.001431010214314243</v>
      </c>
      <c r="H72" s="1">
        <v>0.004210174595953742</v>
      </c>
      <c r="I72" s="1">
        <v>-0.002833140354162267</v>
      </c>
      <c r="J72" s="1">
        <v>-0.00239091277128789</v>
      </c>
      <c r="K72" s="1">
        <v>-0.006480819948465832</v>
      </c>
      <c r="L72" s="1">
        <v>-0.01150353739626198</v>
      </c>
      <c r="M72" s="1">
        <v>0.007065145073679835</v>
      </c>
      <c r="N72" s="1">
        <v>0.001461040397023661</v>
      </c>
      <c r="O72" s="1">
        <v>0.005647977779600799</v>
      </c>
      <c r="P72" s="1">
        <v>0.005238381341738041</v>
      </c>
      <c r="Q72" s="1">
        <v>0.01067019077330777</v>
      </c>
      <c r="R72" s="1">
        <v>-0.0005368852090871234</v>
      </c>
      <c r="S72" s="1">
        <v>0.002956962317177902</v>
      </c>
      <c r="T72" s="1">
        <v>0.006553359892320643</v>
      </c>
      <c r="U72" s="1">
        <v>0.001561885779254757</v>
      </c>
      <c r="V72" s="1">
        <v>0.01002702644444176</v>
      </c>
      <c r="W72" s="1">
        <v>0.004978947686681723</v>
      </c>
      <c r="X72" s="1">
        <v>-0.00553233780133533</v>
      </c>
      <c r="Y72" s="1">
        <v>-0.0001943421444527971</v>
      </c>
      <c r="Z72" s="1">
        <v>-0.001563921072996299</v>
      </c>
    </row>
    <row r="73" spans="1:26">
      <c r="A73" s="11">
        <v>42478</v>
      </c>
      <c r="B73" s="1">
        <v>0.02670512134954106</v>
      </c>
      <c r="C73" s="1">
        <v>0.00640569294365867</v>
      </c>
      <c r="D73" s="1">
        <v>0.009603793343766709</v>
      </c>
      <c r="E73" s="1">
        <v>0.01190321031829056</v>
      </c>
      <c r="F73" s="1">
        <v>0.008229782918489859</v>
      </c>
      <c r="G73" s="1">
        <v>0.001429853418615901</v>
      </c>
      <c r="H73" s="1">
        <v>0.005159643791347479</v>
      </c>
      <c r="I73" s="1">
        <v>0.01136394647842143</v>
      </c>
      <c r="J73" s="1">
        <v>0.01198114531977179</v>
      </c>
      <c r="K73" s="1">
        <v>0.004349197457996334</v>
      </c>
      <c r="L73" s="1">
        <v>0.006465307900934913</v>
      </c>
      <c r="M73" s="1">
        <v>0.001275266229472161</v>
      </c>
      <c r="N73" s="1">
        <v>0.007944597921482499</v>
      </c>
      <c r="O73" s="1">
        <v>0.01171359797363736</v>
      </c>
      <c r="P73" s="1">
        <v>0.01455520913208397</v>
      </c>
      <c r="Q73" s="1">
        <v>0.005911917081003581</v>
      </c>
      <c r="R73" s="1">
        <v>0.002509533680272735</v>
      </c>
      <c r="S73" s="1">
        <v>0.01739223613376462</v>
      </c>
      <c r="T73" s="1">
        <v>0.001147229062750554</v>
      </c>
      <c r="U73" s="1">
        <v>0.004417717215523531</v>
      </c>
      <c r="V73" s="1">
        <v>0.009927356650040187</v>
      </c>
      <c r="W73" s="1">
        <v>0.007774692565137853</v>
      </c>
      <c r="X73" s="1">
        <v>0.004768442712216991</v>
      </c>
      <c r="Y73" s="1">
        <v>0.007400380933238138</v>
      </c>
      <c r="Z73" s="1">
        <v>0.007047766794683108</v>
      </c>
    </row>
    <row r="74" spans="1:26">
      <c r="A74" s="11">
        <v>42479</v>
      </c>
      <c r="B74" s="1">
        <v>0.02956599294848861</v>
      </c>
      <c r="C74" s="1">
        <v>0.005380032798955714</v>
      </c>
      <c r="D74" s="1">
        <v>0.006264245297455728</v>
      </c>
      <c r="E74" s="1">
        <v>0.0007261443903305853</v>
      </c>
      <c r="F74" s="1">
        <v>-0.003201203521485119</v>
      </c>
      <c r="G74" s="1">
        <v>-0.0009515367426076171</v>
      </c>
      <c r="H74" s="1">
        <v>-0.008341480857408934</v>
      </c>
      <c r="I74" s="1">
        <v>0.05158365367104834</v>
      </c>
      <c r="J74" s="1">
        <v>0.008681821072992868</v>
      </c>
      <c r="K74" s="1">
        <v>-0.00595458193856635</v>
      </c>
      <c r="L74" s="1">
        <v>0.01686187058539024</v>
      </c>
      <c r="M74" s="1">
        <v>0.000636774922089467</v>
      </c>
      <c r="N74" s="1">
        <v>-0.007399260241780614</v>
      </c>
      <c r="O74" s="1">
        <v>0.004282212651479433</v>
      </c>
      <c r="P74" s="1">
        <v>-0.001239671938349951</v>
      </c>
      <c r="Q74" s="1">
        <v>0.006717038599741487</v>
      </c>
      <c r="R74" s="1">
        <v>0.003576613645633442</v>
      </c>
      <c r="S74" s="1">
        <v>-0.03345563231830795</v>
      </c>
      <c r="T74" s="1">
        <v>0.005155297625416777</v>
      </c>
      <c r="U74" s="1">
        <v>0.006985428181418341</v>
      </c>
      <c r="V74" s="1">
        <v>0.006713165581321956</v>
      </c>
      <c r="W74" s="1">
        <v>-0.006008266883840929</v>
      </c>
      <c r="X74" s="1">
        <v>0.003163603018623284</v>
      </c>
      <c r="Y74" s="1">
        <v>0.006765439381369642</v>
      </c>
      <c r="Z74" s="1">
        <v>0.02216188664019803</v>
      </c>
    </row>
    <row r="75" spans="1:26">
      <c r="A75" s="11">
        <v>42480</v>
      </c>
      <c r="B75" s="1">
        <v>-0.001643312042135747</v>
      </c>
      <c r="C75" s="1">
        <v>-0.01590291083144346</v>
      </c>
      <c r="D75" s="1">
        <v>-0.002536300366965505</v>
      </c>
      <c r="E75" s="1">
        <v>0.00464357197259524</v>
      </c>
      <c r="F75" s="1">
        <v>-0.0131664974746355</v>
      </c>
      <c r="G75" s="1">
        <v>-0.02000041592506041</v>
      </c>
      <c r="H75" s="1">
        <v>-0.006793771449901009</v>
      </c>
      <c r="I75" s="1">
        <v>0.02306928308169587</v>
      </c>
      <c r="J75" s="1">
        <v>0.001565149605746496</v>
      </c>
      <c r="K75" s="1">
        <v>0.003696557893460017</v>
      </c>
      <c r="L75" s="1">
        <v>0.01452946648382736</v>
      </c>
      <c r="M75" s="1">
        <v>-0.001697108652896517</v>
      </c>
      <c r="N75" s="1">
        <v>-0.003727114788260599</v>
      </c>
      <c r="O75" s="1">
        <v>-0.005527347124281268</v>
      </c>
      <c r="P75" s="1">
        <v>-0.01418680825993679</v>
      </c>
      <c r="Q75" s="1">
        <v>-0.03794816709772286</v>
      </c>
      <c r="R75" s="1">
        <v>0.005523687575110126</v>
      </c>
      <c r="S75" s="1">
        <v>-0.002618693693376528</v>
      </c>
      <c r="T75" s="1">
        <v>0.005766222447022296</v>
      </c>
      <c r="U75" s="1">
        <v>-0.00513832271897019</v>
      </c>
      <c r="V75" s="1">
        <v>-0.01321739344921213</v>
      </c>
      <c r="W75" s="1">
        <v>0.005838456373627565</v>
      </c>
      <c r="X75" s="1">
        <v>0.04888323986788778</v>
      </c>
      <c r="Y75" s="1">
        <v>-0.006336221553353782</v>
      </c>
      <c r="Z75" s="1">
        <v>0.02358329805507298</v>
      </c>
    </row>
    <row r="76" spans="1:26">
      <c r="A76" s="11">
        <v>42481</v>
      </c>
      <c r="B76" s="1">
        <v>0.001828777177786289</v>
      </c>
      <c r="C76" s="1">
        <v>0.00130195892916074</v>
      </c>
      <c r="D76" s="1">
        <v>-0.005778618913493072</v>
      </c>
      <c r="E76" s="1">
        <v>0.01343369333319266</v>
      </c>
      <c r="F76" s="1">
        <v>-0.008460539225752073</v>
      </c>
      <c r="G76" s="1">
        <v>-0.001457562789908051</v>
      </c>
      <c r="H76" s="1">
        <v>-0.02557027811547175</v>
      </c>
      <c r="I76" s="1">
        <v>-0.01732760684416568</v>
      </c>
      <c r="J76" s="1">
        <v>-0.01640652498323203</v>
      </c>
      <c r="K76" s="1">
        <v>0.05946531011212941</v>
      </c>
      <c r="L76" s="1">
        <v>-0.009962807097502857</v>
      </c>
      <c r="M76" s="1">
        <v>0.01445252969546229</v>
      </c>
      <c r="N76" s="1">
        <v>-0.02114521780134304</v>
      </c>
      <c r="O76" s="1">
        <v>-0.01143402924824966</v>
      </c>
      <c r="P76" s="1">
        <v>0.003417796692191111</v>
      </c>
      <c r="Q76" s="1">
        <v>-0.04074590495399877</v>
      </c>
      <c r="R76" s="1">
        <v>-0.009214506645662146</v>
      </c>
      <c r="S76" s="1">
        <v>-0.02930151526878266</v>
      </c>
      <c r="T76" s="1">
        <v>-0.008832784657557435</v>
      </c>
      <c r="U76" s="1">
        <v>-0.02221062611720448</v>
      </c>
      <c r="V76" s="1">
        <v>-0.001448271996388417</v>
      </c>
      <c r="W76" s="1">
        <v>0.006214214856717692</v>
      </c>
      <c r="X76" s="1">
        <v>-0.009020438772151529</v>
      </c>
      <c r="Y76" s="1">
        <v>-0.03323652052589432</v>
      </c>
      <c r="Z76" s="1">
        <v>-0.00706080627858785</v>
      </c>
    </row>
    <row r="77" spans="1:26">
      <c r="A77" s="11">
        <v>42482</v>
      </c>
      <c r="B77" s="1">
        <v>0.02592198962279557</v>
      </c>
      <c r="C77" s="1">
        <v>0.002371206096035028</v>
      </c>
      <c r="D77" s="1">
        <v>0.007206918341983171</v>
      </c>
      <c r="E77" s="1">
        <v>0.007411287177037984</v>
      </c>
      <c r="F77" s="1">
        <v>0.002625489075979814</v>
      </c>
      <c r="G77" s="1">
        <v>0.01265218336416885</v>
      </c>
      <c r="H77" s="1">
        <v>0.0135385819462519</v>
      </c>
      <c r="I77" s="1">
        <v>0</v>
      </c>
      <c r="J77" s="1">
        <v>0.001588553318237373</v>
      </c>
      <c r="K77" s="1">
        <v>0.009011086956047798</v>
      </c>
      <c r="L77" s="1">
        <v>0.005817771205452127</v>
      </c>
      <c r="M77" s="1">
        <v>-0.01005646599990939</v>
      </c>
      <c r="N77" s="1">
        <v>0.005649598897932373</v>
      </c>
      <c r="O77" s="1">
        <v>-0.0009639051466001636</v>
      </c>
      <c r="P77" s="1">
        <v>-0.07171038589747036</v>
      </c>
      <c r="Q77" s="1">
        <v>0.005422890156892235</v>
      </c>
      <c r="R77" s="1">
        <v>0.01037309006467546</v>
      </c>
      <c r="S77" s="1">
        <v>0.007252777784343856</v>
      </c>
      <c r="T77" s="1">
        <v>0.005817418702067645</v>
      </c>
      <c r="U77" s="1">
        <v>0.005546267316744347</v>
      </c>
      <c r="V77" s="1">
        <v>-0.005075418865867376</v>
      </c>
      <c r="W77" s="1">
        <v>-0.003393363886773249</v>
      </c>
      <c r="X77" s="1">
        <v>0.005815236702831239</v>
      </c>
      <c r="Y77" s="1">
        <v>0.010393433962538</v>
      </c>
      <c r="Z77" s="1">
        <v>0.02095826931832812</v>
      </c>
    </row>
    <row r="78" spans="1:26">
      <c r="A78" s="11">
        <v>42485</v>
      </c>
      <c r="B78" s="1">
        <v>-0.0318505645872692</v>
      </c>
      <c r="C78" s="1">
        <v>-0.002289249858385189</v>
      </c>
      <c r="D78" s="1">
        <v>0.007156693113219426</v>
      </c>
      <c r="E78" s="1">
        <v>-0.0007071377697771553</v>
      </c>
      <c r="F78" s="1">
        <v>-0.001636536073570061</v>
      </c>
      <c r="G78" s="1">
        <v>0.01201347207213077</v>
      </c>
      <c r="H78" s="1">
        <v>0.006596441109355089</v>
      </c>
      <c r="I78" s="1">
        <v>-0.00471011561054635</v>
      </c>
      <c r="J78" s="1">
        <v>-0.003172283910326534</v>
      </c>
      <c r="K78" s="1">
        <v>-0.001275913995894773</v>
      </c>
      <c r="L78" s="1">
        <v>-0.005784120515667235</v>
      </c>
      <c r="M78" s="1">
        <v>-0.008465552183064662</v>
      </c>
      <c r="N78" s="1">
        <v>0.01156668984856801</v>
      </c>
      <c r="O78" s="1">
        <v>-0.00160800993461252</v>
      </c>
      <c r="P78" s="1">
        <v>0.006373301874269544</v>
      </c>
      <c r="Q78" s="1">
        <v>0.003595681074588963</v>
      </c>
      <c r="R78" s="1">
        <v>-0.007788599657557738</v>
      </c>
      <c r="S78" s="1">
        <v>0.006032579267694516</v>
      </c>
      <c r="T78" s="1">
        <v>0.0005015801291965438</v>
      </c>
      <c r="U78" s="1">
        <v>0.003677613135221414</v>
      </c>
      <c r="V78" s="1">
        <v>0.003279413668918929</v>
      </c>
      <c r="W78" s="1">
        <v>-0.001974938132564774</v>
      </c>
      <c r="X78" s="1">
        <v>-0.0198588367670266</v>
      </c>
      <c r="Y78" s="1">
        <v>0.004154347956210724</v>
      </c>
      <c r="Z78" s="1">
        <v>0.000366615636846257</v>
      </c>
    </row>
    <row r="79" spans="1:26">
      <c r="A79" s="11">
        <v>42486</v>
      </c>
      <c r="B79" s="1">
        <v>0.02701714326408089</v>
      </c>
      <c r="C79" s="1">
        <v>0.01904394566763412</v>
      </c>
      <c r="D79" s="1">
        <v>0.007792567677817441</v>
      </c>
      <c r="E79" s="1">
        <v>0.003256309432570381</v>
      </c>
      <c r="F79" s="1">
        <v>0.0008196528215260734</v>
      </c>
      <c r="G79" s="1">
        <v>0.001899269608468312</v>
      </c>
      <c r="H79" s="1">
        <v>-0.0008193189064817918</v>
      </c>
      <c r="I79" s="1">
        <v>0.01225621840979718</v>
      </c>
      <c r="J79" s="1">
        <v>0.01272886640211923</v>
      </c>
      <c r="K79" s="1">
        <v>0.007665002011914002</v>
      </c>
      <c r="L79" s="1">
        <v>0.005188952570849503</v>
      </c>
      <c r="M79" s="1">
        <v>-0.01430114487165557</v>
      </c>
      <c r="N79" s="1">
        <v>0.002123230691056355</v>
      </c>
      <c r="O79" s="1">
        <v>0.00724744320663695</v>
      </c>
      <c r="P79" s="1">
        <v>-0.0128574255627677</v>
      </c>
      <c r="Q79" s="1">
        <v>-0.001791458734096141</v>
      </c>
      <c r="R79" s="1">
        <v>0.05138287943530195</v>
      </c>
      <c r="S79" s="1">
        <v>-0.006499462938831746</v>
      </c>
      <c r="T79" s="1">
        <v>0.00290733544653321</v>
      </c>
      <c r="U79" s="1">
        <v>-0.00314019874788185</v>
      </c>
      <c r="V79" s="1">
        <v>0</v>
      </c>
      <c r="W79" s="1">
        <v>-0.006481931424322851</v>
      </c>
      <c r="X79" s="1">
        <v>0.01949170253985977</v>
      </c>
      <c r="Y79" s="1">
        <v>-0.006304158280786232</v>
      </c>
      <c r="Z79" s="1">
        <v>0.005862856686412954</v>
      </c>
    </row>
    <row r="80" spans="1:26">
      <c r="A80" s="11">
        <v>42487</v>
      </c>
      <c r="B80" s="1">
        <v>0.0297065045885192</v>
      </c>
      <c r="C80" s="1">
        <v>0.02882029061825109</v>
      </c>
      <c r="D80" s="1">
        <v>0.004776037990933846</v>
      </c>
      <c r="E80" s="1">
        <v>-0.008890626519095335</v>
      </c>
      <c r="F80" s="1">
        <v>0.004094820847245106</v>
      </c>
      <c r="G80" s="1">
        <v>0.01564039115112892</v>
      </c>
      <c r="H80" s="1">
        <v>0.01065746920057653</v>
      </c>
      <c r="I80" s="1">
        <v>0.01546341629589509</v>
      </c>
      <c r="J80" s="1">
        <v>0.002356892402607835</v>
      </c>
      <c r="K80" s="1">
        <v>0.007099332041461626</v>
      </c>
      <c r="L80" s="1">
        <v>0.002815506691882463</v>
      </c>
      <c r="M80" s="1">
        <v>-0.01320914940841267</v>
      </c>
      <c r="N80" s="1">
        <v>0.003260319442908388</v>
      </c>
      <c r="O80" s="1">
        <v>-0.004956418946847507</v>
      </c>
      <c r="P80" s="1">
        <v>-0.009720032136365964</v>
      </c>
      <c r="Q80" s="1">
        <v>0.01603822088995566</v>
      </c>
      <c r="R80" s="1">
        <v>0.02205951470895617</v>
      </c>
      <c r="S80" s="1">
        <v>-0.03348772129829658</v>
      </c>
      <c r="T80" s="1">
        <v>-0.004464589612240277</v>
      </c>
      <c r="U80" s="1">
        <v>0.01653961483483135</v>
      </c>
      <c r="V80" s="1">
        <v>0.008353709766926842</v>
      </c>
      <c r="W80" s="1">
        <v>0.01050751826299035</v>
      </c>
      <c r="X80" s="1">
        <v>0.003270577264333774</v>
      </c>
      <c r="Y80" s="1">
        <v>0.02478190421009563</v>
      </c>
      <c r="Z80" s="1">
        <v>0.01420750450398311</v>
      </c>
    </row>
    <row r="81" spans="1:26">
      <c r="A81" s="11">
        <v>42488</v>
      </c>
      <c r="B81" s="1">
        <v>-0.03667006918530924</v>
      </c>
      <c r="C81" s="1">
        <v>-0.0166327693398618</v>
      </c>
      <c r="D81" s="1">
        <v>0.001810910370368735</v>
      </c>
      <c r="E81" s="1">
        <v>0.02890486460356567</v>
      </c>
      <c r="F81" s="1">
        <v>-0.002447097910905582</v>
      </c>
      <c r="G81" s="1">
        <v>-0.003266474184888124</v>
      </c>
      <c r="H81" s="1">
        <v>-0.002433324935754988</v>
      </c>
      <c r="I81" s="1">
        <v>-0.009207722669121732</v>
      </c>
      <c r="J81" s="1">
        <v>-0.01489067550539935</v>
      </c>
      <c r="K81" s="1">
        <v>-0.008056410829092364</v>
      </c>
      <c r="L81" s="1">
        <v>-0.007955274896751408</v>
      </c>
      <c r="M81" s="1">
        <v>-0.03313555362839793</v>
      </c>
      <c r="N81" s="1">
        <v>0.01039808824532895</v>
      </c>
      <c r="O81" s="1">
        <v>0.00932040186141081</v>
      </c>
      <c r="P81" s="1">
        <v>-0.0204162795981877</v>
      </c>
      <c r="Q81" s="1">
        <v>0.002667526745369742</v>
      </c>
      <c r="R81" s="1">
        <v>-0.01079162894995367</v>
      </c>
      <c r="S81" s="1">
        <v>0.003223241799943821</v>
      </c>
      <c r="T81" s="1">
        <v>-0.03069178197716971</v>
      </c>
      <c r="U81" s="1">
        <v>-0.002066356771877498</v>
      </c>
      <c r="V81" s="1">
        <v>-0.02353243373263947</v>
      </c>
      <c r="W81" s="1">
        <v>-0.01236909044341528</v>
      </c>
      <c r="X81" s="1">
        <v>-0.01454353664200669</v>
      </c>
      <c r="Y81" s="1">
        <v>-0.01296160327387597</v>
      </c>
      <c r="Z81" s="1">
        <v>-0.01185358285942251</v>
      </c>
    </row>
    <row r="82" spans="1:26">
      <c r="A82" s="11">
        <v>42489</v>
      </c>
      <c r="B82" s="1">
        <v>-0.01858207844014892</v>
      </c>
      <c r="C82" s="1">
        <v>0</v>
      </c>
      <c r="D82" s="1">
        <v>-0.000903818450978533</v>
      </c>
      <c r="E82" s="1">
        <v>-0.001107073714910145</v>
      </c>
      <c r="F82" s="1">
        <v>-0.006377594046445778</v>
      </c>
      <c r="G82" s="1">
        <v>0.004212945947927205</v>
      </c>
      <c r="H82" s="1">
        <v>0.003577735476916644</v>
      </c>
      <c r="I82" s="1">
        <v>0.002144680194495541</v>
      </c>
      <c r="J82" s="1">
        <v>-0.02386578378132098</v>
      </c>
      <c r="K82" s="1">
        <v>-0.02233485866552898</v>
      </c>
      <c r="L82" s="1">
        <v>-0.00628905107974187</v>
      </c>
      <c r="M82" s="1">
        <v>0.01248260913552457</v>
      </c>
      <c r="N82" s="1">
        <v>0.008361200169217042</v>
      </c>
      <c r="O82" s="1">
        <v>0.005412946279357289</v>
      </c>
      <c r="P82" s="1">
        <v>-0.0006010453128846294</v>
      </c>
      <c r="Q82" s="1">
        <v>0.007095260032574435</v>
      </c>
      <c r="R82" s="1">
        <v>-0.01124558438666667</v>
      </c>
      <c r="S82" s="1">
        <v>-0.01686669629608661</v>
      </c>
      <c r="T82" s="1">
        <v>-0.007941895123195097</v>
      </c>
      <c r="U82" s="1">
        <v>0.004658646610129713</v>
      </c>
      <c r="V82" s="1">
        <v>-0.02250082036686318</v>
      </c>
      <c r="W82" s="1">
        <v>-0.007363392147822001</v>
      </c>
      <c r="X82" s="1">
        <v>-0.01577620854100592</v>
      </c>
      <c r="Y82" s="1">
        <v>-0.001568524937237692</v>
      </c>
      <c r="Z82" s="1">
        <v>0.0003635506313308667</v>
      </c>
    </row>
    <row r="83" spans="1:26">
      <c r="A83" s="11">
        <v>42492</v>
      </c>
      <c r="B83" s="1">
        <v>-0.002941121959941229</v>
      </c>
      <c r="C83" s="1">
        <v>-0.005860555741061035</v>
      </c>
      <c r="D83" s="1">
        <v>0.01108088124506268</v>
      </c>
      <c r="E83" s="1">
        <v>-0.003048015808511995</v>
      </c>
      <c r="F83" s="1">
        <v>0.007735467874236068</v>
      </c>
      <c r="G83" s="1">
        <v>0.01165515273020401</v>
      </c>
      <c r="H83" s="1">
        <v>0.01523243183244549</v>
      </c>
      <c r="I83" s="1">
        <v>0.002139983466048268</v>
      </c>
      <c r="J83" s="1">
        <v>-0.01222503153109955</v>
      </c>
      <c r="K83" s="1">
        <v>-0.005192292374239349</v>
      </c>
      <c r="L83" s="1">
        <v>0.009335258757481313</v>
      </c>
      <c r="M83" s="1">
        <v>-0.01344976335577508</v>
      </c>
      <c r="N83" s="1">
        <v>0.006538128794969511</v>
      </c>
      <c r="O83" s="1">
        <v>0.007917680219535539</v>
      </c>
      <c r="P83" s="1">
        <v>0.01483825037934894</v>
      </c>
      <c r="Q83" s="1">
        <v>0.0110083827303693</v>
      </c>
      <c r="R83" s="1">
        <v>-0.004073704498390396</v>
      </c>
      <c r="S83" s="1">
        <v>0.0316979659959471</v>
      </c>
      <c r="T83" s="1">
        <v>0.007657657776290128</v>
      </c>
      <c r="U83" s="1">
        <v>0.007212723145487265</v>
      </c>
      <c r="V83" s="1">
        <v>0.007798681952017494</v>
      </c>
      <c r="W83" s="1">
        <v>0.015598306348098</v>
      </c>
      <c r="X83" s="1">
        <v>0.008531520339412291</v>
      </c>
      <c r="Y83" s="1">
        <v>0.007460076713081243</v>
      </c>
      <c r="Z83" s="1">
        <v>-0.0007265581115402098</v>
      </c>
    </row>
    <row r="84" spans="1:26">
      <c r="A84" s="11">
        <v>42493</v>
      </c>
      <c r="B84" s="1">
        <v>-0.03890110036300931</v>
      </c>
      <c r="C84" s="1">
        <v>-0.01134237093341961</v>
      </c>
      <c r="D84" s="1">
        <v>-0.007157173692017404</v>
      </c>
      <c r="E84" s="1">
        <v>-0.01153386949000035</v>
      </c>
      <c r="F84" s="1">
        <v>-0.004573039375943111</v>
      </c>
      <c r="G84" s="1">
        <v>-0.01198167336255729</v>
      </c>
      <c r="H84" s="1">
        <v>-0.008459599108968763</v>
      </c>
      <c r="I84" s="1">
        <v>-0.01055864193875722</v>
      </c>
      <c r="J84" s="1">
        <v>-0.0338285749002476</v>
      </c>
      <c r="K84" s="1">
        <v>-0.01383103659600404</v>
      </c>
      <c r="L84" s="1">
        <v>-0.0192820073421377</v>
      </c>
      <c r="M84" s="1">
        <v>-0.01976805687696437</v>
      </c>
      <c r="N84" s="1">
        <v>0.001267630861093938</v>
      </c>
      <c r="O84" s="1">
        <v>-0.0015714103862845</v>
      </c>
      <c r="P84" s="1">
        <v>-0.01639982433183051</v>
      </c>
      <c r="Q84" s="1">
        <v>0.006532880806788155</v>
      </c>
      <c r="R84" s="1">
        <v>-0.01380642015803579</v>
      </c>
      <c r="S84" s="1">
        <v>0.002692234940655069</v>
      </c>
      <c r="T84" s="1">
        <v>-0.001761844731497875</v>
      </c>
      <c r="U84" s="1">
        <v>-0.004859284961958865</v>
      </c>
      <c r="V84" s="1">
        <v>-0.001622748538416374</v>
      </c>
      <c r="W84" s="1">
        <v>-0.01112640071769655</v>
      </c>
      <c r="X84" s="1">
        <v>-0.008715452689646797</v>
      </c>
      <c r="Y84" s="1">
        <v>-0.01247060575389758</v>
      </c>
      <c r="Z84" s="1">
        <v>-0.02436367381537252</v>
      </c>
    </row>
    <row r="85" spans="1:26">
      <c r="A85" s="11">
        <v>42494</v>
      </c>
      <c r="B85" s="1">
        <v>-0.02685621781000169</v>
      </c>
      <c r="C85" s="1">
        <v>-0.01207631518139884</v>
      </c>
      <c r="D85" s="1">
        <v>0.01644547473246849</v>
      </c>
      <c r="E85" s="1">
        <v>-0.004920947064716574</v>
      </c>
      <c r="F85" s="1">
        <v>-0.0009846688161527783</v>
      </c>
      <c r="G85" s="1">
        <v>0.01119407804934025</v>
      </c>
      <c r="H85" s="1">
        <v>0.004024496355076401</v>
      </c>
      <c r="I85" s="1">
        <v>-0.01462821678758275</v>
      </c>
      <c r="J85" s="1">
        <v>-0.01024759251095009</v>
      </c>
      <c r="K85" s="1">
        <v>-0.01217224904809056</v>
      </c>
      <c r="L85" s="1">
        <v>-0.01582484120693994</v>
      </c>
      <c r="M85" s="1">
        <v>-0.03430718770122343</v>
      </c>
      <c r="N85" s="1">
        <v>0.0004746069101739803</v>
      </c>
      <c r="O85" s="1">
        <v>-0.002989486014685294</v>
      </c>
      <c r="P85" s="1">
        <v>0.001808182274007475</v>
      </c>
      <c r="Q85" s="1">
        <v>0.0181739128746925</v>
      </c>
      <c r="R85" s="1">
        <v>-0.03404785608445182</v>
      </c>
      <c r="S85" s="1">
        <v>0.0167028086337786</v>
      </c>
      <c r="T85" s="1">
        <v>0</v>
      </c>
      <c r="U85" s="1">
        <v>-0.0007708105280108679</v>
      </c>
      <c r="V85" s="1">
        <v>-0.003500187780980712</v>
      </c>
      <c r="W85" s="1">
        <v>-0.002208865884981148</v>
      </c>
      <c r="X85" s="1">
        <v>-0.01603322795338602</v>
      </c>
      <c r="Y85" s="1">
        <v>0.003157053961467815</v>
      </c>
      <c r="Z85" s="1">
        <v>-0.03354462385909363</v>
      </c>
    </row>
    <row r="86" spans="1:26">
      <c r="A86" s="11">
        <v>42495</v>
      </c>
      <c r="B86" s="1">
        <v>0.08062300056320582</v>
      </c>
      <c r="C86" s="1">
        <v>0.00909143071348506</v>
      </c>
      <c r="D86" s="1">
        <v>0.003989065375192169</v>
      </c>
      <c r="E86" s="1">
        <v>0.005227645525020641</v>
      </c>
      <c r="F86" s="1">
        <v>0.002628081298612583</v>
      </c>
      <c r="G86" s="1">
        <v>-0.001383977003933889</v>
      </c>
      <c r="H86" s="1">
        <v>0.01106261517009988</v>
      </c>
      <c r="I86" s="1">
        <v>-0.01192534906790288</v>
      </c>
      <c r="J86" s="1">
        <v>-0.01207977903838964</v>
      </c>
      <c r="K86" s="1">
        <v>-0.002411365746483596</v>
      </c>
      <c r="L86" s="1">
        <v>-0.005359629150886724</v>
      </c>
      <c r="M86" s="1">
        <v>-0.003120476371958336</v>
      </c>
      <c r="N86" s="1">
        <v>-0.0061681851099612</v>
      </c>
      <c r="O86" s="1">
        <v>0.00142020522767905</v>
      </c>
      <c r="P86" s="1">
        <v>0.00140339888230856</v>
      </c>
      <c r="Q86" s="1">
        <v>-0.002124838405523466</v>
      </c>
      <c r="R86" s="1">
        <v>-0.005009711927664529</v>
      </c>
      <c r="S86" s="1">
        <v>0.01002009224580913</v>
      </c>
      <c r="T86" s="1">
        <v>-0.0004151652889352597</v>
      </c>
      <c r="U86" s="1">
        <v>-0.003601060329496142</v>
      </c>
      <c r="V86" s="1">
        <v>-0.01982205672615323</v>
      </c>
      <c r="W86" s="1">
        <v>0.00408181962999099</v>
      </c>
      <c r="X86" s="1">
        <v>0.003679366150828089</v>
      </c>
      <c r="Y86" s="1">
        <v>0</v>
      </c>
      <c r="Z86" s="1">
        <v>-0.001928317274547564</v>
      </c>
    </row>
    <row r="87" spans="1:26">
      <c r="A87" s="11">
        <v>42496</v>
      </c>
      <c r="B87" s="1">
        <v>-0.01787675157708202</v>
      </c>
      <c r="C87" s="1">
        <v>0.008933961171424087</v>
      </c>
      <c r="D87" s="1">
        <v>-0.005077446793883222</v>
      </c>
      <c r="E87" s="1">
        <v>0.0009838209634438488</v>
      </c>
      <c r="F87" s="1">
        <v>0.006060585004186603</v>
      </c>
      <c r="G87" s="1">
        <v>-0.0009233560369612537</v>
      </c>
      <c r="H87" s="1">
        <v>0.0136381972791817</v>
      </c>
      <c r="I87" s="1">
        <v>0.00307864806172975</v>
      </c>
      <c r="J87" s="1">
        <v>0.01222748434750298</v>
      </c>
      <c r="K87" s="1">
        <v>0.01127865647855386</v>
      </c>
      <c r="L87" s="1">
        <v>0.005878522508918627</v>
      </c>
      <c r="M87" s="1">
        <v>0.004815816622097513</v>
      </c>
      <c r="N87" s="1">
        <v>0.001432346925185568</v>
      </c>
      <c r="O87" s="1">
        <v>-0.00362488616340817</v>
      </c>
      <c r="P87" s="1">
        <v>0.009010987095283918</v>
      </c>
      <c r="Q87" s="1">
        <v>-0.002981198044240574</v>
      </c>
      <c r="R87" s="1">
        <v>-0.001258305475502652</v>
      </c>
      <c r="S87" s="1">
        <v>0.01249703594913254</v>
      </c>
      <c r="T87" s="1">
        <v>0.005538738515348918</v>
      </c>
      <c r="U87" s="1">
        <v>0.006453358573182966</v>
      </c>
      <c r="V87" s="1">
        <v>0.007807354145713541</v>
      </c>
      <c r="W87" s="1">
        <v>0.01260823706511327</v>
      </c>
      <c r="X87" s="1">
        <v>0.001047827945475976</v>
      </c>
      <c r="Y87" s="1">
        <v>0.005507359739704842</v>
      </c>
      <c r="Z87" s="1">
        <v>0.004250632711167324</v>
      </c>
    </row>
    <row r="88" spans="1:26">
      <c r="A88" s="11">
        <v>42499</v>
      </c>
      <c r="B88" s="1">
        <v>-0.03194649391874127</v>
      </c>
      <c r="C88" s="1">
        <v>-0.008704627437049917</v>
      </c>
      <c r="D88" s="1">
        <v>0.001775348959025091</v>
      </c>
      <c r="E88" s="1">
        <v>0.001685089531007877</v>
      </c>
      <c r="F88" s="1">
        <v>0</v>
      </c>
      <c r="G88" s="1">
        <v>0.002311385319363701</v>
      </c>
      <c r="H88" s="1">
        <v>0.015957453605006</v>
      </c>
      <c r="I88" s="1">
        <v>-0.0106808083747908</v>
      </c>
      <c r="J88" s="1">
        <v>-0.01380539452791529</v>
      </c>
      <c r="K88" s="1">
        <v>0.0005311408123982453</v>
      </c>
      <c r="L88" s="1">
        <v>-0.006331235501994215</v>
      </c>
      <c r="M88" s="1">
        <v>0.01102332328098998</v>
      </c>
      <c r="N88" s="1">
        <v>0.01160030510573185</v>
      </c>
      <c r="O88" s="1">
        <v>0.003163695369658992</v>
      </c>
      <c r="P88" s="1">
        <v>-0.006350419046281308</v>
      </c>
      <c r="Q88" s="1">
        <v>0.008116517889951158</v>
      </c>
      <c r="R88" s="1">
        <v>0.005401215803203741</v>
      </c>
      <c r="S88" s="1">
        <v>0.005582950013982346</v>
      </c>
      <c r="T88" s="1">
        <v>0.004543809907763263</v>
      </c>
      <c r="U88" s="1">
        <v>-0.003334403779237438</v>
      </c>
      <c r="V88" s="1">
        <v>0.01511354775122697</v>
      </c>
      <c r="W88" s="1">
        <v>0.003334288300785415</v>
      </c>
      <c r="X88" s="1">
        <v>-0.004708772005822093</v>
      </c>
      <c r="Y88" s="1">
        <v>-0.0007824379661983683</v>
      </c>
      <c r="Z88" s="1">
        <v>0.001154043493549528</v>
      </c>
    </row>
    <row r="89" spans="1:26">
      <c r="A89" s="11">
        <v>42500</v>
      </c>
      <c r="B89" s="1">
        <v>0.01861080996148279</v>
      </c>
      <c r="C89" s="1">
        <v>0.01983318040686521</v>
      </c>
      <c r="D89" s="1">
        <v>0.007751528502513594</v>
      </c>
      <c r="E89" s="1">
        <v>0.002662996626238812</v>
      </c>
      <c r="F89" s="1">
        <v>0.01986349480646221</v>
      </c>
      <c r="G89" s="1">
        <v>0.01937242308364318</v>
      </c>
      <c r="H89" s="1">
        <v>0.007545444506946053</v>
      </c>
      <c r="I89" s="1">
        <v>0.04008437617775829</v>
      </c>
      <c r="J89" s="1">
        <v>0.01574818461327032</v>
      </c>
      <c r="K89" s="1">
        <v>0.01592351874244247</v>
      </c>
      <c r="L89" s="1">
        <v>0.01356021222520765</v>
      </c>
      <c r="M89" s="1">
        <v>0.01564371722588676</v>
      </c>
      <c r="N89" s="1">
        <v>0.01476570558721324</v>
      </c>
      <c r="O89" s="1">
        <v>0.01529470547131373</v>
      </c>
      <c r="P89" s="1">
        <v>0.01897322971337245</v>
      </c>
      <c r="Q89" s="1">
        <v>-0.002966597297358597</v>
      </c>
      <c r="R89" s="1">
        <v>0.0316978610478742</v>
      </c>
      <c r="S89" s="1">
        <v>0.0006044462226797442</v>
      </c>
      <c r="T89" s="1">
        <v>0.01439386323755443</v>
      </c>
      <c r="U89" s="1">
        <v>0.01158048128781508</v>
      </c>
      <c r="V89" s="1">
        <v>0.001501477033775567</v>
      </c>
      <c r="W89" s="1">
        <v>0.009290176857670085</v>
      </c>
      <c r="X89" s="1">
        <v>0.007095760634361792</v>
      </c>
      <c r="Y89" s="1">
        <v>0.009005470114621827</v>
      </c>
      <c r="Z89" s="1">
        <v>0.0245963610919615</v>
      </c>
    </row>
    <row r="90" spans="1:26">
      <c r="A90" s="11">
        <v>42501</v>
      </c>
      <c r="B90" s="1">
        <v>0.01732932798223197</v>
      </c>
      <c r="C90" s="1">
        <v>-0.004714241756443083</v>
      </c>
      <c r="D90" s="1">
        <v>0.01956043984141975</v>
      </c>
      <c r="E90" s="1">
        <v>-0.01006572971297814</v>
      </c>
      <c r="F90" s="1">
        <v>-0.009099942334384048</v>
      </c>
      <c r="G90" s="1">
        <v>-0.004071761421193143</v>
      </c>
      <c r="H90" s="1">
        <v>0.0004584418204125473</v>
      </c>
      <c r="I90" s="1">
        <v>0.001073445957886943</v>
      </c>
      <c r="J90" s="1">
        <v>0.006891042900946776</v>
      </c>
      <c r="K90" s="1">
        <v>0.005224309761344692</v>
      </c>
      <c r="L90" s="1">
        <v>-0.0037075695795874</v>
      </c>
      <c r="M90" s="1">
        <v>-0.01726948277751705</v>
      </c>
      <c r="N90" s="1">
        <v>0.0001548535646913596</v>
      </c>
      <c r="O90" s="1">
        <v>-0.00760976540974323</v>
      </c>
      <c r="P90" s="1">
        <v>0.0005884483418374664</v>
      </c>
      <c r="Q90" s="1">
        <v>0.01105032597003786</v>
      </c>
      <c r="R90" s="1">
        <v>-0.01163013225055654</v>
      </c>
      <c r="S90" s="1">
        <v>-0.02136342703490901</v>
      </c>
      <c r="T90" s="1">
        <v>-0.006757034842894138</v>
      </c>
      <c r="U90" s="1">
        <v>-0.003307259567029486</v>
      </c>
      <c r="V90" s="1">
        <v>-0.05434159977991571</v>
      </c>
      <c r="W90" s="1">
        <v>-0.005778040760794023</v>
      </c>
      <c r="X90" s="1">
        <v>-0.004435990899009146</v>
      </c>
      <c r="Y90" s="1">
        <v>-0.0075671472441321</v>
      </c>
      <c r="Z90" s="1">
        <v>0</v>
      </c>
    </row>
    <row r="91" spans="1:26">
      <c r="A91" s="11">
        <v>42502</v>
      </c>
      <c r="B91" s="1">
        <v>0.005369361996040656</v>
      </c>
      <c r="C91" s="1">
        <v>0.01067672548651433</v>
      </c>
      <c r="D91" s="1">
        <v>-0.0163828229361257</v>
      </c>
      <c r="E91" s="1">
        <v>0.006637417812221047</v>
      </c>
      <c r="F91" s="1">
        <v>0.003061312971282204</v>
      </c>
      <c r="G91" s="1">
        <v>0.01645816695036206</v>
      </c>
      <c r="H91" s="1">
        <v>0.01588755763143834</v>
      </c>
      <c r="I91" s="1">
        <v>0.002980109486840909</v>
      </c>
      <c r="J91" s="1">
        <v>-0.01112060742946996</v>
      </c>
      <c r="K91" s="1">
        <v>0.005717714053094625</v>
      </c>
      <c r="L91" s="1">
        <v>-0.0006471907102207908</v>
      </c>
      <c r="M91" s="1">
        <v>-0.02113535551559775</v>
      </c>
      <c r="N91" s="1">
        <v>0.006345680828580447</v>
      </c>
      <c r="O91" s="1">
        <v>0.007355349586350757</v>
      </c>
      <c r="P91" s="1">
        <v>0.009010490850946518</v>
      </c>
      <c r="Q91" s="1">
        <v>0.007145357480830672</v>
      </c>
      <c r="R91" s="1">
        <v>-0.0001758709815717907</v>
      </c>
      <c r="S91" s="1">
        <v>0.02086519853293956</v>
      </c>
      <c r="T91" s="1">
        <v>0.007415202890311168</v>
      </c>
      <c r="U91" s="1">
        <v>0.009443471136444392</v>
      </c>
      <c r="V91" s="1">
        <v>-0.001320653073724642</v>
      </c>
      <c r="W91" s="1">
        <v>0.006420483299695912</v>
      </c>
      <c r="X91" s="1">
        <v>-0.007601521561969249</v>
      </c>
      <c r="Y91" s="1">
        <v>0.006256156183219064</v>
      </c>
      <c r="Z91" s="1">
        <v>-0.009752341204879555</v>
      </c>
    </row>
    <row r="92" spans="1:26">
      <c r="A92" s="11">
        <v>42503</v>
      </c>
      <c r="B92" s="1">
        <v>-0.02357257910885902</v>
      </c>
      <c r="C92" s="1">
        <v>-0.01711066738096401</v>
      </c>
      <c r="D92" s="1">
        <v>-0.002410386195253467</v>
      </c>
      <c r="E92" s="1">
        <v>-0.001402906518047753</v>
      </c>
      <c r="F92" s="1">
        <v>-0.006746034010463475</v>
      </c>
      <c r="G92" s="1">
        <v>-0.004975390267589086</v>
      </c>
      <c r="H92" s="1">
        <v>-0.00601507896387754</v>
      </c>
      <c r="I92" s="1">
        <v>-0.01996457107511274</v>
      </c>
      <c r="J92" s="1">
        <v>-0.005190398152679743</v>
      </c>
      <c r="K92" s="1">
        <v>-0.008527214877342981</v>
      </c>
      <c r="L92" s="1">
        <v>-0.009227691476115796</v>
      </c>
      <c r="M92" s="1">
        <v>0.008248215564710781</v>
      </c>
      <c r="N92" s="1">
        <v>-0.006767167506946836</v>
      </c>
      <c r="O92" s="1">
        <v>-0.006524832357312826</v>
      </c>
      <c r="P92" s="1">
        <v>-0.008348275021944573</v>
      </c>
      <c r="Q92" s="1">
        <v>0.006677939364865715</v>
      </c>
      <c r="R92" s="1">
        <v>-0.01598436809073711</v>
      </c>
      <c r="S92" s="1">
        <v>-0.01057812201140451</v>
      </c>
      <c r="T92" s="1">
        <v>-0.01016277523242626</v>
      </c>
      <c r="U92" s="1">
        <v>-0.01011385408213394</v>
      </c>
      <c r="V92" s="1">
        <v>-0.02275160947754706</v>
      </c>
      <c r="W92" s="1">
        <v>-0.006916589961771691</v>
      </c>
      <c r="X92" s="1">
        <v>-0.01347109050424555</v>
      </c>
      <c r="Y92" s="1">
        <v>-0.01029747917002166</v>
      </c>
      <c r="Z92" s="1">
        <v>-0.01969696587915115</v>
      </c>
    </row>
    <row r="93" spans="1:26">
      <c r="A93" s="11">
        <v>42506</v>
      </c>
      <c r="B93" s="1">
        <v>0.03357201529781872</v>
      </c>
      <c r="C93" s="1">
        <v>0.01528909341678975</v>
      </c>
      <c r="D93" s="1">
        <v>-0.001098304170390585</v>
      </c>
      <c r="E93" s="1">
        <v>0.02318112895499658</v>
      </c>
      <c r="F93" s="1">
        <v>0.002587106808384254</v>
      </c>
      <c r="G93" s="1">
        <v>0.01090895910557865</v>
      </c>
      <c r="H93" s="1">
        <v>-0.003328297023964533</v>
      </c>
      <c r="I93" s="1">
        <v>0.01406584649426845</v>
      </c>
      <c r="J93" s="1">
        <v>0.0121737222945193</v>
      </c>
      <c r="K93" s="1">
        <v>0.04847511235766122</v>
      </c>
      <c r="L93" s="1">
        <v>0.007516263834225878</v>
      </c>
      <c r="M93" s="1">
        <v>0.01612127361863092</v>
      </c>
      <c r="N93" s="1">
        <v>0.002787509563928037</v>
      </c>
      <c r="O93" s="1">
        <v>0.007818632539602355</v>
      </c>
      <c r="P93" s="1">
        <v>0.01468285310005535</v>
      </c>
      <c r="Q93" s="1">
        <v>0.007462763308632825</v>
      </c>
      <c r="R93" s="1">
        <v>0.01767253949178382</v>
      </c>
      <c r="S93" s="1">
        <v>0.01176042504154773</v>
      </c>
      <c r="T93" s="1">
        <v>0.01538368490232389</v>
      </c>
      <c r="U93" s="1">
        <v>0.003320448423275169</v>
      </c>
      <c r="V93" s="1">
        <v>0.01759440055996664</v>
      </c>
      <c r="W93" s="1">
        <v>0.01588993618585799</v>
      </c>
      <c r="X93" s="1">
        <v>0.01874182818809822</v>
      </c>
      <c r="Y93" s="1">
        <v>0.005693143140857559</v>
      </c>
      <c r="Z93" s="1">
        <v>0.01391055045871559</v>
      </c>
    </row>
    <row r="94" spans="1:26">
      <c r="A94" s="11">
        <v>42507</v>
      </c>
      <c r="B94" s="1">
        <v>0.005839307832876006</v>
      </c>
      <c r="C94" s="1">
        <v>-0.0117787211508561</v>
      </c>
      <c r="D94" s="1">
        <v>-0.01913414210872244</v>
      </c>
      <c r="E94" s="1">
        <v>-0.02224386685480273</v>
      </c>
      <c r="F94" s="1">
        <v>-0.02532270781808743</v>
      </c>
      <c r="G94" s="1">
        <v>-0.01079123793227699</v>
      </c>
      <c r="H94" s="1">
        <v>-0.03142063552213215</v>
      </c>
      <c r="I94" s="1">
        <v>-0.005141565645128132</v>
      </c>
      <c r="J94" s="1">
        <v>-0.009450059001366307</v>
      </c>
      <c r="K94" s="1">
        <v>-0.002734050373765395</v>
      </c>
      <c r="L94" s="1">
        <v>0</v>
      </c>
      <c r="M94" s="1">
        <v>-0.0007099001000869798</v>
      </c>
      <c r="N94" s="1">
        <v>-0.01358896792290698</v>
      </c>
      <c r="O94" s="1">
        <v>-0.006361578169460591</v>
      </c>
      <c r="P94" s="1">
        <v>-0.01865146697275688</v>
      </c>
      <c r="Q94" s="1">
        <v>-0.01646071141242333</v>
      </c>
      <c r="R94" s="1">
        <v>-0.00651733108758501</v>
      </c>
      <c r="S94" s="1">
        <v>-0.02539899991711347</v>
      </c>
      <c r="T94" s="1">
        <v>-0.01679648818879886</v>
      </c>
      <c r="U94" s="1">
        <v>-0.004327744692357416</v>
      </c>
      <c r="V94" s="1">
        <v>-0.0134031709559207</v>
      </c>
      <c r="W94" s="1">
        <v>-0.009451503738736045</v>
      </c>
      <c r="X94" s="1">
        <v>0.005781817512509724</v>
      </c>
      <c r="Y94" s="1">
        <v>-0.006441544007395161</v>
      </c>
      <c r="Z94" s="1">
        <v>0.0007641449201767347</v>
      </c>
    </row>
    <row r="95" spans="1:26">
      <c r="A95" s="11">
        <v>42508</v>
      </c>
      <c r="B95" s="1">
        <v>0.02703191979272468</v>
      </c>
      <c r="C95" s="1">
        <v>-0.0118434896127505</v>
      </c>
      <c r="D95" s="1">
        <v>0.01076294532165334</v>
      </c>
      <c r="E95" s="1">
        <v>-0.001685402854790352</v>
      </c>
      <c r="F95" s="1">
        <v>-0.0008272966476233767</v>
      </c>
      <c r="G95" s="1">
        <v>-0.02136334834251263</v>
      </c>
      <c r="H95" s="1">
        <v>-0.005328491163908322</v>
      </c>
      <c r="I95" s="1">
        <v>-0.007211981208186002</v>
      </c>
      <c r="J95" s="1">
        <v>0.003468835649852231</v>
      </c>
      <c r="K95" s="1">
        <v>0.001993653916566362</v>
      </c>
      <c r="L95" s="1">
        <v>0.03859864781806999</v>
      </c>
      <c r="M95" s="1">
        <v>0.0165873825716516</v>
      </c>
      <c r="N95" s="1">
        <v>-0.01393192403141974</v>
      </c>
      <c r="O95" s="1">
        <v>0.007026617991952477</v>
      </c>
      <c r="P95" s="1">
        <v>0.005939671464783691</v>
      </c>
      <c r="Q95" s="1">
        <v>-0.01882880596219028</v>
      </c>
      <c r="R95" s="1">
        <v>-0.02074497692031796</v>
      </c>
      <c r="S95" s="1">
        <v>-0.01711611330802532</v>
      </c>
      <c r="T95" s="1">
        <v>-0.002090487300362875</v>
      </c>
      <c r="U95" s="1">
        <v>-0.01687512958312898</v>
      </c>
      <c r="V95" s="1">
        <v>-0.07621236282105448</v>
      </c>
      <c r="W95" s="1">
        <v>0.008667746664885456</v>
      </c>
      <c r="X95" s="1">
        <v>-0.002090365251264381</v>
      </c>
      <c r="Y95" s="1">
        <v>-0.01001943157379537</v>
      </c>
      <c r="Z95" s="1">
        <v>0.04351121349955589</v>
      </c>
    </row>
    <row r="96" spans="1:26">
      <c r="A96" s="11">
        <v>42509</v>
      </c>
      <c r="B96" s="1">
        <v>0.006536040152318234</v>
      </c>
      <c r="C96" s="1">
        <v>-0.02221560679983159</v>
      </c>
      <c r="D96" s="1">
        <v>-0.04259086989251415</v>
      </c>
      <c r="E96" s="1">
        <v>-0.01069044848798084</v>
      </c>
      <c r="F96" s="1">
        <v>-0.00215294545596334</v>
      </c>
      <c r="G96" s="1">
        <v>0.01672070879675158</v>
      </c>
      <c r="H96" s="1">
        <v>0.008035468338317697</v>
      </c>
      <c r="I96" s="1">
        <v>-0.004236924147234089</v>
      </c>
      <c r="J96" s="1">
        <v>-0.01123559883869074</v>
      </c>
      <c r="K96" s="1">
        <v>0.003731891919488417</v>
      </c>
      <c r="L96" s="1">
        <v>-0.01014983272286207</v>
      </c>
      <c r="M96" s="1">
        <v>-0.01701635305239713</v>
      </c>
      <c r="N96" s="1">
        <v>0.005714944690472512</v>
      </c>
      <c r="O96" s="1">
        <v>-0.004806832116533544</v>
      </c>
      <c r="P96" s="1">
        <v>-0.009643819971591028</v>
      </c>
      <c r="Q96" s="1">
        <v>0.002985011815484162</v>
      </c>
      <c r="R96" s="1">
        <v>-0.03422055987079675</v>
      </c>
      <c r="S96" s="1">
        <v>-0.01583785570690743</v>
      </c>
      <c r="T96" s="1">
        <v>-0.009923456797586439</v>
      </c>
      <c r="U96" s="1">
        <v>-0.0002600999279152028</v>
      </c>
      <c r="V96" s="1">
        <v>-0.01382382725884335</v>
      </c>
      <c r="W96" s="1">
        <v>-0.01125762226108884</v>
      </c>
      <c r="X96" s="1">
        <v>-0.0172819675416499</v>
      </c>
      <c r="Y96" s="1">
        <v>-0.01508247526776585</v>
      </c>
      <c r="Z96" s="1">
        <v>-0.01463045079924219</v>
      </c>
    </row>
    <row r="97" spans="1:26">
      <c r="A97" s="11">
        <v>42510</v>
      </c>
      <c r="B97" s="1">
        <v>0.002281541372713525</v>
      </c>
      <c r="C97" s="1">
        <v>-0.00538728275401068</v>
      </c>
      <c r="D97" s="1">
        <v>-0.005561121169303518</v>
      </c>
      <c r="E97" s="1">
        <v>0.006256075153561413</v>
      </c>
      <c r="F97" s="1">
        <v>0.02506228761285989</v>
      </c>
      <c r="G97" s="1">
        <v>0.00822289236836693</v>
      </c>
      <c r="H97" s="1">
        <v>-0.06376986758080749</v>
      </c>
      <c r="I97" s="1">
        <v>-0.05483307600910514</v>
      </c>
      <c r="J97" s="1">
        <v>0.0192305377162818</v>
      </c>
      <c r="K97" s="1">
        <v>0.01933053319632316</v>
      </c>
      <c r="L97" s="1">
        <v>0.001893099580255964</v>
      </c>
      <c r="M97" s="1">
        <v>0.000474283109963336</v>
      </c>
      <c r="N97" s="1">
        <v>-0.006156318875555677</v>
      </c>
      <c r="O97" s="1">
        <v>0.0003116868126773475</v>
      </c>
      <c r="P97" s="1">
        <v>0.005961753852989249</v>
      </c>
      <c r="Q97" s="1">
        <v>0.0127553473093629</v>
      </c>
      <c r="R97" s="1">
        <v>0.000937381971589879</v>
      </c>
      <c r="S97" s="1">
        <v>0.01032852891946323</v>
      </c>
      <c r="T97" s="1">
        <v>0.004404428711683561</v>
      </c>
      <c r="U97" s="1">
        <v>0.000260167597488481</v>
      </c>
      <c r="V97" s="1">
        <v>0.02385942899998361</v>
      </c>
      <c r="W97" s="1">
        <v>0.00289689323672504</v>
      </c>
      <c r="X97" s="1">
        <v>0.01039160382494986</v>
      </c>
      <c r="Y97" s="1">
        <v>0.0006044131534557184</v>
      </c>
      <c r="Z97" s="1">
        <v>0.008537436765869044</v>
      </c>
    </row>
    <row r="98" spans="1:26">
      <c r="A98" s="11">
        <v>42513</v>
      </c>
      <c r="B98" s="1">
        <v>0.008579920369366612</v>
      </c>
      <c r="C98" s="1">
        <v>0.001491548721912261</v>
      </c>
      <c r="D98" s="1">
        <v>-0.00512536779742323</v>
      </c>
      <c r="E98" s="1">
        <v>-0.005228230331936756</v>
      </c>
      <c r="F98" s="1">
        <v>0.0008093947835721149</v>
      </c>
      <c r="G98" s="1">
        <v>-0.004078033181016738</v>
      </c>
      <c r="H98" s="1">
        <v>0</v>
      </c>
      <c r="I98" s="1">
        <v>0.001801020597618663</v>
      </c>
      <c r="J98" s="1">
        <v>0.0008580374320437123</v>
      </c>
      <c r="K98" s="1">
        <v>0.001459115633588581</v>
      </c>
      <c r="L98" s="1">
        <v>-0.000787550343707033</v>
      </c>
      <c r="M98" s="1">
        <v>0.00047405827213165</v>
      </c>
      <c r="N98" s="1">
        <v>0.004447369480494512</v>
      </c>
      <c r="O98" s="1">
        <v>0.004205718487513721</v>
      </c>
      <c r="P98" s="1">
        <v>-0.01165566377266947</v>
      </c>
      <c r="Q98" s="1">
        <v>-0.005877399986330301</v>
      </c>
      <c r="R98" s="1">
        <v>-0.003746248265160679</v>
      </c>
      <c r="S98" s="1">
        <v>-0.002020696378469133</v>
      </c>
      <c r="T98" s="1">
        <v>0.01073873761215505</v>
      </c>
      <c r="U98" s="1">
        <v>-0.003381098213531941</v>
      </c>
      <c r="V98" s="1">
        <v>-0.01063228298114927</v>
      </c>
      <c r="W98" s="1">
        <v>-6.720449991182154E-05</v>
      </c>
      <c r="X98" s="1">
        <v>-0.006856213892812546</v>
      </c>
      <c r="Y98" s="1">
        <v>-0.01047120731938012</v>
      </c>
      <c r="Z98" s="1">
        <v>-0.001104123485952346</v>
      </c>
    </row>
    <row r="99" spans="1:26">
      <c r="A99" s="11">
        <v>42514</v>
      </c>
      <c r="B99" s="1">
        <v>0.01128457206557876</v>
      </c>
      <c r="C99" s="1">
        <v>-0.0006271610679380313</v>
      </c>
      <c r="D99" s="1">
        <v>0.02248202428339474</v>
      </c>
      <c r="E99" s="1">
        <v>0.01179007104771235</v>
      </c>
      <c r="F99" s="1">
        <v>0.01019259718329879</v>
      </c>
      <c r="G99" s="1">
        <v>0.002274797692491282</v>
      </c>
      <c r="H99" s="1">
        <v>0.01686167640503355</v>
      </c>
      <c r="I99" s="1">
        <v>0.02259878394182424</v>
      </c>
      <c r="J99" s="1">
        <v>0.02056519525145695</v>
      </c>
      <c r="K99" s="1">
        <v>0.02816213574400672</v>
      </c>
      <c r="L99" s="1">
        <v>0.01701894856529851</v>
      </c>
      <c r="M99" s="1">
        <v>0.01397768128352972</v>
      </c>
      <c r="N99" s="1">
        <v>0.008696988900378066</v>
      </c>
      <c r="O99" s="1">
        <v>0.01644171082843693</v>
      </c>
      <c r="P99" s="1">
        <v>0.0311814496632512</v>
      </c>
      <c r="Q99" s="1">
        <v>0.01646959506516099</v>
      </c>
      <c r="R99" s="1">
        <v>0.01842524794641354</v>
      </c>
      <c r="S99" s="1">
        <v>0.0100048828785908</v>
      </c>
      <c r="T99" s="1">
        <v>-0.002733057364133318</v>
      </c>
      <c r="U99" s="1">
        <v>0.004697144611420123</v>
      </c>
      <c r="V99" s="1">
        <v>0.0111881799410749</v>
      </c>
      <c r="W99" s="1">
        <v>0.01236223208330189</v>
      </c>
      <c r="X99" s="1">
        <v>0.01646270526496085</v>
      </c>
      <c r="Y99" s="1">
        <v>0.008954016824806343</v>
      </c>
      <c r="Z99" s="1">
        <v>0.01584379586690532</v>
      </c>
    </row>
    <row r="100" spans="1:26">
      <c r="A100" s="11">
        <v>42515</v>
      </c>
      <c r="B100" s="1">
        <v>-0.005836664683524839</v>
      </c>
      <c r="C100" s="1">
        <v>0.01066672402310664</v>
      </c>
      <c r="D100" s="1">
        <v>-0.00366444524726417</v>
      </c>
      <c r="E100" s="1">
        <v>-0.007581301885401071</v>
      </c>
      <c r="F100" s="1">
        <v>0.00256250207002684</v>
      </c>
      <c r="G100" s="1">
        <v>0.00408549781772094</v>
      </c>
      <c r="H100" s="1">
        <v>-0.004268656465586051</v>
      </c>
      <c r="I100" s="1">
        <v>0.01067320699833552</v>
      </c>
      <c r="J100" s="1">
        <v>0.02434954903959685</v>
      </c>
      <c r="K100" s="1">
        <v>0.008028352537304828</v>
      </c>
      <c r="L100" s="1">
        <v>0.01518434245700484</v>
      </c>
      <c r="M100" s="1">
        <v>-0.006308574988966531</v>
      </c>
      <c r="N100" s="1">
        <v>0.002038234245872683</v>
      </c>
      <c r="O100" s="1">
        <v>0.001678857088788233</v>
      </c>
      <c r="P100" s="1">
        <v>0.01027324660769025</v>
      </c>
      <c r="Q100" s="1">
        <v>-0.004985400189168265</v>
      </c>
      <c r="R100" s="1">
        <v>0.02399795639564317</v>
      </c>
      <c r="S100" s="1">
        <v>-0.004127429767416535</v>
      </c>
      <c r="T100" s="1">
        <v>-0.002294960787168621</v>
      </c>
      <c r="U100" s="1">
        <v>0.003116878879341201</v>
      </c>
      <c r="V100" s="1">
        <v>0.008589295243533801</v>
      </c>
      <c r="W100" s="1">
        <v>0.003185386221294273</v>
      </c>
      <c r="X100" s="1">
        <v>0.004702522945053245</v>
      </c>
      <c r="Y100" s="1">
        <v>0.005445736895844044</v>
      </c>
      <c r="Z100" s="1">
        <v>0.02176254736382854</v>
      </c>
    </row>
    <row r="101" spans="1:26">
      <c r="A101" s="11">
        <v>42516</v>
      </c>
      <c r="B101" s="1">
        <v>0.002072163698201068</v>
      </c>
      <c r="C101" s="1">
        <v>0.003492138632881669</v>
      </c>
      <c r="D101" s="1">
        <v>-0.001609521967758099</v>
      </c>
      <c r="E101" s="1">
        <v>0.0005660622676211258</v>
      </c>
      <c r="F101" s="1">
        <v>-0.004952062550443115</v>
      </c>
      <c r="G101" s="1">
        <v>0.01039755388065644</v>
      </c>
      <c r="H101" s="1">
        <v>0.01005763043516117</v>
      </c>
      <c r="I101" s="1">
        <v>-0.00273352744141564</v>
      </c>
      <c r="J101" s="1">
        <v>0.06885193937625256</v>
      </c>
      <c r="K101" s="1">
        <v>-0.001405555070457698</v>
      </c>
      <c r="L101" s="1">
        <v>-0.007478537093022042</v>
      </c>
      <c r="M101" s="1">
        <v>-0.01739922291383633</v>
      </c>
      <c r="N101" s="1">
        <v>0.001251221208583342</v>
      </c>
      <c r="O101" s="1">
        <v>-0.001066535258937851</v>
      </c>
      <c r="P101" s="1">
        <v>-0.004412918529331233</v>
      </c>
      <c r="Q101" s="1">
        <v>0.003757701569504501</v>
      </c>
      <c r="R101" s="1">
        <v>0</v>
      </c>
      <c r="S101" s="1">
        <v>0.003157698159428346</v>
      </c>
      <c r="T101" s="1">
        <v>-0.009717170161094524</v>
      </c>
      <c r="U101" s="1">
        <v>0.00569621151742794</v>
      </c>
      <c r="V101" s="1">
        <v>-0.005340613306192066</v>
      </c>
      <c r="W101" s="1">
        <v>0.0002650221902757988</v>
      </c>
      <c r="X101" s="1">
        <v>-0.005460413735875691</v>
      </c>
      <c r="Y101" s="1">
        <v>0.006218547100688809</v>
      </c>
      <c r="Z101" s="1">
        <v>-0.01171448711660139</v>
      </c>
    </row>
    <row r="102" spans="1:26">
      <c r="A102" s="11">
        <v>42517</v>
      </c>
      <c r="B102" s="1">
        <v>0.004480006431886396</v>
      </c>
      <c r="C102" s="1">
        <v>-0.0006960360022277845</v>
      </c>
      <c r="D102" s="1">
        <v>-0.002762657207651453</v>
      </c>
      <c r="E102" s="1">
        <v>0.008200020343885672</v>
      </c>
      <c r="F102" s="1">
        <v>0.009471756986914714</v>
      </c>
      <c r="G102" s="1">
        <v>0.007158868668666107</v>
      </c>
      <c r="H102" s="1">
        <v>-0.001143015910585965</v>
      </c>
      <c r="I102" s="1">
        <v>0.002865713766517342</v>
      </c>
      <c r="J102" s="1">
        <v>0.009969741510347907</v>
      </c>
      <c r="K102" s="1">
        <v>0.001172653663606971</v>
      </c>
      <c r="L102" s="1">
        <v>0.00615067713573425</v>
      </c>
      <c r="M102" s="1">
        <v>0.01292177420686613</v>
      </c>
      <c r="N102" s="1">
        <v>-0.0006251608559106892</v>
      </c>
      <c r="O102" s="1">
        <v>0.00549004421539534</v>
      </c>
      <c r="P102" s="1">
        <v>0.008286478394967434</v>
      </c>
      <c r="Q102" s="1">
        <v>0.003327747938515202</v>
      </c>
      <c r="R102" s="1">
        <v>0.00288438009257086</v>
      </c>
      <c r="S102" s="1">
        <v>0.004289179117076269</v>
      </c>
      <c r="T102" s="1">
        <v>0.01168451139091187</v>
      </c>
      <c r="U102" s="1">
        <v>0.00386232531801145</v>
      </c>
      <c r="V102" s="1">
        <v>-0.0001449428432512834</v>
      </c>
      <c r="W102" s="1">
        <v>0.00615048502230775</v>
      </c>
      <c r="X102" s="1">
        <v>-0.0002614954830575389</v>
      </c>
      <c r="Y102" s="1">
        <v>0.009170645015869061</v>
      </c>
      <c r="Z102" s="1">
        <v>0.01149428132936414</v>
      </c>
    </row>
    <row r="103" spans="1:26">
      <c r="A103" s="11">
        <v>42521</v>
      </c>
      <c r="B103" s="1">
        <v>-0.01972850330372733</v>
      </c>
      <c r="C103" s="1">
        <v>-0.02375773265881564</v>
      </c>
      <c r="D103" s="1">
        <v>-0.003463353204066655</v>
      </c>
      <c r="E103" s="1">
        <v>0.005469209127469954</v>
      </c>
      <c r="F103" s="1">
        <v>0.006679688893420188</v>
      </c>
      <c r="G103" s="1">
        <v>0.0008885417860158284</v>
      </c>
      <c r="H103" s="1">
        <v>-0.01013224949428626</v>
      </c>
      <c r="I103" s="1">
        <v>0.02223594314800059</v>
      </c>
      <c r="J103" s="1">
        <v>0.01594539232467573</v>
      </c>
      <c r="K103" s="1">
        <v>-0.001405524167405914</v>
      </c>
      <c r="L103" s="1">
        <v>-0.002445001787311107</v>
      </c>
      <c r="M103" s="1">
        <v>0.003543472599045527</v>
      </c>
      <c r="N103" s="1">
        <v>-0.005002844735897516</v>
      </c>
      <c r="O103" s="1">
        <v>0.002123688796354051</v>
      </c>
      <c r="P103" s="1">
        <v>0.01299746194508078</v>
      </c>
      <c r="Q103" s="1">
        <v>-0.01077947406974999</v>
      </c>
      <c r="R103" s="1">
        <v>0.002157582427851246</v>
      </c>
      <c r="S103" s="1">
        <v>-0.005955598024074971</v>
      </c>
      <c r="T103" s="1">
        <v>-0.002398896741941048</v>
      </c>
      <c r="U103" s="1">
        <v>0.004103434652446669</v>
      </c>
      <c r="V103" s="1">
        <v>-0.001742127988014763</v>
      </c>
      <c r="W103" s="1">
        <v>-0.002366062363552079</v>
      </c>
      <c r="X103" s="1">
        <v>-0.004706935631911491</v>
      </c>
      <c r="Y103" s="1">
        <v>0.005531493052699288</v>
      </c>
      <c r="Z103" s="1">
        <v>-0.004971461438154967</v>
      </c>
    </row>
    <row r="104" spans="1:26">
      <c r="A104" s="11">
        <v>42522</v>
      </c>
      <c r="B104" s="1">
        <v>-0.01697602449110291</v>
      </c>
      <c r="C104" s="1">
        <v>0.002060881467403242</v>
      </c>
      <c r="D104" s="1">
        <v>0.006971825415215349</v>
      </c>
      <c r="E104" s="1">
        <v>0.002370886532786276</v>
      </c>
      <c r="F104" s="1">
        <v>0.0067931063022455</v>
      </c>
      <c r="G104" s="1">
        <v>0.002663842989204523</v>
      </c>
      <c r="H104" s="1">
        <v>0.008089922790022852</v>
      </c>
      <c r="I104" s="1">
        <v>0.006561829373858075</v>
      </c>
      <c r="J104" s="1">
        <v>0.004484074599983456</v>
      </c>
      <c r="K104" s="1">
        <v>0.01454676019518319</v>
      </c>
      <c r="L104" s="1">
        <v>0.006434616924585246</v>
      </c>
      <c r="M104" s="1">
        <v>0.001412466034503623</v>
      </c>
      <c r="N104" s="1">
        <v>0.01115626370626677</v>
      </c>
      <c r="O104" s="1">
        <v>0.001513166125442167</v>
      </c>
      <c r="P104" s="1">
        <v>-0.002830512771073934</v>
      </c>
      <c r="Q104" s="1">
        <v>0.007125060920996074</v>
      </c>
      <c r="R104" s="1">
        <v>-0.001434946171387508</v>
      </c>
      <c r="S104" s="1">
        <v>0.01213987580866926</v>
      </c>
      <c r="T104" s="1">
        <v>0.0008591546277882944</v>
      </c>
      <c r="U104" s="1">
        <v>-0.01072795665157511</v>
      </c>
      <c r="V104" s="1">
        <v>-0.005378985764522892</v>
      </c>
      <c r="W104" s="1">
        <v>0.008499681272315707</v>
      </c>
      <c r="X104" s="1">
        <v>0.003415496304775889</v>
      </c>
      <c r="Y104" s="1">
        <v>-0.009233741250524674</v>
      </c>
      <c r="Z104" s="1">
        <v>0.0132048529606561</v>
      </c>
    </row>
    <row r="105" spans="1:26">
      <c r="A105" s="11">
        <v>42523</v>
      </c>
      <c r="B105" s="1">
        <v>-0.005874798374962964</v>
      </c>
      <c r="C105" s="1">
        <v>0.00348071693006391</v>
      </c>
      <c r="D105" s="1">
        <v>0.002307783226724647</v>
      </c>
      <c r="E105" s="1">
        <v>0.015722861130399</v>
      </c>
      <c r="F105" s="1">
        <v>-0.001098557489095153</v>
      </c>
      <c r="G105" s="1">
        <v>0.0004416487209253361</v>
      </c>
      <c r="H105" s="1">
        <v>-0.005404663585574121</v>
      </c>
      <c r="I105" s="1">
        <v>0.01484950775421345</v>
      </c>
      <c r="J105" s="1">
        <v>0.007440636832557468</v>
      </c>
      <c r="K105" s="1">
        <v>0.004625512213685123</v>
      </c>
      <c r="L105" s="1">
        <v>0.001826892654472889</v>
      </c>
      <c r="M105" s="1">
        <v>-0.008697717632207946</v>
      </c>
      <c r="N105" s="1">
        <v>-0.0006215805414547804</v>
      </c>
      <c r="O105" s="1">
        <v>0.004080850631221988</v>
      </c>
      <c r="P105" s="1">
        <v>-0.007000915755409842</v>
      </c>
      <c r="Q105" s="1">
        <v>-0.001664676046464697</v>
      </c>
      <c r="R105" s="1">
        <v>0.01041819828964163</v>
      </c>
      <c r="S105" s="1">
        <v>0.004634076733974313</v>
      </c>
      <c r="T105" s="1">
        <v>0.00236807102693759</v>
      </c>
      <c r="U105" s="1">
        <v>0.002840017089686064</v>
      </c>
      <c r="V105" s="1">
        <v>-0.001315840895561027</v>
      </c>
      <c r="W105" s="1">
        <v>0.003201107681291671</v>
      </c>
      <c r="X105" s="1">
        <v>0.008379077443320115</v>
      </c>
      <c r="Y105" s="1">
        <v>0.00674172109687543</v>
      </c>
      <c r="Z105" s="1">
        <v>0.009862279650858063</v>
      </c>
    </row>
    <row r="106" spans="1:26">
      <c r="A106" s="11">
        <v>42524</v>
      </c>
      <c r="B106" s="1">
        <v>-0.02256463488419769</v>
      </c>
      <c r="C106" s="1">
        <v>0.004178309608042552</v>
      </c>
      <c r="D106" s="1">
        <v>0.001151080732915588</v>
      </c>
      <c r="E106" s="1">
        <v>-0.001506590126936769</v>
      </c>
      <c r="F106" s="1">
        <v>-0.00157080818989308</v>
      </c>
      <c r="G106" s="1">
        <v>0.01371697306421771</v>
      </c>
      <c r="H106" s="1">
        <v>0.0158075490458458</v>
      </c>
      <c r="I106" s="1">
        <v>0.0179636650660997</v>
      </c>
      <c r="J106" s="1">
        <v>-0.007385682650196901</v>
      </c>
      <c r="K106" s="1">
        <v>-0.004143333177422437</v>
      </c>
      <c r="L106" s="1">
        <v>-0.01777863913392885</v>
      </c>
      <c r="M106" s="1">
        <v>-0.01138217708298594</v>
      </c>
      <c r="N106" s="1">
        <v>0.0153941674718634</v>
      </c>
      <c r="O106" s="1">
        <v>-0.004064264972941656</v>
      </c>
      <c r="P106" s="1">
        <v>-0.01314769497723256</v>
      </c>
      <c r="Q106" s="1">
        <v>0.01959167888749724</v>
      </c>
      <c r="R106" s="1">
        <v>-0.02400012380914385</v>
      </c>
      <c r="S106" s="1">
        <v>0.008838126292773918</v>
      </c>
      <c r="T106" s="1">
        <v>-0.003527265624623244</v>
      </c>
      <c r="U106" s="1">
        <v>0.009526870285055278</v>
      </c>
      <c r="V106" s="1">
        <v>0.004830195102102586</v>
      </c>
      <c r="W106" s="1">
        <v>-0.00442828505490922</v>
      </c>
      <c r="X106" s="1">
        <v>0.03765291668282655</v>
      </c>
      <c r="Y106" s="1">
        <v>0.002954858612306266</v>
      </c>
      <c r="Z106" s="1">
        <v>-0.01151018937789594</v>
      </c>
    </row>
    <row r="107" spans="1:26">
      <c r="A107" s="11">
        <v>42527</v>
      </c>
      <c r="B107" s="1">
        <v>0.01905447249970216</v>
      </c>
      <c r="C107" s="1">
        <v>0.03548419534137714</v>
      </c>
      <c r="D107" s="1">
        <v>0.0112698990037865</v>
      </c>
      <c r="E107" s="1">
        <v>0.01920685855964344</v>
      </c>
      <c r="F107" s="1">
        <v>-0.002517347329608732</v>
      </c>
      <c r="G107" s="1">
        <v>0.006983881485953747</v>
      </c>
      <c r="H107" s="1">
        <v>-0.004376647078978446</v>
      </c>
      <c r="I107" s="1">
        <v>0.02232085946469997</v>
      </c>
      <c r="J107" s="1">
        <v>0.01711335311091</v>
      </c>
      <c r="K107" s="1">
        <v>0.001386501453572997</v>
      </c>
      <c r="L107" s="1">
        <v>0.009900847657353662</v>
      </c>
      <c r="M107" s="1">
        <v>0.004327687392049917</v>
      </c>
      <c r="N107" s="1">
        <v>-0.001531344092899345</v>
      </c>
      <c r="O107" s="1">
        <v>0.001964932768759198</v>
      </c>
      <c r="P107" s="1">
        <v>0.006564941909783517</v>
      </c>
      <c r="Q107" s="1">
        <v>-0.001226450642778154</v>
      </c>
      <c r="R107" s="1">
        <v>0.01566507270449957</v>
      </c>
      <c r="S107" s="1">
        <v>-0.01095056078751289</v>
      </c>
      <c r="T107" s="1">
        <v>0.008488419818285742</v>
      </c>
      <c r="U107" s="1">
        <v>0.003315103274379227</v>
      </c>
      <c r="V107" s="1">
        <v>0.002330591095221379</v>
      </c>
      <c r="W107" s="1">
        <v>0.002092962216486249</v>
      </c>
      <c r="X107" s="1">
        <v>0.004504624015288172</v>
      </c>
      <c r="Y107" s="1">
        <v>-0.00412409600111141</v>
      </c>
      <c r="Z107" s="1">
        <v>0.02787577244548278</v>
      </c>
    </row>
    <row r="108" spans="1:26">
      <c r="A108" s="11">
        <v>42528</v>
      </c>
      <c r="B108" s="1">
        <v>0.04656593273550058</v>
      </c>
      <c r="C108" s="1">
        <v>0.0002274350718192153</v>
      </c>
      <c r="D108" s="1">
        <v>-0.000910184262852165</v>
      </c>
      <c r="E108" s="1">
        <v>-0.005114943419095574</v>
      </c>
      <c r="F108" s="1">
        <v>-0.002365958632692067</v>
      </c>
      <c r="G108" s="1">
        <v>0.001734060921766201</v>
      </c>
      <c r="H108" s="1">
        <v>0.004558913626467431</v>
      </c>
      <c r="I108" s="1">
        <v>-0.00194333388879675</v>
      </c>
      <c r="J108" s="1">
        <v>0.001462949356176635</v>
      </c>
      <c r="K108" s="1">
        <v>0.00230854426687821</v>
      </c>
      <c r="L108" s="1">
        <v>-0.003369688625667666</v>
      </c>
      <c r="M108" s="1">
        <v>0.03112277382374784</v>
      </c>
      <c r="N108" s="1">
        <v>-0.001533811227555026</v>
      </c>
      <c r="O108" s="1">
        <v>0.004524846295166141</v>
      </c>
      <c r="P108" s="1">
        <v>-0.0005758986299002622</v>
      </c>
      <c r="Q108" s="1">
        <v>0.0004089228565842262</v>
      </c>
      <c r="R108" s="1">
        <v>0.00753215490528647</v>
      </c>
      <c r="S108" s="1">
        <v>-0.006681967364357777</v>
      </c>
      <c r="T108" s="1">
        <v>0.001226518264126897</v>
      </c>
      <c r="U108" s="1">
        <v>0.01143885559619373</v>
      </c>
      <c r="V108" s="1">
        <v>-0.008283557525337937</v>
      </c>
      <c r="W108" s="1">
        <v>-0.003263692760499648</v>
      </c>
      <c r="X108" s="1">
        <v>-0.004733606203794594</v>
      </c>
      <c r="Y108" s="1">
        <v>0.02050877957255648</v>
      </c>
      <c r="Z108" s="1">
        <v>-0.00343283567702457</v>
      </c>
    </row>
    <row r="109" spans="1:26">
      <c r="A109" s="11">
        <v>42529</v>
      </c>
      <c r="B109" s="1">
        <v>-0.02078678082153396</v>
      </c>
      <c r="C109" s="1">
        <v>0.00811051338130131</v>
      </c>
      <c r="D109" s="1">
        <v>0.01525173207816377</v>
      </c>
      <c r="E109" s="1">
        <v>-0.006765147578563835</v>
      </c>
      <c r="F109" s="1">
        <v>-0.0004742636317259796</v>
      </c>
      <c r="G109" s="1">
        <v>0.006490589294627203</v>
      </c>
      <c r="H109" s="1">
        <v>0</v>
      </c>
      <c r="I109" s="1">
        <v>-0.001488663425796344</v>
      </c>
      <c r="J109" s="1">
        <v>0.01314830641000353</v>
      </c>
      <c r="K109" s="1">
        <v>0.0004606217992515482</v>
      </c>
      <c r="L109" s="1">
        <v>0.002920531705221219</v>
      </c>
      <c r="M109" s="1">
        <v>0.009983985008439777</v>
      </c>
      <c r="N109" s="1">
        <v>0.007988046834528806</v>
      </c>
      <c r="O109" s="1">
        <v>-0.0003002930754093525</v>
      </c>
      <c r="P109" s="1">
        <v>-0.001151299372767478</v>
      </c>
      <c r="Q109" s="1">
        <v>0.008183427450072722</v>
      </c>
      <c r="R109" s="1">
        <v>0.01281589281453566</v>
      </c>
      <c r="S109" s="1">
        <v>-0.01443169143603185</v>
      </c>
      <c r="T109" s="1">
        <v>0.005002775372835</v>
      </c>
      <c r="U109" s="1">
        <v>0.001759319821104999</v>
      </c>
      <c r="V109" s="1">
        <v>0.005568904389342544</v>
      </c>
      <c r="W109" s="1">
        <v>0.009496184200035618</v>
      </c>
      <c r="X109" s="1">
        <v>-0.003506023311050099</v>
      </c>
      <c r="Y109" s="1">
        <v>-0.004444279798981543</v>
      </c>
      <c r="Z109" s="1">
        <v>0.00275579885060151</v>
      </c>
    </row>
    <row r="110" spans="1:26">
      <c r="A110" s="11">
        <v>42530</v>
      </c>
      <c r="B110" s="1">
        <v>-0.02052589014932937</v>
      </c>
      <c r="C110" s="1">
        <v>0.0007520352507959238</v>
      </c>
      <c r="D110" s="1">
        <v>0.003362953181222039</v>
      </c>
      <c r="E110" s="1">
        <v>-0.009263083810527095</v>
      </c>
      <c r="F110" s="1">
        <v>-0.004587366808507243</v>
      </c>
      <c r="G110" s="1">
        <v>0.0055891812079778</v>
      </c>
      <c r="H110" s="1">
        <v>0.01312798690757688</v>
      </c>
      <c r="I110" s="1">
        <v>-0.002638572779592341</v>
      </c>
      <c r="J110" s="1">
        <v>-0.002163174730013595</v>
      </c>
      <c r="K110" s="1">
        <v>0.005754767213158152</v>
      </c>
      <c r="L110" s="1">
        <v>-0.007663188718646019</v>
      </c>
      <c r="M110" s="1">
        <v>0.01586185478348123</v>
      </c>
      <c r="N110" s="1">
        <v>0.003657302209678859</v>
      </c>
      <c r="O110" s="1">
        <v>0.0007511627239487062</v>
      </c>
      <c r="P110" s="1">
        <v>-0.008070627522668183</v>
      </c>
      <c r="Q110" s="1">
        <v>0.0154220585383269</v>
      </c>
      <c r="R110" s="1">
        <v>-0.01546532434553216</v>
      </c>
      <c r="S110" s="1">
        <v>-0.02607113933370142</v>
      </c>
      <c r="T110" s="1">
        <v>-0.007686966377474569</v>
      </c>
      <c r="U110" s="1">
        <v>0.005770036547977808</v>
      </c>
      <c r="V110" s="1">
        <v>-0.01355321572551593</v>
      </c>
      <c r="W110" s="1">
        <v>6.459196196395567E-05</v>
      </c>
      <c r="X110" s="1">
        <v>-0.01055556225120535</v>
      </c>
      <c r="Y110" s="1">
        <v>0.008345998921853282</v>
      </c>
      <c r="Z110" s="1">
        <v>-0.01408452309828989</v>
      </c>
    </row>
    <row r="111" spans="1:26">
      <c r="A111" s="11">
        <v>42531</v>
      </c>
      <c r="B111" s="1">
        <v>-0.0413759610834139</v>
      </c>
      <c r="C111" s="1">
        <v>-0.01472581171398879</v>
      </c>
      <c r="D111" s="1">
        <v>-0.005809741001072233</v>
      </c>
      <c r="E111" s="1">
        <v>-0.00110029449433513</v>
      </c>
      <c r="F111" s="1">
        <v>-0.002065705530074458</v>
      </c>
      <c r="G111" s="1">
        <v>-0.01068833820672199</v>
      </c>
      <c r="H111" s="1">
        <v>0.003039325437515394</v>
      </c>
      <c r="I111" s="1">
        <v>-0.01472083512563305</v>
      </c>
      <c r="J111" s="1">
        <v>-0.02456623749793219</v>
      </c>
      <c r="K111" s="1">
        <v>-0.004577753340127555</v>
      </c>
      <c r="L111" s="1">
        <v>-0.01405407417193816</v>
      </c>
      <c r="M111" s="1">
        <v>-0.01267266024352143</v>
      </c>
      <c r="N111" s="1">
        <v>0.00409947197796523</v>
      </c>
      <c r="O111" s="1">
        <v>-0.004202618103685274</v>
      </c>
      <c r="P111" s="1">
        <v>-0.002712320815071334</v>
      </c>
      <c r="Q111" s="1">
        <v>-0.004796107177075903</v>
      </c>
      <c r="R111" s="1">
        <v>-0.02017153300395602</v>
      </c>
      <c r="S111" s="1">
        <v>-0.01483136031967613</v>
      </c>
      <c r="T111" s="1">
        <v>-0.003344431946084025</v>
      </c>
      <c r="U111" s="1">
        <v>0.005986201435514538</v>
      </c>
      <c r="V111" s="1">
        <v>0.002806693177519914</v>
      </c>
      <c r="W111" s="1">
        <v>-0.01524435101719135</v>
      </c>
      <c r="X111" s="1">
        <v>-0.01574763934231049</v>
      </c>
      <c r="Y111" s="1">
        <v>0.013859567577579</v>
      </c>
      <c r="Z111" s="1">
        <v>-0.0247387132400323</v>
      </c>
    </row>
    <row r="112" spans="1:26">
      <c r="A112" s="11">
        <v>42534</v>
      </c>
      <c r="B112" s="1">
        <v>0.005979055437230985</v>
      </c>
      <c r="C112" s="1">
        <v>-0.009303198877146257</v>
      </c>
      <c r="D112" s="1">
        <v>-0.001797788907154096</v>
      </c>
      <c r="E112" s="1">
        <v>-0.005918147805335949</v>
      </c>
      <c r="F112" s="1">
        <v>-0.006528779920056405</v>
      </c>
      <c r="G112" s="1">
        <v>-0.007346638341748091</v>
      </c>
      <c r="H112" s="1">
        <v>-0.00925022063929859</v>
      </c>
      <c r="I112" s="1">
        <v>-0.004085616877656961</v>
      </c>
      <c r="J112" s="1">
        <v>-0.02586744237513205</v>
      </c>
      <c r="K112" s="1">
        <v>-0.004368511324883029</v>
      </c>
      <c r="L112" s="1">
        <v>-0.00892848542014868</v>
      </c>
      <c r="M112" s="1">
        <v>-0.03369226280385773</v>
      </c>
      <c r="N112" s="1">
        <v>-0.01105778686038994</v>
      </c>
      <c r="O112" s="1">
        <v>-0.008138600578562749</v>
      </c>
      <c r="P112" s="1">
        <v>-0.02602945912119736</v>
      </c>
      <c r="Q112" s="1">
        <v>0.002409769293731934</v>
      </c>
      <c r="R112" s="1">
        <v>-0.0061944101634267</v>
      </c>
      <c r="S112" s="1">
        <v>0.001500035249245801</v>
      </c>
      <c r="T112" s="1">
        <v>-0.002054194249754504</v>
      </c>
      <c r="U112" s="1">
        <v>-0.003471017451086023</v>
      </c>
      <c r="V112" s="1">
        <v>-0.01458443986345748</v>
      </c>
      <c r="W112" s="1">
        <v>-0.007451604513838195</v>
      </c>
      <c r="X112" s="1">
        <v>-0.01935528750337712</v>
      </c>
      <c r="Y112" s="1">
        <v>-0.001898655392135629</v>
      </c>
      <c r="Z112" s="1">
        <v>-0.01679147780380918</v>
      </c>
    </row>
    <row r="113" spans="1:26">
      <c r="A113" s="11">
        <v>42535</v>
      </c>
      <c r="B113" s="1">
        <v>0.01708783459086272</v>
      </c>
      <c r="C113" s="1">
        <v>0.004464347195084706</v>
      </c>
      <c r="D113" s="1">
        <v>0.0006751464633867332</v>
      </c>
      <c r="E113" s="1">
        <v>0.01218470283850515</v>
      </c>
      <c r="F113" s="1">
        <v>0.00400755411030973</v>
      </c>
      <c r="G113" s="1">
        <v>0.004353279716667879</v>
      </c>
      <c r="H113" s="1">
        <v>0.004829220324061634</v>
      </c>
      <c r="I113" s="1">
        <v>-0.001992532220281062</v>
      </c>
      <c r="J113" s="1">
        <v>0.001535121463828837</v>
      </c>
      <c r="K113" s="1">
        <v>0</v>
      </c>
      <c r="L113" s="1">
        <v>-0.01880838058463441</v>
      </c>
      <c r="M113" s="1">
        <v>-0.05407944402084963</v>
      </c>
      <c r="N113" s="1">
        <v>0.007094281941166125</v>
      </c>
      <c r="O113" s="1">
        <v>-0.00167130043120256</v>
      </c>
      <c r="P113" s="1">
        <v>-0.006182225644338901</v>
      </c>
      <c r="Q113" s="1">
        <v>0.01001593347857277</v>
      </c>
      <c r="R113" s="1">
        <v>-0.008066047685794997</v>
      </c>
      <c r="S113" s="1">
        <v>-0.009278071491220397</v>
      </c>
      <c r="T113" s="1">
        <v>0.002401262977861141</v>
      </c>
      <c r="U113" s="1">
        <v>0.004727623308918627</v>
      </c>
      <c r="V113" s="1">
        <v>-0.002242282974993848</v>
      </c>
      <c r="W113" s="1">
        <v>-0.01687483617005969</v>
      </c>
      <c r="X113" s="1">
        <v>-0.01131597290671849</v>
      </c>
      <c r="Y113" s="1">
        <v>0.007989183056384075</v>
      </c>
      <c r="Z113" s="1">
        <v>-0.02543667943034911</v>
      </c>
    </row>
    <row r="114" spans="1:26">
      <c r="A114" s="11">
        <v>42536</v>
      </c>
      <c r="B114" s="1">
        <v>-0.004200321935330487</v>
      </c>
      <c r="C114" s="1">
        <v>-0.002605441680890719</v>
      </c>
      <c r="D114" s="1">
        <v>-0.005175776015053035</v>
      </c>
      <c r="E114" s="1">
        <v>-0.007250512180096425</v>
      </c>
      <c r="F114" s="1">
        <v>-0.004630095221067942</v>
      </c>
      <c r="G114" s="1">
        <v>-0.005201384237145557</v>
      </c>
      <c r="H114" s="1">
        <v>-0.009772524840201635</v>
      </c>
      <c r="I114" s="1">
        <v>-0.003758031481368662</v>
      </c>
      <c r="J114" s="1">
        <v>-0.003831558838483518</v>
      </c>
      <c r="K114" s="1">
        <v>-0.00577337403600342</v>
      </c>
      <c r="L114" s="1">
        <v>-0.001771570850270243</v>
      </c>
      <c r="M114" s="1">
        <v>0.001503983242942653</v>
      </c>
      <c r="N114" s="1">
        <v>0.0004598194748037798</v>
      </c>
      <c r="O114" s="1">
        <v>-0.005479665000697853</v>
      </c>
      <c r="P114" s="1">
        <v>-0.002809925714936545</v>
      </c>
      <c r="Q114" s="1">
        <v>-0.001190068485981688</v>
      </c>
      <c r="R114" s="1">
        <v>-0.004435619056463724</v>
      </c>
      <c r="S114" s="1">
        <v>0.02229925067557526</v>
      </c>
      <c r="T114" s="1">
        <v>-0.004209511590253401</v>
      </c>
      <c r="U114" s="1">
        <v>-0.002229078025125841</v>
      </c>
      <c r="V114" s="1">
        <v>0.0079409996274169</v>
      </c>
      <c r="W114" s="1">
        <v>-0.003851812618952288</v>
      </c>
      <c r="X114" s="1">
        <v>0.01357466296240206</v>
      </c>
      <c r="Y114" s="1">
        <v>-0.002830567110973403</v>
      </c>
      <c r="Z114" s="1">
        <v>0.003729077476867015</v>
      </c>
    </row>
    <row r="115" spans="1:26">
      <c r="A115" s="11">
        <v>42537</v>
      </c>
      <c r="B115" s="1">
        <v>-0.02805790384513251</v>
      </c>
      <c r="C115" s="1">
        <v>-0.006069315168682254</v>
      </c>
      <c r="D115" s="1">
        <v>0.008143055743776495</v>
      </c>
      <c r="E115" s="1">
        <v>-0.01157454454055995</v>
      </c>
      <c r="F115" s="1">
        <v>0.01202884412008376</v>
      </c>
      <c r="G115" s="1">
        <v>0.003921435068410917</v>
      </c>
      <c r="H115" s="1">
        <v>0.01520805465495112</v>
      </c>
      <c r="I115" s="1">
        <v>0.003418871193683337</v>
      </c>
      <c r="J115" s="1">
        <v>-0.001538352173522606</v>
      </c>
      <c r="K115" s="1">
        <v>0.004413038576157158</v>
      </c>
      <c r="L115" s="1">
        <v>0.00403399300683116</v>
      </c>
      <c r="M115" s="1">
        <v>-0.004005610977637741</v>
      </c>
      <c r="N115" s="1">
        <v>0.009489928788298574</v>
      </c>
      <c r="O115" s="1">
        <v>0.01025415729779766</v>
      </c>
      <c r="P115" s="1">
        <v>0.01408730434903638</v>
      </c>
      <c r="Q115" s="1">
        <v>0.006751442096798232</v>
      </c>
      <c r="R115" s="1">
        <v>0.006311930770721785</v>
      </c>
      <c r="S115" s="1">
        <v>0.003697426609613697</v>
      </c>
      <c r="T115" s="1">
        <v>-0.001306601571155142</v>
      </c>
      <c r="U115" s="1">
        <v>0.004964303375941004</v>
      </c>
      <c r="V115" s="1">
        <v>-0.004310679788468885</v>
      </c>
      <c r="W115" s="1">
        <v>-0.00122082395437173</v>
      </c>
      <c r="X115" s="1">
        <v>0.002100759045831957</v>
      </c>
      <c r="Y115" s="1">
        <v>0.01173332940340654</v>
      </c>
      <c r="Z115" s="1">
        <v>-0.01820184338788899</v>
      </c>
    </row>
    <row r="116" spans="1:26">
      <c r="A116" s="11">
        <v>42538</v>
      </c>
      <c r="B116" s="1">
        <v>0.01641524040928211</v>
      </c>
      <c r="C116" s="1">
        <v>0.003478306839256984</v>
      </c>
      <c r="D116" s="1">
        <v>-0.002916601648106587</v>
      </c>
      <c r="E116" s="1">
        <v>-0.01477813257963123</v>
      </c>
      <c r="F116" s="1">
        <v>-0.01156888738557982</v>
      </c>
      <c r="G116" s="1">
        <v>0.002604306769518505</v>
      </c>
      <c r="H116" s="1">
        <v>-0.004940220846111121</v>
      </c>
      <c r="I116" s="1">
        <v>0.01033830495495702</v>
      </c>
      <c r="J116" s="1">
        <v>0.01078588914002054</v>
      </c>
      <c r="K116" s="1">
        <v>-0.005781385959189533</v>
      </c>
      <c r="L116" s="1">
        <v>0.0009642684693773607</v>
      </c>
      <c r="M116" s="1">
        <v>-0.001005756650647505</v>
      </c>
      <c r="N116" s="1">
        <v>-0.008339463469423158</v>
      </c>
      <c r="O116" s="1">
        <v>-0.002272397046062635</v>
      </c>
      <c r="P116" s="1">
        <v>-0.005159522352997548</v>
      </c>
      <c r="Q116" s="1">
        <v>-0.003550280213787116</v>
      </c>
      <c r="R116" s="1">
        <v>0.002951573104290395</v>
      </c>
      <c r="S116" s="1">
        <v>-0.01223736595198888</v>
      </c>
      <c r="T116" s="1">
        <v>-0.007675441918530646</v>
      </c>
      <c r="U116" s="1">
        <v>0.005927253783734265</v>
      </c>
      <c r="V116" s="1">
        <v>0.007763271112974035</v>
      </c>
      <c r="W116" s="1">
        <v>-0.006724393260302386</v>
      </c>
      <c r="X116" s="1">
        <v>0.002096557802140131</v>
      </c>
      <c r="Y116" s="1">
        <v>0.005985829321681901</v>
      </c>
      <c r="Z116" s="1">
        <v>0.007566945889774024</v>
      </c>
    </row>
    <row r="117" spans="1:26">
      <c r="A117" s="11">
        <v>42541</v>
      </c>
      <c r="B117" s="1">
        <v>0.02691630579570048</v>
      </c>
      <c r="C117" s="1">
        <v>0.02256975103100034</v>
      </c>
      <c r="D117" s="1">
        <v>0.0117012350829655</v>
      </c>
      <c r="E117" s="1">
        <v>0.004103878052843069</v>
      </c>
      <c r="F117" s="1">
        <v>0.001443035794310266</v>
      </c>
      <c r="G117" s="1">
        <v>0.005194856092187283</v>
      </c>
      <c r="H117" s="1">
        <v>-0.0004805691696957437</v>
      </c>
      <c r="I117" s="1">
        <v>-0.004767416058613971</v>
      </c>
      <c r="J117" s="1">
        <v>-0.003811115948792687</v>
      </c>
      <c r="K117" s="1">
        <v>0.003954327351993525</v>
      </c>
      <c r="L117" s="1">
        <v>0.001445009327133873</v>
      </c>
      <c r="M117" s="1">
        <v>0.007045532227347273</v>
      </c>
      <c r="N117" s="1">
        <v>0.007339182780058628</v>
      </c>
      <c r="O117" s="1">
        <v>0.00926226180202816</v>
      </c>
      <c r="P117" s="1">
        <v>-0.001196887162083105</v>
      </c>
      <c r="Q117" s="1">
        <v>-0.00672995494316786</v>
      </c>
      <c r="R117" s="1">
        <v>0.01029942140878548</v>
      </c>
      <c r="S117" s="1">
        <v>-0.001616019529199653</v>
      </c>
      <c r="T117" s="1">
        <v>0.004335973858193176</v>
      </c>
      <c r="U117" s="1">
        <v>0.001227889705824659</v>
      </c>
      <c r="V117" s="1">
        <v>0.007259401532941023</v>
      </c>
      <c r="W117" s="1">
        <v>0.01456509352353175</v>
      </c>
      <c r="X117" s="1">
        <v>0.01595206139112859</v>
      </c>
      <c r="Y117" s="1">
        <v>-0.0003716236819691909</v>
      </c>
      <c r="Z117" s="1">
        <v>0.001502080962068053</v>
      </c>
    </row>
    <row r="118" spans="1:26">
      <c r="A118" s="11">
        <v>42542</v>
      </c>
      <c r="B118" s="1">
        <v>0.02368060376824466</v>
      </c>
      <c r="C118" s="1">
        <v>-0.009265633252586447</v>
      </c>
      <c r="D118" s="1">
        <v>0.001111710757548012</v>
      </c>
      <c r="E118" s="1">
        <v>0.004086797597517178</v>
      </c>
      <c r="F118" s="1">
        <v>0.001281010532149462</v>
      </c>
      <c r="G118" s="1">
        <v>0.01205853661632661</v>
      </c>
      <c r="H118" s="1">
        <v>0.007050253525933803</v>
      </c>
      <c r="I118" s="1">
        <v>-0.01752570094660855</v>
      </c>
      <c r="J118" s="1">
        <v>0.01989281352354477</v>
      </c>
      <c r="K118" s="1">
        <v>0.0004632777213822159</v>
      </c>
      <c r="L118" s="1">
        <v>0.009299246224368174</v>
      </c>
      <c r="M118" s="1">
        <v>0.01249408171090716</v>
      </c>
      <c r="N118" s="1">
        <v>0.004553991336507801</v>
      </c>
      <c r="O118" s="1">
        <v>0.004061747799189552</v>
      </c>
      <c r="P118" s="1">
        <v>0.02236872401820311</v>
      </c>
      <c r="Q118" s="1">
        <v>0.00836979595828824</v>
      </c>
      <c r="R118" s="1">
        <v>-0.00637181589467406</v>
      </c>
      <c r="S118" s="1">
        <v>0.0007058063751854693</v>
      </c>
      <c r="T118" s="1">
        <v>-0.007114532225933501</v>
      </c>
      <c r="U118" s="1">
        <v>0.007110854797365063</v>
      </c>
      <c r="V118" s="1">
        <v>0.004559754166190144</v>
      </c>
      <c r="W118" s="1">
        <v>0.003639409836308616</v>
      </c>
      <c r="X118" s="1">
        <v>-0.008236985473360159</v>
      </c>
      <c r="Y118" s="1">
        <v>0.006324247642608194</v>
      </c>
      <c r="Z118" s="1">
        <v>0.005623733233893535</v>
      </c>
    </row>
    <row r="119" spans="1:26">
      <c r="A119" s="11">
        <v>42543</v>
      </c>
      <c r="B119" s="1">
        <v>-0.003531435483490886</v>
      </c>
      <c r="C119" s="1">
        <v>0.001900895344465692</v>
      </c>
      <c r="D119" s="1">
        <v>-0.001555003709351355</v>
      </c>
      <c r="E119" s="1">
        <v>0.01487708130237286</v>
      </c>
      <c r="F119" s="1">
        <v>0.001599193357408213</v>
      </c>
      <c r="G119" s="1">
        <v>-0.01106397532409631</v>
      </c>
      <c r="H119" s="1">
        <v>-0.004136810063838037</v>
      </c>
      <c r="I119" s="1">
        <v>-0.002021356587899592</v>
      </c>
      <c r="J119" s="1">
        <v>-0.05401351721436976</v>
      </c>
      <c r="K119" s="1">
        <v>0.006716139291119916</v>
      </c>
      <c r="L119" s="1">
        <v>-0.00381226673206958</v>
      </c>
      <c r="M119" s="1">
        <v>-0.006416746802980544</v>
      </c>
      <c r="N119" s="1">
        <v>-0.0004533578057018817</v>
      </c>
      <c r="O119" s="1">
        <v>0.001048753075441278</v>
      </c>
      <c r="P119" s="1">
        <v>-0.003907206938579377</v>
      </c>
      <c r="Q119" s="1">
        <v>-0.001975974585374907</v>
      </c>
      <c r="R119" s="1">
        <v>0.004764039304231416</v>
      </c>
      <c r="S119" s="1">
        <v>-0.004106121635368831</v>
      </c>
      <c r="T119" s="1">
        <v>0.008417061601424303</v>
      </c>
      <c r="U119" s="1">
        <v>0.005600292935892481</v>
      </c>
      <c r="V119" s="1">
        <v>0.008198638305647599</v>
      </c>
      <c r="W119" s="1">
        <v>0.00631255388141394</v>
      </c>
      <c r="X119" s="1">
        <v>-0.005450375943547581</v>
      </c>
      <c r="Y119" s="1">
        <v>-0.001293812632168545</v>
      </c>
      <c r="Z119" s="1">
        <v>0.005593235502949545</v>
      </c>
    </row>
    <row r="120" spans="1:26">
      <c r="A120" s="11">
        <v>42544</v>
      </c>
      <c r="B120" s="1">
        <v>0.03065731072085387</v>
      </c>
      <c r="C120" s="1">
        <v>0.01350823685514269</v>
      </c>
      <c r="D120" s="1">
        <v>0.02269697774675294</v>
      </c>
      <c r="E120" s="1">
        <v>0.004563502360767746</v>
      </c>
      <c r="F120" s="1">
        <v>0.004948644417829495</v>
      </c>
      <c r="G120" s="1">
        <v>0.01075721415852038</v>
      </c>
      <c r="H120" s="1">
        <v>0.0007990290904873465</v>
      </c>
      <c r="I120" s="1">
        <v>0.004408712192246922</v>
      </c>
      <c r="J120" s="1">
        <v>0.02696295553438421</v>
      </c>
      <c r="K120" s="1">
        <v>0.01150206339094861</v>
      </c>
      <c r="L120" s="1">
        <v>0.02136833193371146</v>
      </c>
      <c r="M120" s="1">
        <v>-0.01664170600771242</v>
      </c>
      <c r="N120" s="1">
        <v>0.002418966364148289</v>
      </c>
      <c r="O120" s="1">
        <v>0.01646481882272055</v>
      </c>
      <c r="P120" s="1">
        <v>0.01804268574617152</v>
      </c>
      <c r="Q120" s="1">
        <v>-0.002772635719849648</v>
      </c>
      <c r="R120" s="1">
        <v>0.02753470586438556</v>
      </c>
      <c r="S120" s="1">
        <v>0.003622947712852431</v>
      </c>
      <c r="T120" s="1">
        <v>-0.003414401365482989</v>
      </c>
      <c r="U120" s="1">
        <v>0.01404358709681119</v>
      </c>
      <c r="V120" s="1">
        <v>0.01336071053673527</v>
      </c>
      <c r="W120" s="1">
        <v>0.01528188138962383</v>
      </c>
      <c r="X120" s="1">
        <v>0.002609880932508579</v>
      </c>
      <c r="Y120" s="1">
        <v>0.01184535847321277</v>
      </c>
      <c r="Z120" s="1">
        <v>0.04412323411563013</v>
      </c>
    </row>
    <row r="121" spans="1:26">
      <c r="A121" s="11">
        <v>42545</v>
      </c>
      <c r="B121" s="1">
        <v>-0.05674015304809632</v>
      </c>
      <c r="C121" s="1">
        <v>-0.05263934850195751</v>
      </c>
      <c r="D121" s="1">
        <v>-0.04590937689945118</v>
      </c>
      <c r="E121" s="1">
        <v>-0.02794573724613758</v>
      </c>
      <c r="F121" s="1">
        <v>-0.0206514991083605</v>
      </c>
      <c r="G121" s="1">
        <v>-0.006385367946268539</v>
      </c>
      <c r="H121" s="1">
        <v>-0.003831669069518373</v>
      </c>
      <c r="I121" s="1">
        <v>-0.03048995235301466</v>
      </c>
      <c r="J121" s="1">
        <v>-0.05328202109592739</v>
      </c>
      <c r="K121" s="1">
        <v>-0.05390034408571531</v>
      </c>
      <c r="L121" s="1">
        <v>-0.06947737159180123</v>
      </c>
      <c r="M121" s="1">
        <v>-0.03233156856695407</v>
      </c>
      <c r="N121" s="1">
        <v>0.01070696767481571</v>
      </c>
      <c r="O121" s="1">
        <v>-0.04461786944585144</v>
      </c>
      <c r="P121" s="1">
        <v>-0.0400689676996</v>
      </c>
      <c r="Q121" s="1">
        <v>0.005162898306999342</v>
      </c>
      <c r="R121" s="1">
        <v>-0.0777285087876971</v>
      </c>
      <c r="S121" s="1">
        <v>0.001328031522791928</v>
      </c>
      <c r="T121" s="1">
        <v>-0.01792835361036982</v>
      </c>
      <c r="U121" s="1">
        <v>-0.008595793571628652</v>
      </c>
      <c r="V121" s="1">
        <v>-0.006162573014840023</v>
      </c>
      <c r="W121" s="1">
        <v>-0.04462988532481282</v>
      </c>
      <c r="X121" s="1">
        <v>-0.0653304420879538</v>
      </c>
      <c r="Y121" s="1">
        <v>-0.004390023295442358</v>
      </c>
      <c r="Z121" s="1">
        <v>-0.1019175429778096</v>
      </c>
    </row>
    <row r="122" spans="1:26">
      <c r="A122" s="11">
        <v>42548</v>
      </c>
      <c r="B122" s="1">
        <v>-0.0521325174005236</v>
      </c>
      <c r="C122" s="1">
        <v>-0.03019311604144104</v>
      </c>
      <c r="D122" s="1">
        <v>-0.03420767100961453</v>
      </c>
      <c r="E122" s="1">
        <v>-0.004107364039452333</v>
      </c>
      <c r="F122" s="1">
        <v>0.01313874112910907</v>
      </c>
      <c r="G122" s="1">
        <v>-0.007283910595942467</v>
      </c>
      <c r="H122" s="1">
        <v>0.01874993728351915</v>
      </c>
      <c r="I122" s="1">
        <v>-0.0139497565343093</v>
      </c>
      <c r="J122" s="1">
        <v>-0.05791197992654173</v>
      </c>
      <c r="K122" s="1">
        <v>-0.03317285331248743</v>
      </c>
      <c r="L122" s="1">
        <v>-0.03338899031897291</v>
      </c>
      <c r="M122" s="1">
        <v>-0.04045959951245626</v>
      </c>
      <c r="N122" s="1">
        <v>0.01357831420613476</v>
      </c>
      <c r="O122" s="1">
        <v>-0.01772509273330103</v>
      </c>
      <c r="P122" s="1">
        <v>-0.02809587389158186</v>
      </c>
      <c r="Q122" s="1">
        <v>0.003555891021343793</v>
      </c>
      <c r="R122" s="1">
        <v>-0.05945753357102368</v>
      </c>
      <c r="S122" s="1">
        <v>0.03683910055148387</v>
      </c>
      <c r="T122" s="1">
        <v>-0.01208794257420709</v>
      </c>
      <c r="U122" s="1">
        <v>0.01228321947846145</v>
      </c>
      <c r="V122" s="1">
        <v>0.001442253853445985</v>
      </c>
      <c r="W122" s="1">
        <v>-0.03040950061225256</v>
      </c>
      <c r="X122" s="1">
        <v>-0.0442778521243482</v>
      </c>
      <c r="Y122" s="1">
        <v>0.005695591365068031</v>
      </c>
      <c r="Z122" s="1">
        <v>-0.0672206378053255</v>
      </c>
    </row>
    <row r="123" spans="1:26">
      <c r="A123" s="11">
        <v>42549</v>
      </c>
      <c r="B123" s="1">
        <v>0.04192256920429283</v>
      </c>
      <c r="C123" s="1">
        <v>0.00969870996404909</v>
      </c>
      <c r="D123" s="1">
        <v>0.02432154449765966</v>
      </c>
      <c r="E123" s="1">
        <v>0.02403312722931172</v>
      </c>
      <c r="F123" s="1">
        <v>0.009766124101386664</v>
      </c>
      <c r="G123" s="1">
        <v>0.01942180291377027</v>
      </c>
      <c r="H123" s="1">
        <v>-0.01289906755224868</v>
      </c>
      <c r="I123" s="1">
        <v>0.01750434051173677</v>
      </c>
      <c r="J123" s="1">
        <v>0.02077926605045266</v>
      </c>
      <c r="K123" s="1">
        <v>0.01790120594328104</v>
      </c>
      <c r="L123" s="1">
        <v>0.03315392387389737</v>
      </c>
      <c r="M123" s="1">
        <v>0.01822667496697439</v>
      </c>
      <c r="N123" s="1">
        <v>-0.000294489881153992</v>
      </c>
      <c r="O123" s="1">
        <v>0.02918577894662389</v>
      </c>
      <c r="P123" s="1">
        <v>0.02085477012499681</v>
      </c>
      <c r="Q123" s="1">
        <v>0.007480305062975701</v>
      </c>
      <c r="R123" s="1">
        <v>0.0194352484472311</v>
      </c>
      <c r="S123" s="1">
        <v>0.01171003277999594</v>
      </c>
      <c r="T123" s="1">
        <v>0.0347462039306341</v>
      </c>
      <c r="U123" s="1">
        <v>-0.0002379453720299241</v>
      </c>
      <c r="V123" s="1">
        <v>0.004175892172194162</v>
      </c>
      <c r="W123" s="1">
        <v>0.01575242020517176</v>
      </c>
      <c r="X123" s="1">
        <v>0.005828239075333697</v>
      </c>
      <c r="Y123" s="1">
        <v>0.001461208386363211</v>
      </c>
      <c r="Z123" s="1">
        <v>0.03391293178663601</v>
      </c>
    </row>
    <row r="124" spans="1:26">
      <c r="A124" s="11">
        <v>42550</v>
      </c>
      <c r="B124" s="1">
        <v>0.03008518307766495</v>
      </c>
      <c r="C124" s="1">
        <v>0.0250221792651506</v>
      </c>
      <c r="D124" s="1">
        <v>0.03319469686989707</v>
      </c>
      <c r="E124" s="1">
        <v>0.01912601585371099</v>
      </c>
      <c r="F124" s="1">
        <v>0.01379433037635636</v>
      </c>
      <c r="G124" s="1">
        <v>0.01608814502494571</v>
      </c>
      <c r="H124" s="1">
        <v>0.001115267828275979</v>
      </c>
      <c r="I124" s="1">
        <v>0.001597201946125004</v>
      </c>
      <c r="J124" s="1">
        <v>0.03307882208915736</v>
      </c>
      <c r="K124" s="1">
        <v>0.01856412710891697</v>
      </c>
      <c r="L124" s="1">
        <v>0.02822580577418643</v>
      </c>
      <c r="M124" s="1">
        <v>0.03900625411900416</v>
      </c>
      <c r="N124" s="1">
        <v>-0.001177968059815182</v>
      </c>
      <c r="O124" s="1">
        <v>0.01799031919205674</v>
      </c>
      <c r="P124" s="1">
        <v>0.02224894610761474</v>
      </c>
      <c r="Q124" s="1">
        <v>0.01055064072449774</v>
      </c>
      <c r="R124" s="1">
        <v>0.01625527020387652</v>
      </c>
      <c r="S124" s="1">
        <v>0.00343656611097698</v>
      </c>
      <c r="T124" s="1">
        <v>0.001206515164547284</v>
      </c>
      <c r="U124" s="1">
        <v>0.0123746338996209</v>
      </c>
      <c r="V124" s="1">
        <v>0.003727905547716848</v>
      </c>
      <c r="W124" s="1">
        <v>0.01404154044442674</v>
      </c>
      <c r="X124" s="1">
        <v>0.01477358992812849</v>
      </c>
      <c r="Y124" s="1">
        <v>0.004378011590872255</v>
      </c>
      <c r="Z124" s="1">
        <v>0.02460060941850295</v>
      </c>
    </row>
    <row r="125" spans="1:26">
      <c r="A125" s="11">
        <v>42551</v>
      </c>
      <c r="B125" s="1">
        <v>-0.00250860873080494</v>
      </c>
      <c r="C125" s="1">
        <v>0.02267894423935735</v>
      </c>
      <c r="D125" s="1">
        <v>0.008924652261650401</v>
      </c>
      <c r="E125" s="1">
        <v>0.007534301556391343</v>
      </c>
      <c r="F125" s="1">
        <v>0.01955003310226577</v>
      </c>
      <c r="G125" s="1">
        <v>0</v>
      </c>
      <c r="H125" s="1">
        <v>0.05905790704505565</v>
      </c>
      <c r="I125" s="1">
        <v>-0.005766470326189155</v>
      </c>
      <c r="J125" s="1">
        <v>0.03037817393964626</v>
      </c>
      <c r="K125" s="1">
        <v>0.02158263599832222</v>
      </c>
      <c r="L125" s="1">
        <v>0.01535930754038017</v>
      </c>
      <c r="M125" s="1">
        <v>0.008228295994641366</v>
      </c>
      <c r="N125" s="1">
        <v>0.01665919849562769</v>
      </c>
      <c r="O125" s="1">
        <v>0.02531077274826066</v>
      </c>
      <c r="P125" s="1">
        <v>0.01246554147040735</v>
      </c>
      <c r="Q125" s="1">
        <v>0.02552251667150496</v>
      </c>
      <c r="R125" s="1">
        <v>0.02428904556525135</v>
      </c>
      <c r="S125" s="1">
        <v>0.006220402768836397</v>
      </c>
      <c r="T125" s="1">
        <v>0.01122529916738624</v>
      </c>
      <c r="U125" s="1">
        <v>0.01575031097605706</v>
      </c>
      <c r="V125" s="1">
        <v>-0.002571163837644885</v>
      </c>
      <c r="W125" s="1">
        <v>0.01791100321102346</v>
      </c>
      <c r="X125" s="1">
        <v>0.04367729191516356</v>
      </c>
      <c r="Y125" s="1">
        <v>0.01416597714427281</v>
      </c>
      <c r="Z125" s="1">
        <v>0.005601684948915331</v>
      </c>
    </row>
    <row r="126" spans="1:26">
      <c r="A126" s="11">
        <v>42552</v>
      </c>
      <c r="B126" s="1">
        <v>0.01796300013485452</v>
      </c>
      <c r="C126" s="1">
        <v>-0.001386004999764046</v>
      </c>
      <c r="D126" s="1">
        <v>0.005086597447112151</v>
      </c>
      <c r="E126" s="1">
        <v>0.003127349588006867</v>
      </c>
      <c r="F126" s="1">
        <v>0.00562217302136192</v>
      </c>
      <c r="G126" s="1">
        <v>0.002083225734362371</v>
      </c>
      <c r="H126" s="1">
        <v>-0.007064432429459644</v>
      </c>
      <c r="I126" s="1">
        <v>-0.00172737423915903</v>
      </c>
      <c r="J126" s="1">
        <v>0.01434214250334187</v>
      </c>
      <c r="K126" s="1">
        <v>0.006572834472235556</v>
      </c>
      <c r="L126" s="1">
        <v>-0.006487181566739553</v>
      </c>
      <c r="M126" s="1">
        <v>0.00994658367300838</v>
      </c>
      <c r="N126" s="1">
        <v>0.0008699407473691245</v>
      </c>
      <c r="O126" s="1">
        <v>-0.005112086513151315</v>
      </c>
      <c r="P126" s="1">
        <v>-0.000195567717455214</v>
      </c>
      <c r="Q126" s="1">
        <v>0.005279320426293754</v>
      </c>
      <c r="R126" s="1">
        <v>-0.0005781776245339376</v>
      </c>
      <c r="S126" s="1">
        <v>-0.006846696483806758</v>
      </c>
      <c r="T126" s="1">
        <v>0.0004430170687035329</v>
      </c>
      <c r="U126" s="1">
        <v>0.006016918718992903</v>
      </c>
      <c r="V126" s="1">
        <v>0.003294175484345185</v>
      </c>
      <c r="W126" s="1">
        <v>0.009949337708659911</v>
      </c>
      <c r="X126" s="1">
        <v>-0.004923934374621797</v>
      </c>
      <c r="Y126" s="1">
        <v>0.006984436733464383</v>
      </c>
      <c r="Z126" s="1">
        <v>-0.008356076830968395</v>
      </c>
    </row>
    <row r="127" spans="1:26">
      <c r="A127" s="11">
        <v>42556</v>
      </c>
      <c r="B127" s="1">
        <v>-0.03529187476158435</v>
      </c>
      <c r="C127" s="1">
        <v>-0.02097320173980721</v>
      </c>
      <c r="D127" s="1">
        <v>-0.003080780706560482</v>
      </c>
      <c r="E127" s="1">
        <v>0</v>
      </c>
      <c r="F127" s="1">
        <v>-0.004135989971965404</v>
      </c>
      <c r="G127" s="1">
        <v>0</v>
      </c>
      <c r="H127" s="1">
        <v>0.01710554719279966</v>
      </c>
      <c r="I127" s="1">
        <v>-0.0213842133456319</v>
      </c>
      <c r="J127" s="1">
        <v>-0.0290651531254783</v>
      </c>
      <c r="K127" s="1">
        <v>-0.03008406911835204</v>
      </c>
      <c r="L127" s="1">
        <v>-0.02791374855776674</v>
      </c>
      <c r="M127" s="1">
        <v>-0.009848623515150923</v>
      </c>
      <c r="N127" s="1">
        <v>0.008548536078876179</v>
      </c>
      <c r="O127" s="1">
        <v>-0.007635255423875775</v>
      </c>
      <c r="P127" s="1">
        <v>0.0001956059716685665</v>
      </c>
      <c r="Q127" s="1">
        <v>0.004125659814584903</v>
      </c>
      <c r="R127" s="1">
        <v>-0.02623479585183974</v>
      </c>
      <c r="S127" s="1">
        <v>0.02324257635615168</v>
      </c>
      <c r="T127" s="1">
        <v>0.002927171928185812</v>
      </c>
      <c r="U127" s="1">
        <v>-0.002760639666823494</v>
      </c>
      <c r="V127" s="1">
        <v>-0.004425439503665474</v>
      </c>
      <c r="W127" s="1">
        <v>-0.01326854091010599</v>
      </c>
      <c r="X127" s="1">
        <v>-0.01814185125166001</v>
      </c>
      <c r="Y127" s="1">
        <v>0.005335406107485507</v>
      </c>
      <c r="Z127" s="1">
        <v>-0.05939014434083734</v>
      </c>
    </row>
    <row r="128" spans="1:26">
      <c r="A128" s="11">
        <v>42557</v>
      </c>
      <c r="B128" s="1">
        <v>0.01152332191912708</v>
      </c>
      <c r="C128" s="1">
        <v>-7.855777150367338E-05</v>
      </c>
      <c r="D128" s="1">
        <v>0.01500814986095267</v>
      </c>
      <c r="E128" s="1">
        <v>0.001084133128488984</v>
      </c>
      <c r="F128" s="1">
        <v>0.001384443292163029</v>
      </c>
      <c r="G128" s="1">
        <v>0</v>
      </c>
      <c r="H128" s="1">
        <v>0.005358090701562235</v>
      </c>
      <c r="I128" s="1">
        <v>0.003789121968395204</v>
      </c>
      <c r="J128" s="1">
        <v>0.01941773573760153</v>
      </c>
      <c r="K128" s="1">
        <v>-0.0007214577295227009</v>
      </c>
      <c r="L128" s="1">
        <v>0.01074724345864242</v>
      </c>
      <c r="M128" s="1">
        <v>-0.002040423960277704</v>
      </c>
      <c r="N128" s="1">
        <v>0.001580108507534872</v>
      </c>
      <c r="O128" s="1">
        <v>-0.007101540103067516</v>
      </c>
      <c r="P128" s="1">
        <v>0.004104218754699129</v>
      </c>
      <c r="Q128" s="1">
        <v>-0.004482577119606312</v>
      </c>
      <c r="R128" s="1">
        <v>0.006141220947300852</v>
      </c>
      <c r="S128" s="1">
        <v>-0.006198210327585496</v>
      </c>
      <c r="T128" s="1">
        <v>0.01740977537015453</v>
      </c>
      <c r="U128" s="1">
        <v>0.009025865009410827</v>
      </c>
      <c r="V128" s="1">
        <v>0.01104072216306506</v>
      </c>
      <c r="W128" s="1">
        <v>0.0126314841438977</v>
      </c>
      <c r="X128" s="1">
        <v>0.001399816591437286</v>
      </c>
      <c r="Y128" s="1">
        <v>0.005271485101657314</v>
      </c>
      <c r="Z128" s="1">
        <v>0.02346391651533764</v>
      </c>
    </row>
    <row r="129" spans="1:26">
      <c r="A129" s="11">
        <v>42558</v>
      </c>
      <c r="B129" s="1">
        <v>-0.007232560984906655</v>
      </c>
      <c r="C129" s="1">
        <v>0.001653859909754862</v>
      </c>
      <c r="D129" s="1">
        <v>0.002826449428351641</v>
      </c>
      <c r="E129" s="1">
        <v>0.00297861490109641</v>
      </c>
      <c r="F129" s="1">
        <v>0.01781868921626373</v>
      </c>
      <c r="G129" s="1">
        <v>-0.02203751180854563</v>
      </c>
      <c r="H129" s="1">
        <v>-0.006068039324692909</v>
      </c>
      <c r="I129" s="1">
        <v>-0.001258198027250579</v>
      </c>
      <c r="J129" s="1">
        <v>0.01984157067529502</v>
      </c>
      <c r="K129" s="1">
        <v>0.004090697698248658</v>
      </c>
      <c r="L129" s="1">
        <v>0.00647944835135128</v>
      </c>
      <c r="M129" s="1">
        <v>0.01840014500396925</v>
      </c>
      <c r="N129" s="1">
        <v>-0.006023863360633541</v>
      </c>
      <c r="O129" s="1">
        <v>0.0004493162418657271</v>
      </c>
      <c r="P129" s="1">
        <v>0</v>
      </c>
      <c r="Q129" s="1">
        <v>-0.02288985240603203</v>
      </c>
      <c r="R129" s="1">
        <v>-0.0007875396044284555</v>
      </c>
      <c r="S129" s="1">
        <v>-0.01685208995129395</v>
      </c>
      <c r="T129" s="1">
        <v>0.007705056688311451</v>
      </c>
      <c r="U129" s="1">
        <v>-0.01856156916731144</v>
      </c>
      <c r="V129" s="1">
        <v>-0.005956749786691029</v>
      </c>
      <c r="W129" s="1">
        <v>-0.0003354212772163079</v>
      </c>
      <c r="X129" s="1">
        <v>-0.001677237200132908</v>
      </c>
      <c r="Y129" s="1">
        <v>-0.01564210881053985</v>
      </c>
      <c r="Z129" s="1">
        <v>0.01750737365666644</v>
      </c>
    </row>
    <row r="130" spans="1:26">
      <c r="A130" s="11">
        <v>42559</v>
      </c>
      <c r="B130" s="1">
        <v>0.004917900703039546</v>
      </c>
      <c r="C130" s="1">
        <v>0.02296150404889552</v>
      </c>
      <c r="D130" s="1">
        <v>0.01149186244974332</v>
      </c>
      <c r="E130" s="1">
        <v>0.0161987072675005</v>
      </c>
      <c r="F130" s="1">
        <v>0.01282850741883301</v>
      </c>
      <c r="G130" s="1">
        <v>0.01615610131184342</v>
      </c>
      <c r="H130" s="1">
        <v>0.004039942686921982</v>
      </c>
      <c r="I130" s="1">
        <v>0.02015877855246861</v>
      </c>
      <c r="J130" s="1">
        <v>0.0178982870930251</v>
      </c>
      <c r="K130" s="1">
        <v>0.02492187017307979</v>
      </c>
      <c r="L130" s="1">
        <v>0.02063398561834262</v>
      </c>
      <c r="M130" s="1">
        <v>0.01731513865280143</v>
      </c>
      <c r="N130" s="1">
        <v>0.007647657399807439</v>
      </c>
      <c r="O130" s="1">
        <v>0.00553919086383714</v>
      </c>
      <c r="P130" s="1">
        <v>0.01790581541261238</v>
      </c>
      <c r="Q130" s="1">
        <v>0.003456612981348917</v>
      </c>
      <c r="R130" s="1">
        <v>0.02699508007489282</v>
      </c>
      <c r="S130" s="1">
        <v>0.01402797649595566</v>
      </c>
      <c r="T130" s="1">
        <v>0.01463135968306206</v>
      </c>
      <c r="U130" s="1">
        <v>0.007328872204211301</v>
      </c>
      <c r="V130" s="1">
        <v>0.01740606599266759</v>
      </c>
      <c r="W130" s="1">
        <v>0.02435281924309129</v>
      </c>
      <c r="X130" s="1">
        <v>0.0358444234150268</v>
      </c>
      <c r="Y130" s="1">
        <v>0.009389792657267693</v>
      </c>
      <c r="Z130" s="1">
        <v>0.01351924393964477</v>
      </c>
    </row>
    <row r="131" spans="1:26">
      <c r="A131" s="11">
        <v>42562</v>
      </c>
      <c r="B131" s="1">
        <v>-0.001087807171375244</v>
      </c>
      <c r="C131" s="1">
        <v>0.01498947970255493</v>
      </c>
      <c r="D131" s="1">
        <v>-0.003429667619458399</v>
      </c>
      <c r="E131" s="1">
        <v>0.001461467024015173</v>
      </c>
      <c r="F131" s="1">
        <v>0.00447027251077059</v>
      </c>
      <c r="G131" s="1">
        <v>-0.003765233703477477</v>
      </c>
      <c r="H131" s="1">
        <v>-0.005812118296533497</v>
      </c>
      <c r="I131" s="1">
        <v>0.0002470439880506436</v>
      </c>
      <c r="J131" s="1">
        <v>0.00611608317815282</v>
      </c>
      <c r="K131" s="1">
        <v>0.004442110732282734</v>
      </c>
      <c r="L131" s="1">
        <v>0.007116383207418586</v>
      </c>
      <c r="M131" s="1">
        <v>0.01233339086701268</v>
      </c>
      <c r="N131" s="1">
        <v>0.0005728445776436164</v>
      </c>
      <c r="O131" s="1">
        <v>-0.0002979843964290296</v>
      </c>
      <c r="P131" s="1">
        <v>0.005544791351034695</v>
      </c>
      <c r="Q131" s="1">
        <v>-0.002296134036546715</v>
      </c>
      <c r="R131" s="1">
        <v>0.01688406534768294</v>
      </c>
      <c r="S131" s="1">
        <v>-0.003030909661109527</v>
      </c>
      <c r="T131" s="1">
        <v>0.002185730027593369</v>
      </c>
      <c r="U131" s="1">
        <v>-0.00234730129998062</v>
      </c>
      <c r="V131" s="1">
        <v>0.01724907087012206</v>
      </c>
      <c r="W131" s="1">
        <v>-0.002292486587970655</v>
      </c>
      <c r="X131" s="1">
        <v>0.03379263116073861</v>
      </c>
      <c r="Y131" s="1">
        <v>0.0005368076110974229</v>
      </c>
      <c r="Z131" s="1">
        <v>0.00767969194560969</v>
      </c>
    </row>
    <row r="132" spans="1:26">
      <c r="A132" s="11">
        <v>42563</v>
      </c>
      <c r="B132" s="1">
        <v>0.04409371947776108</v>
      </c>
      <c r="C132" s="1">
        <v>-0.009315331906426971</v>
      </c>
      <c r="D132" s="1">
        <v>0.007743309120338715</v>
      </c>
      <c r="E132" s="1">
        <v>0.01074359906646372</v>
      </c>
      <c r="F132" s="1">
        <v>-0.00385725546360971</v>
      </c>
      <c r="G132" s="1">
        <v>-0.004619713652029733</v>
      </c>
      <c r="H132" s="1">
        <v>-0.003597691588877683</v>
      </c>
      <c r="I132" s="1">
        <v>0.01765636193310183</v>
      </c>
      <c r="J132" s="1">
        <v>0.04255356064690119</v>
      </c>
      <c r="K132" s="1">
        <v>0.003258998344404462</v>
      </c>
      <c r="L132" s="1">
        <v>0.01493464231677444</v>
      </c>
      <c r="M132" s="1">
        <v>0.04385982219019513</v>
      </c>
      <c r="N132" s="1">
        <v>-0.01431247673911384</v>
      </c>
      <c r="O132" s="1">
        <v>0.002233665997929846</v>
      </c>
      <c r="P132" s="1">
        <v>0.01178916977859368</v>
      </c>
      <c r="Q132" s="1">
        <v>-0.008055571693666996</v>
      </c>
      <c r="R132" s="1">
        <v>0.02150963183371957</v>
      </c>
      <c r="S132" s="1">
        <v>-0.002962245722481605</v>
      </c>
      <c r="T132" s="1">
        <v>-0.004915292522413628</v>
      </c>
      <c r="U132" s="1">
        <v>-0.002351988736612465</v>
      </c>
      <c r="V132" s="1">
        <v>0.0135099062865649</v>
      </c>
      <c r="W132" s="1">
        <v>0.01339148080596009</v>
      </c>
      <c r="X132" s="1">
        <v>0.003138307732963863</v>
      </c>
      <c r="Y132" s="1">
        <v>-0.008224648105401244</v>
      </c>
      <c r="Z132" s="1">
        <v>0.02727625054716643</v>
      </c>
    </row>
    <row r="133" spans="1:26">
      <c r="A133" s="11">
        <v>42564</v>
      </c>
      <c r="B133" s="1">
        <v>-0.01737921431023071</v>
      </c>
      <c r="C133" s="1">
        <v>-0.005351102804885266</v>
      </c>
      <c r="D133" s="1">
        <v>-0.0006404604154327531</v>
      </c>
      <c r="E133" s="1">
        <v>0.004987478256683886</v>
      </c>
      <c r="F133" s="1">
        <v>-0.004765320488464009</v>
      </c>
      <c r="G133" s="1">
        <v>0.01012623593667783</v>
      </c>
      <c r="H133" s="1">
        <v>0.003761279660233985</v>
      </c>
      <c r="I133" s="1">
        <v>0.006551757934653457</v>
      </c>
      <c r="J133" s="1">
        <v>0.006559594504956134</v>
      </c>
      <c r="K133" s="1">
        <v>0.004872677186773311</v>
      </c>
      <c r="L133" s="1">
        <v>-0.0006328558968596854</v>
      </c>
      <c r="M133" s="1">
        <v>-0.01027076214195677</v>
      </c>
      <c r="N133" s="1">
        <v>0.003049439500982576</v>
      </c>
      <c r="O133" s="1">
        <v>-0.00371439028288878</v>
      </c>
      <c r="P133" s="1">
        <v>0.005638197999358496</v>
      </c>
      <c r="Q133" s="1">
        <v>0.007734476279296576</v>
      </c>
      <c r="R133" s="1">
        <v>-0.004433007571441605</v>
      </c>
      <c r="S133" s="1">
        <v>0.002540813647089468</v>
      </c>
      <c r="T133" s="1">
        <v>0.00395819024259092</v>
      </c>
      <c r="U133" s="1">
        <v>0.004243656226166292</v>
      </c>
      <c r="V133" s="1">
        <v>-0.004760761546733772</v>
      </c>
      <c r="W133" s="1">
        <v>0.002720624255530657</v>
      </c>
      <c r="X133" s="1">
        <v>0.0002606150474793179</v>
      </c>
      <c r="Y133" s="1">
        <v>0.009554407948249688</v>
      </c>
      <c r="Z133" s="1">
        <v>-0.002342560675381522</v>
      </c>
    </row>
    <row r="134" spans="1:26">
      <c r="A134" s="11">
        <v>42565</v>
      </c>
      <c r="B134" s="1">
        <v>0.006013275674930929</v>
      </c>
      <c r="C134" s="1">
        <v>0.01106752228962149</v>
      </c>
      <c r="D134" s="1">
        <v>0.002776249550504373</v>
      </c>
      <c r="E134" s="1">
        <v>0.002480867421495558</v>
      </c>
      <c r="F134" s="1">
        <v>0.002843206017594024</v>
      </c>
      <c r="G134" s="1">
        <v>-0.01169598679082873</v>
      </c>
      <c r="H134" s="1">
        <v>-0.002847795955557841</v>
      </c>
      <c r="I134" s="1">
        <v>0.008197045857191387</v>
      </c>
      <c r="J134" s="1">
        <v>-0.0007240614594246075</v>
      </c>
      <c r="K134" s="1">
        <v>0.0006925690164099052</v>
      </c>
      <c r="L134" s="1">
        <v>0.01519973073631609</v>
      </c>
      <c r="M134" s="1">
        <v>0.01816007359329808</v>
      </c>
      <c r="N134" s="1">
        <v>-0.002316477445898912</v>
      </c>
      <c r="O134" s="1">
        <v>-0.001342386754219271</v>
      </c>
      <c r="P134" s="1">
        <v>0.004298124820355964</v>
      </c>
      <c r="Q134" s="1">
        <v>-0.001918651757567669</v>
      </c>
      <c r="R134" s="1">
        <v>0.003153709928189086</v>
      </c>
      <c r="S134" s="1">
        <v>-0.009280558149370899</v>
      </c>
      <c r="T134" s="1">
        <v>-0.002085409256752047</v>
      </c>
      <c r="U134" s="1">
        <v>0.004226438377294528</v>
      </c>
      <c r="V134" s="1">
        <v>0.004373383757578342</v>
      </c>
      <c r="W134" s="1">
        <v>0.01892692221763981</v>
      </c>
      <c r="X134" s="1">
        <v>0.005212353986507434</v>
      </c>
      <c r="Y134" s="1">
        <v>-0.002857278856929768</v>
      </c>
      <c r="Z134" s="1">
        <v>0.01839504395446179</v>
      </c>
    </row>
    <row r="135" spans="1:26">
      <c r="A135" s="11">
        <v>42566</v>
      </c>
      <c r="B135" s="1">
        <v>0.004219288296716694</v>
      </c>
      <c r="C135" s="1">
        <v>0.00638531543332399</v>
      </c>
      <c r="D135" s="1">
        <v>-0.00383315417535024</v>
      </c>
      <c r="E135" s="1">
        <v>-0.01003022822059185</v>
      </c>
      <c r="F135" s="1">
        <v>-0.002089033562571618</v>
      </c>
      <c r="G135" s="1">
        <v>0.01690619294207152</v>
      </c>
      <c r="H135" s="1">
        <v>0.001353262979190584</v>
      </c>
      <c r="I135" s="1">
        <v>-0.002749939783703748</v>
      </c>
      <c r="J135" s="1">
        <v>0.003623126329105331</v>
      </c>
      <c r="K135" s="1">
        <v>-0.00346056686952656</v>
      </c>
      <c r="L135" s="1">
        <v>0.0009354310406659572</v>
      </c>
      <c r="M135" s="1">
        <v>-0.0002313936487408075</v>
      </c>
      <c r="N135" s="1">
        <v>0.007110086388694592</v>
      </c>
      <c r="O135" s="1">
        <v>-0.006570956837501973</v>
      </c>
      <c r="P135" s="1">
        <v>-0.0007443778118783051</v>
      </c>
      <c r="Q135" s="1">
        <v>0.00346009036793915</v>
      </c>
      <c r="R135" s="1">
        <v>-0.004808287697902647</v>
      </c>
      <c r="S135" s="1">
        <v>-0.00964310150629355</v>
      </c>
      <c r="T135" s="1">
        <v>-0.001143060900123283</v>
      </c>
      <c r="U135" s="1">
        <v>0.002806320697694487</v>
      </c>
      <c r="V135" s="1">
        <v>-0.006123569547702212</v>
      </c>
      <c r="W135" s="1">
        <v>-0.004374215430084982</v>
      </c>
      <c r="X135" s="1">
        <v>0.004667335061775413</v>
      </c>
      <c r="Y135" s="1">
        <v>0</v>
      </c>
      <c r="Z135" s="1">
        <v>-0.0003841766694688831</v>
      </c>
    </row>
    <row r="136" spans="1:26">
      <c r="A136" s="11">
        <v>42569</v>
      </c>
      <c r="B136" s="1">
        <v>-0.01383022022653591</v>
      </c>
      <c r="C136" s="1">
        <v>0.007855613334321054</v>
      </c>
      <c r="D136" s="1">
        <v>-0.004704265306103017</v>
      </c>
      <c r="E136" s="1">
        <v>-0.000526304066105876</v>
      </c>
      <c r="F136" s="1">
        <v>-0.0002989904355430451</v>
      </c>
      <c r="G136" s="1">
        <v>-0.004571821970100087</v>
      </c>
      <c r="H136" s="1">
        <v>-0.0007509684857632815</v>
      </c>
      <c r="I136" s="1">
        <v>0.004915235174382193</v>
      </c>
      <c r="J136" s="1">
        <v>0.006498220583636138</v>
      </c>
      <c r="K136" s="1">
        <v>-0.000926386708120841</v>
      </c>
      <c r="L136" s="1">
        <v>-0.00342763596623008</v>
      </c>
      <c r="M136" s="1">
        <v>0.0004632957038503971</v>
      </c>
      <c r="N136" s="1">
        <v>-0.003457754354949216</v>
      </c>
      <c r="O136" s="1">
        <v>-0.0009021453380037014</v>
      </c>
      <c r="P136" s="1">
        <v>0.004841818604068848</v>
      </c>
      <c r="Q136" s="1">
        <v>0.001149285376617515</v>
      </c>
      <c r="R136" s="1">
        <v>0.01356635953187446</v>
      </c>
      <c r="S136" s="1">
        <v>-0.001470406749105702</v>
      </c>
      <c r="T136" s="1">
        <v>0.00441296107427136</v>
      </c>
      <c r="U136" s="1">
        <v>-0.0009328618598003491</v>
      </c>
      <c r="V136" s="1">
        <v>0.01259623386637476</v>
      </c>
      <c r="W136" s="1">
        <v>6.383680830368554E-05</v>
      </c>
      <c r="X136" s="1">
        <v>0.006192905549682104</v>
      </c>
      <c r="Y136" s="1">
        <v>0.001612270855419595</v>
      </c>
      <c r="Z136" s="1">
        <v>-0.005766925751898189</v>
      </c>
    </row>
    <row r="137" spans="1:26">
      <c r="A137" s="11">
        <v>42570</v>
      </c>
      <c r="B137" s="1">
        <v>-0.02165819948197556</v>
      </c>
      <c r="C137" s="1">
        <v>0.009218539567227735</v>
      </c>
      <c r="D137" s="1">
        <v>-0.007518469134955352</v>
      </c>
      <c r="E137" s="1">
        <v>-0.006450691227122829</v>
      </c>
      <c r="F137" s="1">
        <v>0.003440010677474792</v>
      </c>
      <c r="G137" s="1">
        <v>-0.001252127628012079</v>
      </c>
      <c r="H137" s="1">
        <v>0.0009012532549326213</v>
      </c>
      <c r="I137" s="1">
        <v>-0.006680652357955563</v>
      </c>
      <c r="J137" s="1">
        <v>0.007891369107617452</v>
      </c>
      <c r="K137" s="1">
        <v>0.001390274003600256</v>
      </c>
      <c r="L137" s="1">
        <v>-0.001563262205704463</v>
      </c>
      <c r="M137" s="1">
        <v>-0.01065287223632905</v>
      </c>
      <c r="N137" s="1">
        <v>0.0007228603648883336</v>
      </c>
      <c r="O137" s="1">
        <v>-0.001655064138831874</v>
      </c>
      <c r="P137" s="1">
        <v>-0.0161229658233244</v>
      </c>
      <c r="Q137" s="1">
        <v>-0.003061478387984207</v>
      </c>
      <c r="R137" s="1">
        <v>-0.01631841515600418</v>
      </c>
      <c r="S137" s="1">
        <v>0.003542125289832665</v>
      </c>
      <c r="T137" s="1">
        <v>0.005696132592162728</v>
      </c>
      <c r="U137" s="1">
        <v>-0.001867347418371135</v>
      </c>
      <c r="V137" s="1">
        <v>-0.0001357480006123346</v>
      </c>
      <c r="W137" s="1">
        <v>-0.00261083883815616</v>
      </c>
      <c r="X137" s="1">
        <v>-0.007181497007164084</v>
      </c>
      <c r="Y137" s="1">
        <v>-0.004112499271382353</v>
      </c>
      <c r="Z137" s="1">
        <v>0.0007732057983032004</v>
      </c>
    </row>
    <row r="138" spans="1:26">
      <c r="A138" s="11">
        <v>42571</v>
      </c>
      <c r="B138" s="1">
        <v>-0.0047393517938501</v>
      </c>
      <c r="C138" s="1">
        <v>0.0004452365555913662</v>
      </c>
      <c r="D138" s="1">
        <v>0.01082229742628482</v>
      </c>
      <c r="E138" s="1">
        <v>0.003312716148294204</v>
      </c>
      <c r="F138" s="1">
        <v>0.000447121172435061</v>
      </c>
      <c r="G138" s="1">
        <v>0.008360990041384575</v>
      </c>
      <c r="H138" s="1">
        <v>-0.03076712592177333</v>
      </c>
      <c r="I138" s="1">
        <v>-0.005405124351201218</v>
      </c>
      <c r="J138" s="1">
        <v>0.007828717522943451</v>
      </c>
      <c r="K138" s="1">
        <v>0.005231937845134205</v>
      </c>
      <c r="L138" s="1">
        <v>0.001096012411944347</v>
      </c>
      <c r="M138" s="1">
        <v>-0.01615177223016184</v>
      </c>
      <c r="N138" s="1">
        <v>-0.003033909052903461</v>
      </c>
      <c r="O138" s="1">
        <v>0.001205919809089462</v>
      </c>
      <c r="P138" s="1">
        <v>0.05311747902983144</v>
      </c>
      <c r="Q138" s="1">
        <v>-0.006910163318701645</v>
      </c>
      <c r="R138" s="1">
        <v>0.02460391853057842</v>
      </c>
      <c r="S138" s="1">
        <v>-0.0008724089973157767</v>
      </c>
      <c r="T138" s="1">
        <v>0.01003182569721162</v>
      </c>
      <c r="U138" s="1">
        <v>-0.001402567297135948</v>
      </c>
      <c r="V138" s="1">
        <v>0.00716733030056127</v>
      </c>
      <c r="W138" s="1">
        <v>0.006703229493447482</v>
      </c>
      <c r="X138" s="1">
        <v>0.0144668879266765</v>
      </c>
      <c r="Y138" s="1">
        <v>-0.001436509775057826</v>
      </c>
      <c r="Z138" s="1">
        <v>0.003477674891548377</v>
      </c>
    </row>
    <row r="139" spans="1:26">
      <c r="A139" s="11">
        <v>42572</v>
      </c>
      <c r="B139" s="1">
        <v>-0.0219779823702535</v>
      </c>
      <c r="C139" s="1">
        <v>-0.008832997708216661</v>
      </c>
      <c r="D139" s="1">
        <v>-0.01284805901609021</v>
      </c>
      <c r="E139" s="1">
        <v>-0.002905734007571215</v>
      </c>
      <c r="F139" s="1">
        <v>-0.001489764037959862</v>
      </c>
      <c r="G139" s="1">
        <v>0.004974736252454814</v>
      </c>
      <c r="H139" s="1">
        <v>-0.01920094436624709</v>
      </c>
      <c r="I139" s="1">
        <v>-0.007124735526570669</v>
      </c>
      <c r="J139" s="1">
        <v>-0.01129939513734046</v>
      </c>
      <c r="K139" s="1">
        <v>0.03169093860498595</v>
      </c>
      <c r="L139" s="1">
        <v>-0.003754163845501646</v>
      </c>
      <c r="M139" s="1">
        <v>-0.1120626945489966</v>
      </c>
      <c r="N139" s="1">
        <v>-0.004057337185536913</v>
      </c>
      <c r="O139" s="1">
        <v>-0.00707547217912996</v>
      </c>
      <c r="P139" s="1">
        <v>-0.00196770398557089</v>
      </c>
      <c r="Q139" s="1">
        <v>0.002319619305817477</v>
      </c>
      <c r="R139" s="1">
        <v>-0.004729937600399525</v>
      </c>
      <c r="S139" s="1">
        <v>-0.00107181802083367</v>
      </c>
      <c r="T139" s="1">
        <v>-0.06879160504746662</v>
      </c>
      <c r="U139" s="1">
        <v>-0.004448790096569177</v>
      </c>
      <c r="V139" s="1">
        <v>-0.001879327688171117</v>
      </c>
      <c r="W139" s="1">
        <v>-0.009448363824783756</v>
      </c>
      <c r="X139" s="1">
        <v>-0.001528046086405666</v>
      </c>
      <c r="Y139" s="1">
        <v>-0.004494625924350126</v>
      </c>
      <c r="Z139" s="1">
        <v>0.001155141998818277</v>
      </c>
    </row>
    <row r="140" spans="1:26">
      <c r="A140" s="11">
        <v>42573</v>
      </c>
      <c r="B140" s="1">
        <v>0.004681623958003867</v>
      </c>
      <c r="C140" s="1">
        <v>-0.0004491923053996372</v>
      </c>
      <c r="D140" s="1">
        <v>0.004772637099973887</v>
      </c>
      <c r="E140" s="1">
        <v>0.0023846279388966</v>
      </c>
      <c r="F140" s="1">
        <v>0.006564915014191097</v>
      </c>
      <c r="G140" s="1">
        <v>0.01856438102498803</v>
      </c>
      <c r="H140" s="1">
        <v>0.0006319884198775494</v>
      </c>
      <c r="I140" s="1">
        <v>-0.02554113437650152</v>
      </c>
      <c r="J140" s="1">
        <v>0.007857066549110447</v>
      </c>
      <c r="K140" s="1">
        <v>0.02600868868381534</v>
      </c>
      <c r="L140" s="1">
        <v>0.005495313544762404</v>
      </c>
      <c r="M140" s="1">
        <v>0.01366530451801662</v>
      </c>
      <c r="N140" s="1">
        <v>0.00189140206323013</v>
      </c>
      <c r="O140" s="1">
        <v>0.007883833649507732</v>
      </c>
      <c r="P140" s="1">
        <v>0.0137992250940977</v>
      </c>
      <c r="Q140" s="1">
        <v>0.0127265494833233</v>
      </c>
      <c r="R140" s="1">
        <v>0.0053008821682059</v>
      </c>
      <c r="S140" s="1">
        <v>0.008305486168865617</v>
      </c>
      <c r="T140" s="1">
        <v>0.01015041780897841</v>
      </c>
      <c r="U140" s="1">
        <v>0.01387584457927815</v>
      </c>
      <c r="V140" s="1">
        <v>0.007801503178484603</v>
      </c>
      <c r="W140" s="1">
        <v>0.004417259007844399</v>
      </c>
      <c r="X140" s="1">
        <v>0.01555752908578945</v>
      </c>
      <c r="Y140" s="1">
        <v>0.01318404901750014</v>
      </c>
      <c r="Z140" s="1">
        <v>0.01192325126777138</v>
      </c>
    </row>
    <row r="141" spans="1:26">
      <c r="A141" s="11">
        <v>42576</v>
      </c>
      <c r="B141" s="1">
        <v>-0.03131399739929608</v>
      </c>
      <c r="C141" s="1">
        <v>-0.003971005744653144</v>
      </c>
      <c r="D141" s="1">
        <v>-0.004749967230147645</v>
      </c>
      <c r="E141" s="1">
        <v>-0.001586089501102728</v>
      </c>
      <c r="F141" s="1">
        <v>0.0001482490681403714</v>
      </c>
      <c r="G141" s="1">
        <v>-0.007290154635186341</v>
      </c>
      <c r="H141" s="1">
        <v>0.005679600222638248</v>
      </c>
      <c r="I141" s="1">
        <v>-0.02745901835677711</v>
      </c>
      <c r="J141" s="1">
        <v>0.003543621600809566</v>
      </c>
      <c r="K141" s="1">
        <v>-0.01289313769843392</v>
      </c>
      <c r="L141" s="1">
        <v>-0.002654551347820444</v>
      </c>
      <c r="M141" s="1">
        <v>-0.01242359583561969</v>
      </c>
      <c r="N141" s="1">
        <v>-0.0008712041008678284</v>
      </c>
      <c r="O141" s="1">
        <v>-0.003610277031104392</v>
      </c>
      <c r="P141" s="1">
        <v>0.002828480456090299</v>
      </c>
      <c r="Q141" s="1">
        <v>-0.007996885048231483</v>
      </c>
      <c r="R141" s="1">
        <v>0.0165455997172288</v>
      </c>
      <c r="S141" s="1">
        <v>-0.007014911426832193</v>
      </c>
      <c r="T141" s="1">
        <v>0.005483768941717315</v>
      </c>
      <c r="U141" s="1">
        <v>-0.00394340262304349</v>
      </c>
      <c r="V141" s="1">
        <v>0.01841953260788531</v>
      </c>
      <c r="W141" s="1">
        <v>0.0005732776307247889</v>
      </c>
      <c r="X141" s="1">
        <v>-0.01682575201333292</v>
      </c>
      <c r="Y141" s="1">
        <v>-0.004100038326495858</v>
      </c>
      <c r="Z141" s="1">
        <v>-0.000380524149215189</v>
      </c>
    </row>
    <row r="142" spans="1:26">
      <c r="A142" s="11">
        <v>42577</v>
      </c>
      <c r="B142" s="1">
        <v>0.01500861144405197</v>
      </c>
      <c r="C142" s="1">
        <v>0.0143673819938992</v>
      </c>
      <c r="D142" s="1">
        <v>0.04143143307818109</v>
      </c>
      <c r="E142" s="1">
        <v>-0.006617182312991354</v>
      </c>
      <c r="F142" s="1">
        <v>-0.004297881362133382</v>
      </c>
      <c r="G142" s="1">
        <v>-0.007752139413526926</v>
      </c>
      <c r="H142" s="1">
        <v>-0.01772772909976317</v>
      </c>
      <c r="I142" s="1">
        <v>0.01373208128063297</v>
      </c>
      <c r="J142" s="1">
        <v>0.001412424392167599</v>
      </c>
      <c r="K142" s="1">
        <v>0.009076808459885344</v>
      </c>
      <c r="L142" s="1">
        <v>0.004070566321763058</v>
      </c>
      <c r="M142" s="1">
        <v>0.02462489366288767</v>
      </c>
      <c r="N142" s="1">
        <v>-0.01264536766190438</v>
      </c>
      <c r="O142" s="1">
        <v>0.006038794240152301</v>
      </c>
      <c r="P142" s="1">
        <v>0.0005287442487917904</v>
      </c>
      <c r="Q142" s="1">
        <v>-0.0107485351861728</v>
      </c>
      <c r="R142" s="1">
        <v>0.04382021924683666</v>
      </c>
      <c r="S142" s="1">
        <v>-0.006072394763855682</v>
      </c>
      <c r="T142" s="1">
        <v>-0.007757564438981124</v>
      </c>
      <c r="U142" s="1">
        <v>-0.01304161625994749</v>
      </c>
      <c r="V142" s="1">
        <v>-0.001048188574880649</v>
      </c>
      <c r="W142" s="1">
        <v>0.01216736241687655</v>
      </c>
      <c r="X142" s="1">
        <v>0.01047236838933774</v>
      </c>
      <c r="Y142" s="1">
        <v>-0.01897201475803845</v>
      </c>
      <c r="Z142" s="1">
        <v>0.01102688035637289</v>
      </c>
    </row>
    <row r="143" spans="1:26">
      <c r="A143" s="11">
        <v>42578</v>
      </c>
      <c r="B143" s="1">
        <v>-0.01876763520036595</v>
      </c>
      <c r="C143" s="1">
        <v>0.008231316861895488</v>
      </c>
      <c r="D143" s="1">
        <v>0.006457260096786488</v>
      </c>
      <c r="E143" s="1">
        <v>0.01878520300939712</v>
      </c>
      <c r="F143" s="1">
        <v>0.01101536504539036</v>
      </c>
      <c r="G143" s="1">
        <v>-0.01727001822942764</v>
      </c>
      <c r="H143" s="1">
        <v>-0.01868763599638756</v>
      </c>
      <c r="I143" s="1">
        <v>-0.006836144191384896</v>
      </c>
      <c r="J143" s="1">
        <v>-0.01339896358049131</v>
      </c>
      <c r="K143" s="1">
        <v>0.003510610086559174</v>
      </c>
      <c r="L143" s="1">
        <v>0.003118933264018464</v>
      </c>
      <c r="M143" s="1">
        <v>-0.02089859738307731</v>
      </c>
      <c r="N143" s="1">
        <v>-0.01737072982623067</v>
      </c>
      <c r="O143" s="1">
        <v>-0.002550910974284504</v>
      </c>
      <c r="P143" s="1">
        <v>-0.01004227870925722</v>
      </c>
      <c r="Q143" s="1">
        <v>-0.005662840004624026</v>
      </c>
      <c r="R143" s="1">
        <v>0.01233652447280598</v>
      </c>
      <c r="S143" s="1">
        <v>-0.008984863635949969</v>
      </c>
      <c r="T143" s="1">
        <v>-0.002048662144365943</v>
      </c>
      <c r="U143" s="1">
        <v>0.008966686315726058</v>
      </c>
      <c r="V143" s="1">
        <v>-0.0127263852040933</v>
      </c>
      <c r="W143" s="1">
        <v>6.250017306208555E-05</v>
      </c>
      <c r="X143" s="1">
        <v>-0.007330536158063894</v>
      </c>
      <c r="Y143" s="1">
        <v>0.009304467844349018</v>
      </c>
      <c r="Z143" s="1">
        <v>0.05227531298111665</v>
      </c>
    </row>
    <row r="144" spans="1:26">
      <c r="A144" s="11">
        <v>42579</v>
      </c>
      <c r="B144" s="1">
        <v>0.001545636336226952</v>
      </c>
      <c r="C144" s="1">
        <v>-0.02169746768584924</v>
      </c>
      <c r="D144" s="1">
        <v>-0.002069274582295111</v>
      </c>
      <c r="E144" s="1">
        <v>-0.02366973022559871</v>
      </c>
      <c r="F144" s="1">
        <v>-0.0008837806656653013</v>
      </c>
      <c r="G144" s="1">
        <v>-0.005438744314270272</v>
      </c>
      <c r="H144" s="1">
        <v>0.002441525947542322</v>
      </c>
      <c r="I144" s="1">
        <v>-0.003569032295942076</v>
      </c>
      <c r="J144" s="1">
        <v>-0.003574112988094291</v>
      </c>
      <c r="K144" s="1">
        <v>-0.007214807772218168</v>
      </c>
      <c r="L144" s="1">
        <v>-0.003575347354932368</v>
      </c>
      <c r="M144" s="1">
        <v>-0.0002667535127071075</v>
      </c>
      <c r="N144" s="1">
        <v>0.005392802961651233</v>
      </c>
      <c r="O144" s="1">
        <v>0.001203334849816606</v>
      </c>
      <c r="P144" s="1">
        <v>0.0003559606992307174</v>
      </c>
      <c r="Q144" s="1">
        <v>0.0113902837566815</v>
      </c>
      <c r="R144" s="1">
        <v>-0.009308848011116311</v>
      </c>
      <c r="S144" s="1">
        <v>-0.03852034976795538</v>
      </c>
      <c r="T144" s="1">
        <v>0.01912456404845941</v>
      </c>
      <c r="U144" s="1">
        <v>-0.004209397131189285</v>
      </c>
      <c r="V144" s="1">
        <v>-0.006112871890116334</v>
      </c>
      <c r="W144" s="1">
        <v>-0.0005030356177301298</v>
      </c>
      <c r="X144" s="1">
        <v>-0.00178281891609966</v>
      </c>
      <c r="Y144" s="1">
        <v>-0.008315341698552858</v>
      </c>
      <c r="Z144" s="1">
        <v>0.005718339027739106</v>
      </c>
    </row>
    <row r="145" spans="1:26">
      <c r="A145" s="11">
        <v>42580</v>
      </c>
      <c r="B145" s="1">
        <v>0.01273122785212699</v>
      </c>
      <c r="C145" s="1">
        <v>0.00488663589313898</v>
      </c>
      <c r="D145" s="1">
        <v>-0.004147685813909785</v>
      </c>
      <c r="E145" s="1">
        <v>0.002009281298218868</v>
      </c>
      <c r="F145" s="1">
        <v>-0.008988953240822606</v>
      </c>
      <c r="G145" s="1">
        <v>0.006310702829768866</v>
      </c>
      <c r="H145" s="1">
        <v>0.01104071257813355</v>
      </c>
      <c r="I145" s="1">
        <v>-0.005884738104832477</v>
      </c>
      <c r="J145" s="1">
        <v>0.005021260494558533</v>
      </c>
      <c r="K145" s="1">
        <v>0.003523189740579413</v>
      </c>
      <c r="L145" s="1">
        <v>-0.002028096300674687</v>
      </c>
      <c r="M145" s="1">
        <v>-0.01227694022225612</v>
      </c>
      <c r="N145" s="1">
        <v>0.008791720657826296</v>
      </c>
      <c r="O145" s="1">
        <v>-0.01202085372701844</v>
      </c>
      <c r="P145" s="1">
        <v>0.008361369266598029</v>
      </c>
      <c r="Q145" s="1">
        <v>-0.003495354680756457</v>
      </c>
      <c r="R145" s="1">
        <v>0.00751734957335537</v>
      </c>
      <c r="S145" s="1">
        <v>0.001257350906148424</v>
      </c>
      <c r="T145" s="1">
        <v>0.006176849789721883</v>
      </c>
      <c r="U145" s="1">
        <v>0.0166744166956474</v>
      </c>
      <c r="V145" s="1">
        <v>0.007220097579841989</v>
      </c>
      <c r="W145" s="1">
        <v>0.0001258469315461586</v>
      </c>
      <c r="X145" s="1">
        <v>-0.005101696017212221</v>
      </c>
      <c r="Y145" s="1">
        <v>0.01002566169248076</v>
      </c>
      <c r="Z145" s="1">
        <v>-0.009239613927374268</v>
      </c>
    </row>
    <row r="146" spans="1:26">
      <c r="A146" s="11">
        <v>42583</v>
      </c>
      <c r="B146" s="1">
        <v>-0.05009486463960156</v>
      </c>
      <c r="C146" s="1">
        <v>-0.003366541696131709</v>
      </c>
      <c r="D146" s="1">
        <v>0.009995924410495682</v>
      </c>
      <c r="E146" s="1">
        <v>0.01844668094789936</v>
      </c>
      <c r="F146" s="1">
        <v>0.00431194021999004</v>
      </c>
      <c r="G146" s="1">
        <v>-0.01045184267115118</v>
      </c>
      <c r="H146" s="1">
        <v>-0.003533313639986657</v>
      </c>
      <c r="I146" s="1">
        <v>-0.0002570631193334894</v>
      </c>
      <c r="J146" s="1">
        <v>0.01213439058411092</v>
      </c>
      <c r="K146" s="1">
        <v>0.004169281385591805</v>
      </c>
      <c r="L146" s="1">
        <v>-0.002657688633733724</v>
      </c>
      <c r="M146" s="1">
        <v>0.0008112425535677925</v>
      </c>
      <c r="N146" s="1">
        <v>-0.0007382167679663709</v>
      </c>
      <c r="O146" s="1">
        <v>0.00288972277728794</v>
      </c>
      <c r="P146" s="1">
        <v>-0.001764112172854437</v>
      </c>
      <c r="Q146" s="1">
        <v>0.005845548256169675</v>
      </c>
      <c r="R146" s="1">
        <v>-0.007291808998723281</v>
      </c>
      <c r="S146" s="1">
        <v>0.0002092632114021331</v>
      </c>
      <c r="T146" s="1">
        <v>-0.007907390941095938</v>
      </c>
      <c r="U146" s="1">
        <v>-0.002540700305643351</v>
      </c>
      <c r="V146" s="1">
        <v>0.002389722806764194</v>
      </c>
      <c r="W146" s="1">
        <v>0.004532491478455025</v>
      </c>
      <c r="X146" s="1">
        <v>-0.008461543801125071</v>
      </c>
      <c r="Y146" s="1">
        <v>-0.01642321070865849</v>
      </c>
      <c r="Z146" s="1">
        <v>-0.01900992448731786</v>
      </c>
    </row>
    <row r="147" spans="1:26">
      <c r="A147" s="11">
        <v>42584</v>
      </c>
      <c r="B147" s="1">
        <v>0.001403551072014286</v>
      </c>
      <c r="C147" s="1">
        <v>-0.01208627635286008</v>
      </c>
      <c r="D147" s="1">
        <v>-0.0004125395844838398</v>
      </c>
      <c r="E147" s="1">
        <v>-0.01496254379054007</v>
      </c>
      <c r="F147" s="1">
        <v>-0.009475451661241308</v>
      </c>
      <c r="G147" s="1">
        <v>-0.008449523171646489</v>
      </c>
      <c r="H147" s="1">
        <v>-0.01192559775601187</v>
      </c>
      <c r="I147" s="1">
        <v>0.0001283348240623816</v>
      </c>
      <c r="J147" s="1">
        <v>-0.008462593579412814</v>
      </c>
      <c r="K147" s="1">
        <v>-0.01638938132892076</v>
      </c>
      <c r="L147" s="1">
        <v>-0.002351163116567911</v>
      </c>
      <c r="M147" s="1">
        <v>-0.04049692576238706</v>
      </c>
      <c r="N147" s="1">
        <v>-0.004582748890526012</v>
      </c>
      <c r="O147" s="1">
        <v>0.002274379256028469</v>
      </c>
      <c r="P147" s="1">
        <v>0</v>
      </c>
      <c r="Q147" s="1">
        <v>0.005037132958348511</v>
      </c>
      <c r="R147" s="1">
        <v>-0.01229929963750631</v>
      </c>
      <c r="S147" s="1">
        <v>-0.01933314678255293</v>
      </c>
      <c r="T147" s="1">
        <v>0.0146960203655897</v>
      </c>
      <c r="U147" s="1">
        <v>-0.0004632396488025714</v>
      </c>
      <c r="V147" s="1">
        <v>-0.02145423708188721</v>
      </c>
      <c r="W147" s="1">
        <v>-0.01955319393453636</v>
      </c>
      <c r="X147" s="1">
        <v>-0.01189568837926913</v>
      </c>
      <c r="Y147" s="1">
        <v>-0.009174284431767821</v>
      </c>
      <c r="Z147" s="1">
        <v>-0.01133443778145926</v>
      </c>
    </row>
    <row r="148" spans="1:26">
      <c r="A148" s="11">
        <v>42585</v>
      </c>
      <c r="B148" s="1">
        <v>0.03584240195636568</v>
      </c>
      <c r="C148" s="1">
        <v>0.002051645325142015</v>
      </c>
      <c r="D148" s="1">
        <v>-0.007425832544338262</v>
      </c>
      <c r="E148" s="1">
        <v>-0.003330748751538604</v>
      </c>
      <c r="F148" s="1">
        <v>-0.0008970187013205289</v>
      </c>
      <c r="G148" s="1">
        <v>0.001278296179206384</v>
      </c>
      <c r="H148" s="1">
        <v>-0.00717674735977003</v>
      </c>
      <c r="I148" s="1">
        <v>0.00785051014875271</v>
      </c>
      <c r="J148" s="1">
        <v>0.01778101975429691</v>
      </c>
      <c r="K148" s="1">
        <v>0.003796269193504065</v>
      </c>
      <c r="L148" s="1">
        <v>0.01586831327297689</v>
      </c>
      <c r="M148" s="1">
        <v>0.009566584845013493</v>
      </c>
      <c r="N148" s="1">
        <v>-0.01440420262616349</v>
      </c>
      <c r="O148" s="1">
        <v>0.001210459259066932</v>
      </c>
      <c r="P148" s="1">
        <v>0.006892738527694675</v>
      </c>
      <c r="Q148" s="1">
        <v>-0.02313050525076765</v>
      </c>
      <c r="R148" s="1">
        <v>-0.001210467158693107</v>
      </c>
      <c r="S148" s="1">
        <v>-0.003840290965125392</v>
      </c>
      <c r="T148" s="1">
        <v>-0.0007288348453071691</v>
      </c>
      <c r="U148" s="1">
        <v>-0.000463806954753565</v>
      </c>
      <c r="V148" s="1">
        <v>0.002842027411246173</v>
      </c>
      <c r="W148" s="1">
        <v>-0.002812661082927215</v>
      </c>
      <c r="X148" s="1">
        <v>0.01334749519638345</v>
      </c>
      <c r="Y148" s="1">
        <v>-0.00185171316436783</v>
      </c>
      <c r="Z148" s="1">
        <v>0.01590229599133752</v>
      </c>
    </row>
    <row r="149" spans="1:26">
      <c r="A149" s="11">
        <v>42586</v>
      </c>
      <c r="B149" s="1">
        <v>-0.02996286170228246</v>
      </c>
      <c r="C149" s="1">
        <v>-0.005004773228682646</v>
      </c>
      <c r="D149" s="1">
        <v>-0.0008310387214537363</v>
      </c>
      <c r="E149" s="1">
        <v>0.006951205553130446</v>
      </c>
      <c r="F149" s="1">
        <v>0.005086906051658069</v>
      </c>
      <c r="G149" s="1">
        <v>0.004255099461662137</v>
      </c>
      <c r="H149" s="1">
        <v>0.004106869972089422</v>
      </c>
      <c r="I149" s="1">
        <v>-0.007278488587467602</v>
      </c>
      <c r="J149" s="1">
        <v>-0.01118104608517045</v>
      </c>
      <c r="K149" s="1">
        <v>-0.007341844001129805</v>
      </c>
      <c r="L149" s="1">
        <v>-0.001546645383860512</v>
      </c>
      <c r="M149" s="1">
        <v>0.01505029799380053</v>
      </c>
      <c r="N149" s="1">
        <v>0.003766549649815154</v>
      </c>
      <c r="O149" s="1">
        <v>0.001964942397293834</v>
      </c>
      <c r="P149" s="1">
        <v>0.007372450170023415</v>
      </c>
      <c r="Q149" s="1">
        <v>0.001184245949032547</v>
      </c>
      <c r="R149" s="1">
        <v>-0.006926756711574833</v>
      </c>
      <c r="S149" s="1">
        <v>-0.01242224878377685</v>
      </c>
      <c r="T149" s="1">
        <v>-0.004908876324426936</v>
      </c>
      <c r="U149" s="1">
        <v>-0.001390655397803142</v>
      </c>
      <c r="V149" s="1">
        <v>0.0005395842343043356</v>
      </c>
      <c r="W149" s="1">
        <v>0.002692271160224857</v>
      </c>
      <c r="X149" s="1">
        <v>-0.003874078224678001</v>
      </c>
      <c r="Y149" s="1">
        <v>0.0005564232981907224</v>
      </c>
      <c r="Z149" s="1">
        <v>0.009464783863599724</v>
      </c>
    </row>
    <row r="150" spans="1:26">
      <c r="A150" s="11">
        <v>42587</v>
      </c>
      <c r="B150" s="1">
        <v>-0.01076137618941586</v>
      </c>
      <c r="C150" s="1">
        <v>0.003963065761505291</v>
      </c>
      <c r="D150" s="1">
        <v>-0.0004161433173460738</v>
      </c>
      <c r="E150" s="1">
        <v>-0.1598510796487742</v>
      </c>
      <c r="F150" s="1">
        <v>0.00312565482967786</v>
      </c>
      <c r="G150" s="1">
        <v>-0.03940678339388703</v>
      </c>
      <c r="H150" s="1">
        <v>0.003272767449956637</v>
      </c>
      <c r="I150" s="1">
        <v>0.007718103004640708</v>
      </c>
      <c r="J150" s="1">
        <v>0.009187389479393016</v>
      </c>
      <c r="K150" s="1">
        <v>0.01568837222065289</v>
      </c>
      <c r="L150" s="1">
        <v>0.02695184147863272</v>
      </c>
      <c r="M150" s="1">
        <v>0.03926382279092921</v>
      </c>
      <c r="N150" s="1">
        <v>-0.001350745549440036</v>
      </c>
      <c r="O150" s="1">
        <v>0.004977583029707411</v>
      </c>
      <c r="P150" s="1">
        <v>0.009932038673337029</v>
      </c>
      <c r="Q150" s="1">
        <v>-0.02049682804039576</v>
      </c>
      <c r="R150" s="1">
        <v>0.0106365935103212</v>
      </c>
      <c r="S150" s="1">
        <v>0.009585588967676584</v>
      </c>
      <c r="T150" s="1">
        <v>0.001166506575179138</v>
      </c>
      <c r="U150" s="1">
        <v>0.001857260378437475</v>
      </c>
      <c r="V150" s="1">
        <v>0.01079048611663014</v>
      </c>
      <c r="W150" s="1">
        <v>0.006968211646708689</v>
      </c>
      <c r="X150" s="1">
        <v>0.01140783803059886</v>
      </c>
      <c r="Y150" s="1">
        <v>-0.005377301844079918</v>
      </c>
      <c r="Z150" s="1">
        <v>0.04183220776585861</v>
      </c>
    </row>
    <row r="151" spans="1:26">
      <c r="A151" s="11">
        <v>42590</v>
      </c>
      <c r="B151" s="1">
        <v>0.02074952037621802</v>
      </c>
      <c r="C151" s="1">
        <v>0.003491837822742427</v>
      </c>
      <c r="D151" s="1">
        <v>-0.001664523665160123</v>
      </c>
      <c r="E151" s="1">
        <v>-0.04709200605516783</v>
      </c>
      <c r="F151" s="1">
        <v>-0.004748349094431892</v>
      </c>
      <c r="G151" s="1">
        <v>0.001764193181997609</v>
      </c>
      <c r="H151" s="1">
        <v>0.0004891192618416973</v>
      </c>
      <c r="I151" s="1">
        <v>0.007403538540033727</v>
      </c>
      <c r="J151" s="1">
        <v>-0.001400460443236939</v>
      </c>
      <c r="K151" s="1">
        <v>-0.00330980355405075</v>
      </c>
      <c r="L151" s="1">
        <v>-0.003016625110811244</v>
      </c>
      <c r="M151" s="1">
        <v>-0.01056755340689919</v>
      </c>
      <c r="N151" s="1">
        <v>-0.0006017191548108869</v>
      </c>
      <c r="O151" s="1">
        <v>0.006603431425609818</v>
      </c>
      <c r="P151" s="1">
        <v>0.00172530205091892</v>
      </c>
      <c r="Q151" s="1">
        <v>-0.001609461247749744</v>
      </c>
      <c r="R151" s="1">
        <v>0.002760393973473274</v>
      </c>
      <c r="S151" s="1">
        <v>-0.0097093792457148</v>
      </c>
      <c r="T151" s="1">
        <v>-0.009354921437532027</v>
      </c>
      <c r="U151" s="1">
        <v>-0.005329078439323731</v>
      </c>
      <c r="V151" s="1">
        <v>0.0008007890959125241</v>
      </c>
      <c r="W151" s="1">
        <v>-0.00628512456673358</v>
      </c>
      <c r="X151" s="1">
        <v>0.002563320896428634</v>
      </c>
      <c r="Y151" s="1">
        <v>-0.0009320094706388726</v>
      </c>
      <c r="Z151" s="1">
        <v>-0.005192382338177537</v>
      </c>
    </row>
    <row r="152" spans="1:26">
      <c r="A152" s="11">
        <v>42591</v>
      </c>
      <c r="B152" s="1">
        <v>-0.008683629097289258</v>
      </c>
      <c r="C152" s="1">
        <v>0.003252940935381643</v>
      </c>
      <c r="D152" s="1">
        <v>0.003543056702296266</v>
      </c>
      <c r="E152" s="1">
        <v>0.02172430715608042</v>
      </c>
      <c r="F152" s="1">
        <v>-0.0025344947307262</v>
      </c>
      <c r="G152" s="1">
        <v>-0.0004398949490070914</v>
      </c>
      <c r="H152" s="1">
        <v>-0.0001633428588693198</v>
      </c>
      <c r="I152" s="1">
        <v>-0.0003800220593757064</v>
      </c>
      <c r="J152" s="1">
        <v>-0.0007011174960176447</v>
      </c>
      <c r="K152" s="1">
        <v>-0.009740922898625826</v>
      </c>
      <c r="L152" s="1">
        <v>-0.003479533013045155</v>
      </c>
      <c r="M152" s="1">
        <v>0.0002667358846479839</v>
      </c>
      <c r="N152" s="1">
        <v>0.001955468328326937</v>
      </c>
      <c r="O152" s="1">
        <v>-0.001341717169037415</v>
      </c>
      <c r="P152" s="1">
        <v>0.002411322277499739</v>
      </c>
      <c r="Q152" s="1">
        <v>0.003224534273859492</v>
      </c>
      <c r="R152" s="1">
        <v>-0.003096796964265791</v>
      </c>
      <c r="S152" s="1">
        <v>0.005813558672063124</v>
      </c>
      <c r="T152" s="1">
        <v>-0.007662218042157831</v>
      </c>
      <c r="U152" s="1">
        <v>0.003493880244291647</v>
      </c>
      <c r="V152" s="1">
        <v>-0.03186673847698129</v>
      </c>
      <c r="W152" s="1">
        <v>0.001022171955785689</v>
      </c>
      <c r="X152" s="1">
        <v>0.001022963933426269</v>
      </c>
      <c r="Y152" s="1">
        <v>0.001306359657009759</v>
      </c>
      <c r="Z152" s="1">
        <v>0.002087615918462182</v>
      </c>
    </row>
    <row r="153" spans="1:26">
      <c r="A153" s="11">
        <v>42592</v>
      </c>
      <c r="B153" s="1">
        <v>-0.02886723694028426</v>
      </c>
      <c r="C153" s="1">
        <v>0.005702164417997313</v>
      </c>
      <c r="D153" s="1">
        <v>0.009345861932289701</v>
      </c>
      <c r="E153" s="1">
        <v>-0.01671778082137731</v>
      </c>
      <c r="F153" s="1">
        <v>0.004782968436544133</v>
      </c>
      <c r="G153" s="1">
        <v>-0.001762209123907343</v>
      </c>
      <c r="H153" s="1">
        <v>-0.0004887832980308149</v>
      </c>
      <c r="I153" s="1">
        <v>-0.009380156574301246</v>
      </c>
      <c r="J153" s="1">
        <v>-0.00421079418487158</v>
      </c>
      <c r="K153" s="1">
        <v>-0.001118085198455576</v>
      </c>
      <c r="L153" s="1">
        <v>-0.00895734039241658</v>
      </c>
      <c r="M153" s="1">
        <v>-0.01254665188355242</v>
      </c>
      <c r="N153" s="1">
        <v>0.003302397484220565</v>
      </c>
      <c r="O153" s="1">
        <v>0.002537759608263412</v>
      </c>
      <c r="P153" s="1">
        <v>-0.003092856171455383</v>
      </c>
      <c r="Q153" s="1">
        <v>0.004821044439898614</v>
      </c>
      <c r="R153" s="1">
        <v>0.0003467081700581076</v>
      </c>
      <c r="S153" s="1">
        <v>0.001854304267540963</v>
      </c>
      <c r="T153" s="1">
        <v>0.0039626394793566</v>
      </c>
      <c r="U153" s="1">
        <v>0.002785419540423328</v>
      </c>
      <c r="V153" s="1">
        <v>0.006059727751589916</v>
      </c>
      <c r="W153" s="1">
        <v>-0.004276362898247066</v>
      </c>
      <c r="X153" s="1">
        <v>-0.0007664636066602171</v>
      </c>
      <c r="Y153" s="1">
        <v>0.002795533404709616</v>
      </c>
      <c r="Z153" s="1">
        <v>-0.01701358236101214</v>
      </c>
    </row>
    <row r="154" spans="1:26">
      <c r="A154" s="11">
        <v>42593</v>
      </c>
      <c r="B154" s="1">
        <v>0.01660544722734381</v>
      </c>
      <c r="C154" s="1">
        <v>0.005443035713222244</v>
      </c>
      <c r="D154" s="1">
        <v>0.008847359368347796</v>
      </c>
      <c r="E154" s="1">
        <v>0.006437891631690285</v>
      </c>
      <c r="F154" s="1">
        <v>0.006843097587449609</v>
      </c>
      <c r="G154" s="1">
        <v>0.001765319986894776</v>
      </c>
      <c r="H154" s="1">
        <v>-0.003588462078714438</v>
      </c>
      <c r="I154" s="1">
        <v>-0.002047324783263416</v>
      </c>
      <c r="J154" s="1">
        <v>0.007751957174713997</v>
      </c>
      <c r="K154" s="1">
        <v>-0.004252092275007557</v>
      </c>
      <c r="L154" s="1">
        <v>0.002757111118440569</v>
      </c>
      <c r="M154" s="1">
        <v>0.006758583021168718</v>
      </c>
      <c r="N154" s="1">
        <v>-0.001496346880121346</v>
      </c>
      <c r="O154" s="1">
        <v>0.003276249711645196</v>
      </c>
      <c r="P154" s="1">
        <v>0.004826267627261238</v>
      </c>
      <c r="Q154" s="1">
        <v>0.0003997125591823636</v>
      </c>
      <c r="R154" s="1">
        <v>0.003118366672883344</v>
      </c>
      <c r="S154" s="1">
        <v>-0.006199569530497273</v>
      </c>
      <c r="T154" s="1">
        <v>0.0009444598560022222</v>
      </c>
      <c r="U154" s="1">
        <v>0.004397977766326999</v>
      </c>
      <c r="V154" s="1">
        <v>0.0131419192109774</v>
      </c>
      <c r="W154" s="1">
        <v>0.009294586200405464</v>
      </c>
      <c r="X154" s="1">
        <v>0.006901881960270861</v>
      </c>
      <c r="Y154" s="1">
        <v>0.0009287610695218884</v>
      </c>
      <c r="Z154" s="1">
        <v>-0.001059842414038559</v>
      </c>
    </row>
    <row r="155" spans="1:26">
      <c r="A155" s="11">
        <v>42594</v>
      </c>
      <c r="B155" s="1">
        <v>-0.01169629109322667</v>
      </c>
      <c r="C155" s="1">
        <v>0.0007520266594760461</v>
      </c>
      <c r="D155" s="1">
        <v>-0.008973946729542881</v>
      </c>
      <c r="E155" s="1">
        <v>-0.005576920441405009</v>
      </c>
      <c r="F155" s="1">
        <v>-0.002511495841493128</v>
      </c>
      <c r="G155" s="1">
        <v>0.005703644886109638</v>
      </c>
      <c r="H155" s="1">
        <v>-0.002127793027769442</v>
      </c>
      <c r="I155" s="1">
        <v>-0.01269438985474292</v>
      </c>
      <c r="J155" s="1">
        <v>-0.001398596245114403</v>
      </c>
      <c r="K155" s="1">
        <v>-0.0152841711621623</v>
      </c>
      <c r="L155" s="1">
        <v>-0.002138220457630569</v>
      </c>
      <c r="M155" s="1">
        <v>-0.01933421576223904</v>
      </c>
      <c r="N155" s="1">
        <v>0</v>
      </c>
      <c r="O155" s="1">
        <v>0.0002967646685003711</v>
      </c>
      <c r="P155" s="1">
        <v>-0.006175026381460169</v>
      </c>
      <c r="Q155" s="1">
        <v>-0.0003995528528890624</v>
      </c>
      <c r="R155" s="1">
        <v>-0.003281037692656419</v>
      </c>
      <c r="S155" s="1">
        <v>-0.002859344731089175</v>
      </c>
      <c r="T155" s="1">
        <v>-0.003134210929344405</v>
      </c>
      <c r="U155" s="1">
        <v>-0.002534611672097786</v>
      </c>
      <c r="V155" s="1">
        <v>0.02432070495260508</v>
      </c>
      <c r="W155" s="1">
        <v>-0.01251116908290084</v>
      </c>
      <c r="X155" s="1">
        <v>-0.004569780461243123</v>
      </c>
      <c r="Y155" s="1">
        <v>-0.003898766001319443</v>
      </c>
      <c r="Z155" s="1">
        <v>-0.004950546884463614</v>
      </c>
    </row>
    <row r="156" spans="1:26">
      <c r="A156" s="11">
        <v>42597</v>
      </c>
      <c r="B156" s="1">
        <v>0.01775161828484451</v>
      </c>
      <c r="C156" s="1">
        <v>0.01172042017303543</v>
      </c>
      <c r="D156" s="1">
        <v>-0.003704328023493519</v>
      </c>
      <c r="E156" s="1">
        <v>-0.009895870527863893</v>
      </c>
      <c r="F156" s="1">
        <v>0.000147748150801652</v>
      </c>
      <c r="G156" s="1">
        <v>-0.005316820089238505</v>
      </c>
      <c r="H156" s="1">
        <v>-0.005741483948534243</v>
      </c>
      <c r="I156" s="1">
        <v>0.0166236847050254</v>
      </c>
      <c r="J156" s="1">
        <v>0.01680684989972447</v>
      </c>
      <c r="K156" s="1">
        <v>0.00776041155693652</v>
      </c>
      <c r="L156" s="1">
        <v>0.006123387980499384</v>
      </c>
      <c r="M156" s="1">
        <v>0.009857580191173554</v>
      </c>
      <c r="N156" s="1">
        <v>-0.007191713239761977</v>
      </c>
      <c r="O156" s="1">
        <v>-0.0002966766253600372</v>
      </c>
      <c r="P156" s="1">
        <v>0.003106734431243652</v>
      </c>
      <c r="Q156" s="1">
        <v>-0.01839275296914733</v>
      </c>
      <c r="R156" s="1">
        <v>0.0194073010791509</v>
      </c>
      <c r="S156" s="1">
        <v>-0.004692299314671633</v>
      </c>
      <c r="T156" s="1">
        <v>0.001758057814578828</v>
      </c>
      <c r="U156" s="1">
        <v>-0.00600749809089951</v>
      </c>
      <c r="V156" s="1">
        <v>0.004254982880981695</v>
      </c>
      <c r="W156" s="1">
        <v>0.003086727908749642</v>
      </c>
      <c r="X156" s="1">
        <v>0.0280540917370673</v>
      </c>
      <c r="Y156" s="1">
        <v>-0.0007457606932602667</v>
      </c>
      <c r="Z156" s="1">
        <v>0.01741307319873342</v>
      </c>
    </row>
    <row r="157" spans="1:26">
      <c r="A157" s="11">
        <v>42598</v>
      </c>
      <c r="B157" s="1">
        <v>0.02185252556058304</v>
      </c>
      <c r="C157" s="1">
        <v>0.002524890520136269</v>
      </c>
      <c r="D157" s="1">
        <v>-0.00351149384136229</v>
      </c>
      <c r="E157" s="1">
        <v>-0.01032820795934264</v>
      </c>
      <c r="F157" s="1">
        <v>-0.003109994956659201</v>
      </c>
      <c r="G157" s="1">
        <v>-0.01425385681961366</v>
      </c>
      <c r="H157" s="1">
        <v>-0.007919550826640975</v>
      </c>
      <c r="I157" s="1">
        <v>-0.001660567959168469</v>
      </c>
      <c r="J157" s="1">
        <v>-0.007575868247743811</v>
      </c>
      <c r="K157" s="1">
        <v>-0.004303366077595183</v>
      </c>
      <c r="L157" s="1">
        <v>-0.0001518831357405492</v>
      </c>
      <c r="M157" s="1">
        <v>-0.007069208408566952</v>
      </c>
      <c r="N157" s="1">
        <v>0</v>
      </c>
      <c r="O157" s="1">
        <v>-0.004749709469601737</v>
      </c>
      <c r="P157" s="1">
        <v>-0.005540678599436633</v>
      </c>
      <c r="Q157" s="1">
        <v>-0.009368745928512667</v>
      </c>
      <c r="R157" s="1">
        <v>0.0008498070160061211</v>
      </c>
      <c r="S157" s="1">
        <v>-0.006765619363700348</v>
      </c>
      <c r="T157" s="1">
        <v>-0.01619823126137432</v>
      </c>
      <c r="U157" s="1">
        <v>-0.02463989277677126</v>
      </c>
      <c r="V157" s="1">
        <v>-0.0006620305661878545</v>
      </c>
      <c r="W157" s="1">
        <v>-0.00641115471204956</v>
      </c>
      <c r="X157" s="1">
        <v>-0.002728661780448727</v>
      </c>
      <c r="Y157" s="1">
        <v>-0.01585509843216704</v>
      </c>
      <c r="Z157" s="1">
        <v>0.00315237070652663</v>
      </c>
    </row>
    <row r="158" spans="1:26">
      <c r="A158" s="11">
        <v>42599</v>
      </c>
      <c r="B158" s="1">
        <v>0.01294853587538936</v>
      </c>
      <c r="C158" s="1">
        <v>-0.002074135351581852</v>
      </c>
      <c r="D158" s="1">
        <v>-0.005389793147429489</v>
      </c>
      <c r="E158" s="1">
        <v>-0.01868394281423946</v>
      </c>
      <c r="F158" s="1">
        <v>0.006834025880276151</v>
      </c>
      <c r="G158" s="1">
        <v>0.02078637174169873</v>
      </c>
      <c r="H158" s="1">
        <v>0.004989254274404775</v>
      </c>
      <c r="I158" s="1">
        <v>-0.009213475497434231</v>
      </c>
      <c r="J158" s="1">
        <v>0.006245686483115298</v>
      </c>
      <c r="K158" s="1">
        <v>0.005004404944216168</v>
      </c>
      <c r="L158" s="1">
        <v>0.002739370246088724</v>
      </c>
      <c r="M158" s="1">
        <v>0.009036259259916246</v>
      </c>
      <c r="N158" s="1">
        <v>0.003018427043829819</v>
      </c>
      <c r="O158" s="1">
        <v>0.001193060540767066</v>
      </c>
      <c r="P158" s="1">
        <v>0.002089583204474721</v>
      </c>
      <c r="Q158" s="1">
        <v>0.01644773296571045</v>
      </c>
      <c r="R158" s="1">
        <v>0.0033960627081151</v>
      </c>
      <c r="S158" s="1">
        <v>0.00158221173169526</v>
      </c>
      <c r="T158" s="1">
        <v>-0.01045785916000852</v>
      </c>
      <c r="U158" s="1">
        <v>-0.002382817838962326</v>
      </c>
      <c r="V158" s="1">
        <v>-0.06425548096153477</v>
      </c>
      <c r="W158" s="1">
        <v>-0.001935919080955029</v>
      </c>
      <c r="X158" s="1">
        <v>0.005223472880241831</v>
      </c>
      <c r="Y158" s="1">
        <v>0.007771012272948852</v>
      </c>
      <c r="Z158" s="1">
        <v>0.00174588273690568</v>
      </c>
    </row>
    <row r="159" spans="1:26">
      <c r="A159" s="11">
        <v>42600</v>
      </c>
      <c r="B159" s="1">
        <v>0.03815617448180708</v>
      </c>
      <c r="C159" s="1">
        <v>0.002078446330592509</v>
      </c>
      <c r="D159" s="1">
        <v>0.0006248186910049469</v>
      </c>
      <c r="E159" s="1">
        <v>0.006518330646949844</v>
      </c>
      <c r="F159" s="1">
        <v>-0.005311929784291625</v>
      </c>
      <c r="G159" s="1">
        <v>0.0101812604823861</v>
      </c>
      <c r="H159" s="1">
        <v>0.006453723130712685</v>
      </c>
      <c r="I159" s="1">
        <v>-0.006327740069611898</v>
      </c>
      <c r="J159" s="1">
        <v>0.0006893264810665656</v>
      </c>
      <c r="K159" s="1">
        <v>0.01652342394773543</v>
      </c>
      <c r="L159" s="1">
        <v>0.0009106037677943934</v>
      </c>
      <c r="M159" s="1">
        <v>-0.0002710471384136381</v>
      </c>
      <c r="N159" s="1">
        <v>-0.002257122952735058</v>
      </c>
      <c r="O159" s="1">
        <v>-0.0002980947166193459</v>
      </c>
      <c r="P159" s="1">
        <v>0.0006947021423515665</v>
      </c>
      <c r="Q159" s="1">
        <v>0.01092202736652936</v>
      </c>
      <c r="R159" s="1">
        <v>0.007786426967892446</v>
      </c>
      <c r="S159" s="1">
        <v>-0.005090228944147124</v>
      </c>
      <c r="T159" s="1">
        <v>0.003232831239879941</v>
      </c>
      <c r="U159" s="1">
        <v>-0.01098915415155421</v>
      </c>
      <c r="V159" s="1">
        <v>-0.004672138373580492</v>
      </c>
      <c r="W159" s="1">
        <v>-0.008534342685854845</v>
      </c>
      <c r="X159" s="1">
        <v>0.003217368160688183</v>
      </c>
      <c r="Y159" s="1">
        <v>-0.005642408816261435</v>
      </c>
      <c r="Z159" s="1">
        <v>0.01359322880552516</v>
      </c>
    </row>
    <row r="160" spans="1:26">
      <c r="A160" s="11">
        <v>42601</v>
      </c>
      <c r="B160" s="1">
        <v>-0.002052030106354796</v>
      </c>
      <c r="C160" s="1">
        <v>-0.004148209280060433</v>
      </c>
      <c r="D160" s="1">
        <v>-0.001249414598247123</v>
      </c>
      <c r="E160" s="1">
        <v>0.01039513015664961</v>
      </c>
      <c r="F160" s="1">
        <v>-0.01661487548771845</v>
      </c>
      <c r="G160" s="1">
        <v>0.0004379294068286299</v>
      </c>
      <c r="H160" s="1">
        <v>0.003452784572245182</v>
      </c>
      <c r="I160" s="1">
        <v>0.1349102122214398</v>
      </c>
      <c r="J160" s="1">
        <v>-0.006202458133267919</v>
      </c>
      <c r="K160" s="1">
        <v>0.001113490761295965</v>
      </c>
      <c r="L160" s="1">
        <v>-0.001364813435126289</v>
      </c>
      <c r="M160" s="1">
        <v>-0.01330085199627062</v>
      </c>
      <c r="N160" s="1">
        <v>0.0003015689209771022</v>
      </c>
      <c r="O160" s="1">
        <v>-0.0008938105670723839</v>
      </c>
      <c r="P160" s="1">
        <v>0.0003471845163014464</v>
      </c>
      <c r="Q160" s="1">
        <v>-0.01480581951325699</v>
      </c>
      <c r="R160" s="1">
        <v>0.006382154313488542</v>
      </c>
      <c r="S160" s="1">
        <v>-0.01195170708723869</v>
      </c>
      <c r="T160" s="1">
        <v>-0.002806772578251682</v>
      </c>
      <c r="U160" s="1">
        <v>-0.009420453901447856</v>
      </c>
      <c r="V160" s="1">
        <v>-0.00256058814406368</v>
      </c>
      <c r="W160" s="1">
        <v>0.00149947758053548</v>
      </c>
      <c r="X160" s="1">
        <v>0.002959876770219028</v>
      </c>
      <c r="Y160" s="1">
        <v>-0.007943912529842945</v>
      </c>
      <c r="Z160" s="1">
        <v>0.005158400509808869</v>
      </c>
    </row>
    <row r="161" spans="1:26">
      <c r="A161" s="11">
        <v>42604</v>
      </c>
      <c r="B161" s="1">
        <v>-0.006356382932245386</v>
      </c>
      <c r="C161" s="1">
        <v>0.004090980414216183</v>
      </c>
      <c r="D161" s="1">
        <v>0.0006257679054191279</v>
      </c>
      <c r="E161" s="1">
        <v>-0.0005060677338258879</v>
      </c>
      <c r="F161" s="1">
        <v>0.002262824771272154</v>
      </c>
      <c r="G161" s="1">
        <v>0.0048187616592823</v>
      </c>
      <c r="H161" s="1">
        <v>0.004587901431384767</v>
      </c>
      <c r="I161" s="1">
        <v>0.007329188927557073</v>
      </c>
      <c r="J161" s="1">
        <v>-0.003467440881903761</v>
      </c>
      <c r="K161" s="1">
        <v>-0.01379021066575692</v>
      </c>
      <c r="L161" s="1">
        <v>-0.0009108680372021949</v>
      </c>
      <c r="M161" s="1">
        <v>-0.001926041114141075</v>
      </c>
      <c r="N161" s="1">
        <v>0.0001506234934762762</v>
      </c>
      <c r="O161" s="1">
        <v>0.003728238415431351</v>
      </c>
      <c r="P161" s="1">
        <v>0.0008679210030098083</v>
      </c>
      <c r="Q161" s="1">
        <v>0.008123655570464017</v>
      </c>
      <c r="R161" s="1">
        <v>-0.000166897161657964</v>
      </c>
      <c r="S161" s="1">
        <v>0.01227495950388469</v>
      </c>
      <c r="T161" s="1">
        <v>0.0004173339012816246</v>
      </c>
      <c r="U161" s="1">
        <v>-0.002438325029103683</v>
      </c>
      <c r="V161" s="1">
        <v>0.003850668933180312</v>
      </c>
      <c r="W161" s="1">
        <v>0.002669829332477169</v>
      </c>
      <c r="X161" s="1">
        <v>0.00295171244596748</v>
      </c>
      <c r="Y161" s="1">
        <v>0.001906496887485565</v>
      </c>
      <c r="Z161" s="1">
        <v>0.00102640301131629</v>
      </c>
    </row>
    <row r="162" spans="1:26">
      <c r="A162" s="11">
        <v>42605</v>
      </c>
      <c r="B162" s="1">
        <v>0.004515272588558439</v>
      </c>
      <c r="C162" s="1">
        <v>-0.006296888117685029</v>
      </c>
      <c r="D162" s="1">
        <v>0</v>
      </c>
      <c r="E162" s="1">
        <v>0.01012501440917446</v>
      </c>
      <c r="F162" s="1">
        <v>-0.01174007528474974</v>
      </c>
      <c r="G162" s="1">
        <v>-0.003923241431498248</v>
      </c>
      <c r="H162" s="1">
        <v>-0.01402721464040191</v>
      </c>
      <c r="I162" s="1">
        <v>0.001477822414515995</v>
      </c>
      <c r="J162" s="1">
        <v>0.01391802345112492</v>
      </c>
      <c r="K162" s="1">
        <v>0.01759137391345789</v>
      </c>
      <c r="L162" s="1">
        <v>-0.0004563016180838542</v>
      </c>
      <c r="M162" s="1">
        <v>0.01130121839103437</v>
      </c>
      <c r="N162" s="1">
        <v>0.00180917306758599</v>
      </c>
      <c r="O162" s="1">
        <v>-0.002525761234601243</v>
      </c>
      <c r="P162" s="1">
        <v>0.003814766102171685</v>
      </c>
      <c r="Q162" s="1">
        <v>-0.004834535875894108</v>
      </c>
      <c r="R162" s="1">
        <v>0.001836106650137781</v>
      </c>
      <c r="S162" s="1">
        <v>-0.001190635695928033</v>
      </c>
      <c r="T162" s="1">
        <v>0.01125390711665575</v>
      </c>
      <c r="U162" s="1">
        <v>-0.001466707397516309</v>
      </c>
      <c r="V162" s="1">
        <v>0.009376355408728276</v>
      </c>
      <c r="W162" s="1">
        <v>0.003636891273256948</v>
      </c>
      <c r="X162" s="1">
        <v>0.005394709002938036</v>
      </c>
      <c r="Y162" s="1">
        <v>0.001522245528481569</v>
      </c>
      <c r="Z162" s="1">
        <v>0.0006835380598115837</v>
      </c>
    </row>
    <row r="163" spans="1:26">
      <c r="A163" s="11">
        <v>42606</v>
      </c>
      <c r="B163" s="1">
        <v>-0.01217419045453083</v>
      </c>
      <c r="C163" s="1">
        <v>-0.006336604725705408</v>
      </c>
      <c r="D163" s="1">
        <v>-0.01917486741198615</v>
      </c>
      <c r="E163" s="1">
        <v>-0.02121614927606708</v>
      </c>
      <c r="F163" s="1">
        <v>0.0004571003225033454</v>
      </c>
      <c r="G163" s="1">
        <v>-0.003939149337313097</v>
      </c>
      <c r="H163" s="1">
        <v>0.004632190649799472</v>
      </c>
      <c r="I163" s="1">
        <v>-0.007605791389479366</v>
      </c>
      <c r="J163" s="1">
        <v>-0.01166790692714459</v>
      </c>
      <c r="K163" s="1">
        <v>-0.02105504237480416</v>
      </c>
      <c r="L163" s="1">
        <v>0.002737173764558731</v>
      </c>
      <c r="M163" s="1">
        <v>-0.0008177465597679623</v>
      </c>
      <c r="N163" s="1">
        <v>-0.004514245905470116</v>
      </c>
      <c r="O163" s="1">
        <v>0.0005959876087859861</v>
      </c>
      <c r="P163" s="1">
        <v>0.001036632633691026</v>
      </c>
      <c r="Q163" s="1">
        <v>0.002428692645607411</v>
      </c>
      <c r="R163" s="1">
        <v>-0.004498715444850365</v>
      </c>
      <c r="S163" s="1">
        <v>-0.01138996864885189</v>
      </c>
      <c r="T163" s="1">
        <v>-0.01483891063025145</v>
      </c>
      <c r="U163" s="1">
        <v>0.0004894757133302452</v>
      </c>
      <c r="V163" s="1">
        <v>0.009570722291104783</v>
      </c>
      <c r="W163" s="1">
        <v>-0.02128780969868149</v>
      </c>
      <c r="X163" s="1">
        <v>0</v>
      </c>
      <c r="Y163" s="1">
        <v>-0.001899604431661372</v>
      </c>
      <c r="Z163" s="1">
        <v>0</v>
      </c>
    </row>
    <row r="164" spans="1:26">
      <c r="A164" s="11">
        <v>42607</v>
      </c>
      <c r="B164" s="1">
        <v>-0.004361190655143177</v>
      </c>
      <c r="C164" s="1">
        <v>-0.002325762820343691</v>
      </c>
      <c r="D164" s="1">
        <v>0.0008499470844900436</v>
      </c>
      <c r="E164" s="1">
        <v>0.00290145400527253</v>
      </c>
      <c r="F164" s="1">
        <v>-0.001979086041812628</v>
      </c>
      <c r="G164" s="1">
        <v>-0.002196905767169133</v>
      </c>
      <c r="H164" s="1">
        <v>0.006586584696312903</v>
      </c>
      <c r="I164" s="1">
        <v>-0.001486849013453972</v>
      </c>
      <c r="J164" s="1">
        <v>-0.002083372817806572</v>
      </c>
      <c r="K164" s="1">
        <v>-0.001131685574292773</v>
      </c>
      <c r="L164" s="1">
        <v>0.001819324969879688</v>
      </c>
      <c r="M164" s="1">
        <v>0.0008184158164863398</v>
      </c>
      <c r="N164" s="1">
        <v>-0.003627727063276964</v>
      </c>
      <c r="O164" s="1">
        <v>0.006550277941718585</v>
      </c>
      <c r="P164" s="1">
        <v>0.003796185296365051</v>
      </c>
      <c r="Q164" s="1">
        <v>-0.002827192167216497</v>
      </c>
      <c r="R164" s="1">
        <v>0.003012903188540639</v>
      </c>
      <c r="S164" s="1">
        <v>0.008083000216589697</v>
      </c>
      <c r="T164" s="1">
        <v>-0.001045734261087339</v>
      </c>
      <c r="U164" s="1">
        <v>0.004893355435747981</v>
      </c>
      <c r="V164" s="1">
        <v>-0.01282599812789653</v>
      </c>
      <c r="W164" s="1">
        <v>0.0005949271938758827</v>
      </c>
      <c r="X164" s="1">
        <v>-0.003171067877718148</v>
      </c>
      <c r="Y164" s="1">
        <v>0.004187954164024843</v>
      </c>
      <c r="Z164" s="1">
        <v>0.004781324206939441</v>
      </c>
    </row>
    <row r="165" spans="1:26">
      <c r="A165" s="11">
        <v>42608</v>
      </c>
      <c r="B165" s="1">
        <v>-0.003046651803030986</v>
      </c>
      <c r="C165" s="1">
        <v>-0.005640051254259593</v>
      </c>
      <c r="D165" s="1">
        <v>0.001698734724411066</v>
      </c>
      <c r="E165" s="1">
        <v>0.0001700876570100984</v>
      </c>
      <c r="F165" s="1">
        <v>-0.0007625662755306184</v>
      </c>
      <c r="G165" s="1">
        <v>-0.01717274595751406</v>
      </c>
      <c r="H165" s="1">
        <v>-0.01063341879184765</v>
      </c>
      <c r="I165" s="1">
        <v>-0.006301061916062722</v>
      </c>
      <c r="J165" s="1">
        <v>0.001391877561408794</v>
      </c>
      <c r="K165" s="1">
        <v>-0.009519853823095392</v>
      </c>
      <c r="L165" s="1">
        <v>0.002270533145781739</v>
      </c>
      <c r="M165" s="1">
        <v>-0.01144692179857165</v>
      </c>
      <c r="N165" s="1">
        <v>-0.001365205484578746</v>
      </c>
      <c r="O165" s="1">
        <v>-0.006211939786860854</v>
      </c>
      <c r="P165" s="1">
        <v>-0.002406698876610491</v>
      </c>
      <c r="Q165" s="1">
        <v>-0.02025092332737866</v>
      </c>
      <c r="R165" s="1">
        <v>-0.001334954310105552</v>
      </c>
      <c r="S165" s="1">
        <v>-0.007707993196082286</v>
      </c>
      <c r="T165" s="1">
        <v>-0.002408494369355529</v>
      </c>
      <c r="U165" s="1">
        <v>-0.009495719910107114</v>
      </c>
      <c r="V165" s="1">
        <v>-0.00649632086317764</v>
      </c>
      <c r="W165" s="1">
        <v>0.006673093084955894</v>
      </c>
      <c r="X165" s="1">
        <v>0.001712835278445235</v>
      </c>
      <c r="Y165" s="1">
        <v>-0.01289114081016529</v>
      </c>
      <c r="Z165" s="1">
        <v>0.008497802155300826</v>
      </c>
    </row>
    <row r="166" spans="1:26">
      <c r="A166" s="11">
        <v>42611</v>
      </c>
      <c r="B166" s="1">
        <v>0.009168732591883888</v>
      </c>
      <c r="C166" s="1">
        <v>0.005067017373509008</v>
      </c>
      <c r="D166" s="1">
        <v>0.00487481175170501</v>
      </c>
      <c r="E166" s="1">
        <v>-0.0001700587321189495</v>
      </c>
      <c r="F166" s="1">
        <v>0.002289525282791249</v>
      </c>
      <c r="G166" s="1">
        <v>0.01568102755597711</v>
      </c>
      <c r="H166" s="1">
        <v>0.01058183183216821</v>
      </c>
      <c r="I166" s="1">
        <v>0.002190439615035844</v>
      </c>
      <c r="J166" s="1">
        <v>0.002779791972375323</v>
      </c>
      <c r="K166" s="1">
        <v>0.01327229972008692</v>
      </c>
      <c r="L166" s="1">
        <v>0.01102352707165921</v>
      </c>
      <c r="M166" s="1">
        <v>0.004962460387884171</v>
      </c>
      <c r="N166" s="1">
        <v>0.004101681000203916</v>
      </c>
      <c r="O166" s="1">
        <v>0.01086445616654585</v>
      </c>
      <c r="P166" s="1">
        <v>0.00120610446395597</v>
      </c>
      <c r="Q166" s="1">
        <v>0.002480331303330807</v>
      </c>
      <c r="R166" s="1">
        <v>0.007184696427731785</v>
      </c>
      <c r="S166" s="1">
        <v>0.007767867868762712</v>
      </c>
      <c r="T166" s="1">
        <v>0.003009266184939685</v>
      </c>
      <c r="U166" s="1">
        <v>0.007866584561481815</v>
      </c>
      <c r="V166" s="1">
        <v>0.0099504417924412</v>
      </c>
      <c r="W166" s="1">
        <v>0.007548272341740381</v>
      </c>
      <c r="X166" s="1">
        <v>0.006594584392401348</v>
      </c>
      <c r="Y166" s="1">
        <v>0.008258247284176345</v>
      </c>
      <c r="Z166" s="1">
        <v>0.01145939933793616</v>
      </c>
    </row>
    <row r="167" spans="1:26">
      <c r="A167" s="11">
        <v>42612</v>
      </c>
      <c r="B167" s="1">
        <v>-0.007571471635827276</v>
      </c>
      <c r="C167" s="1">
        <v>-0.01572601635101389</v>
      </c>
      <c r="D167" s="1">
        <v>-0.01096792915786704</v>
      </c>
      <c r="E167" s="1">
        <v>-0.02586763634483291</v>
      </c>
      <c r="F167" s="1">
        <v>-0.001675203521827706</v>
      </c>
      <c r="G167" s="1">
        <v>-0.008822163325421517</v>
      </c>
      <c r="H167" s="1">
        <v>-0.006380424544656371</v>
      </c>
      <c r="I167" s="1">
        <v>-0.0139192337588061</v>
      </c>
      <c r="J167" s="1">
        <v>-0.003465224723708915</v>
      </c>
      <c r="K167" s="1">
        <v>-0.006323141912319308</v>
      </c>
      <c r="L167" s="1">
        <v>0.008215218205618324</v>
      </c>
      <c r="M167" s="1">
        <v>0.02002738556905137</v>
      </c>
      <c r="N167" s="1">
        <v>-0.003328724336350231</v>
      </c>
      <c r="O167" s="1">
        <v>-0.002944546654248592</v>
      </c>
      <c r="P167" s="1">
        <v>-0.003614324291570381</v>
      </c>
      <c r="Q167" s="1">
        <v>-0.01608242629987111</v>
      </c>
      <c r="R167" s="1">
        <v>0.003649536279739962</v>
      </c>
      <c r="S167" s="1">
        <v>-0.008727092071616704</v>
      </c>
      <c r="T167" s="1">
        <v>0.0001044458504686485</v>
      </c>
      <c r="U167" s="1">
        <v>-0.002683349203866703</v>
      </c>
      <c r="V167" s="1">
        <v>-0.009289256042590344</v>
      </c>
      <c r="W167" s="1">
        <v>-0.002279831419604195</v>
      </c>
      <c r="X167" s="1">
        <v>0.0007286193985625022</v>
      </c>
      <c r="Y167" s="1">
        <v>-0.004381245310786319</v>
      </c>
      <c r="Z167" s="1">
        <v>0.01066285957897706</v>
      </c>
    </row>
    <row r="168" spans="1:26">
      <c r="A168" s="11">
        <v>42613</v>
      </c>
      <c r="B168" s="1">
        <v>-0.0520698207936966</v>
      </c>
      <c r="C168" s="1">
        <v>-0.01039687692429991</v>
      </c>
      <c r="D168" s="1">
        <v>-0.0006418167695895205</v>
      </c>
      <c r="E168" s="1">
        <v>0.002620201333305427</v>
      </c>
      <c r="F168" s="1">
        <v>-0.004424090846551931</v>
      </c>
      <c r="G168" s="1">
        <v>0</v>
      </c>
      <c r="H168" s="1">
        <v>-0.0001648319481618588</v>
      </c>
      <c r="I168" s="1">
        <v>-0.0136491086344217</v>
      </c>
      <c r="J168" s="1">
        <v>-0.0006953608970973191</v>
      </c>
      <c r="K168" s="1">
        <v>-0.007273009846488487</v>
      </c>
      <c r="L168" s="1">
        <v>0</v>
      </c>
      <c r="M168" s="1">
        <v>-0.008068532467858325</v>
      </c>
      <c r="N168" s="1">
        <v>0.003187840454696778</v>
      </c>
      <c r="O168" s="1">
        <v>-0.001328905825745186</v>
      </c>
      <c r="P168" s="1">
        <v>-0.007428075030563197</v>
      </c>
      <c r="Q168" s="1">
        <v>0.003352921158664257</v>
      </c>
      <c r="R168" s="1">
        <v>-0.01090906843648254</v>
      </c>
      <c r="S168" s="1">
        <v>0.0007599948112968491</v>
      </c>
      <c r="T168" s="1">
        <v>-0.01046334915164104</v>
      </c>
      <c r="U168" s="1">
        <v>-0.0002444054415816632</v>
      </c>
      <c r="V168" s="1">
        <v>-0.00284163909266566</v>
      </c>
      <c r="W168" s="1">
        <v>-0.006333850706897626</v>
      </c>
      <c r="X168" s="1">
        <v>-0.009457090815961244</v>
      </c>
      <c r="Y168" s="1">
        <v>0.001148175009819674</v>
      </c>
      <c r="Z168" s="1">
        <v>0.008572510525855614</v>
      </c>
    </row>
    <row r="169" spans="1:26">
      <c r="A169" s="11">
        <v>42614</v>
      </c>
      <c r="B169" s="1">
        <v>0.001811248449792302</v>
      </c>
      <c r="C169" s="1">
        <v>0.003476349199180939</v>
      </c>
      <c r="D169" s="1">
        <v>-0.01176985012055354</v>
      </c>
      <c r="E169" s="1">
        <v>-0.01097756091325763</v>
      </c>
      <c r="F169" s="1">
        <v>0.009653653506247029</v>
      </c>
      <c r="G169" s="1">
        <v>-0.001335409839862023</v>
      </c>
      <c r="H169" s="1">
        <v>-0.06274705996025354</v>
      </c>
      <c r="I169" s="1">
        <v>-0.0118270757584219</v>
      </c>
      <c r="J169" s="1">
        <v>0.009046828067675428</v>
      </c>
      <c r="K169" s="1">
        <v>0.03044885923638319</v>
      </c>
      <c r="L169" s="1">
        <v>-0.004296250008911651</v>
      </c>
      <c r="M169" s="1">
        <v>-0.007863687957246679</v>
      </c>
      <c r="N169" s="1">
        <v>0.003479935478949647</v>
      </c>
      <c r="O169" s="1">
        <v>0.00236592491170029</v>
      </c>
      <c r="P169" s="1">
        <v>0.002262384912569138</v>
      </c>
      <c r="Q169" s="1">
        <v>-0.004595216309732475</v>
      </c>
      <c r="R169" s="1">
        <v>-0.004846007318824341</v>
      </c>
      <c r="S169" s="1">
        <v>0.009689667695156112</v>
      </c>
      <c r="T169" s="1">
        <v>0.00549847047659191</v>
      </c>
      <c r="U169" s="1">
        <v>0.001956776320679809</v>
      </c>
      <c r="V169" s="1">
        <v>0.005556906470248757</v>
      </c>
      <c r="W169" s="1">
        <v>-0.00814758365820667</v>
      </c>
      <c r="X169" s="1">
        <v>-0.0009791069261069207</v>
      </c>
      <c r="Y169" s="1">
        <v>0.004395353463862106</v>
      </c>
      <c r="Z169" s="1">
        <v>-0.0006539854458904593</v>
      </c>
    </row>
    <row r="170" spans="1:26">
      <c r="A170" s="11">
        <v>42615</v>
      </c>
      <c r="B170" s="1">
        <v>0.03012647318439043</v>
      </c>
      <c r="C170" s="1">
        <v>0.009699737799204966</v>
      </c>
      <c r="D170" s="1">
        <v>0.002165810197688689</v>
      </c>
      <c r="E170" s="1">
        <v>-0.007223427056100462</v>
      </c>
      <c r="F170" s="1">
        <v>0.004097939602512035</v>
      </c>
      <c r="G170" s="1">
        <v>0.008467243231034427</v>
      </c>
      <c r="H170" s="1">
        <v>0.01440862250795627</v>
      </c>
      <c r="I170" s="1">
        <v>0.005984528492293473</v>
      </c>
      <c r="J170" s="1">
        <v>-0.0006898855455280684</v>
      </c>
      <c r="K170" s="1">
        <v>0.01288578716672184</v>
      </c>
      <c r="L170" s="1">
        <v>0.004166123818174272</v>
      </c>
      <c r="M170" s="1">
        <v>0.008199106800818923</v>
      </c>
      <c r="N170" s="1">
        <v>0.008443930480912742</v>
      </c>
      <c r="O170" s="1">
        <v>0.007523510470571759</v>
      </c>
      <c r="P170" s="1">
        <v>0.001389427016888378</v>
      </c>
      <c r="Q170" s="1">
        <v>0.01258945295416858</v>
      </c>
      <c r="R170" s="1">
        <v>-0.005709620856723219</v>
      </c>
      <c r="S170" s="1">
        <v>0.003007195625919445</v>
      </c>
      <c r="T170" s="1">
        <v>0.004066270647162584</v>
      </c>
      <c r="U170" s="1">
        <v>-0.0002441116123869103</v>
      </c>
      <c r="V170" s="1">
        <v>0.003258379322958582</v>
      </c>
      <c r="W170" s="1">
        <v>0.001523839146125416</v>
      </c>
      <c r="X170" s="1">
        <v>0.007595941944657847</v>
      </c>
      <c r="Y170" s="1">
        <v>0.006087821448433228</v>
      </c>
      <c r="Z170" s="1">
        <v>0.01308477114432338</v>
      </c>
    </row>
    <row r="171" spans="1:26">
      <c r="A171" s="11">
        <v>42619</v>
      </c>
      <c r="B171" s="1">
        <v>0.007408594718070427</v>
      </c>
      <c r="C171" s="1">
        <v>0.01395252299584016</v>
      </c>
      <c r="D171" s="1">
        <v>-0.007130708736502456</v>
      </c>
      <c r="E171" s="1">
        <v>0.01082534401690971</v>
      </c>
      <c r="F171" s="1">
        <v>0.002720517379562359</v>
      </c>
      <c r="G171" s="1">
        <v>0.007512133822422884</v>
      </c>
      <c r="H171" s="1">
        <v>-0.0005195358237506387</v>
      </c>
      <c r="I171" s="1">
        <v>0.004996644124243943</v>
      </c>
      <c r="J171" s="1">
        <v>0.009661801965554551</v>
      </c>
      <c r="K171" s="1">
        <v>0.02433646562833336</v>
      </c>
      <c r="L171" s="1">
        <v>-0.0007407486361352689</v>
      </c>
      <c r="M171" s="1">
        <v>0.001626391985050324</v>
      </c>
      <c r="N171" s="1">
        <v>0.004784554155505383</v>
      </c>
      <c r="O171" s="1">
        <v>-0.001757399984315788</v>
      </c>
      <c r="P171" s="1">
        <v>-0.001040363666919175</v>
      </c>
      <c r="Q171" s="1">
        <v>0.01201820484448435</v>
      </c>
      <c r="R171" s="1">
        <v>-0.02313783582961604</v>
      </c>
      <c r="S171" s="1">
        <v>-0.01067018584064328</v>
      </c>
      <c r="T171" s="1">
        <v>-0.004538693147046136</v>
      </c>
      <c r="U171" s="1">
        <v>0.006837475438091323</v>
      </c>
      <c r="V171" s="1">
        <v>-0.0100271197648879</v>
      </c>
      <c r="W171" s="1">
        <v>-0.001190691981620806</v>
      </c>
      <c r="X171" s="1">
        <v>-0.009970561956266111</v>
      </c>
      <c r="Y171" s="1">
        <v>0.01191392519542522</v>
      </c>
      <c r="Z171" s="1">
        <v>-0.01872769568168509</v>
      </c>
    </row>
    <row r="172" spans="1:26">
      <c r="A172" s="11">
        <v>42620</v>
      </c>
      <c r="B172" s="1">
        <v>0.0669635924130445</v>
      </c>
      <c r="C172" s="1">
        <v>-0.002631854770500208</v>
      </c>
      <c r="D172" s="1">
        <v>-0.001088034879079269</v>
      </c>
      <c r="E172" s="1">
        <v>-0.006847042611980991</v>
      </c>
      <c r="F172" s="1">
        <v>0.0001508314954310475</v>
      </c>
      <c r="G172" s="1">
        <v>0.02149128382608323</v>
      </c>
      <c r="H172" s="1">
        <v>-0.01022535379017764</v>
      </c>
      <c r="I172" s="1">
        <v>-0.005327489044600342</v>
      </c>
      <c r="J172" s="1">
        <v>0.004101055443669122</v>
      </c>
      <c r="K172" s="1">
        <v>-0.03435553401991598</v>
      </c>
      <c r="L172" s="1">
        <v>-0.00415198832873509</v>
      </c>
      <c r="M172" s="1">
        <v>0.04682022221105497</v>
      </c>
      <c r="N172" s="1">
        <v>-0.007142371771367451</v>
      </c>
      <c r="O172" s="1">
        <v>-0.001466526240486488</v>
      </c>
      <c r="P172" s="1">
        <v>0.0008678477688526254</v>
      </c>
      <c r="Q172" s="1">
        <v>-0.001638123507942013</v>
      </c>
      <c r="R172" s="1">
        <v>-0.006051249688512006</v>
      </c>
      <c r="S172" s="1">
        <v>0.006952878502574977</v>
      </c>
      <c r="T172" s="1">
        <v>0.004769941820324641</v>
      </c>
      <c r="U172" s="1">
        <v>0.000970236722749318</v>
      </c>
      <c r="V172" s="1">
        <v>0.002853469398250708</v>
      </c>
      <c r="W172" s="1">
        <v>-0.003311501544250528</v>
      </c>
      <c r="X172" s="1">
        <v>0.00294913175220457</v>
      </c>
      <c r="Y172" s="1">
        <v>0.003737704998095337</v>
      </c>
      <c r="Z172" s="1">
        <v>0.006251948524934159</v>
      </c>
    </row>
    <row r="173" spans="1:26">
      <c r="A173" s="11">
        <v>42621</v>
      </c>
      <c r="B173" s="1">
        <v>0.07110479083597787</v>
      </c>
      <c r="C173" s="1">
        <v>0.0019601261797626</v>
      </c>
      <c r="D173" s="1">
        <v>0.003703425498971402</v>
      </c>
      <c r="E173" s="1">
        <v>0.004242820625924404</v>
      </c>
      <c r="F173" s="1">
        <v>-0.002863535829293773</v>
      </c>
      <c r="G173" s="1">
        <v>0.01502793118221435</v>
      </c>
      <c r="H173" s="1">
        <v>-0.01663462213710754</v>
      </c>
      <c r="I173" s="1">
        <v>-0.005236507051877615</v>
      </c>
      <c r="J173" s="1">
        <v>-0.004084305480444805</v>
      </c>
      <c r="K173" s="1">
        <v>0.01355343197462155</v>
      </c>
      <c r="L173" s="1">
        <v>0.001340298096657033</v>
      </c>
      <c r="M173" s="1">
        <v>0.002068020503367185</v>
      </c>
      <c r="N173" s="1">
        <v>-0.004796141039113411</v>
      </c>
      <c r="O173" s="1">
        <v>-0.002056351145888868</v>
      </c>
      <c r="P173" s="1">
        <v>-0.003988951129146101</v>
      </c>
      <c r="Q173" s="1">
        <v>0.0004100415332390916</v>
      </c>
      <c r="R173" s="1">
        <v>-0.0001740230286424449</v>
      </c>
      <c r="S173" s="1">
        <v>-0.01296898193237117</v>
      </c>
      <c r="T173" s="1">
        <v>-0.01096025764290909</v>
      </c>
      <c r="U173" s="1">
        <v>-0.001938592551814611</v>
      </c>
      <c r="V173" s="1">
        <v>-0.01194865431759684</v>
      </c>
      <c r="W173" s="1">
        <v>0.0009971792699887683</v>
      </c>
      <c r="X173" s="1">
        <v>0.0002448488908202151</v>
      </c>
      <c r="Y173" s="1">
        <v>-0.002047881913159966</v>
      </c>
      <c r="Z173" s="1">
        <v>0.003597222611841255</v>
      </c>
    </row>
    <row r="174" spans="1:26">
      <c r="A174" s="11">
        <v>42622</v>
      </c>
      <c r="B174" s="1">
        <v>0.005927099648743273</v>
      </c>
      <c r="C174" s="1">
        <v>-0.03288165920781361</v>
      </c>
      <c r="D174" s="1">
        <v>-0.02127179418840952</v>
      </c>
      <c r="E174" s="1">
        <v>-0.0202430317548109</v>
      </c>
      <c r="F174" s="1">
        <v>-0.01587057593688934</v>
      </c>
      <c r="G174" s="1">
        <v>-0.04357050037601862</v>
      </c>
      <c r="H174" s="1">
        <v>-0.02154556194698887</v>
      </c>
      <c r="I174" s="1">
        <v>-0.01615211910125347</v>
      </c>
      <c r="J174" s="1">
        <v>-0.03827737940266884</v>
      </c>
      <c r="K174" s="1">
        <v>-0.04513152607595949</v>
      </c>
      <c r="L174" s="1">
        <v>-0.008922180342329167</v>
      </c>
      <c r="M174" s="1">
        <v>-0.03663561976416352</v>
      </c>
      <c r="N174" s="1">
        <v>-0.04277108885551639</v>
      </c>
      <c r="O174" s="1">
        <v>-0.02870173223304995</v>
      </c>
      <c r="P174" s="1">
        <v>-0.02124341304812094</v>
      </c>
      <c r="Q174" s="1">
        <v>-0.04182020797665575</v>
      </c>
      <c r="R174" s="1">
        <v>-0.02383443962622922</v>
      </c>
      <c r="S174" s="1">
        <v>-0.01982025187281933</v>
      </c>
      <c r="T174" s="1">
        <v>-0.03162154928784666</v>
      </c>
      <c r="U174" s="1">
        <v>-0.0359309133399327</v>
      </c>
      <c r="V174" s="1">
        <v>-0.006622801846830506</v>
      </c>
      <c r="W174" s="1">
        <v>-0.04626679049368931</v>
      </c>
      <c r="X174" s="1">
        <v>-0.02425257220161481</v>
      </c>
      <c r="Y174" s="1">
        <v>-0.03320877159248781</v>
      </c>
      <c r="Z174" s="1">
        <v>-0.00391021477358322</v>
      </c>
    </row>
    <row r="175" spans="1:26">
      <c r="A175" s="11">
        <v>42625</v>
      </c>
      <c r="B175" s="1">
        <v>0.008417962428028058</v>
      </c>
      <c r="C175" s="1">
        <v>0.01237050217222158</v>
      </c>
      <c r="D175" s="1">
        <v>0.01419391299860751</v>
      </c>
      <c r="E175" s="1">
        <v>0.01185783157710851</v>
      </c>
      <c r="F175" s="1">
        <v>0.009983009954787736</v>
      </c>
      <c r="G175" s="1">
        <v>0.01503813647382435</v>
      </c>
      <c r="H175" s="1">
        <v>0.01892645693664652</v>
      </c>
      <c r="I175" s="1">
        <v>0.01045816408717792</v>
      </c>
      <c r="J175" s="1">
        <v>0.03900758866858189</v>
      </c>
      <c r="K175" s="1">
        <v>0.00875294613955746</v>
      </c>
      <c r="L175" s="1">
        <v>0.006151556066115615</v>
      </c>
      <c r="M175" s="1">
        <v>0.0128547960603882</v>
      </c>
      <c r="N175" s="1">
        <v>0.01746363525683448</v>
      </c>
      <c r="O175" s="1">
        <v>0.01833591466289408</v>
      </c>
      <c r="P175" s="1">
        <v>0.01494386744660403</v>
      </c>
      <c r="Q175" s="1">
        <v>0.01412065283324559</v>
      </c>
      <c r="R175" s="1">
        <v>0.0188912653682054</v>
      </c>
      <c r="S175" s="1">
        <v>0.01024057845404025</v>
      </c>
      <c r="T175" s="1">
        <v>0.01807619871206256</v>
      </c>
      <c r="U175" s="1">
        <v>0.02518277553086312</v>
      </c>
      <c r="V175" s="1">
        <v>0.004347952975648051</v>
      </c>
      <c r="W175" s="1">
        <v>0.01893146771286291</v>
      </c>
      <c r="X175" s="1">
        <v>0.01481297518528479</v>
      </c>
      <c r="Y175" s="1">
        <v>0.01447271466042466</v>
      </c>
      <c r="Z175" s="1">
        <v>0.01210344245275374</v>
      </c>
    </row>
    <row r="176" spans="1:26">
      <c r="A176" s="11">
        <v>42626</v>
      </c>
      <c r="B176" s="1">
        <v>-0.0399001996040772</v>
      </c>
      <c r="C176" s="1">
        <v>-0.01045175486167926</v>
      </c>
      <c r="D176" s="1">
        <v>-0.007653370446244145</v>
      </c>
      <c r="E176" s="1">
        <v>-0.01278428440820389</v>
      </c>
      <c r="F176" s="1">
        <v>-0.01505454378437898</v>
      </c>
      <c r="G176" s="1">
        <v>-0.02222272860171581</v>
      </c>
      <c r="H176" s="1">
        <v>-0.009823082870210387</v>
      </c>
      <c r="I176" s="1">
        <v>-0.02407021769267992</v>
      </c>
      <c r="J176" s="1">
        <v>-0.02139383933950767</v>
      </c>
      <c r="K176" s="1">
        <v>-0.0271153843712737</v>
      </c>
      <c r="L176" s="1">
        <v>-0.007903156957135171</v>
      </c>
      <c r="M176" s="1">
        <v>-0.01797994816515402</v>
      </c>
      <c r="N176" s="1">
        <v>-0.007961261437904654</v>
      </c>
      <c r="O176" s="1">
        <v>-0.01592275164696977</v>
      </c>
      <c r="P176" s="1">
        <v>-0.009114651870088419</v>
      </c>
      <c r="Q176" s="1">
        <v>-0.01983120663845628</v>
      </c>
      <c r="R176" s="1">
        <v>-0.01416787020629973</v>
      </c>
      <c r="S176" s="1">
        <v>-0.01940665258958296</v>
      </c>
      <c r="T176" s="1">
        <v>-0.02004656417520945</v>
      </c>
      <c r="U176" s="1">
        <v>-0.01817743183213838</v>
      </c>
      <c r="V176" s="1">
        <v>-0.005194852101555125</v>
      </c>
      <c r="W176" s="1">
        <v>-0.007521553669487591</v>
      </c>
      <c r="X176" s="1">
        <v>-0.01583386250267771</v>
      </c>
      <c r="Y176" s="1">
        <v>-0.02130506874964111</v>
      </c>
      <c r="Z176" s="1">
        <v>-0.02230122124324974</v>
      </c>
    </row>
    <row r="177" spans="1:26">
      <c r="A177" s="11">
        <v>42627</v>
      </c>
      <c r="B177" s="1">
        <v>-0.0132150623394206</v>
      </c>
      <c r="C177" s="1">
        <v>-0.00846541894617836</v>
      </c>
      <c r="D177" s="1">
        <v>0.001101504804966735</v>
      </c>
      <c r="E177" s="1">
        <v>-0.006654820304530684</v>
      </c>
      <c r="F177" s="1">
        <v>0.006175262573798301</v>
      </c>
      <c r="G177" s="1">
        <v>-0.0004454613092735871</v>
      </c>
      <c r="H177" s="1">
        <v>0.0009020177257677009</v>
      </c>
      <c r="I177" s="1">
        <v>-0.006412759209136309</v>
      </c>
      <c r="J177" s="1">
        <v>0.006346774283419121</v>
      </c>
      <c r="K177" s="1">
        <v>-0.007134640571871964</v>
      </c>
      <c r="L177" s="1">
        <v>-0.001954318403865951</v>
      </c>
      <c r="M177" s="1">
        <v>-0.008077338560487091</v>
      </c>
      <c r="N177" s="1">
        <v>-0.006766177983328681</v>
      </c>
      <c r="O177" s="1">
        <v>-0.00453644184576163</v>
      </c>
      <c r="P177" s="1">
        <v>-0.004776276474136698</v>
      </c>
      <c r="Q177" s="1">
        <v>0.008178728241447608</v>
      </c>
      <c r="R177" s="1">
        <v>0.006742398854358012</v>
      </c>
      <c r="S177" s="1">
        <v>0.001630109506704169</v>
      </c>
      <c r="T177" s="1">
        <v>0.006794424081661754</v>
      </c>
      <c r="U177" s="1">
        <v>-0.002001770777700362</v>
      </c>
      <c r="V177" s="1">
        <v>-0.01073389053572704</v>
      </c>
      <c r="W177" s="1">
        <v>0.01860157637948334</v>
      </c>
      <c r="X177" s="1">
        <v>-0.02036211780095576</v>
      </c>
      <c r="Y177" s="1">
        <v>0.0007776496086608908</v>
      </c>
      <c r="Z177" s="1">
        <v>-0.006942219724645482</v>
      </c>
    </row>
    <row r="178" spans="1:26">
      <c r="A178" s="11">
        <v>42628</v>
      </c>
      <c r="B178" s="1">
        <v>0.0343612974885299</v>
      </c>
      <c r="C178" s="1">
        <v>0.0007832276148169726</v>
      </c>
      <c r="D178" s="1">
        <v>0.03609980858469308</v>
      </c>
      <c r="E178" s="1">
        <v>0.01339880726369636</v>
      </c>
      <c r="F178" s="1">
        <v>0.01641866880287646</v>
      </c>
      <c r="G178" s="1">
        <v>0.009808228235369087</v>
      </c>
      <c r="H178" s="1">
        <v>0.005225952667359257</v>
      </c>
      <c r="I178" s="1">
        <v>0.01290840699930196</v>
      </c>
      <c r="J178" s="1">
        <v>0.01611765887222938</v>
      </c>
      <c r="K178" s="1">
        <v>-0.005614387492909656</v>
      </c>
      <c r="L178" s="1">
        <v>0.003614813225310654</v>
      </c>
      <c r="M178" s="1">
        <v>0.004071498013540342</v>
      </c>
      <c r="N178" s="1">
        <v>0.002059318273909705</v>
      </c>
      <c r="O178" s="1">
        <v>0.008658497791006248</v>
      </c>
      <c r="P178" s="1">
        <v>0.01653039538372814</v>
      </c>
      <c r="Q178" s="1">
        <v>0.009820784782888392</v>
      </c>
      <c r="R178" s="1">
        <v>0.003348259624046834</v>
      </c>
      <c r="S178" s="1">
        <v>-0.001394917292007358</v>
      </c>
      <c r="T178" s="1">
        <v>0.004100060362176805</v>
      </c>
      <c r="U178" s="1">
        <v>0.01403897522297393</v>
      </c>
      <c r="V178" s="1">
        <v>0.01480912930345535</v>
      </c>
      <c r="W178" s="1">
        <v>0.01454227567811994</v>
      </c>
      <c r="X178" s="1">
        <v>0.01052132698601183</v>
      </c>
      <c r="Y178" s="1">
        <v>0.009516458033461239</v>
      </c>
      <c r="Z178" s="1">
        <v>0.01031970030389751</v>
      </c>
    </row>
    <row r="179" spans="1:26">
      <c r="A179" s="11">
        <v>42629</v>
      </c>
      <c r="B179" s="1">
        <v>-0.0023850931885252</v>
      </c>
      <c r="C179" s="1">
        <v>-0.008374411570677531</v>
      </c>
      <c r="D179" s="1">
        <v>0.00446123764610884</v>
      </c>
      <c r="E179" s="1">
        <v>-0.006610826442491446</v>
      </c>
      <c r="F179" s="1">
        <v>-0.004830865501504578</v>
      </c>
      <c r="G179" s="1">
        <v>0.01766002361041275</v>
      </c>
      <c r="H179" s="1">
        <v>-0.007170796953212877</v>
      </c>
      <c r="I179" s="1">
        <v>0.00416604688197264</v>
      </c>
      <c r="J179" s="1">
        <v>0.00206896462552586</v>
      </c>
      <c r="K179" s="1">
        <v>0.006097276373279392</v>
      </c>
      <c r="L179" s="1">
        <v>-0.01230525275498373</v>
      </c>
      <c r="M179" s="1">
        <v>-0.01081380757607442</v>
      </c>
      <c r="N179" s="1">
        <v>-0.007114567545764894</v>
      </c>
      <c r="O179" s="1">
        <v>-0.007379499819013535</v>
      </c>
      <c r="P179" s="1">
        <v>0.001049170860558224</v>
      </c>
      <c r="Q179" s="1">
        <v>0.01987346988050387</v>
      </c>
      <c r="R179" s="1">
        <v>-0.006323279999422615</v>
      </c>
      <c r="S179" s="1">
        <v>0.0007451438905694552</v>
      </c>
      <c r="T179" s="1">
        <v>-0.009973279595903661</v>
      </c>
      <c r="U179" s="1">
        <v>-0.00618067473290751</v>
      </c>
      <c r="V179" s="1">
        <v>0.0002888749007226021</v>
      </c>
      <c r="W179" s="1">
        <v>0.0003324614548250171</v>
      </c>
      <c r="X179" s="1">
        <v>-0.01193539907459995</v>
      </c>
      <c r="Y179" s="1">
        <v>-0.001923923753696322</v>
      </c>
      <c r="Z179" s="1">
        <v>-0.01482704907335552</v>
      </c>
    </row>
    <row r="180" spans="1:26">
      <c r="A180" s="11">
        <v>42632</v>
      </c>
      <c r="B180" s="1">
        <v>-0.01212419030150469</v>
      </c>
      <c r="C180" s="1">
        <v>0.00615632628856555</v>
      </c>
      <c r="D180" s="1">
        <v>-0.0006347578971654944</v>
      </c>
      <c r="E180" s="1">
        <v>-0.009352211395206256</v>
      </c>
      <c r="F180" s="1">
        <v>-0.001061746464396274</v>
      </c>
      <c r="G180" s="1">
        <v>0.01084598869877929</v>
      </c>
      <c r="H180" s="1">
        <v>-0.001264114493522372</v>
      </c>
      <c r="I180" s="1">
        <v>0.001952391066381232</v>
      </c>
      <c r="J180" s="1">
        <v>0.002064600683499895</v>
      </c>
      <c r="K180" s="1">
        <v>-0.007855877208176154</v>
      </c>
      <c r="L180" s="1">
        <v>0.005621463784517999</v>
      </c>
      <c r="M180" s="1">
        <v>0.003006008712952424</v>
      </c>
      <c r="N180" s="1">
        <v>-0.001274009357116523</v>
      </c>
      <c r="O180" s="1">
        <v>0.005462284861464939</v>
      </c>
      <c r="P180" s="1">
        <v>-0.005589438215197751</v>
      </c>
      <c r="Q180" s="1">
        <v>0.01285254497608124</v>
      </c>
      <c r="R180" s="1">
        <v>0.001944368021925991</v>
      </c>
      <c r="S180" s="1">
        <v>0.00516358869201694</v>
      </c>
      <c r="T180" s="1">
        <v>-0.001642330555201688</v>
      </c>
      <c r="U180" s="1">
        <v>-0.003482678068132072</v>
      </c>
      <c r="V180" s="1">
        <v>-0.004910868550407343</v>
      </c>
      <c r="W180" s="1">
        <v>-0.0003323509609409747</v>
      </c>
      <c r="X180" s="1">
        <v>0.004626166836263934</v>
      </c>
      <c r="Y180" s="1">
        <v>-0.01310732084097765</v>
      </c>
      <c r="Z180" s="1">
        <v>0</v>
      </c>
    </row>
    <row r="181" spans="1:26">
      <c r="A181" s="11">
        <v>42633</v>
      </c>
      <c r="B181" s="1">
        <v>-0.006223028906429784</v>
      </c>
      <c r="C181" s="1">
        <v>0.002431630831827514</v>
      </c>
      <c r="D181" s="1">
        <v>0.002963017920844635</v>
      </c>
      <c r="E181" s="1">
        <v>0.00871420248921484</v>
      </c>
      <c r="F181" s="1">
        <v>0.005770476901694188</v>
      </c>
      <c r="G181" s="1">
        <v>0.007296120613173862</v>
      </c>
      <c r="H181" s="1">
        <v>-0.005243352402177548</v>
      </c>
      <c r="I181" s="1">
        <v>0.004384292815232227</v>
      </c>
      <c r="J181" s="1">
        <v>-0.001373472617602567</v>
      </c>
      <c r="K181" s="1">
        <v>-0.005882638969462173</v>
      </c>
      <c r="L181" s="1">
        <v>0.004079145144653351</v>
      </c>
      <c r="M181" s="1">
        <v>0.003269978360558534</v>
      </c>
      <c r="N181" s="1">
        <v>0.003986267144515443</v>
      </c>
      <c r="O181" s="1">
        <v>0.007997354773010779</v>
      </c>
      <c r="P181" s="1">
        <v>-0.002107849163029307</v>
      </c>
      <c r="Q181" s="1">
        <v>0.006958583544427244</v>
      </c>
      <c r="R181" s="1">
        <v>0.01058574125668565</v>
      </c>
      <c r="S181" s="1">
        <v>0.003563824257080572</v>
      </c>
      <c r="T181" s="1">
        <v>0.005995845933741251</v>
      </c>
      <c r="U181" s="1">
        <v>-0.002495959262297731</v>
      </c>
      <c r="V181" s="1">
        <v>-0.003919271016338599</v>
      </c>
      <c r="W181" s="1">
        <v>0.01079929405572111</v>
      </c>
      <c r="X181" s="1">
        <v>-0.004604863967292983</v>
      </c>
      <c r="Y181" s="1">
        <v>0.001367404189991372</v>
      </c>
      <c r="Z181" s="1">
        <v>-0.001003403364406519</v>
      </c>
    </row>
    <row r="182" spans="1:26">
      <c r="A182" s="11">
        <v>42634</v>
      </c>
      <c r="B182" s="1">
        <v>0.05914028875208399</v>
      </c>
      <c r="C182" s="1">
        <v>0.02167631258055924</v>
      </c>
      <c r="D182" s="1">
        <v>0.01118339739089724</v>
      </c>
      <c r="E182" s="1">
        <v>0.006659514278214207</v>
      </c>
      <c r="F182" s="1">
        <v>0.01404201722478526</v>
      </c>
      <c r="G182" s="1">
        <v>0.02343424184919796</v>
      </c>
      <c r="H182" s="1">
        <v>0.01235939306485068</v>
      </c>
      <c r="I182" s="1">
        <v>0.007032887535059373</v>
      </c>
      <c r="J182" s="1">
        <v>0.03094890650782856</v>
      </c>
      <c r="K182" s="1">
        <v>0.01388238470441805</v>
      </c>
      <c r="L182" s="1">
        <v>0.005717820194982348</v>
      </c>
      <c r="M182" s="1">
        <v>0.002444226460554644</v>
      </c>
      <c r="N182" s="1">
        <v>0.008416409391971191</v>
      </c>
      <c r="O182" s="1">
        <v>0.01242525181981602</v>
      </c>
      <c r="P182" s="1">
        <v>0.0167225954335628</v>
      </c>
      <c r="Q182" s="1">
        <v>0.03170711457871622</v>
      </c>
      <c r="R182" s="1">
        <v>0.008729035652946804</v>
      </c>
      <c r="S182" s="1">
        <v>0.003181943850477431</v>
      </c>
      <c r="T182" s="1">
        <v>0.01166531665983772</v>
      </c>
      <c r="U182" s="1">
        <v>0.01526528923537218</v>
      </c>
      <c r="V182" s="1">
        <v>0.01238716890325553</v>
      </c>
      <c r="W182" s="1">
        <v>0.02506275627787957</v>
      </c>
      <c r="X182" s="1">
        <v>0.009509536110715588</v>
      </c>
      <c r="Y182" s="1">
        <v>0.01170250893202729</v>
      </c>
      <c r="Z182" s="1">
        <v>0.004017303893103286</v>
      </c>
    </row>
    <row r="183" spans="1:26">
      <c r="A183" s="11">
        <v>42635</v>
      </c>
      <c r="B183" s="1">
        <v>0.001806676266721707</v>
      </c>
      <c r="C183" s="1">
        <v>0.01003348984793329</v>
      </c>
      <c r="D183" s="1">
        <v>0.005843460649222587</v>
      </c>
      <c r="E183" s="1">
        <v>0.008761046742818301</v>
      </c>
      <c r="F183" s="1">
        <v>0.002084522009346168</v>
      </c>
      <c r="G183" s="1">
        <v>0.003746843329717642</v>
      </c>
      <c r="H183" s="1">
        <v>-0.00556578147314124</v>
      </c>
      <c r="I183" s="1">
        <v>0.0133654547340285</v>
      </c>
      <c r="J183" s="1">
        <v>0.008672683949022097</v>
      </c>
      <c r="K183" s="1">
        <v>0.009203571377607744</v>
      </c>
      <c r="L183" s="1">
        <v>0.008228661837277107</v>
      </c>
      <c r="M183" s="1">
        <v>0.01137939728328807</v>
      </c>
      <c r="N183" s="1">
        <v>0.00976443238156266</v>
      </c>
      <c r="O183" s="1">
        <v>0.008576093834598675</v>
      </c>
      <c r="P183" s="1">
        <v>0.00103874250721625</v>
      </c>
      <c r="Q183" s="1">
        <v>-0.004334082607474032</v>
      </c>
      <c r="R183" s="1">
        <v>0.01159554922277506</v>
      </c>
      <c r="S183" s="1">
        <v>0.0196292073100659</v>
      </c>
      <c r="T183" s="1">
        <v>0.00445418950101284</v>
      </c>
      <c r="U183" s="1">
        <v>0.01331024387108704</v>
      </c>
      <c r="V183" s="1">
        <v>-0.01309920778160834</v>
      </c>
      <c r="W183" s="1">
        <v>0.01441288544641561</v>
      </c>
      <c r="X183" s="1">
        <v>0.01120174096442694</v>
      </c>
      <c r="Y183" s="1">
        <v>0.009254156302871852</v>
      </c>
      <c r="Z183" s="1">
        <v>0.009670176103338646</v>
      </c>
    </row>
    <row r="184" spans="1:26">
      <c r="A184" s="11">
        <v>42636</v>
      </c>
      <c r="B184" s="1">
        <v>-0.01606526115122919</v>
      </c>
      <c r="C184" s="1">
        <v>-0.0006822591493153007</v>
      </c>
      <c r="D184" s="1">
        <v>-0.01473011464980611</v>
      </c>
      <c r="E184" s="1">
        <v>0.001063332679068552</v>
      </c>
      <c r="F184" s="1">
        <v>-0.00222886578913839</v>
      </c>
      <c r="G184" s="1">
        <v>0.003318358812034017</v>
      </c>
      <c r="H184" s="1">
        <v>-0.009027048955280281</v>
      </c>
      <c r="I184" s="1">
        <v>-0.009743715981974543</v>
      </c>
      <c r="J184" s="1">
        <v>-0.001984303068017335</v>
      </c>
      <c r="K184" s="1">
        <v>-0.01267834815557278</v>
      </c>
      <c r="L184" s="1">
        <v>-0.002077350496909935</v>
      </c>
      <c r="M184" s="1">
        <v>-0.002411064313171174</v>
      </c>
      <c r="N184" s="1">
        <v>-0.003899583303496046</v>
      </c>
      <c r="O184" s="1">
        <v>-0.0126082328756747</v>
      </c>
      <c r="P184" s="1">
        <v>-0.006745191662216765</v>
      </c>
      <c r="Q184" s="1">
        <v>-0.006331674849800684</v>
      </c>
      <c r="R184" s="1">
        <v>-0.00889642592286688</v>
      </c>
      <c r="S184" s="1">
        <v>0.001442842818239143</v>
      </c>
      <c r="T184" s="1">
        <v>0.01208800177216074</v>
      </c>
      <c r="U184" s="1">
        <v>0.004135310279383075</v>
      </c>
      <c r="V184" s="1">
        <v>0.003062994088552928</v>
      </c>
      <c r="W184" s="1">
        <v>0</v>
      </c>
      <c r="X184" s="1">
        <v>-0.006797590358397221</v>
      </c>
      <c r="Y184" s="1">
        <v>0.004011721790557088</v>
      </c>
      <c r="Z184" s="1">
        <v>0.01089824843513898</v>
      </c>
    </row>
    <row r="185" spans="1:26">
      <c r="A185" s="11">
        <v>42639</v>
      </c>
      <c r="B185" s="1">
        <v>-0.001333006543716153</v>
      </c>
      <c r="C185" s="1">
        <v>-0.00918211565196958</v>
      </c>
      <c r="D185" s="1">
        <v>-0.006106580328131161</v>
      </c>
      <c r="E185" s="1">
        <v>-0.01770537209486411</v>
      </c>
      <c r="F185" s="1">
        <v>-0.01995519729044892</v>
      </c>
      <c r="G185" s="1">
        <v>0.002893718756651786</v>
      </c>
      <c r="H185" s="1">
        <v>-0.005647521847033987</v>
      </c>
      <c r="I185" s="1">
        <v>0.00288022486574846</v>
      </c>
      <c r="J185" s="1">
        <v>-0.004638447455274641</v>
      </c>
      <c r="K185" s="1">
        <v>-0.002252335521772397</v>
      </c>
      <c r="L185" s="1">
        <v>-0.02185861888124396</v>
      </c>
      <c r="M185" s="1">
        <v>-0.009935658943583059</v>
      </c>
      <c r="N185" s="1">
        <v>-0.01315198625798197</v>
      </c>
      <c r="O185" s="1">
        <v>-0.005048039929954284</v>
      </c>
      <c r="P185" s="1">
        <v>-0.009228782899227572</v>
      </c>
      <c r="Q185" s="1">
        <v>-0.0003981207614182081</v>
      </c>
      <c r="R185" s="1">
        <v>-0.01277422181754251</v>
      </c>
      <c r="S185" s="1">
        <v>0.008238707608566154</v>
      </c>
      <c r="T185" s="1">
        <v>-0.009505349306611399</v>
      </c>
      <c r="U185" s="1">
        <v>-0.003391437888187521</v>
      </c>
      <c r="V185" s="1">
        <v>-0.02253920174571644</v>
      </c>
      <c r="W185" s="1">
        <v>-0.009514351126569731</v>
      </c>
      <c r="X185" s="1">
        <v>-0.006337730351575921</v>
      </c>
      <c r="Y185" s="1">
        <v>-0.007800891345762007</v>
      </c>
      <c r="Z185" s="1">
        <v>-0.01927468435611845</v>
      </c>
    </row>
    <row r="186" spans="1:26">
      <c r="A186" s="11">
        <v>42640</v>
      </c>
      <c r="B186" s="1">
        <v>-0.005839257050758606</v>
      </c>
      <c r="C186" s="1">
        <v>0.005744152553169179</v>
      </c>
      <c r="D186" s="1">
        <v>0.002754180117026994</v>
      </c>
      <c r="E186" s="1">
        <v>0.0046865623647947</v>
      </c>
      <c r="F186" s="1">
        <v>0.00547029378056374</v>
      </c>
      <c r="G186" s="1">
        <v>-0.01566361724542253</v>
      </c>
      <c r="H186" s="1">
        <v>0.0005497185472813637</v>
      </c>
      <c r="I186" s="1">
        <v>-0.006341321766919594</v>
      </c>
      <c r="J186" s="1">
        <v>0.02130440570177639</v>
      </c>
      <c r="K186" s="1">
        <v>0.01557918875936015</v>
      </c>
      <c r="L186" s="1">
        <v>0.008817095664209518</v>
      </c>
      <c r="M186" s="1">
        <v>0.04529442553661478</v>
      </c>
      <c r="N186" s="1">
        <v>0.004601343063816099</v>
      </c>
      <c r="O186" s="1">
        <v>0.005819987325642595</v>
      </c>
      <c r="P186" s="1">
        <v>0.01845380324157686</v>
      </c>
      <c r="Q186" s="1">
        <v>-0.01633477941561257</v>
      </c>
      <c r="R186" s="1">
        <v>0.003322562019469455</v>
      </c>
      <c r="S186" s="1">
        <v>-0.004509813176096111</v>
      </c>
      <c r="T186" s="1">
        <v>0.00738476254514997</v>
      </c>
      <c r="U186" s="1">
        <v>0.007778316709844635</v>
      </c>
      <c r="V186" s="1">
        <v>0.01591785257512113</v>
      </c>
      <c r="W186" s="1">
        <v>0.01741823804637188</v>
      </c>
      <c r="X186" s="1">
        <v>0.009948897660521983</v>
      </c>
      <c r="Y186" s="1">
        <v>0.006519791988543355</v>
      </c>
      <c r="Z186" s="1">
        <v>0.01299116683415069</v>
      </c>
    </row>
    <row r="187" spans="1:26">
      <c r="A187" s="11">
        <v>42641</v>
      </c>
      <c r="B187" s="1">
        <v>0.0689712681224961</v>
      </c>
      <c r="C187" s="1">
        <v>0.00692940073524051</v>
      </c>
      <c r="D187" s="1">
        <v>0.01246518440983446</v>
      </c>
      <c r="E187" s="1">
        <v>-0.01166150902847074</v>
      </c>
      <c r="F187" s="1">
        <v>0.007707620496007817</v>
      </c>
      <c r="G187" s="1">
        <v>0.01005019376827621</v>
      </c>
      <c r="H187" s="1">
        <v>0.005859682037096636</v>
      </c>
      <c r="I187" s="1">
        <v>0.0198910501989138</v>
      </c>
      <c r="J187" s="1">
        <v>0.009778267660664142</v>
      </c>
      <c r="K187" s="1">
        <v>0.02734515123764414</v>
      </c>
      <c r="L187" s="1">
        <v>0.005274133926832514</v>
      </c>
      <c r="M187" s="1">
        <v>-0.01219515747787991</v>
      </c>
      <c r="N187" s="1">
        <v>0.007106822152535219</v>
      </c>
      <c r="O187" s="1">
        <v>-0.002522348115532425</v>
      </c>
      <c r="P187" s="1">
        <v>0.001380350144866371</v>
      </c>
      <c r="Q187" s="1">
        <v>-0.001619466473348652</v>
      </c>
      <c r="R187" s="1">
        <v>0.01969349460643621</v>
      </c>
      <c r="S187" s="1">
        <v>0.01296331700677467</v>
      </c>
      <c r="T187" s="1">
        <v>-0.001629087560880982</v>
      </c>
      <c r="U187" s="1">
        <v>-0.01471299891015732</v>
      </c>
      <c r="V187" s="1">
        <v>-0.006882127419397199</v>
      </c>
      <c r="W187" s="1">
        <v>-0.001510911153622563</v>
      </c>
      <c r="X187" s="1">
        <v>0.01490297468783908</v>
      </c>
      <c r="Y187" s="1">
        <v>-0.008192354221768339</v>
      </c>
      <c r="Z187" s="1">
        <v>0.01446890914347732</v>
      </c>
    </row>
    <row r="188" spans="1:26">
      <c r="A188" s="11">
        <v>42642</v>
      </c>
      <c r="B188" s="1">
        <v>0.0006279989925446205</v>
      </c>
      <c r="C188" s="1">
        <v>-0.009074865634772111</v>
      </c>
      <c r="D188" s="1">
        <v>-0.02086779145911333</v>
      </c>
      <c r="E188" s="1">
        <v>-0.02214567796737876</v>
      </c>
      <c r="F188" s="1">
        <v>-0.006448722775160953</v>
      </c>
      <c r="G188" s="1">
        <v>-0.02238817562079354</v>
      </c>
      <c r="H188" s="1">
        <v>-0.01001264209530617</v>
      </c>
      <c r="I188" s="1">
        <v>-0.002735380279190625</v>
      </c>
      <c r="J188" s="1">
        <v>-0.00645566171959111</v>
      </c>
      <c r="K188" s="1">
        <v>-0.006492144451106241</v>
      </c>
      <c r="L188" s="1">
        <v>-0.01588976291521516</v>
      </c>
      <c r="M188" s="1">
        <v>0.002101157031542789</v>
      </c>
      <c r="N188" s="1">
        <v>-0.01489710054443494</v>
      </c>
      <c r="O188" s="1">
        <v>-0.01234584653457194</v>
      </c>
      <c r="P188" s="1">
        <v>-0.01085634675458924</v>
      </c>
      <c r="Q188" s="1">
        <v>-0.01785036621808356</v>
      </c>
      <c r="R188" s="1">
        <v>-0.01059663039470293</v>
      </c>
      <c r="S188" s="1">
        <v>-0.003719746479807218</v>
      </c>
      <c r="T188" s="1">
        <v>-0.01638764174924501</v>
      </c>
      <c r="U188" s="1">
        <v>-0.002937537298229431</v>
      </c>
      <c r="V188" s="1">
        <v>-0.001474356934713539</v>
      </c>
      <c r="W188" s="1">
        <v>-0.01626284060795447</v>
      </c>
      <c r="X188" s="1">
        <v>-0.01692367634962555</v>
      </c>
      <c r="Y188" s="1">
        <v>0.001152743791883903</v>
      </c>
      <c r="Z188" s="1">
        <v>-0.01069688862117835</v>
      </c>
    </row>
    <row r="189" spans="1:26">
      <c r="A189" s="11">
        <v>42643</v>
      </c>
      <c r="B189" s="1">
        <v>0.002039657896304892</v>
      </c>
      <c r="C189" s="1">
        <v>0.005418450488078763</v>
      </c>
      <c r="D189" s="1">
        <v>0.01449309028847745</v>
      </c>
      <c r="E189" s="1">
        <v>0.0009285427016332282</v>
      </c>
      <c r="F189" s="1">
        <v>0.001358291183293892</v>
      </c>
      <c r="G189" s="1">
        <v>-0.01484333148514416</v>
      </c>
      <c r="H189" s="1">
        <v>0.005884465233038982</v>
      </c>
      <c r="I189" s="1">
        <v>0.01776729293911283</v>
      </c>
      <c r="J189" s="1">
        <v>0.009096929760101347</v>
      </c>
      <c r="K189" s="1">
        <v>0.01350482754768834</v>
      </c>
      <c r="L189" s="1">
        <v>0.01431815610750742</v>
      </c>
      <c r="M189" s="1">
        <v>0.01939698814402746</v>
      </c>
      <c r="N189" s="1">
        <v>0.006526523167000642</v>
      </c>
      <c r="O189" s="1">
        <v>0.01280147575033208</v>
      </c>
      <c r="P189" s="1">
        <v>0.003484091073745477</v>
      </c>
      <c r="Q189" s="1">
        <v>-0.0041303984809542</v>
      </c>
      <c r="R189" s="1">
        <v>0.01537372258256275</v>
      </c>
      <c r="S189" s="1">
        <v>-0.008222600767345378</v>
      </c>
      <c r="T189" s="1">
        <v>-0.002308071158986014</v>
      </c>
      <c r="U189" s="1">
        <v>-0.00294625412217131</v>
      </c>
      <c r="V189" s="1">
        <v>0.01417601804786028</v>
      </c>
      <c r="W189" s="1">
        <v>0.01922318876731222</v>
      </c>
      <c r="X189" s="1">
        <v>0.006328731153551148</v>
      </c>
      <c r="Y189" s="1">
        <v>-0.002686095318559012</v>
      </c>
      <c r="Z189" s="1">
        <v>0.01638263269618889</v>
      </c>
    </row>
    <row r="190" spans="1:26">
      <c r="A190" s="11">
        <v>42646</v>
      </c>
      <c r="B190" s="1">
        <v>0.001252346609301291</v>
      </c>
      <c r="C190" s="1">
        <v>0.004858261319635515</v>
      </c>
      <c r="D190" s="1">
        <v>0.0008399375490963923</v>
      </c>
      <c r="E190" s="1">
        <v>0.01372372626206508</v>
      </c>
      <c r="F190" s="1">
        <v>0.001891960235564483</v>
      </c>
      <c r="G190" s="1">
        <v>-0.01420534315159006</v>
      </c>
      <c r="H190" s="1">
        <v>-0.002011047534121069</v>
      </c>
      <c r="I190" s="1">
        <v>0</v>
      </c>
      <c r="J190" s="1">
        <v>0.007727235843971503</v>
      </c>
      <c r="K190" s="1">
        <v>-0.004083234693843751</v>
      </c>
      <c r="L190" s="1">
        <v>-0.001201052867633834</v>
      </c>
      <c r="M190" s="1">
        <v>0.02185702306377624</v>
      </c>
      <c r="N190" s="1">
        <v>-0.006009789441017377</v>
      </c>
      <c r="O190" s="1">
        <v>-0.004312343550371911</v>
      </c>
      <c r="P190" s="1">
        <v>-0.003124884396133121</v>
      </c>
      <c r="Q190" s="1">
        <v>-0.02032366627639159</v>
      </c>
      <c r="R190" s="1">
        <v>-0.0001700641280861781</v>
      </c>
      <c r="S190" s="1">
        <v>-0.02948832850431338</v>
      </c>
      <c r="T190" s="1">
        <v>-0.002963598543753165</v>
      </c>
      <c r="U190" s="1">
        <v>0.003939697076294602</v>
      </c>
      <c r="V190" s="1">
        <v>0</v>
      </c>
      <c r="W190" s="1">
        <v>0.0003772757062372456</v>
      </c>
      <c r="X190" s="1">
        <v>0.00327064046614578</v>
      </c>
      <c r="Y190" s="1">
        <v>-0.001923923753696322</v>
      </c>
      <c r="Z190" s="1">
        <v>0.002901278252894546</v>
      </c>
    </row>
    <row r="191" spans="1:26">
      <c r="A191" s="11">
        <v>42647</v>
      </c>
      <c r="B191" s="1">
        <v>-0.002501791197563219</v>
      </c>
      <c r="C191" s="1">
        <v>-0.0009821757648631468</v>
      </c>
      <c r="D191" s="1">
        <v>-0.007346624093998555</v>
      </c>
      <c r="E191" s="1">
        <v>0.01006227676581695</v>
      </c>
      <c r="F191" s="1">
        <v>-0.005438746612799306</v>
      </c>
      <c r="G191" s="1">
        <v>-0.0235809065882564</v>
      </c>
      <c r="H191" s="1">
        <v>-0.01721914214938502</v>
      </c>
      <c r="I191" s="1">
        <v>-0.007615397705392657</v>
      </c>
      <c r="J191" s="1">
        <v>-0.01853062504192915</v>
      </c>
      <c r="K191" s="1">
        <v>-0.01877431684384745</v>
      </c>
      <c r="L191" s="1">
        <v>0.008632379374156951</v>
      </c>
      <c r="M191" s="1">
        <v>-0.01459497015482636</v>
      </c>
      <c r="N191" s="1">
        <v>-0.0170251993236773</v>
      </c>
      <c r="O191" s="1">
        <v>-0.009408394011908183</v>
      </c>
      <c r="P191" s="1">
        <v>-0.003134754725400146</v>
      </c>
      <c r="Q191" s="1">
        <v>-0.02709592072707179</v>
      </c>
      <c r="R191" s="1">
        <v>0.005445424633151674</v>
      </c>
      <c r="S191" s="1">
        <v>-0.01800903941318244</v>
      </c>
      <c r="T191" s="1">
        <v>-0.01754615959396699</v>
      </c>
      <c r="U191" s="1">
        <v>-0.02133917286177123</v>
      </c>
      <c r="V191" s="1">
        <v>-0.0004372559463546866</v>
      </c>
      <c r="W191" s="1">
        <v>-0.009741051490994024</v>
      </c>
      <c r="X191" s="1">
        <v>-0.01680042725847009</v>
      </c>
      <c r="Y191" s="1">
        <v>-0.01195095550156311</v>
      </c>
      <c r="Z191" s="1">
        <v>0.009321873509525958</v>
      </c>
    </row>
    <row r="192" spans="1:26">
      <c r="A192" s="11">
        <v>42648</v>
      </c>
      <c r="B192" s="1">
        <v>0.01348180840502478</v>
      </c>
      <c r="C192" s="1">
        <v>0.01822322776852747</v>
      </c>
      <c r="D192" s="1">
        <v>0.01332164306034289</v>
      </c>
      <c r="E192" s="1">
        <v>-0.0007295023404416678</v>
      </c>
      <c r="F192" s="1">
        <v>-0.0004557872398583962</v>
      </c>
      <c r="G192" s="1">
        <v>-0.00044740407313415</v>
      </c>
      <c r="H192" s="1">
        <v>0.001677136733011952</v>
      </c>
      <c r="I192" s="1">
        <v>0.004958888141071816</v>
      </c>
      <c r="J192" s="1">
        <v>0.01757803168452043</v>
      </c>
      <c r="K192" s="1">
        <v>0.0105562681959237</v>
      </c>
      <c r="L192" s="1">
        <v>0.01636644350682825</v>
      </c>
      <c r="M192" s="1">
        <v>-0.001532224742909927</v>
      </c>
      <c r="N192" s="1">
        <v>-0.009064079494227717</v>
      </c>
      <c r="O192" s="1">
        <v>-0.0001508109338812513</v>
      </c>
      <c r="P192" s="1">
        <v>0.006988035702934159</v>
      </c>
      <c r="Q192" s="1">
        <v>-0.005657001823260455</v>
      </c>
      <c r="R192" s="1">
        <v>0.01235364688739793</v>
      </c>
      <c r="S192" s="1">
        <v>-0.01772751573238518</v>
      </c>
      <c r="T192" s="1">
        <v>0.00402202303761201</v>
      </c>
      <c r="U192" s="1">
        <v>-0.00266076304237961</v>
      </c>
      <c r="V192" s="1">
        <v>-0.01325537855276759</v>
      </c>
      <c r="W192" s="1">
        <v>0.004505864617252442</v>
      </c>
      <c r="X192" s="1">
        <v>0.009946753675786679</v>
      </c>
      <c r="Y192" s="1">
        <v>-0.0081288015734019</v>
      </c>
      <c r="Z192" s="1">
        <v>0.01337544665552626</v>
      </c>
    </row>
    <row r="193" spans="1:26">
      <c r="A193" s="11">
        <v>42649</v>
      </c>
      <c r="B193" s="1">
        <v>-0.008662105220701988</v>
      </c>
      <c r="C193" s="1">
        <v>-0.001782380706420117</v>
      </c>
      <c r="D193" s="1">
        <v>0.006261043001512867</v>
      </c>
      <c r="E193" s="1">
        <v>0.004745276040821089</v>
      </c>
      <c r="F193" s="1">
        <v>-0.00592689710054739</v>
      </c>
      <c r="G193" s="1">
        <v>-0.002237206781327883</v>
      </c>
      <c r="H193" s="1">
        <v>0.002977727253657303</v>
      </c>
      <c r="I193" s="1">
        <v>0.001996962393456592</v>
      </c>
      <c r="J193" s="1">
        <v>-0.00191929962399684</v>
      </c>
      <c r="K193" s="1">
        <v>-0.006528878649780689</v>
      </c>
      <c r="L193" s="1">
        <v>0.002658967596147255</v>
      </c>
      <c r="M193" s="1">
        <v>0.001790136259751662</v>
      </c>
      <c r="N193" s="1">
        <v>0.009146988525354338</v>
      </c>
      <c r="O193" s="1">
        <v>0.006213598606310322</v>
      </c>
      <c r="P193" s="1">
        <v>0.001735090445315945</v>
      </c>
      <c r="Q193" s="1">
        <v>-0.0004374972677934075</v>
      </c>
      <c r="R193" s="1">
        <v>-0.0010028507858858</v>
      </c>
      <c r="S193" s="1">
        <v>0.01124989002786325</v>
      </c>
      <c r="T193" s="1">
        <v>0.007276520497852212</v>
      </c>
      <c r="U193" s="1">
        <v>-0.001276787373247878</v>
      </c>
      <c r="V193" s="1">
        <v>0.009890884297242275</v>
      </c>
      <c r="W193" s="1">
        <v>0.001010662784938665</v>
      </c>
      <c r="X193" s="1">
        <v>0.007828195148873451</v>
      </c>
      <c r="Y193" s="1">
        <v>-0.0001989809758252692</v>
      </c>
      <c r="Z193" s="1">
        <v>-0.004399421804905268</v>
      </c>
    </row>
    <row r="194" spans="1:26">
      <c r="A194" s="11">
        <v>42650</v>
      </c>
      <c r="B194" s="1">
        <v>-0.01185829614381795</v>
      </c>
      <c r="C194" s="1">
        <v>-0.004240566232984633</v>
      </c>
      <c r="D194" s="1">
        <v>0.004769734095558364</v>
      </c>
      <c r="E194" s="1">
        <v>0.006903115299468299</v>
      </c>
      <c r="F194" s="1">
        <v>-0.0007645230437374195</v>
      </c>
      <c r="G194" s="1">
        <v>-0.01793696807288059</v>
      </c>
      <c r="H194" s="1">
        <v>0.005975580841379724</v>
      </c>
      <c r="I194" s="1">
        <v>0.01184215188080828</v>
      </c>
      <c r="J194" s="1">
        <v>-0.001281821924614568</v>
      </c>
      <c r="K194" s="1">
        <v>-0.007885955587398241</v>
      </c>
      <c r="L194" s="1">
        <v>0.003536033455233678</v>
      </c>
      <c r="M194" s="1">
        <v>-0.01787069690558529</v>
      </c>
      <c r="N194" s="1">
        <v>0.002266265565834313</v>
      </c>
      <c r="O194" s="1">
        <v>0.003916407738448147</v>
      </c>
      <c r="P194" s="1">
        <v>0.00103895346345606</v>
      </c>
      <c r="Q194" s="1">
        <v>-0.01007051460856534</v>
      </c>
      <c r="R194" s="1">
        <v>-0.01221610911816262</v>
      </c>
      <c r="S194" s="1">
        <v>0.003834655681811627</v>
      </c>
      <c r="T194" s="1">
        <v>-0.01944739990681599</v>
      </c>
      <c r="U194" s="1">
        <v>-0.006136809984629066</v>
      </c>
      <c r="V194" s="1">
        <v>0.009208979920444227</v>
      </c>
      <c r="W194" s="1">
        <v>-0.001451800548719961</v>
      </c>
      <c r="X194" s="1">
        <v>-0.03557971594921427</v>
      </c>
      <c r="Y194" s="1">
        <v>-0.006764771751287868</v>
      </c>
      <c r="Z194" s="1">
        <v>0.001578348748140446</v>
      </c>
    </row>
    <row r="195" spans="1:26">
      <c r="A195" s="11">
        <v>42653</v>
      </c>
      <c r="B195" s="1">
        <v>0.01310600228242564</v>
      </c>
      <c r="C195" s="1">
        <v>0.01486739823597438</v>
      </c>
      <c r="D195" s="1">
        <v>-0.003096136986271203</v>
      </c>
      <c r="E195" s="1">
        <v>-0.1013892489788594</v>
      </c>
      <c r="F195" s="1">
        <v>0.006425861197021598</v>
      </c>
      <c r="G195" s="1">
        <v>0.01278533615786026</v>
      </c>
      <c r="H195" s="1">
        <v>0.005197524731197944</v>
      </c>
      <c r="I195" s="1">
        <v>0.01378904005021586</v>
      </c>
      <c r="J195" s="1">
        <v>0.0006418195045740926</v>
      </c>
      <c r="K195" s="1">
        <v>-0.01214390288824407</v>
      </c>
      <c r="L195" s="1">
        <v>0.007781930933871584</v>
      </c>
      <c r="M195" s="1">
        <v>0.03379260219616165</v>
      </c>
      <c r="N195" s="1">
        <v>-0.002745470118322602</v>
      </c>
      <c r="O195" s="1">
        <v>-0.003300758532700843</v>
      </c>
      <c r="P195" s="1">
        <v>0.004152243888473128</v>
      </c>
      <c r="Q195" s="1">
        <v>0.01326899459748043</v>
      </c>
      <c r="R195" s="1">
        <v>-0.008808390160066515</v>
      </c>
      <c r="S195" s="1">
        <v>-0.002169249942724605</v>
      </c>
      <c r="T195" s="1">
        <v>0.007442254037908436</v>
      </c>
      <c r="U195" s="1">
        <v>0.003602011737554589</v>
      </c>
      <c r="V195" s="1">
        <v>-0.002607096159320421</v>
      </c>
      <c r="W195" s="1">
        <v>0.005688748081534412</v>
      </c>
      <c r="X195" s="1">
        <v>0.009612393976591971</v>
      </c>
      <c r="Y195" s="1">
        <v>0.005408795338645689</v>
      </c>
      <c r="Z195" s="1">
        <v>0.002521233977444526</v>
      </c>
    </row>
    <row r="196" spans="1:26">
      <c r="A196" s="11">
        <v>42654</v>
      </c>
      <c r="B196" s="1">
        <v>-0.02010609023528453</v>
      </c>
      <c r="C196" s="1">
        <v>-0.01545921404562234</v>
      </c>
      <c r="D196" s="1">
        <v>-0.0267081479336414</v>
      </c>
      <c r="E196" s="1">
        <v>-0.005219708059835071</v>
      </c>
      <c r="F196" s="1">
        <v>-0.0124657370097212</v>
      </c>
      <c r="G196" s="1">
        <v>-0.0153289716473205</v>
      </c>
      <c r="H196" s="1">
        <v>-0.005539662682173208</v>
      </c>
      <c r="I196" s="1">
        <v>-0.005028847759812938</v>
      </c>
      <c r="J196" s="1">
        <v>-0.009621890638718322</v>
      </c>
      <c r="K196" s="1">
        <v>-0.01117583283373103</v>
      </c>
      <c r="L196" s="1">
        <v>-0.004807556385943768</v>
      </c>
      <c r="M196" s="1">
        <v>0.0005029439376036393</v>
      </c>
      <c r="N196" s="1">
        <v>0.003886957390095258</v>
      </c>
      <c r="O196" s="1">
        <v>-0.01354800563428216</v>
      </c>
      <c r="P196" s="1">
        <v>-0.01464522047584804</v>
      </c>
      <c r="Q196" s="1">
        <v>-0.02313394832216997</v>
      </c>
      <c r="R196" s="1">
        <v>-0.01845862610712046</v>
      </c>
      <c r="S196" s="1">
        <v>-0.008838283981500439</v>
      </c>
      <c r="T196" s="1">
        <v>-0.01229968402569404</v>
      </c>
      <c r="U196" s="1">
        <v>0.002307003083661163</v>
      </c>
      <c r="V196" s="1">
        <v>-0.006825232508228862</v>
      </c>
      <c r="W196" s="1">
        <v>-0.02645950872285863</v>
      </c>
      <c r="X196" s="1">
        <v>-0.02470400326586897</v>
      </c>
      <c r="Y196" s="1">
        <v>-0.005777843416807538</v>
      </c>
      <c r="Z196" s="1">
        <v>-0.01603267512806739</v>
      </c>
    </row>
    <row r="197" spans="1:26">
      <c r="A197" s="11">
        <v>42655</v>
      </c>
      <c r="B197" s="1">
        <v>-0.002544923921087516</v>
      </c>
      <c r="C197" s="1">
        <v>-0.004336839369352474</v>
      </c>
      <c r="D197" s="1">
        <v>-0.0006378359758417718</v>
      </c>
      <c r="E197" s="1">
        <v>0.009283173774479403</v>
      </c>
      <c r="F197" s="1">
        <v>0.004310421240082407</v>
      </c>
      <c r="G197" s="1">
        <v>0.01098894815098261</v>
      </c>
      <c r="H197" s="1">
        <v>0.009285102409702928</v>
      </c>
      <c r="I197" s="1">
        <v>-0.001263718918943169</v>
      </c>
      <c r="J197" s="1">
        <v>-0.005828754163752059</v>
      </c>
      <c r="K197" s="1">
        <v>-0.001130406769670134</v>
      </c>
      <c r="L197" s="1">
        <v>-0.002635266220002652</v>
      </c>
      <c r="M197" s="1">
        <v>0.005528734027999249</v>
      </c>
      <c r="N197" s="1">
        <v>0.008872557553693428</v>
      </c>
      <c r="O197" s="1">
        <v>0.009766201902626337</v>
      </c>
      <c r="P197" s="1">
        <v>-0.001398694166506398</v>
      </c>
      <c r="Q197" s="1">
        <v>0.01385180343939241</v>
      </c>
      <c r="R197" s="1">
        <v>0.0003479804684516363</v>
      </c>
      <c r="S197" s="1">
        <v>0.01454389255245725</v>
      </c>
      <c r="T197" s="1">
        <v>0.006058138245964573</v>
      </c>
      <c r="U197" s="1">
        <v>0.005882260563274233</v>
      </c>
      <c r="V197" s="1">
        <v>-0.007750130637313557</v>
      </c>
      <c r="W197" s="1">
        <v>-0.007101024882771867</v>
      </c>
      <c r="X197" s="1">
        <v>0.001847070328197198</v>
      </c>
      <c r="Y197" s="1">
        <v>0.008015728409844769</v>
      </c>
      <c r="Z197" s="1">
        <v>-0.002875568121515903</v>
      </c>
    </row>
    <row r="198" spans="1:26">
      <c r="A198" s="11">
        <v>42656</v>
      </c>
      <c r="B198" s="1">
        <v>-0.01020566833382364</v>
      </c>
      <c r="C198" s="1">
        <v>0.001652134595135468</v>
      </c>
      <c r="D198" s="1">
        <v>0.01575106247585278</v>
      </c>
      <c r="E198" s="1">
        <v>0.004599648785045707</v>
      </c>
      <c r="F198" s="1">
        <v>-0.001839314221122934</v>
      </c>
      <c r="G198" s="1">
        <v>0.01177554120685276</v>
      </c>
      <c r="H198" s="1">
        <v>0.00938355916026179</v>
      </c>
      <c r="I198" s="1">
        <v>-0.006901354228576517</v>
      </c>
      <c r="J198" s="1">
        <v>-0.0130293389791738</v>
      </c>
      <c r="K198" s="1">
        <v>-0.01584053465709478</v>
      </c>
      <c r="L198" s="1">
        <v>-0.005724215438877245</v>
      </c>
      <c r="M198" s="1">
        <v>0.03424166383353033</v>
      </c>
      <c r="N198" s="1">
        <v>0.00239818208041509</v>
      </c>
      <c r="O198" s="1">
        <v>-0.007405007736975611</v>
      </c>
      <c r="P198" s="1">
        <v>-0.003326814754279761</v>
      </c>
      <c r="Q198" s="1">
        <v>0.009254651272829317</v>
      </c>
      <c r="R198" s="1">
        <v>-0.01322881340174187</v>
      </c>
      <c r="S198" s="1">
        <v>0.006861369709565635</v>
      </c>
      <c r="T198" s="1">
        <v>0.001598256217268945</v>
      </c>
      <c r="U198" s="1">
        <v>0.00101683734645186</v>
      </c>
      <c r="V198" s="1">
        <v>0.0004420844345600639</v>
      </c>
      <c r="W198" s="1">
        <v>-0.01150899069093037</v>
      </c>
      <c r="X198" s="1">
        <v>-0.0005267323273363544</v>
      </c>
      <c r="Y198" s="1">
        <v>-0.0001985412356083627</v>
      </c>
      <c r="Z198" s="1">
        <v>-0.02723461494324075</v>
      </c>
    </row>
    <row r="199" spans="1:26">
      <c r="A199" s="11">
        <v>42657</v>
      </c>
      <c r="B199" s="1">
        <v>-0.004833401843317486</v>
      </c>
      <c r="C199" s="1">
        <v>0.0008997118460194464</v>
      </c>
      <c r="D199" s="1">
        <v>-0.005657910376797859</v>
      </c>
      <c r="E199" s="1">
        <v>-0.00935527689635407</v>
      </c>
      <c r="F199" s="1">
        <v>0.001228522854288094</v>
      </c>
      <c r="G199" s="1">
        <v>0.001342481822281361</v>
      </c>
      <c r="H199" s="1">
        <v>-0.009661250164770152</v>
      </c>
      <c r="I199" s="1">
        <v>0.0006951469240696895</v>
      </c>
      <c r="J199" s="1">
        <v>-0.04422446182560524</v>
      </c>
      <c r="K199" s="1">
        <v>0.008967833962136851</v>
      </c>
      <c r="L199" s="1">
        <v>-0.003248419651873724</v>
      </c>
      <c r="M199" s="1">
        <v>-0.001449917981644067</v>
      </c>
      <c r="N199" s="1">
        <v>-0.003987932210358092</v>
      </c>
      <c r="O199" s="1">
        <v>0.004720050758382888</v>
      </c>
      <c r="P199" s="1">
        <v>0.008784208937783644</v>
      </c>
      <c r="Q199" s="1">
        <v>-0.009606673632869378</v>
      </c>
      <c r="R199" s="1">
        <v>0.002293355567013267</v>
      </c>
      <c r="S199" s="1">
        <v>-0.0001398131469755315</v>
      </c>
      <c r="T199" s="1">
        <v>-0.003933797470993206</v>
      </c>
      <c r="U199" s="1">
        <v>-0.00380980554972099</v>
      </c>
      <c r="V199" s="1">
        <v>0.003240545223611502</v>
      </c>
      <c r="W199" s="1">
        <v>-0.002104733218224353</v>
      </c>
      <c r="X199" s="1">
        <v>-0.004742987427136303</v>
      </c>
      <c r="Y199" s="1">
        <v>-0.0001991586782157384</v>
      </c>
      <c r="Z199" s="1">
        <v>0.0164688016408181</v>
      </c>
    </row>
    <row r="200" spans="1:26">
      <c r="A200" s="11">
        <v>42660</v>
      </c>
      <c r="B200" s="1">
        <v>0.001295241560320903</v>
      </c>
      <c r="C200" s="1">
        <v>0.003745367437819391</v>
      </c>
      <c r="D200" s="1">
        <v>-0.00168574853375969</v>
      </c>
      <c r="E200" s="1">
        <v>-0.00863973911885485</v>
      </c>
      <c r="F200" s="1">
        <v>-0.002760986361046713</v>
      </c>
      <c r="G200" s="1">
        <v>0.002682294425952136</v>
      </c>
      <c r="H200" s="1">
        <v>-0.01196382556987119</v>
      </c>
      <c r="I200" s="1">
        <v>0.0008102533354488184</v>
      </c>
      <c r="J200" s="1">
        <v>-0.03107752057926683</v>
      </c>
      <c r="K200" s="1">
        <v>-0.003190754141715546</v>
      </c>
      <c r="L200" s="1">
        <v>-0.005182882794822041</v>
      </c>
      <c r="M200" s="1">
        <v>-0.001936309747691323</v>
      </c>
      <c r="N200" s="1">
        <v>-0.0001597743201402491</v>
      </c>
      <c r="O200" s="1">
        <v>-0.01000165177009704</v>
      </c>
      <c r="P200" s="1">
        <v>-0.003483102370963609</v>
      </c>
      <c r="Q200" s="1">
        <v>0.01014109586998324</v>
      </c>
      <c r="R200" s="1">
        <v>-0.0001760027547250687</v>
      </c>
      <c r="S200" s="1">
        <v>0.004248377402481962</v>
      </c>
      <c r="T200" s="1">
        <v>0.004433785155107284</v>
      </c>
      <c r="U200" s="1">
        <v>0.001274834321179918</v>
      </c>
      <c r="V200" s="1">
        <v>-0.01277316378870597</v>
      </c>
      <c r="W200" s="1">
        <v>-0.006130102572931784</v>
      </c>
      <c r="X200" s="1">
        <v>0.001323701242246678</v>
      </c>
      <c r="Y200" s="1">
        <v>0.002983350204061042</v>
      </c>
      <c r="Z200" s="1">
        <v>-0.006804748468055122</v>
      </c>
    </row>
    <row r="201" spans="1:26">
      <c r="A201" s="11">
        <v>42661</v>
      </c>
      <c r="B201" s="1">
        <v>0.01584479243403059</v>
      </c>
      <c r="C201" s="1">
        <v>0.008208889139990294</v>
      </c>
      <c r="D201" s="1">
        <v>0.01456615174534326</v>
      </c>
      <c r="E201" s="1">
        <v>0.01438941789465287</v>
      </c>
      <c r="F201" s="1">
        <v>-0.002153181595926146</v>
      </c>
      <c r="G201" s="1">
        <v>0.003566670629891799</v>
      </c>
      <c r="H201" s="1">
        <v>0.01359886892590589</v>
      </c>
      <c r="I201" s="1">
        <v>0.001618579828912559</v>
      </c>
      <c r="J201" s="1">
        <v>0.0128302205920181</v>
      </c>
      <c r="K201" s="1">
        <v>0.005258667399655526</v>
      </c>
      <c r="L201" s="1">
        <v>0.007890023331597273</v>
      </c>
      <c r="M201" s="1">
        <v>0.01066952706380997</v>
      </c>
      <c r="N201" s="1">
        <v>0.003683784721821182</v>
      </c>
      <c r="O201" s="1">
        <v>-0.002908108916295671</v>
      </c>
      <c r="P201" s="1">
        <v>0.007689608911150225</v>
      </c>
      <c r="Q201" s="1">
        <v>0.006547445347358849</v>
      </c>
      <c r="R201" s="1">
        <v>0.001936081817356605</v>
      </c>
      <c r="S201" s="1">
        <v>0.003346775622865339</v>
      </c>
      <c r="T201" s="1">
        <v>0.004673648752919979</v>
      </c>
      <c r="U201" s="1">
        <v>0.002291729288516509</v>
      </c>
      <c r="V201" s="1">
        <v>0.001784412733125684</v>
      </c>
      <c r="W201" s="1">
        <v>0.005902652815557685</v>
      </c>
      <c r="X201" s="1">
        <v>0.007138987130137942</v>
      </c>
      <c r="Y201" s="1">
        <v>-0.00317276191041016</v>
      </c>
      <c r="Z201" s="1">
        <v>0.01696568551035038</v>
      </c>
    </row>
    <row r="202" spans="1:26">
      <c r="A202" s="11">
        <v>42662</v>
      </c>
      <c r="B202" s="1">
        <v>0.02780447747297887</v>
      </c>
      <c r="C202" s="1">
        <v>0.007994254561095815</v>
      </c>
      <c r="D202" s="1">
        <v>-0.004785705901802828</v>
      </c>
      <c r="E202" s="1">
        <v>-0.003595795506369903</v>
      </c>
      <c r="F202" s="1">
        <v>0.0004623800911858211</v>
      </c>
      <c r="G202" s="1">
        <v>0.005330992052057448</v>
      </c>
      <c r="H202" s="1">
        <v>-0.01617351103271536</v>
      </c>
      <c r="I202" s="1">
        <v>-0.0005770570112887397</v>
      </c>
      <c r="J202" s="1">
        <v>-0.006333845659008186</v>
      </c>
      <c r="K202" s="1">
        <v>0.009324182768355671</v>
      </c>
      <c r="L202" s="1">
        <v>0.009601151110875339</v>
      </c>
      <c r="M202" s="1">
        <v>0.01367528363042814</v>
      </c>
      <c r="N202" s="1">
        <v>-0.01196922198331141</v>
      </c>
      <c r="O202" s="1">
        <v>0.01013160904207266</v>
      </c>
      <c r="P202" s="1">
        <v>-0.002254686099296244</v>
      </c>
      <c r="Q202" s="1">
        <v>-0.0095404693991894</v>
      </c>
      <c r="R202" s="1">
        <v>0.0005272972892009786</v>
      </c>
      <c r="S202" s="1">
        <v>-0.00296508253564054</v>
      </c>
      <c r="T202" s="1">
        <v>0.002400070515149455</v>
      </c>
      <c r="U202" s="1">
        <v>0.0005081580516765882</v>
      </c>
      <c r="V202" s="1">
        <v>0.002523638225867098</v>
      </c>
      <c r="W202" s="1">
        <v>0.0008574491998865064</v>
      </c>
      <c r="X202" s="1">
        <v>0</v>
      </c>
      <c r="Y202" s="1">
        <v>0.002188276737369987</v>
      </c>
      <c r="Z202" s="1">
        <v>0.02887414265571842</v>
      </c>
    </row>
    <row r="203" spans="1:26">
      <c r="A203" s="11">
        <v>42663</v>
      </c>
      <c r="B203" s="1">
        <v>-0.01305992919856147</v>
      </c>
      <c r="C203" s="1">
        <v>-0.002496951955215043</v>
      </c>
      <c r="D203" s="1">
        <v>0.007526621886982277</v>
      </c>
      <c r="E203" s="1">
        <v>0.009825229723037898</v>
      </c>
      <c r="F203" s="1">
        <v>-0.008627241051328505</v>
      </c>
      <c r="G203" s="1">
        <v>0.001325508361601946</v>
      </c>
      <c r="H203" s="1">
        <v>-0.006351604523496368</v>
      </c>
      <c r="I203" s="1">
        <v>-0.005198866390577206</v>
      </c>
      <c r="J203" s="1">
        <v>-0.001416651175847994</v>
      </c>
      <c r="K203" s="1">
        <v>-0.004281348095122817</v>
      </c>
      <c r="L203" s="1">
        <v>-0.001316610390117656</v>
      </c>
      <c r="M203" s="1">
        <v>0.0009471508818406082</v>
      </c>
      <c r="N203" s="1">
        <v>-0.0009691817132352343</v>
      </c>
      <c r="O203" s="1">
        <v>-0.00881414595211838</v>
      </c>
      <c r="P203" s="1">
        <v>-0.004867094667522776</v>
      </c>
      <c r="Q203" s="1">
        <v>-0.002189132508462754</v>
      </c>
      <c r="R203" s="1">
        <v>-0.005618726539340368</v>
      </c>
      <c r="S203" s="1">
        <v>-0.004972095813655986</v>
      </c>
      <c r="T203" s="1">
        <v>0.01594845876363027</v>
      </c>
      <c r="U203" s="1">
        <v>-0.01853717586199266</v>
      </c>
      <c r="V203" s="1">
        <v>0.002665392529365818</v>
      </c>
      <c r="W203" s="1">
        <v>-0.0009225839174451522</v>
      </c>
      <c r="X203" s="1">
        <v>0.03675510604007415</v>
      </c>
      <c r="Y203" s="1">
        <v>-0.02461309877364681</v>
      </c>
      <c r="Z203" s="1">
        <v>0.00592411936122228</v>
      </c>
    </row>
    <row r="204" spans="1:26">
      <c r="A204" s="11">
        <v>42664</v>
      </c>
      <c r="B204" s="1">
        <v>-0.02032128171176506</v>
      </c>
      <c r="C204" s="1">
        <v>-0.001545799317975494</v>
      </c>
      <c r="D204" s="1">
        <v>-0.0002080828269354074</v>
      </c>
      <c r="E204" s="1">
        <v>-0.006750995438525309</v>
      </c>
      <c r="F204" s="1">
        <v>-0.004506623224398654</v>
      </c>
      <c r="G204" s="1">
        <v>0.002647966707863825</v>
      </c>
      <c r="H204" s="1">
        <v>0.002256060543327276</v>
      </c>
      <c r="I204" s="1">
        <v>0.003716255572016491</v>
      </c>
      <c r="J204" s="1">
        <v>-0.02127658968236412</v>
      </c>
      <c r="K204" s="1">
        <v>-0.00294198641868415</v>
      </c>
      <c r="L204" s="1">
        <v>0.003369138866923693</v>
      </c>
      <c r="M204" s="1">
        <v>0.003310206408493332</v>
      </c>
      <c r="N204" s="1">
        <v>0.02991107051961905</v>
      </c>
      <c r="O204" s="1">
        <v>-0.002913564148769865</v>
      </c>
      <c r="P204" s="1">
        <v>0.04209604045628579</v>
      </c>
      <c r="Q204" s="1">
        <v>-0.007898673342690676</v>
      </c>
      <c r="R204" s="1">
        <v>-0.002472740326932565</v>
      </c>
      <c r="S204" s="1">
        <v>-0.01433831126058704</v>
      </c>
      <c r="T204" s="1">
        <v>0.004748841791917036</v>
      </c>
      <c r="U204" s="1">
        <v>-0.03001303322409776</v>
      </c>
      <c r="V204" s="1">
        <v>0.007680407427073765</v>
      </c>
      <c r="W204" s="1">
        <v>-0.006593737796586008</v>
      </c>
      <c r="X204" s="1">
        <v>-0.01468747849584506</v>
      </c>
      <c r="Y204" s="1">
        <v>-0.0191290022759304</v>
      </c>
      <c r="Z204" s="1">
        <v>0.002479971012690374</v>
      </c>
    </row>
    <row r="205" spans="1:26">
      <c r="A205" s="11">
        <v>42667</v>
      </c>
      <c r="B205" s="1">
        <v>-0.009808405969150114</v>
      </c>
      <c r="C205" s="1">
        <v>0.01341889120118833</v>
      </c>
      <c r="D205" s="1">
        <v>0.005396967360300486</v>
      </c>
      <c r="E205" s="1">
        <v>-0.01579385587539606</v>
      </c>
      <c r="F205" s="1">
        <v>0.01404937321843303</v>
      </c>
      <c r="G205" s="1">
        <v>-0.007482605555915622</v>
      </c>
      <c r="H205" s="1">
        <v>-0.003376372282516749</v>
      </c>
      <c r="I205" s="1">
        <v>0.003123929862550723</v>
      </c>
      <c r="J205" s="1">
        <v>0.01231935454539546</v>
      </c>
      <c r="K205" s="1">
        <v>0.007489923111561714</v>
      </c>
      <c r="L205" s="1">
        <v>0.005548650325578164</v>
      </c>
      <c r="M205" s="1">
        <v>-0.002356763061196809</v>
      </c>
      <c r="N205" s="1">
        <v>0.01962326636007905</v>
      </c>
      <c r="O205" s="1">
        <v>-0.0009224377755231439</v>
      </c>
      <c r="P205" s="1">
        <v>0.02246069306705412</v>
      </c>
      <c r="Q205" s="1">
        <v>-0.00353805842086774</v>
      </c>
      <c r="R205" s="1">
        <v>-0.002655100837464119</v>
      </c>
      <c r="S205" s="1">
        <v>0.002132691348094351</v>
      </c>
      <c r="T205" s="1">
        <v>0.002670627334106834</v>
      </c>
      <c r="U205" s="1">
        <v>-0.016804372809479</v>
      </c>
      <c r="V205" s="1">
        <v>0.0004395359201163629</v>
      </c>
      <c r="W205" s="1">
        <v>0.01626197276192753</v>
      </c>
      <c r="X205" s="1">
        <v>0.003084044994630997</v>
      </c>
      <c r="Y205" s="1">
        <v>0.0002072583995604838</v>
      </c>
      <c r="Z205" s="1">
        <v>0.002783016272659866</v>
      </c>
    </row>
    <row r="206" spans="1:26">
      <c r="A206" s="11">
        <v>42668</v>
      </c>
      <c r="B206" s="1">
        <v>-0.01640152678048923</v>
      </c>
      <c r="C206" s="1">
        <v>0.01142225143986964</v>
      </c>
      <c r="D206" s="1">
        <v>0.01486358902393548</v>
      </c>
      <c r="E206" s="1">
        <v>0.006500093693466491</v>
      </c>
      <c r="F206" s="1">
        <v>-0.006773276246364479</v>
      </c>
      <c r="G206" s="1">
        <v>0.005321767684372203</v>
      </c>
      <c r="H206" s="1">
        <v>0.00583472068245916</v>
      </c>
      <c r="I206" s="1">
        <v>-0.002076372698014084</v>
      </c>
      <c r="J206" s="1">
        <v>-0.00501089305822644</v>
      </c>
      <c r="K206" s="1">
        <v>-0.01081298418577392</v>
      </c>
      <c r="L206" s="1">
        <v>-0.001016457122358649</v>
      </c>
      <c r="M206" s="1">
        <v>-0.00897710078787195</v>
      </c>
      <c r="N206" s="1">
        <v>-0.00369574316477983</v>
      </c>
      <c r="O206" s="1">
        <v>-0.03493908198293061</v>
      </c>
      <c r="P206" s="1">
        <v>-0.0001638109843786761</v>
      </c>
      <c r="Q206" s="1">
        <v>0.01287216380612755</v>
      </c>
      <c r="R206" s="1">
        <v>-0.02733381552104786</v>
      </c>
      <c r="S206" s="1">
        <v>0.004018728520537751</v>
      </c>
      <c r="T206" s="1">
        <v>-0.1089321667561604</v>
      </c>
      <c r="U206" s="1">
        <v>-0.004340919157787337</v>
      </c>
      <c r="V206" s="1">
        <v>-0.004541686525620703</v>
      </c>
      <c r="W206" s="1">
        <v>-0.03357063820935546</v>
      </c>
      <c r="X206" s="1">
        <v>0.002562234792456541</v>
      </c>
      <c r="Y206" s="1">
        <v>-0.007674475176453033</v>
      </c>
      <c r="Z206" s="1">
        <v>-0.01079269113035108</v>
      </c>
    </row>
    <row r="207" spans="1:26">
      <c r="A207" s="11">
        <v>42669</v>
      </c>
      <c r="B207" s="1">
        <v>0.01832576983564449</v>
      </c>
      <c r="C207" s="1">
        <v>0.04689956895528469</v>
      </c>
      <c r="D207" s="1">
        <v>-0.03498768038148603</v>
      </c>
      <c r="E207" s="1">
        <v>-0.005247313867276393</v>
      </c>
      <c r="F207" s="1">
        <v>-0.03037814158660945</v>
      </c>
      <c r="G207" s="1">
        <v>-0.0004412860579199318</v>
      </c>
      <c r="H207" s="1">
        <v>0.004116794937404133</v>
      </c>
      <c r="I207" s="1">
        <v>0.006009991832908623</v>
      </c>
      <c r="J207" s="1">
        <v>0.0007191991984276669</v>
      </c>
      <c r="K207" s="1">
        <v>0.00409958733348903</v>
      </c>
      <c r="L207" s="1">
        <v>0.00479659157218193</v>
      </c>
      <c r="M207" s="1">
        <v>-0.08462430140008725</v>
      </c>
      <c r="N207" s="1">
        <v>-0.002935848336082847</v>
      </c>
      <c r="O207" s="1">
        <v>0.008293212782262138</v>
      </c>
      <c r="P207" s="1">
        <v>-0.005902740064320788</v>
      </c>
      <c r="Q207" s="1">
        <v>-0.004820633353948223</v>
      </c>
      <c r="R207" s="1">
        <v>0.008394109113521786</v>
      </c>
      <c r="S207" s="1">
        <v>0.004379459714690004</v>
      </c>
      <c r="T207" s="1">
        <v>0.006542270652127646</v>
      </c>
      <c r="U207" s="1">
        <v>-0.0073568429290094</v>
      </c>
      <c r="V207" s="1">
        <v>0.009419046617125781</v>
      </c>
      <c r="W207" s="1">
        <v>0.0004729137032208897</v>
      </c>
      <c r="X207" s="1">
        <v>0.01840023171189009</v>
      </c>
      <c r="Y207" s="1">
        <v>-0.004389701821638448</v>
      </c>
      <c r="Z207" s="1">
        <v>0.001870513758468695</v>
      </c>
    </row>
    <row r="208" spans="1:26">
      <c r="A208" s="11">
        <v>42670</v>
      </c>
      <c r="B208" s="1">
        <v>0.0003243034189779337</v>
      </c>
      <c r="C208" s="1">
        <v>-0.01532190797420174</v>
      </c>
      <c r="D208" s="1">
        <v>-0.01306927335680375</v>
      </c>
      <c r="E208" s="1">
        <v>0.05416925850331955</v>
      </c>
      <c r="F208" s="1">
        <v>-0.01726347821942742</v>
      </c>
      <c r="G208" s="1">
        <v>-0.003971605603374062</v>
      </c>
      <c r="H208" s="1">
        <v>-0.01229954857570104</v>
      </c>
      <c r="I208" s="1">
        <v>-0.0004594668860596895</v>
      </c>
      <c r="J208" s="1">
        <v>0.005751191505974029</v>
      </c>
      <c r="K208" s="1">
        <v>-0.001814706957102619</v>
      </c>
      <c r="L208" s="1">
        <v>0.001446742375195376</v>
      </c>
      <c r="M208" s="1">
        <v>0.02187502143656284</v>
      </c>
      <c r="N208" s="1">
        <v>-0.001394728849513971</v>
      </c>
      <c r="O208" s="1">
        <v>-0.0006325174521514265</v>
      </c>
      <c r="P208" s="1">
        <v>-0.008741554428081888</v>
      </c>
      <c r="Q208" s="1">
        <v>-0.002882909008963708</v>
      </c>
      <c r="R208" s="1">
        <v>0.0003620913414443816</v>
      </c>
      <c r="S208" s="1">
        <v>-0.05171605828946491</v>
      </c>
      <c r="T208" s="1">
        <v>-0.006539794288529355</v>
      </c>
      <c r="U208" s="1">
        <v>0.002470592765489332</v>
      </c>
      <c r="V208" s="1">
        <v>-0.0141422517736195</v>
      </c>
      <c r="W208" s="1">
        <v>0.007970629166721865</v>
      </c>
      <c r="X208" s="1">
        <v>-0.007026165029614395</v>
      </c>
      <c r="Y208" s="1">
        <v>0.01910595568430562</v>
      </c>
      <c r="Z208" s="1">
        <v>0.007467214657888688</v>
      </c>
    </row>
    <row r="209" spans="1:26">
      <c r="A209" s="11">
        <v>42671</v>
      </c>
      <c r="B209" s="1">
        <v>-0.0158832536736383</v>
      </c>
      <c r="C209" s="1">
        <v>-0.002093425809753025</v>
      </c>
      <c r="D209" s="1">
        <v>0.008116380876511009</v>
      </c>
      <c r="E209" s="1">
        <v>-0.01847572902222616</v>
      </c>
      <c r="F209" s="1">
        <v>0.006506381036273989</v>
      </c>
      <c r="G209" s="1">
        <v>-0.001772042808459551</v>
      </c>
      <c r="H209" s="1">
        <v>0.02283003845271914</v>
      </c>
      <c r="I209" s="1">
        <v>0.001954421282291063</v>
      </c>
      <c r="J209" s="1">
        <v>0.007148119860209912</v>
      </c>
      <c r="K209" s="1">
        <v>-0.005680664689141857</v>
      </c>
      <c r="L209" s="1">
        <v>-0.001733710861934412</v>
      </c>
      <c r="M209" s="1">
        <v>-0.001529100617021495</v>
      </c>
      <c r="N209" s="1">
        <v>0.0225049081582207</v>
      </c>
      <c r="O209" s="1">
        <v>0.004273119526594593</v>
      </c>
      <c r="P209" s="1">
        <v>-0.003826861210393773</v>
      </c>
      <c r="Q209" s="1">
        <v>0.002223891504475217</v>
      </c>
      <c r="R209" s="1">
        <v>0.00198936936782923</v>
      </c>
      <c r="S209" s="1">
        <v>0.02719435668561609</v>
      </c>
      <c r="T209" s="1">
        <v>-0.01159115444734238</v>
      </c>
      <c r="U209" s="1">
        <v>-0.0002736667018432559</v>
      </c>
      <c r="V209" s="1">
        <v>0.01789427537038768</v>
      </c>
      <c r="W209" s="1">
        <v>-0.01346980848589097</v>
      </c>
      <c r="X209" s="1">
        <v>0.006065110924897477</v>
      </c>
      <c r="Y209" s="1">
        <v>-0.006799069565285643</v>
      </c>
      <c r="Z209" s="1">
        <v>-0.008956332229950403</v>
      </c>
    </row>
    <row r="210" spans="1:26">
      <c r="A210" s="11">
        <v>42674</v>
      </c>
      <c r="B210" s="1">
        <v>-0.02042171811916527</v>
      </c>
      <c r="C210" s="1">
        <v>-0.004055664408584847</v>
      </c>
      <c r="D210" s="1">
        <v>0.008263011618340199</v>
      </c>
      <c r="E210" s="1">
        <v>-0.001764987735950241</v>
      </c>
      <c r="F210" s="1">
        <v>-0.0009700179064541237</v>
      </c>
      <c r="G210" s="1">
        <v>0.01198379280136352</v>
      </c>
      <c r="H210" s="1">
        <v>0.002398359985033238</v>
      </c>
      <c r="I210" s="1">
        <v>0.01296319338720386</v>
      </c>
      <c r="J210" s="1">
        <v>0.02838888224639158</v>
      </c>
      <c r="K210" s="1">
        <v>0.032258303731872</v>
      </c>
      <c r="L210" s="1">
        <v>0.002170456871372073</v>
      </c>
      <c r="M210" s="1">
        <v>0.02220497719313674</v>
      </c>
      <c r="N210" s="1">
        <v>0.003643227093951262</v>
      </c>
      <c r="O210" s="1">
        <v>-0.0009452663251934279</v>
      </c>
      <c r="P210" s="1">
        <v>0.0008350879292768898</v>
      </c>
      <c r="Q210" s="1">
        <v>0.03240164411666857</v>
      </c>
      <c r="R210" s="1">
        <v>-0.00848487617756799</v>
      </c>
      <c r="S210" s="1">
        <v>0.02873613299881717</v>
      </c>
      <c r="T210" s="1">
        <v>0.00053079497203945</v>
      </c>
      <c r="U210" s="1">
        <v>0.00766873053077699</v>
      </c>
      <c r="V210" s="1">
        <v>-0.001453021696257495</v>
      </c>
      <c r="W210" s="1">
        <v>-0.001222829549524684</v>
      </c>
      <c r="X210" s="1">
        <v>0.006782224743327792</v>
      </c>
      <c r="Y210" s="1">
        <v>-0.002281647805683518</v>
      </c>
      <c r="Z210" s="1">
        <v>0.003739782825270543</v>
      </c>
    </row>
    <row r="211" spans="1:26">
      <c r="A211" s="11">
        <v>42675</v>
      </c>
      <c r="B211" s="1">
        <v>0.000840499105867698</v>
      </c>
      <c r="C211" s="1">
        <v>-0.0001404240083137109</v>
      </c>
      <c r="D211" s="1">
        <v>-0.01470942500854655</v>
      </c>
      <c r="E211" s="1">
        <v>-0.002160468673098381</v>
      </c>
      <c r="F211" s="1">
        <v>-0.005985160944979029</v>
      </c>
      <c r="G211" s="1">
        <v>-0.01315796380609946</v>
      </c>
      <c r="H211" s="1">
        <v>-0.01711478529376997</v>
      </c>
      <c r="I211" s="1">
        <v>-0.002378456363755665</v>
      </c>
      <c r="J211" s="1">
        <v>-0.009661954510700399</v>
      </c>
      <c r="K211" s="1">
        <v>0.02331320061876152</v>
      </c>
      <c r="L211" s="1">
        <v>-0.004186867887023382</v>
      </c>
      <c r="M211" s="1">
        <v>-0.009238550602909124</v>
      </c>
      <c r="N211" s="1">
        <v>-0.009679278834212046</v>
      </c>
      <c r="O211" s="1">
        <v>-0.008361143209349553</v>
      </c>
      <c r="P211" s="1">
        <v>-0.002002596090664555</v>
      </c>
      <c r="Q211" s="1">
        <v>-0.03955297640687683</v>
      </c>
      <c r="R211" s="1">
        <v>-0.005826559259017094</v>
      </c>
      <c r="S211" s="1">
        <v>-0.03743222455361062</v>
      </c>
      <c r="T211" s="1">
        <v>-0.01727486748175233</v>
      </c>
      <c r="U211" s="1">
        <v>-0.006251534184375629</v>
      </c>
      <c r="V211" s="1">
        <v>-0.0138218815772988</v>
      </c>
      <c r="W211" s="1">
        <v>-0.006868955300652346</v>
      </c>
      <c r="X211" s="1">
        <v>-0.01322357074891489</v>
      </c>
      <c r="Y211" s="1">
        <v>-0.00914739536231679</v>
      </c>
      <c r="Z211" s="1">
        <v>0.0009312844233038131</v>
      </c>
    </row>
    <row r="212" spans="1:26">
      <c r="A212" s="11">
        <v>42676</v>
      </c>
      <c r="B212" s="1">
        <v>-0.001175727027843076</v>
      </c>
      <c r="C212" s="1">
        <v>-0.01165671313459804</v>
      </c>
      <c r="D212" s="1">
        <v>-0.003199049108790875</v>
      </c>
      <c r="E212" s="1">
        <v>-0.004527587160083613</v>
      </c>
      <c r="F212" s="1">
        <v>0.0003256020321673603</v>
      </c>
      <c r="G212" s="1">
        <v>-0.01733302080788135</v>
      </c>
      <c r="H212" s="1">
        <v>-0.009548611023597942</v>
      </c>
      <c r="I212" s="1">
        <v>0.0007945077763782393</v>
      </c>
      <c r="J212" s="1">
        <v>0.02090600951302246</v>
      </c>
      <c r="K212" s="1">
        <v>0.002181350888485589</v>
      </c>
      <c r="L212" s="1">
        <v>-0.004204614278163987</v>
      </c>
      <c r="M212" s="1">
        <v>-0.001763752497434101</v>
      </c>
      <c r="N212" s="1">
        <v>-0.005498280034432979</v>
      </c>
      <c r="O212" s="1">
        <v>0.001590921583033422</v>
      </c>
      <c r="P212" s="1">
        <v>-0.006187229089617552</v>
      </c>
      <c r="Q212" s="1">
        <v>-0.01119077205771846</v>
      </c>
      <c r="R212" s="1">
        <v>-0.001282638715552231</v>
      </c>
      <c r="S212" s="1">
        <v>-0.00223588745855563</v>
      </c>
      <c r="T212" s="1">
        <v>0.007688224828989343</v>
      </c>
      <c r="U212" s="1">
        <v>-0.005196778034486371</v>
      </c>
      <c r="V212" s="1">
        <v>0.007081544134961426</v>
      </c>
      <c r="W212" s="1">
        <v>-0.001506593806937295</v>
      </c>
      <c r="X212" s="1">
        <v>-0.01390636882644902</v>
      </c>
      <c r="Y212" s="1">
        <v>-0.01510679335051435</v>
      </c>
      <c r="Z212" s="1">
        <v>-0.03970225362637181</v>
      </c>
    </row>
    <row r="213" spans="1:26">
      <c r="A213" s="11">
        <v>42677</v>
      </c>
      <c r="B213" s="1">
        <v>-0.06626303316852022</v>
      </c>
      <c r="C213" s="1">
        <v>-0.005186302016785271</v>
      </c>
      <c r="D213" s="1">
        <v>0.002995539148028303</v>
      </c>
      <c r="E213" s="1">
        <v>-0.007118917353429288</v>
      </c>
      <c r="F213" s="1">
        <v>-0.008459389983618282</v>
      </c>
      <c r="G213" s="1">
        <v>0.01944766352676708</v>
      </c>
      <c r="H213" s="1">
        <v>-0.00321382676339832</v>
      </c>
      <c r="I213" s="1">
        <v>0.001588357167067178</v>
      </c>
      <c r="J213" s="1">
        <v>-0.007508468279783798</v>
      </c>
      <c r="K213" s="1">
        <v>-0.01305892870574576</v>
      </c>
      <c r="L213" s="1">
        <v>-0.004368377092045184</v>
      </c>
      <c r="M213" s="1">
        <v>0.002271844219885022</v>
      </c>
      <c r="N213" s="1">
        <v>-0.000767451121754803</v>
      </c>
      <c r="O213" s="1">
        <v>0.01080048364038522</v>
      </c>
      <c r="P213" s="1">
        <v>-0.003702082075999646</v>
      </c>
      <c r="Q213" s="1">
        <v>0.002263390292376766</v>
      </c>
      <c r="R213" s="1">
        <v>-0.007151615668695932</v>
      </c>
      <c r="S213" s="1">
        <v>-0.007307720498153758</v>
      </c>
      <c r="T213" s="1">
        <v>-0.003959159084621522</v>
      </c>
      <c r="U213" s="1">
        <v>0.007148453936398846</v>
      </c>
      <c r="V213" s="1">
        <v>-0.02329324220132556</v>
      </c>
      <c r="W213" s="1">
        <v>0.001919808587590666</v>
      </c>
      <c r="X213" s="1">
        <v>0.0005127220585556813</v>
      </c>
      <c r="Y213" s="1">
        <v>-0.001491334721869575</v>
      </c>
      <c r="Z213" s="1">
        <v>0.006783098385882536</v>
      </c>
    </row>
    <row r="214" spans="1:26">
      <c r="A214" s="11">
        <v>42678</v>
      </c>
      <c r="B214" s="1">
        <v>0.01116698777828207</v>
      </c>
      <c r="C214" s="1">
        <v>-0.003428301651696386</v>
      </c>
      <c r="D214" s="1">
        <v>0.002346323853805288</v>
      </c>
      <c r="E214" s="1">
        <v>0.01593327955952994</v>
      </c>
      <c r="F214" s="1">
        <v>-0.004757931633106227</v>
      </c>
      <c r="G214" s="1">
        <v>0.01730295764810252</v>
      </c>
      <c r="H214" s="1">
        <v>-0.002275537532430594</v>
      </c>
      <c r="I214" s="1">
        <v>-0.002718164160857461</v>
      </c>
      <c r="J214" s="1">
        <v>0.01169181731203883</v>
      </c>
      <c r="K214" s="1">
        <v>0.001715080854892248</v>
      </c>
      <c r="L214" s="1">
        <v>-0.00906680246438285</v>
      </c>
      <c r="M214" s="1">
        <v>0.01712839733626659</v>
      </c>
      <c r="N214" s="1">
        <v>-0.01060409159755471</v>
      </c>
      <c r="O214" s="1">
        <v>0.004085571287743894</v>
      </c>
      <c r="P214" s="1">
        <v>-0.008444328775444321</v>
      </c>
      <c r="Q214" s="1">
        <v>-0.009936662388358664</v>
      </c>
      <c r="R214" s="1">
        <v>0.007018794039637122</v>
      </c>
      <c r="S214" s="1">
        <v>0.008245180713104983</v>
      </c>
      <c r="T214" s="1">
        <v>0.004223158625276779</v>
      </c>
      <c r="U214" s="1">
        <v>-0.003548824047860388</v>
      </c>
      <c r="V214" s="1">
        <v>-0.002100012506603854</v>
      </c>
      <c r="W214" s="1">
        <v>0.003354946746586984</v>
      </c>
      <c r="X214" s="1">
        <v>0.001537675120808935</v>
      </c>
      <c r="Y214" s="1">
        <v>0.004480548548142504</v>
      </c>
      <c r="Z214" s="1">
        <v>0.007058101982574838</v>
      </c>
    </row>
    <row r="215" spans="1:26">
      <c r="A215" s="11">
        <v>42681</v>
      </c>
      <c r="B215" s="1">
        <v>0.02333466068062706</v>
      </c>
      <c r="C215" s="1">
        <v>0.02501090145948237</v>
      </c>
      <c r="D215" s="1">
        <v>0.01340716569943856</v>
      </c>
      <c r="E215" s="1">
        <v>0.03156199786806346</v>
      </c>
      <c r="F215" s="1">
        <v>0.01401253765231258</v>
      </c>
      <c r="G215" s="1">
        <v>0.03009134129874846</v>
      </c>
      <c r="H215" s="1">
        <v>0.02356997296062757</v>
      </c>
      <c r="I215" s="1">
        <v>0.01067446377363157</v>
      </c>
      <c r="J215" s="1">
        <v>0.02311376115986485</v>
      </c>
      <c r="K215" s="1">
        <v>0.01687879330293685</v>
      </c>
      <c r="L215" s="1">
        <v>0.03128696842606127</v>
      </c>
      <c r="M215" s="1">
        <v>0.02947000299646008</v>
      </c>
      <c r="N215" s="1">
        <v>0.01382401124905086</v>
      </c>
      <c r="O215" s="1">
        <v>0.01862276937044349</v>
      </c>
      <c r="P215" s="1">
        <v>0.02912586477712442</v>
      </c>
      <c r="Q215" s="1">
        <v>0.01779195606909179</v>
      </c>
      <c r="R215" s="1">
        <v>0.02274397365936731</v>
      </c>
      <c r="S215" s="1">
        <v>0.03061687583607209</v>
      </c>
      <c r="T215" s="1">
        <v>0.02238850260390812</v>
      </c>
      <c r="U215" s="1">
        <v>0.00849310360179012</v>
      </c>
      <c r="V215" s="1">
        <v>0.0150305280022196</v>
      </c>
      <c r="W215" s="1">
        <v>0.03575043801967981</v>
      </c>
      <c r="X215" s="1">
        <v>0.04273281594368816</v>
      </c>
      <c r="Y215" s="1">
        <v>0.008071341014483702</v>
      </c>
      <c r="Z215" s="1">
        <v>0.02739730026555875</v>
      </c>
    </row>
    <row r="216" spans="1:26">
      <c r="A216" s="11">
        <v>42682</v>
      </c>
      <c r="B216" s="1">
        <v>-0.009051613619719179</v>
      </c>
      <c r="C216" s="1">
        <v>0.001831652395809957</v>
      </c>
      <c r="D216" s="1">
        <v>0.009659757444321126</v>
      </c>
      <c r="E216" s="1">
        <v>0.01026256969452932</v>
      </c>
      <c r="F216" s="1">
        <v>0.01641980676485444</v>
      </c>
      <c r="G216" s="1">
        <v>0.003387419095517652</v>
      </c>
      <c r="H216" s="1">
        <v>0.03268319251376317</v>
      </c>
      <c r="I216" s="1">
        <v>-0.0001125112847325527</v>
      </c>
      <c r="J216" s="1">
        <v>0.01528214477150724</v>
      </c>
      <c r="K216" s="1">
        <v>0.05701191561087349</v>
      </c>
      <c r="L216" s="1">
        <v>0.002146610630374468</v>
      </c>
      <c r="M216" s="1">
        <v>0.008660578195291757</v>
      </c>
      <c r="N216" s="1">
        <v>0.008732905463135543</v>
      </c>
      <c r="O216" s="1">
        <v>0.004455454805186498</v>
      </c>
      <c r="P216" s="1">
        <v>0.0008279130412587321</v>
      </c>
      <c r="Q216" s="1">
        <v>0.01210201597215055</v>
      </c>
      <c r="R216" s="1">
        <v>-0.003586897357733099</v>
      </c>
      <c r="S216" s="1">
        <v>0.02196174541980689</v>
      </c>
      <c r="T216" s="1">
        <v>0.01701784631279324</v>
      </c>
      <c r="U216" s="1">
        <v>0.004889701492162946</v>
      </c>
      <c r="V216" s="1">
        <v>-0.007107687989908573</v>
      </c>
      <c r="W216" s="1">
        <v>0.00494049454990475</v>
      </c>
      <c r="X216" s="1">
        <v>-0.0004910828200693773</v>
      </c>
      <c r="Y216" s="1">
        <v>0.004003528173428528</v>
      </c>
      <c r="Z216" s="1">
        <v>0.00465127770033269</v>
      </c>
    </row>
    <row r="217" spans="1:26">
      <c r="A217" s="11">
        <v>42683</v>
      </c>
      <c r="B217" s="1">
        <v>0.01914656212226107</v>
      </c>
      <c r="C217" s="1">
        <v>0.0203236017476347</v>
      </c>
      <c r="D217" s="1">
        <v>-0.03078214772743881</v>
      </c>
      <c r="E217" s="1">
        <v>0.05906689061183856</v>
      </c>
      <c r="F217" s="1">
        <v>0.01487544333130808</v>
      </c>
      <c r="G217" s="1">
        <v>-0.02067570163738264</v>
      </c>
      <c r="H217" s="1">
        <v>-0.01168864102518663</v>
      </c>
      <c r="I217" s="1">
        <v>0.01258615176771638</v>
      </c>
      <c r="J217" s="1">
        <v>0.01897916668492527</v>
      </c>
      <c r="K217" s="1">
        <v>-0.002275786802035995</v>
      </c>
      <c r="L217" s="1">
        <v>0.04598026613957518</v>
      </c>
      <c r="M217" s="1">
        <v>0.01049342938982067</v>
      </c>
      <c r="N217" s="1">
        <v>-0.02733878795004618</v>
      </c>
      <c r="O217" s="1">
        <v>0.02340169990640839</v>
      </c>
      <c r="P217" s="1">
        <v>-0.00496130875396239</v>
      </c>
      <c r="Q217" s="1">
        <v>-0.01417158211987257</v>
      </c>
      <c r="R217" s="1">
        <v>0.0431965308600526</v>
      </c>
      <c r="S217" s="1">
        <v>0.004991491990823604</v>
      </c>
      <c r="T217" s="1">
        <v>0.02200742530346766</v>
      </c>
      <c r="U217" s="1">
        <v>0.01216554764736033</v>
      </c>
      <c r="V217" s="1">
        <v>0.026248981964204</v>
      </c>
      <c r="W217" s="1">
        <v>-0.003343011890014291</v>
      </c>
      <c r="X217" s="1">
        <v>0.05278673392659816</v>
      </c>
      <c r="Y217" s="1">
        <v>0.004406932825996579</v>
      </c>
      <c r="Z217" s="1">
        <v>0.06851836502362674</v>
      </c>
    </row>
    <row r="218" spans="1:26">
      <c r="A218" s="11">
        <v>42684</v>
      </c>
      <c r="B218" s="1">
        <v>0.005170570988299428</v>
      </c>
      <c r="C218" s="1">
        <v>0.01791988090542818</v>
      </c>
      <c r="D218" s="1">
        <v>0.02660943099738233</v>
      </c>
      <c r="E218" s="1">
        <v>0.006394381443372898</v>
      </c>
      <c r="F218" s="1">
        <v>0.02600496088722482</v>
      </c>
      <c r="G218" s="1">
        <v>-0.003877492317319042</v>
      </c>
      <c r="H218" s="1">
        <v>-0.03002203781286605</v>
      </c>
      <c r="I218" s="1">
        <v>0.006547148942622982</v>
      </c>
      <c r="J218" s="1">
        <v>-0.005138456118549795</v>
      </c>
      <c r="K218" s="1">
        <v>0.03216255630686748</v>
      </c>
      <c r="L218" s="1">
        <v>0.04641602402339395</v>
      </c>
      <c r="M218" s="1">
        <v>0.02997389285143548</v>
      </c>
      <c r="N218" s="1">
        <v>-0.03622726814844657</v>
      </c>
      <c r="O218" s="1">
        <v>0.01330106821518107</v>
      </c>
      <c r="P218" s="1">
        <v>-0.02443073326399203</v>
      </c>
      <c r="Q218" s="1">
        <v>-0.03279435398771247</v>
      </c>
      <c r="R218" s="1">
        <v>0.04089037394185713</v>
      </c>
      <c r="S218" s="1">
        <v>-0.0125079812602843</v>
      </c>
      <c r="T218" s="1">
        <v>0.02820610367648912</v>
      </c>
      <c r="U218" s="1">
        <v>-0.02323682573630736</v>
      </c>
      <c r="V218" s="1">
        <v>0.02514183974359985</v>
      </c>
      <c r="W218" s="1">
        <v>0.01512679024577168</v>
      </c>
      <c r="X218" s="1">
        <v>0.02798539047644111</v>
      </c>
      <c r="Y218" s="1">
        <v>-0.02444606048237918</v>
      </c>
      <c r="Z218" s="1">
        <v>0.05719212726005107</v>
      </c>
    </row>
    <row r="219" spans="1:26">
      <c r="A219" s="11">
        <v>42685</v>
      </c>
      <c r="B219" s="1">
        <v>-0.01028786338977117</v>
      </c>
      <c r="C219" s="1">
        <v>0.005619896967069771</v>
      </c>
      <c r="D219" s="1">
        <v>-0.02132105410037188</v>
      </c>
      <c r="E219" s="1">
        <v>-0.005117999970518428</v>
      </c>
      <c r="F219" s="1">
        <v>0.02089106003016439</v>
      </c>
      <c r="G219" s="1">
        <v>-0.008650228153467165</v>
      </c>
      <c r="H219" s="1">
        <v>0.003564240310681255</v>
      </c>
      <c r="I219" s="1">
        <v>0.004410432663424668</v>
      </c>
      <c r="J219" s="1">
        <v>0.02130423697756201</v>
      </c>
      <c r="K219" s="1">
        <v>-0.02408833814319356</v>
      </c>
      <c r="L219" s="1">
        <v>0.0005218320965230117</v>
      </c>
      <c r="M219" s="1">
        <v>0.004583131637412086</v>
      </c>
      <c r="N219" s="1">
        <v>0.0006478437231494105</v>
      </c>
      <c r="O219" s="1">
        <v>-0.0002944311167368818</v>
      </c>
      <c r="P219" s="1">
        <v>0.005451587828929405</v>
      </c>
      <c r="Q219" s="1">
        <v>-0.005573306974878345</v>
      </c>
      <c r="R219" s="1">
        <v>-0.01922761029566</v>
      </c>
      <c r="S219" s="1">
        <v>-0.002607828332816253</v>
      </c>
      <c r="T219" s="1">
        <v>-0.01226348184811454</v>
      </c>
      <c r="U219" s="1">
        <v>-0.001640642335670739</v>
      </c>
      <c r="V219" s="1">
        <v>0.0114825669369214</v>
      </c>
      <c r="W219" s="1">
        <v>-0.02008457949646891</v>
      </c>
      <c r="X219" s="1">
        <v>0.01429221480704013</v>
      </c>
      <c r="Y219" s="1">
        <v>0</v>
      </c>
      <c r="Z219" s="1">
        <v>0.01010956057880641</v>
      </c>
    </row>
    <row r="220" spans="1:26">
      <c r="A220" s="11">
        <v>42688</v>
      </c>
      <c r="B220" s="1">
        <v>0.02096313855680165</v>
      </c>
      <c r="C220" s="1">
        <v>0.009897540652077597</v>
      </c>
      <c r="D220" s="1">
        <v>-0.03844484445099861</v>
      </c>
      <c r="E220" s="1">
        <v>0.003370349697917829</v>
      </c>
      <c r="F220" s="1">
        <v>0.01203697088278322</v>
      </c>
      <c r="G220" s="1">
        <v>0.01314946311590193</v>
      </c>
      <c r="H220" s="1">
        <v>0.01831769887946222</v>
      </c>
      <c r="I220" s="1">
        <v>0.005707938557757197</v>
      </c>
      <c r="J220" s="1">
        <v>0.01769941993469248</v>
      </c>
      <c r="K220" s="1">
        <v>-0.002038100456825287</v>
      </c>
      <c r="L220" s="1">
        <v>0.03677122741207506</v>
      </c>
      <c r="M220" s="1">
        <v>0.03444316843226192</v>
      </c>
      <c r="N220" s="1">
        <v>-0.009229160181876028</v>
      </c>
      <c r="O220" s="1">
        <v>-0.002508406319797207</v>
      </c>
      <c r="P220" s="1">
        <v>-0.01524893839522345</v>
      </c>
      <c r="Q220" s="1">
        <v>0.007005830472639474</v>
      </c>
      <c r="R220" s="1">
        <v>0.006422270555845211</v>
      </c>
      <c r="S220" s="1">
        <v>0.01059832671126659</v>
      </c>
      <c r="T220" s="1">
        <v>0.00618890195754207</v>
      </c>
      <c r="U220" s="1">
        <v>-0.01040833443404265</v>
      </c>
      <c r="V220" s="1">
        <v>0.02007086688685567</v>
      </c>
      <c r="W220" s="1">
        <v>-0.0213550303239376</v>
      </c>
      <c r="X220" s="1">
        <v>0.009617461242686032</v>
      </c>
      <c r="Y220" s="1">
        <v>-0.01092350667606812</v>
      </c>
      <c r="Z220" s="1">
        <v>0.04174585767589734</v>
      </c>
    </row>
    <row r="221" spans="1:26">
      <c r="A221" s="11">
        <v>42689</v>
      </c>
      <c r="B221" s="1">
        <v>0.07568294069378245</v>
      </c>
      <c r="C221" s="1">
        <v>-0.01253382315182394</v>
      </c>
      <c r="D221" s="1">
        <v>0.02332260307353962</v>
      </c>
      <c r="E221" s="1">
        <v>0.002298292752613396</v>
      </c>
      <c r="F221" s="1">
        <v>-0.004162867103475687</v>
      </c>
      <c r="G221" s="1">
        <v>0.01350204266756183</v>
      </c>
      <c r="H221" s="1">
        <v>0.008443586423488636</v>
      </c>
      <c r="I221" s="1">
        <v>-0.004038553069276141</v>
      </c>
      <c r="J221" s="1">
        <v>-0.01428589965376337</v>
      </c>
      <c r="K221" s="1">
        <v>0.009757477791442648</v>
      </c>
      <c r="L221" s="1">
        <v>-0.001886063362610546</v>
      </c>
      <c r="M221" s="1">
        <v>0.01984580791825064</v>
      </c>
      <c r="N221" s="1">
        <v>0.01013218249488146</v>
      </c>
      <c r="O221" s="1">
        <v>0.001775006407899404</v>
      </c>
      <c r="P221" s="1">
        <v>0.01974668603951102</v>
      </c>
      <c r="Q221" s="1">
        <v>0.01623363316746618</v>
      </c>
      <c r="R221" s="1">
        <v>0.01813557013621425</v>
      </c>
      <c r="S221" s="1">
        <v>-0.02000454584047684</v>
      </c>
      <c r="T221" s="1">
        <v>0.008922709806554296</v>
      </c>
      <c r="U221" s="1">
        <v>0.0177138854096357</v>
      </c>
      <c r="V221" s="1">
        <v>-0.01011497376152715</v>
      </c>
      <c r="W221" s="1">
        <v>0.004324033471147404</v>
      </c>
      <c r="X221" s="1">
        <v>-0.0002215333119478524</v>
      </c>
      <c r="Y221" s="1">
        <v>0.02576874495558124</v>
      </c>
      <c r="Z221" s="1">
        <v>0.008586806816410775</v>
      </c>
    </row>
    <row r="222" spans="1:26">
      <c r="A222" s="11">
        <v>42690</v>
      </c>
      <c r="B222" s="1">
        <v>-0.01482884692911646</v>
      </c>
      <c r="C222" s="1">
        <v>-0.01127558962023045</v>
      </c>
      <c r="D222" s="1">
        <v>-0.0006511399294204523</v>
      </c>
      <c r="E222" s="1">
        <v>-0.008643604444646846</v>
      </c>
      <c r="F222" s="1">
        <v>0.007315608151143849</v>
      </c>
      <c r="G222" s="1">
        <v>-0.002148779279563584</v>
      </c>
      <c r="H222" s="1">
        <v>-0.008918889675563424</v>
      </c>
      <c r="I222" s="1">
        <v>0</v>
      </c>
      <c r="J222" s="1">
        <v>-0.004410723686936291</v>
      </c>
      <c r="K222" s="1">
        <v>0.0002246186285139729</v>
      </c>
      <c r="L222" s="1">
        <v>-0.02469772138141213</v>
      </c>
      <c r="M222" s="1">
        <v>-0.008648614531726495</v>
      </c>
      <c r="N222" s="1">
        <v>0.01375196404664236</v>
      </c>
      <c r="O222" s="1">
        <v>-0.000443064841169627</v>
      </c>
      <c r="P222" s="1">
        <v>0.01324965819936619</v>
      </c>
      <c r="Q222" s="1">
        <v>-0.007302471374509456</v>
      </c>
      <c r="R222" s="1">
        <v>-0.001489838299856272</v>
      </c>
      <c r="S222" s="1">
        <v>-0.01843259795374885</v>
      </c>
      <c r="T222" s="1">
        <v>-0.01098585730125401</v>
      </c>
      <c r="U222" s="1">
        <v>0.01033453525817807</v>
      </c>
      <c r="V222" s="1">
        <v>0.06424966344927596</v>
      </c>
      <c r="W222" s="1">
        <v>0.005582945502663694</v>
      </c>
      <c r="X222" s="1">
        <v>-0.01130070239136827</v>
      </c>
      <c r="Y222" s="1">
        <v>0.01182176619640196</v>
      </c>
      <c r="Z222" s="1">
        <v>-0.03353965539680559</v>
      </c>
    </row>
    <row r="223" spans="1:26">
      <c r="A223" s="11">
        <v>42691</v>
      </c>
      <c r="B223" s="1">
        <v>-0.0168133357292114</v>
      </c>
      <c r="C223" s="1">
        <v>-0.007579671514975628</v>
      </c>
      <c r="D223" s="1">
        <v>0.02302351293494542</v>
      </c>
      <c r="E223" s="1">
        <v>0.008541013981739676</v>
      </c>
      <c r="F223" s="1">
        <v>0.01511774600668492</v>
      </c>
      <c r="G223" s="1">
        <v>0</v>
      </c>
      <c r="H223" s="1">
        <v>-0.004223871832738868</v>
      </c>
      <c r="I223" s="1">
        <v>0.005698945281424006</v>
      </c>
      <c r="J223" s="1">
        <v>0.005696114716639888</v>
      </c>
      <c r="K223" s="1">
        <v>0.005167201949742628</v>
      </c>
      <c r="L223" s="1">
        <v>0.008010115844002463</v>
      </c>
      <c r="M223" s="1">
        <v>0.01832053778595033</v>
      </c>
      <c r="N223" s="1">
        <v>0.002394135086678517</v>
      </c>
      <c r="O223" s="1">
        <v>0.02023644492676602</v>
      </c>
      <c r="P223" s="1">
        <v>0.01659643316791426</v>
      </c>
      <c r="Q223" s="1">
        <v>-0.006436740812929997</v>
      </c>
      <c r="R223" s="1">
        <v>-0.004643815767595427</v>
      </c>
      <c r="S223" s="1">
        <v>-0.01729040429873663</v>
      </c>
      <c r="T223" s="1">
        <v>0.00278617980769158</v>
      </c>
      <c r="U223" s="1">
        <v>0.006998836013333509</v>
      </c>
      <c r="V223" s="1">
        <v>0.0013155099258364</v>
      </c>
      <c r="W223" s="1">
        <v>-0.00408074676731307</v>
      </c>
      <c r="X223" s="1">
        <v>-0.001120748549489625</v>
      </c>
      <c r="Y223" s="1">
        <v>-0.001877652831533405</v>
      </c>
      <c r="Z223" s="1">
        <v>0.01201281408423682</v>
      </c>
    </row>
    <row r="224" spans="1:26">
      <c r="A224" s="11">
        <v>42692</v>
      </c>
      <c r="B224" s="1">
        <v>0.01107492283021361</v>
      </c>
      <c r="C224" s="1">
        <v>0.007018226506596115</v>
      </c>
      <c r="D224" s="1">
        <v>-0.002547507554161332</v>
      </c>
      <c r="E224" s="1">
        <v>0.001411383761671381</v>
      </c>
      <c r="F224" s="1">
        <v>-0.002189966798094911</v>
      </c>
      <c r="G224" s="1">
        <v>0.005167643752096662</v>
      </c>
      <c r="H224" s="1">
        <v>0.0001842183377587236</v>
      </c>
      <c r="I224" s="1">
        <v>0.002070484938820227</v>
      </c>
      <c r="J224" s="1">
        <v>-0.001258680767711851</v>
      </c>
      <c r="K224" s="1">
        <v>-0.0006705596912750522</v>
      </c>
      <c r="L224" s="1">
        <v>-0.003973010923617903</v>
      </c>
      <c r="M224" s="1">
        <v>0.007924693767151325</v>
      </c>
      <c r="N224" s="1">
        <v>-0.0006370843636237522</v>
      </c>
      <c r="O224" s="1">
        <v>0.002316561528477923</v>
      </c>
      <c r="P224" s="1">
        <v>-0.004782051680807697</v>
      </c>
      <c r="Q224" s="1">
        <v>0.00462738893221748</v>
      </c>
      <c r="R224" s="1">
        <v>-0.003998370405472462</v>
      </c>
      <c r="S224" s="1">
        <v>-0.003128009740065552</v>
      </c>
      <c r="T224" s="1">
        <v>-0.009211029637058776</v>
      </c>
      <c r="U224" s="1">
        <v>0.004009274930345308</v>
      </c>
      <c r="V224" s="1">
        <v>0.0007881348178093717</v>
      </c>
      <c r="W224" s="1">
        <v>-0.02062081645911884</v>
      </c>
      <c r="X224" s="1">
        <v>-0.00740383483745044</v>
      </c>
      <c r="Y224" s="1">
        <v>0.004807675429417069</v>
      </c>
      <c r="Z224" s="1">
        <v>0.007913769904692725</v>
      </c>
    </row>
    <row r="225" spans="1:26">
      <c r="A225" s="11">
        <v>42695</v>
      </c>
      <c r="B225" s="1">
        <v>0.01916864412706487</v>
      </c>
      <c r="C225" s="1">
        <v>0.004578173970835708</v>
      </c>
      <c r="D225" s="1">
        <v>0.001702234040135364</v>
      </c>
      <c r="E225" s="1">
        <v>-0.0005284992283265399</v>
      </c>
      <c r="F225" s="1">
        <v>-0.002048732061379455</v>
      </c>
      <c r="G225" s="1">
        <v>0.007712386286582884</v>
      </c>
      <c r="H225" s="1">
        <v>0.01493651148575958</v>
      </c>
      <c r="I225" s="1">
        <v>0.003697143908871769</v>
      </c>
      <c r="J225" s="1">
        <v>0.00819152481173413</v>
      </c>
      <c r="K225" s="1">
        <v>0.003131378335373469</v>
      </c>
      <c r="L225" s="1">
        <v>0.004375226902584517</v>
      </c>
      <c r="M225" s="1">
        <v>0.006374402262147472</v>
      </c>
      <c r="N225" s="1">
        <v>0.0146564778616689</v>
      </c>
      <c r="O225" s="1">
        <v>-0.0002888035847469217</v>
      </c>
      <c r="P225" s="1">
        <v>0.008450748641243067</v>
      </c>
      <c r="Q225" s="1">
        <v>0.008291186458843747</v>
      </c>
      <c r="R225" s="1">
        <v>0.006022145756615194</v>
      </c>
      <c r="S225" s="1">
        <v>-0.01000141809314492</v>
      </c>
      <c r="T225" s="1">
        <v>0.0224743909630305</v>
      </c>
      <c r="U225" s="1">
        <v>0.004792396282540246</v>
      </c>
      <c r="V225" s="1">
        <v>0.004200120154725262</v>
      </c>
      <c r="W225" s="1">
        <v>0.002468818689688401</v>
      </c>
      <c r="X225" s="1">
        <v>0.007233282536206476</v>
      </c>
      <c r="Y225" s="1">
        <v>0.00499282712377247</v>
      </c>
      <c r="Z225" s="1">
        <v>0.008636112570066024</v>
      </c>
    </row>
    <row r="226" spans="1:26">
      <c r="A226" s="11">
        <v>42696</v>
      </c>
      <c r="B226" s="1">
        <v>-0.01264389751542938</v>
      </c>
      <c r="C226" s="1">
        <v>0.01700447133762095</v>
      </c>
      <c r="D226" s="1">
        <v>-0.01869927783664094</v>
      </c>
      <c r="E226" s="1">
        <v>-0.003172672124729048</v>
      </c>
      <c r="F226" s="1">
        <v>0.01202348087331218</v>
      </c>
      <c r="G226" s="1">
        <v>0.004251551032448342</v>
      </c>
      <c r="H226" s="1">
        <v>0.03597378559283726</v>
      </c>
      <c r="I226" s="1">
        <v>-0.003142138265028516</v>
      </c>
      <c r="J226" s="1">
        <v>-0.003124859282987336</v>
      </c>
      <c r="K226" s="1">
        <v>0.008918549273881027</v>
      </c>
      <c r="L226" s="1">
        <v>0.006149724167015647</v>
      </c>
      <c r="M226" s="1">
        <v>-0.005489526216303497</v>
      </c>
      <c r="N226" s="1">
        <v>0.008164509455571123</v>
      </c>
      <c r="O226" s="1">
        <v>0.002744881084366213</v>
      </c>
      <c r="P226" s="1">
        <v>0.004272210153587697</v>
      </c>
      <c r="Q226" s="1">
        <v>-0.00274100265551358</v>
      </c>
      <c r="R226" s="1">
        <v>0.01014272821172502</v>
      </c>
      <c r="S226" s="1">
        <v>0.01569861534678507</v>
      </c>
      <c r="T226" s="1">
        <v>0.009919642889850255</v>
      </c>
      <c r="U226" s="1">
        <v>0.02146292443216957</v>
      </c>
      <c r="V226" s="1">
        <v>0.01777548283883079</v>
      </c>
      <c r="W226" s="1">
        <v>-0.02168666185351764</v>
      </c>
      <c r="X226" s="1">
        <v>0.01458709258958701</v>
      </c>
      <c r="Y226" s="1">
        <v>0.02442553749099119</v>
      </c>
      <c r="Z226" s="1">
        <v>0.003113815471865289</v>
      </c>
    </row>
    <row r="227" spans="1:26">
      <c r="A227" s="11">
        <v>42697</v>
      </c>
      <c r="B227" s="1">
        <v>0.01888902703480766</v>
      </c>
      <c r="C227" s="1">
        <v>0.001471652689084779</v>
      </c>
      <c r="D227" s="1">
        <v>0.008228768591147295</v>
      </c>
      <c r="E227" s="1">
        <v>0.003536665220848167</v>
      </c>
      <c r="F227" s="1">
        <v>-0.0008692905476804791</v>
      </c>
      <c r="G227" s="1">
        <v>-0.0004231264700513826</v>
      </c>
      <c r="H227" s="1">
        <v>-0.003507693743065698</v>
      </c>
      <c r="I227" s="1">
        <v>0.1104228993454659</v>
      </c>
      <c r="J227" s="1">
        <v>-0.06771156274057222</v>
      </c>
      <c r="K227" s="1">
        <v>0.007955919076817475</v>
      </c>
      <c r="L227" s="1">
        <v>0.0042024111619412</v>
      </c>
      <c r="M227" s="1">
        <v>0.005732622183919345</v>
      </c>
      <c r="N227" s="1">
        <v>-0.002958827116344986</v>
      </c>
      <c r="O227" s="1">
        <v>0.0008644829015860278</v>
      </c>
      <c r="P227" s="1">
        <v>-0.01178007446448071</v>
      </c>
      <c r="Q227" s="1">
        <v>-0.008703559505461311</v>
      </c>
      <c r="R227" s="1">
        <v>0.02024681557732144</v>
      </c>
      <c r="S227" s="1">
        <v>-0.001657607630961233</v>
      </c>
      <c r="T227" s="1">
        <v>0.01350581787002714</v>
      </c>
      <c r="U227" s="1">
        <v>0.004669321468868448</v>
      </c>
      <c r="V227" s="1">
        <v>0.007833517520614341</v>
      </c>
      <c r="W227" s="1">
        <v>0.003566392921220407</v>
      </c>
      <c r="X227" s="1">
        <v>0.01260741879229932</v>
      </c>
      <c r="Y227" s="1">
        <v>0.01495228941125926</v>
      </c>
      <c r="Z227" s="1">
        <v>0.01189834267734136</v>
      </c>
    </row>
    <row r="228" spans="1:26">
      <c r="A228" s="11">
        <v>42699</v>
      </c>
      <c r="B228" s="1">
        <v>-0.01272592585292964</v>
      </c>
      <c r="C228" s="1">
        <v>0.002003100767014487</v>
      </c>
      <c r="D228" s="1">
        <v>0.003436325970928911</v>
      </c>
      <c r="E228" s="1">
        <v>0.004052793515378461</v>
      </c>
      <c r="F228" s="1">
        <v>0.00290028332569281</v>
      </c>
      <c r="G228" s="1">
        <v>0.01440045274629442</v>
      </c>
      <c r="H228" s="1">
        <v>0.01231990647844849</v>
      </c>
      <c r="I228" s="1">
        <v>0.01712811204372167</v>
      </c>
      <c r="J228" s="1">
        <v>0.02084739179305051</v>
      </c>
      <c r="K228" s="1">
        <v>0.006138551230281841</v>
      </c>
      <c r="L228" s="1">
        <v>-0.0003805464979979023</v>
      </c>
      <c r="M228" s="1">
        <v>0.001688825782023118</v>
      </c>
      <c r="N228" s="1">
        <v>0.007185302345563693</v>
      </c>
      <c r="O228" s="1">
        <v>0.004463186938895802</v>
      </c>
      <c r="P228" s="1">
        <v>0.002152231827809548</v>
      </c>
      <c r="Q228" s="1">
        <v>0.02310516980655075</v>
      </c>
      <c r="R228" s="1">
        <v>0.0003228753842317023</v>
      </c>
      <c r="S228" s="1">
        <v>0.004736797507899349</v>
      </c>
      <c r="T228" s="1">
        <v>0.009397483182105981</v>
      </c>
      <c r="U228" s="1">
        <v>0.012392880583602</v>
      </c>
      <c r="V228" s="1">
        <v>0.001656286218856717</v>
      </c>
      <c r="W228" s="1">
        <v>0.004668945757385634</v>
      </c>
      <c r="X228" s="1">
        <v>0.00371350267738646</v>
      </c>
      <c r="Y228" s="1">
        <v>0.008759757238899546</v>
      </c>
      <c r="Z228" s="1">
        <v>-0.0005111234606642867</v>
      </c>
    </row>
    <row r="229" spans="1:26">
      <c r="A229" s="11">
        <v>42702</v>
      </c>
      <c r="B229" s="1">
        <v>-0.02371117725080729</v>
      </c>
      <c r="C229" s="1">
        <v>-0.001799570652234128</v>
      </c>
      <c r="D229" s="1">
        <v>-0.002353978982446159</v>
      </c>
      <c r="E229" s="1">
        <v>-0.008248387076335351</v>
      </c>
      <c r="F229" s="1">
        <v>-0.01229034894430014</v>
      </c>
      <c r="G229" s="1">
        <v>0.009185997189452788</v>
      </c>
      <c r="H229" s="1">
        <v>-0.002607925025361668</v>
      </c>
      <c r="I229" s="1">
        <v>-0.02136269910360789</v>
      </c>
      <c r="J229" s="1">
        <v>-0.006587758246960229</v>
      </c>
      <c r="K229" s="1">
        <v>-0.02004778480488734</v>
      </c>
      <c r="L229" s="1">
        <v>-0.006469628944940076</v>
      </c>
      <c r="M229" s="1">
        <v>0.001474935381139852</v>
      </c>
      <c r="N229" s="1">
        <v>0.005428067831721339</v>
      </c>
      <c r="O229" s="1">
        <v>-0.01232630414371438</v>
      </c>
      <c r="P229" s="1">
        <v>0.001321741523642395</v>
      </c>
      <c r="Q229" s="1">
        <v>0.00316147293862401</v>
      </c>
      <c r="R229" s="1">
        <v>-0.01612898754406911</v>
      </c>
      <c r="S229" s="1">
        <v>0.01827683686349579</v>
      </c>
      <c r="T229" s="1">
        <v>-0.003455041324763375</v>
      </c>
      <c r="U229" s="1">
        <v>0.008416525449084666</v>
      </c>
      <c r="V229" s="1">
        <v>-0.01132179464308569</v>
      </c>
      <c r="W229" s="1">
        <v>-0.02677224641628106</v>
      </c>
      <c r="X229" s="1">
        <v>-0.005440620981512434</v>
      </c>
      <c r="Y229" s="1">
        <v>0.008881546614877278</v>
      </c>
      <c r="Z229" s="1">
        <v>-0.01764686966799933</v>
      </c>
    </row>
    <row r="230" spans="1:26">
      <c r="A230" s="11">
        <v>42703</v>
      </c>
      <c r="B230" s="1">
        <v>-0.009943022296019177</v>
      </c>
      <c r="C230" s="1">
        <v>0.01248597148220587</v>
      </c>
      <c r="D230" s="1">
        <v>-0.03969133742709796</v>
      </c>
      <c r="E230" s="1">
        <v>-0.002654567101694982</v>
      </c>
      <c r="F230" s="1">
        <v>0.02678962713495303</v>
      </c>
      <c r="G230" s="1">
        <v>-0.003310112169164436</v>
      </c>
      <c r="H230" s="1">
        <v>0.004880530250840565</v>
      </c>
      <c r="I230" s="1">
        <v>-0.01327422755868468</v>
      </c>
      <c r="J230" s="1">
        <v>0.00464187801445437</v>
      </c>
      <c r="K230" s="1">
        <v>0.009117340686759734</v>
      </c>
      <c r="L230" s="1">
        <v>0.007660702633656147</v>
      </c>
      <c r="M230" s="1">
        <v>-0.005892143067122158</v>
      </c>
      <c r="N230" s="1">
        <v>0.005398528846745965</v>
      </c>
      <c r="O230" s="1">
        <v>0.001015897978571045</v>
      </c>
      <c r="P230" s="1">
        <v>0.007919276938277653</v>
      </c>
      <c r="Q230" s="1">
        <v>0.007204069763285803</v>
      </c>
      <c r="R230" s="1">
        <v>0.004426428364940005</v>
      </c>
      <c r="S230" s="1">
        <v>0.0005722331882389575</v>
      </c>
      <c r="T230" s="1">
        <v>0.008393684301754023</v>
      </c>
      <c r="U230" s="1">
        <v>-0.001517344543518928</v>
      </c>
      <c r="V230" s="1">
        <v>0.008877833768872412</v>
      </c>
      <c r="W230" s="1">
        <v>0.006770207819125185</v>
      </c>
      <c r="X230" s="1">
        <v>0.006126670237237786</v>
      </c>
      <c r="Y230" s="1">
        <v>-0.003130378106282361</v>
      </c>
      <c r="Z230" s="1">
        <v>0.002342901476062975</v>
      </c>
    </row>
    <row r="231" spans="1:26">
      <c r="A231" s="11">
        <v>42704</v>
      </c>
      <c r="B231" s="1">
        <v>0.08577563919955478</v>
      </c>
      <c r="C231" s="1">
        <v>-0.007122113499282268</v>
      </c>
      <c r="D231" s="1">
        <v>-0.005825633722659762</v>
      </c>
      <c r="E231" s="1">
        <v>0.00141920593687761</v>
      </c>
      <c r="F231" s="1">
        <v>-0.008982100797540138</v>
      </c>
      <c r="G231" s="1">
        <v>-0.00954748390491944</v>
      </c>
      <c r="H231" s="1">
        <v>-0.01318282775638902</v>
      </c>
      <c r="I231" s="1">
        <v>-0.001494844209205093</v>
      </c>
      <c r="J231" s="1">
        <v>0.01650152501344682</v>
      </c>
      <c r="K231" s="1">
        <v>-0.008814179701070235</v>
      </c>
      <c r="L231" s="1">
        <v>0.01583862461814345</v>
      </c>
      <c r="M231" s="1">
        <v>-0.01333617315735569</v>
      </c>
      <c r="N231" s="1">
        <v>-0.01917758166761896</v>
      </c>
      <c r="O231" s="1">
        <v>0.004784028608292967</v>
      </c>
      <c r="P231" s="1">
        <v>-0.01358618626899988</v>
      </c>
      <c r="Q231" s="1">
        <v>-0.01922210124532775</v>
      </c>
      <c r="R231" s="1">
        <v>0.01436265385385038</v>
      </c>
      <c r="S231" s="1">
        <v>-0.001478939354664477</v>
      </c>
      <c r="T231" s="1">
        <v>-0.02768568345666744</v>
      </c>
      <c r="U231" s="1">
        <v>-0.02153008738305784</v>
      </c>
      <c r="V231" s="1">
        <v>-0.01492145364153852</v>
      </c>
      <c r="W231" s="1">
        <v>-0.008211374588839582</v>
      </c>
      <c r="X231" s="1">
        <v>0.001087515305794318</v>
      </c>
      <c r="Y231" s="1">
        <v>-0.02080025047637735</v>
      </c>
      <c r="Z231" s="1">
        <v>0.0335064800887388</v>
      </c>
    </row>
    <row r="232" spans="1:26">
      <c r="A232" s="11">
        <v>42705</v>
      </c>
      <c r="B232" s="1">
        <v>-0.01228196347651156</v>
      </c>
      <c r="C232" s="1">
        <v>0.01215439163220466</v>
      </c>
      <c r="D232" s="1">
        <v>-0.01667794705581838</v>
      </c>
      <c r="E232" s="1">
        <v>-0.01133918020006086</v>
      </c>
      <c r="F232" s="1">
        <v>0.005035241394283796</v>
      </c>
      <c r="G232" s="1">
        <v>-0.002514623804817817</v>
      </c>
      <c r="H232" s="1">
        <v>0.004570279487729589</v>
      </c>
      <c r="I232" s="1">
        <v>0.0249501893860169</v>
      </c>
      <c r="J232" s="1">
        <v>-0.02207797301094105</v>
      </c>
      <c r="K232" s="1">
        <v>0.01667380133596907</v>
      </c>
      <c r="L232" s="1">
        <v>0.02020771573695113</v>
      </c>
      <c r="M232" s="1">
        <v>0.0098692280497088</v>
      </c>
      <c r="N232" s="1">
        <v>-0.01626789401861806</v>
      </c>
      <c r="O232" s="1">
        <v>-0.005915391082404686</v>
      </c>
      <c r="P232" s="1">
        <v>-0.01759067291837113</v>
      </c>
      <c r="Q232" s="1">
        <v>-0.01048301616855296</v>
      </c>
      <c r="R232" s="1">
        <v>0.01432015323398894</v>
      </c>
      <c r="S232" s="1">
        <v>-0.006879798551505445</v>
      </c>
      <c r="T232" s="1">
        <v>-0.01038412729516114</v>
      </c>
      <c r="U232" s="1">
        <v>0.006471977497921166</v>
      </c>
      <c r="V232" s="1">
        <v>0.007509042494600493</v>
      </c>
      <c r="W232" s="1">
        <v>-0.00342574870612955</v>
      </c>
      <c r="X232" s="1">
        <v>0.04019149910131392</v>
      </c>
      <c r="Y232" s="1">
        <v>-0.0006013689541901623</v>
      </c>
      <c r="Z232" s="1">
        <v>0.01558185484921171</v>
      </c>
    </row>
    <row r="233" spans="1:26">
      <c r="A233" s="11">
        <v>42706</v>
      </c>
      <c r="B233" s="1">
        <v>-0.0004606163608102953</v>
      </c>
      <c r="C233" s="1">
        <v>-0.0009186333422863679</v>
      </c>
      <c r="D233" s="1">
        <v>0.008709623337715522</v>
      </c>
      <c r="E233" s="1">
        <v>0.002867380397462371</v>
      </c>
      <c r="F233" s="1">
        <v>-0.01545946336539616</v>
      </c>
      <c r="G233" s="1">
        <v>0.01260513966036014</v>
      </c>
      <c r="H233" s="1">
        <v>0.008398748639026232</v>
      </c>
      <c r="I233" s="1">
        <v>-0.01168442089006994</v>
      </c>
      <c r="J233" s="1">
        <v>0.003984329448300183</v>
      </c>
      <c r="K233" s="1">
        <v>-0.008965296390580413</v>
      </c>
      <c r="L233" s="1">
        <v>-0.002323126003360376</v>
      </c>
      <c r="M233" s="1">
        <v>0.01784550816043406</v>
      </c>
      <c r="N233" s="1">
        <v>0.01749099426098155</v>
      </c>
      <c r="O233" s="1">
        <v>-0.007401981891427489</v>
      </c>
      <c r="P233" s="1">
        <v>0.0008447106294855455</v>
      </c>
      <c r="Q233" s="1">
        <v>-0.0009208433203252708</v>
      </c>
      <c r="R233" s="1">
        <v>0.0009512999227156982</v>
      </c>
      <c r="S233" s="1">
        <v>0.007793582529546983</v>
      </c>
      <c r="T233" s="1">
        <v>-0.003084255825500537</v>
      </c>
      <c r="U233" s="1">
        <v>-0.006944470748447285</v>
      </c>
      <c r="V233" s="1">
        <v>0.001542104188992477</v>
      </c>
      <c r="W233" s="1">
        <v>0.01632886111109233</v>
      </c>
      <c r="X233" s="1">
        <v>-0.008145455320489492</v>
      </c>
      <c r="Y233" s="1">
        <v>-0.001203396867929918</v>
      </c>
      <c r="Z233" s="1">
        <v>-0.004206927347108258</v>
      </c>
    </row>
    <row r="234" spans="1:26">
      <c r="A234" s="11">
        <v>42709</v>
      </c>
      <c r="B234" s="1">
        <v>0.01996638050837163</v>
      </c>
      <c r="C234" s="1">
        <v>-0.0005909694634068652</v>
      </c>
      <c r="D234" s="1">
        <v>-0.002726717548326874</v>
      </c>
      <c r="E234" s="1">
        <v>-0.007326623873462279</v>
      </c>
      <c r="F234" s="1">
        <v>-0.001453822074227062</v>
      </c>
      <c r="G234" s="1">
        <v>-0.004979056367145129</v>
      </c>
      <c r="H234" s="1">
        <v>-0.001561637789354697</v>
      </c>
      <c r="I234" s="1">
        <v>-0.002069140188438401</v>
      </c>
      <c r="J234" s="1">
        <v>0.02843919737225975</v>
      </c>
      <c r="K234" s="1">
        <v>-0.01522517300690018</v>
      </c>
      <c r="L234" s="1">
        <v>0.02034302711423774</v>
      </c>
      <c r="M234" s="1">
        <v>-0.01753262947801038</v>
      </c>
      <c r="N234" s="1">
        <v>-0.007188611795749256</v>
      </c>
      <c r="O234" s="1">
        <v>0.004386576353692773</v>
      </c>
      <c r="P234" s="1">
        <v>0.01637127947645212</v>
      </c>
      <c r="Q234" s="1">
        <v>-0.002305490097540219</v>
      </c>
      <c r="R234" s="1">
        <v>0.03660846319233246</v>
      </c>
      <c r="S234" s="1">
        <v>0.01417813885458696</v>
      </c>
      <c r="T234" s="1">
        <v>0.005055667896395777</v>
      </c>
      <c r="U234" s="1">
        <v>0.000517705589339057</v>
      </c>
      <c r="V234" s="1">
        <v>-0.01231711736693175</v>
      </c>
      <c r="W234" s="1">
        <v>-0.003734484583719833</v>
      </c>
      <c r="X234" s="1">
        <v>-0.002737666601956956</v>
      </c>
      <c r="Y234" s="1">
        <v>-0.00120458740498397</v>
      </c>
      <c r="Z234" s="1">
        <v>0.007703549741840066</v>
      </c>
    </row>
    <row r="235" spans="1:26">
      <c r="A235" s="11">
        <v>42710</v>
      </c>
      <c r="B235" s="1">
        <v>-0.0009038366904569051</v>
      </c>
      <c r="C235" s="1">
        <v>0.0005255567234594416</v>
      </c>
      <c r="D235" s="1">
        <v>0.002278561610608021</v>
      </c>
      <c r="E235" s="1">
        <v>0.008640757392776255</v>
      </c>
      <c r="F235" s="1">
        <v>0.0002910958733677305</v>
      </c>
      <c r="G235" s="1">
        <v>-0.008340524519620862</v>
      </c>
      <c r="H235" s="1">
        <v>0.00156408031628219</v>
      </c>
      <c r="I235" s="1">
        <v>0.01214365320765376</v>
      </c>
      <c r="J235" s="1">
        <v>0.003215202584287757</v>
      </c>
      <c r="K235" s="1">
        <v>-0.01187574989490703</v>
      </c>
      <c r="L235" s="1">
        <v>0.005164415120019861</v>
      </c>
      <c r="M235" s="1">
        <v>0.01511612823085806</v>
      </c>
      <c r="N235" s="1">
        <v>0.01212009460687424</v>
      </c>
      <c r="O235" s="1">
        <v>0.001310290911793022</v>
      </c>
      <c r="P235" s="1">
        <v>-0.004483424749224585</v>
      </c>
      <c r="Q235" s="1">
        <v>-0.00785573367949699</v>
      </c>
      <c r="R235" s="1">
        <v>-0.01498170058634329</v>
      </c>
      <c r="S235" s="1">
        <v>0.01063810124754139</v>
      </c>
      <c r="T235" s="1">
        <v>0.0002249277570893771</v>
      </c>
      <c r="U235" s="1">
        <v>0.01863828978307991</v>
      </c>
      <c r="V235" s="1">
        <v>-0.002728245879536018</v>
      </c>
      <c r="W235" s="1">
        <v>0.01563122616881407</v>
      </c>
      <c r="X235" s="1">
        <v>0.00633479679376725</v>
      </c>
      <c r="Y235" s="1">
        <v>0.01226146265660844</v>
      </c>
      <c r="Z235" s="1">
        <v>0.03378571841545175</v>
      </c>
    </row>
    <row r="236" spans="1:26">
      <c r="A236" s="11">
        <v>42711</v>
      </c>
      <c r="B236" s="1">
        <v>0.0006029551894397578</v>
      </c>
      <c r="C236" s="1">
        <v>0.0124802533281918</v>
      </c>
      <c r="D236" s="1">
        <v>0.002954942273048822</v>
      </c>
      <c r="E236" s="1">
        <v>-0.01409984566452727</v>
      </c>
      <c r="F236" s="1">
        <v>0.009170219408791258</v>
      </c>
      <c r="G236" s="1">
        <v>0.01303601995229475</v>
      </c>
      <c r="H236" s="1">
        <v>0.01804600748995644</v>
      </c>
      <c r="I236" s="1">
        <v>0.003316322848225806</v>
      </c>
      <c r="J236" s="1">
        <v>0.035256712911377</v>
      </c>
      <c r="K236" s="1">
        <v>0.003854983617773255</v>
      </c>
      <c r="L236" s="1">
        <v>0.004540652772538234</v>
      </c>
      <c r="M236" s="1">
        <v>0.04551150614077759</v>
      </c>
      <c r="N236" s="1">
        <v>0.01726295060636374</v>
      </c>
      <c r="O236" s="1">
        <v>0.009450204595694789</v>
      </c>
      <c r="P236" s="1">
        <v>0.02368633726984548</v>
      </c>
      <c r="Q236" s="1">
        <v>0.004657319942308558</v>
      </c>
      <c r="R236" s="1">
        <v>0.0496662123514704</v>
      </c>
      <c r="S236" s="1">
        <v>0.02934136397071252</v>
      </c>
      <c r="T236" s="1">
        <v>0.01245980918557121</v>
      </c>
      <c r="U236" s="1">
        <v>0.02795439941489564</v>
      </c>
      <c r="V236" s="1">
        <v>0.002605127248578754</v>
      </c>
      <c r="W236" s="1">
        <v>-0.01211789150655507</v>
      </c>
      <c r="X236" s="1">
        <v>0.01679240041769314</v>
      </c>
      <c r="Y236" s="1">
        <v>0.02025395057313384</v>
      </c>
      <c r="Z236" s="1">
        <v>0.008826315237125959</v>
      </c>
    </row>
    <row r="237" spans="1:26">
      <c r="A237" s="11">
        <v>42712</v>
      </c>
      <c r="B237" s="1">
        <v>0.001656758542979642</v>
      </c>
      <c r="C237" s="1">
        <v>0.008109664384198689</v>
      </c>
      <c r="D237" s="1">
        <v>-0.0009066734605176485</v>
      </c>
      <c r="E237" s="1">
        <v>-0.0001809488469802778</v>
      </c>
      <c r="F237" s="1">
        <v>-0.001442213103501566</v>
      </c>
      <c r="G237" s="1">
        <v>-0.001660339124372912</v>
      </c>
      <c r="H237" s="1">
        <v>-0.006647295661439401</v>
      </c>
      <c r="I237" s="1">
        <v>0.01030514220712009</v>
      </c>
      <c r="J237" s="1">
        <v>0.0006189182512972291</v>
      </c>
      <c r="K237" s="1">
        <v>-0.0140046107471189</v>
      </c>
      <c r="L237" s="1">
        <v>0.01248978849590587</v>
      </c>
      <c r="M237" s="1">
        <v>-0.005014766219177957</v>
      </c>
      <c r="N237" s="1">
        <v>-0.0007641645132721031</v>
      </c>
      <c r="O237" s="1">
        <v>-0.001440182189680006</v>
      </c>
      <c r="P237" s="1">
        <v>-0.005866112378403843</v>
      </c>
      <c r="Q237" s="1">
        <v>0.006490637197622107</v>
      </c>
      <c r="R237" s="1">
        <v>0.006505472450043071</v>
      </c>
      <c r="S237" s="1">
        <v>0.0002265276594610732</v>
      </c>
      <c r="T237" s="1">
        <v>0.005856673155754999</v>
      </c>
      <c r="U237" s="1">
        <v>-0.0009889294329799014</v>
      </c>
      <c r="V237" s="1">
        <v>0.01130327614605409</v>
      </c>
      <c r="W237" s="1">
        <v>0.00860062891863822</v>
      </c>
      <c r="X237" s="1">
        <v>-0.01073490892995577</v>
      </c>
      <c r="Y237" s="1">
        <v>-0.004865673944213222</v>
      </c>
      <c r="Z237" s="1">
        <v>0.01891691722149713</v>
      </c>
    </row>
    <row r="238" spans="1:26">
      <c r="A238" s="11">
        <v>42713</v>
      </c>
      <c r="B238" s="1">
        <v>0.0009021716671377966</v>
      </c>
      <c r="C238" s="1">
        <v>0.007078921871207067</v>
      </c>
      <c r="D238" s="1">
        <v>0.01724142268605822</v>
      </c>
      <c r="E238" s="1">
        <v>0.03277220583197815</v>
      </c>
      <c r="F238" s="1">
        <v>0.003177983079063029</v>
      </c>
      <c r="G238" s="1">
        <v>0.01579988199560067</v>
      </c>
      <c r="H238" s="1">
        <v>0.01424168211980859</v>
      </c>
      <c r="I238" s="1">
        <v>-0.002886726778596915</v>
      </c>
      <c r="J238" s="1">
        <v>-0.02351487066402647</v>
      </c>
      <c r="K238" s="1">
        <v>0.001832376097043342</v>
      </c>
      <c r="L238" s="1">
        <v>0.004346675869213668</v>
      </c>
      <c r="M238" s="1">
        <v>0.003830809823379688</v>
      </c>
      <c r="N238" s="1">
        <v>0.01392258711327266</v>
      </c>
      <c r="O238" s="1">
        <v>0.00201929264034284</v>
      </c>
      <c r="P238" s="1">
        <v>0.01573513132764393</v>
      </c>
      <c r="Q238" s="1">
        <v>0.003224330308573053</v>
      </c>
      <c r="R238" s="1">
        <v>-0.00572917427565578</v>
      </c>
      <c r="S238" s="1">
        <v>-0.008730131682627373</v>
      </c>
      <c r="T238" s="1">
        <v>-0.001621439668183844</v>
      </c>
      <c r="U238" s="1">
        <v>-0.000742276864637792</v>
      </c>
      <c r="V238" s="1">
        <v>-0.00578112614555415</v>
      </c>
      <c r="W238" s="1">
        <v>0.0163556915829639</v>
      </c>
      <c r="X238" s="1">
        <v>0.00980786382036114</v>
      </c>
      <c r="Y238" s="1">
        <v>0.007041124487763062</v>
      </c>
      <c r="Z238" s="1">
        <v>0.00324940472183477</v>
      </c>
    </row>
    <row r="239" spans="1:26">
      <c r="A239" s="11">
        <v>42716</v>
      </c>
      <c r="B239" s="1">
        <v>0.003455759701346484</v>
      </c>
      <c r="C239" s="1">
        <v>0.004281524513413126</v>
      </c>
      <c r="D239" s="1">
        <v>0.003345282608418154</v>
      </c>
      <c r="E239" s="1">
        <v>-0.008590283088337758</v>
      </c>
      <c r="F239" s="1">
        <v>-0.00647976520476401</v>
      </c>
      <c r="G239" s="1">
        <v>0.003275307128489446</v>
      </c>
      <c r="H239" s="1">
        <v>0.004229564098287453</v>
      </c>
      <c r="I239" s="1">
        <v>-0.01158076397791208</v>
      </c>
      <c r="J239" s="1">
        <v>0.01169563496481851</v>
      </c>
      <c r="K239" s="1">
        <v>-0.002069651481983348</v>
      </c>
      <c r="L239" s="1">
        <v>-0.008889635549139796</v>
      </c>
      <c r="M239" s="1">
        <v>-0.008435516718887759</v>
      </c>
      <c r="N239" s="1">
        <v>0.003320018900859534</v>
      </c>
      <c r="O239" s="1">
        <v>-0.000144161647310348</v>
      </c>
      <c r="P239" s="1">
        <v>0.003227329112995836</v>
      </c>
      <c r="Q239" s="1">
        <v>0.00459145030892083</v>
      </c>
      <c r="R239" s="1">
        <v>-0.008569843303830371</v>
      </c>
      <c r="S239" s="1">
        <v>0.002486405562480698</v>
      </c>
      <c r="T239" s="1">
        <v>-0.0005904461767111124</v>
      </c>
      <c r="U239" s="1">
        <v>0.01832598149512643</v>
      </c>
      <c r="V239" s="1">
        <v>-0.008398998315237938</v>
      </c>
      <c r="W239" s="1">
        <v>-0.00158167843803747</v>
      </c>
      <c r="X239" s="1">
        <v>0.0002068872948124412</v>
      </c>
      <c r="Y239" s="1">
        <v>0.005243810497695067</v>
      </c>
      <c r="Z239" s="1">
        <v>-0.01758104927171023</v>
      </c>
    </row>
    <row r="240" spans="1:26">
      <c r="A240" s="11">
        <v>42717</v>
      </c>
      <c r="B240" s="1">
        <v>0.00838458756090521</v>
      </c>
      <c r="C240" s="1">
        <v>-0.0031816144530874</v>
      </c>
      <c r="D240" s="1">
        <v>0.0006671018702810727</v>
      </c>
      <c r="E240" s="1">
        <v>0.01096379558616256</v>
      </c>
      <c r="F240" s="1">
        <v>0.01420296022463918</v>
      </c>
      <c r="G240" s="1">
        <v>0.00285601290899784</v>
      </c>
      <c r="H240" s="1">
        <v>0.01061323685672866</v>
      </c>
      <c r="I240" s="1">
        <v>-0.01064237449637051</v>
      </c>
      <c r="J240" s="1">
        <v>-0.0006317279424316036</v>
      </c>
      <c r="K240" s="1">
        <v>0.00115198548021711</v>
      </c>
      <c r="L240" s="1">
        <v>0.0003530781157137231</v>
      </c>
      <c r="M240" s="1">
        <v>0.003645727777862096</v>
      </c>
      <c r="N240" s="1">
        <v>0.003007692845046872</v>
      </c>
      <c r="O240" s="1">
        <v>-0.002015707928953558</v>
      </c>
      <c r="P240" s="1">
        <v>0.01302881023822255</v>
      </c>
      <c r="Q240" s="1">
        <v>0.01005497595694038</v>
      </c>
      <c r="R240" s="1">
        <v>0.001043042488215518</v>
      </c>
      <c r="S240" s="1">
        <v>0.003261951386448914</v>
      </c>
      <c r="T240" s="1">
        <v>-0.004321232945514231</v>
      </c>
      <c r="U240" s="1">
        <v>0.005836167020338845</v>
      </c>
      <c r="V240" s="1">
        <v>0.01211895554539599</v>
      </c>
      <c r="W240" s="1">
        <v>0.005998643085547872</v>
      </c>
      <c r="X240" s="1">
        <v>0.001446394702736997</v>
      </c>
      <c r="Y240" s="1">
        <v>0.0115919935752915</v>
      </c>
      <c r="Z240" s="1">
        <v>-0.005650695725576194</v>
      </c>
    </row>
    <row r="241" spans="1:26">
      <c r="A241" s="11">
        <v>42718</v>
      </c>
      <c r="B241" s="1">
        <v>-0.02390488975229277</v>
      </c>
      <c r="C241" s="1">
        <v>-0.01397909287017418</v>
      </c>
      <c r="D241" s="1">
        <v>0.0004439782858556285</v>
      </c>
      <c r="E241" s="1">
        <v>0.02326372685807221</v>
      </c>
      <c r="F241" s="1">
        <v>0.0005716019981949483</v>
      </c>
      <c r="G241" s="1">
        <v>-0.01627376062931107</v>
      </c>
      <c r="H241" s="1">
        <v>-0.01483597758222666</v>
      </c>
      <c r="I241" s="1">
        <v>-0.007697433722348768</v>
      </c>
      <c r="J241" s="1">
        <v>-0.01327442096268683</v>
      </c>
      <c r="K241" s="1">
        <v>-0.01035898264141399</v>
      </c>
      <c r="L241" s="1">
        <v>-0.0003529534955586389</v>
      </c>
      <c r="M241" s="1">
        <v>-0.005449161910897393</v>
      </c>
      <c r="N241" s="1">
        <v>-0.01124588009538396</v>
      </c>
      <c r="O241" s="1">
        <v>-0.01125150930889285</v>
      </c>
      <c r="P241" s="1">
        <v>-0.004763393419140005</v>
      </c>
      <c r="Q241" s="1">
        <v>-0.01990975975820364</v>
      </c>
      <c r="R241" s="1">
        <v>-0.01291800840851287</v>
      </c>
      <c r="S241" s="1">
        <v>-0.0145619638343214</v>
      </c>
      <c r="T241" s="1">
        <v>-0.01149905548440311</v>
      </c>
      <c r="U241" s="1">
        <v>-0.00628594982368702</v>
      </c>
      <c r="V241" s="1">
        <v>-0.006179803021901797</v>
      </c>
      <c r="W241" s="1">
        <v>-0.01439328851299049</v>
      </c>
      <c r="X241" s="1">
        <v>-0.005983369838229446</v>
      </c>
      <c r="Y241" s="1">
        <v>-0.013942103331119</v>
      </c>
      <c r="Z241" s="1">
        <v>-0.0007106441623935256</v>
      </c>
    </row>
    <row r="242" spans="1:26">
      <c r="A242" s="11">
        <v>42719</v>
      </c>
      <c r="B242" s="1">
        <v>0.01521128545339345</v>
      </c>
      <c r="C242" s="1">
        <v>-0.004531849359984852</v>
      </c>
      <c r="D242" s="1">
        <v>0.001109945575241911</v>
      </c>
      <c r="E242" s="1">
        <v>0.002563990614298461</v>
      </c>
      <c r="F242" s="1">
        <v>-0.001999576743989762</v>
      </c>
      <c r="G242" s="1">
        <v>0.005376443612612691</v>
      </c>
      <c r="H242" s="1">
        <v>0.006091271124749165</v>
      </c>
      <c r="I242" s="1">
        <v>0.008453285326978088</v>
      </c>
      <c r="J242" s="1">
        <v>-0.006405802447039699</v>
      </c>
      <c r="K242" s="1">
        <v>-0.0132590250986877</v>
      </c>
      <c r="L242" s="1">
        <v>0.01498843922034032</v>
      </c>
      <c r="M242" s="1">
        <v>0.0265827681474764</v>
      </c>
      <c r="N242" s="1">
        <v>0.004852908441809411</v>
      </c>
      <c r="O242" s="1">
        <v>0.0002915798580724882</v>
      </c>
      <c r="P242" s="1">
        <v>-0.001595351925757438</v>
      </c>
      <c r="Q242" s="1">
        <v>0.01615886747217266</v>
      </c>
      <c r="R242" s="1">
        <v>-0.005174634341928996</v>
      </c>
      <c r="S242" s="1">
        <v>0.005065030215688271</v>
      </c>
      <c r="T242" s="1">
        <v>0.004615512768150198</v>
      </c>
      <c r="U242" s="1">
        <v>0.009732529437357806</v>
      </c>
      <c r="V242" s="1">
        <v>-0.002720690846277574</v>
      </c>
      <c r="W242" s="1">
        <v>-0.002086149205848931</v>
      </c>
      <c r="X242" s="1">
        <v>0.01722740300278014</v>
      </c>
      <c r="Y242" s="1">
        <v>0.003486498724021514</v>
      </c>
      <c r="Z242" s="1">
        <v>0.01990568646364932</v>
      </c>
    </row>
    <row r="243" spans="1:26">
      <c r="A243" s="11">
        <v>42720</v>
      </c>
      <c r="B243" s="1">
        <v>-0.005244293008727863</v>
      </c>
      <c r="C243" s="1">
        <v>0.00474748743960629</v>
      </c>
      <c r="D243" s="1">
        <v>-0.008205474494095921</v>
      </c>
      <c r="E243" s="1">
        <v>-0.0005111926757225271</v>
      </c>
      <c r="F243" s="1">
        <v>-0.000286097153235465</v>
      </c>
      <c r="G243" s="1">
        <v>-0.0008224450894620539</v>
      </c>
      <c r="H243" s="1">
        <v>0.001177335996805917</v>
      </c>
      <c r="I243" s="1">
        <v>0.003550283240504548</v>
      </c>
      <c r="J243" s="1">
        <v>-0.02965860088381378</v>
      </c>
      <c r="K243" s="1">
        <v>-0.008014677288200933</v>
      </c>
      <c r="L243" s="1">
        <v>-0.01232598343790836</v>
      </c>
      <c r="M243" s="1">
        <v>-0.01304610094778991</v>
      </c>
      <c r="N243" s="1">
        <v>0.01177197985650857</v>
      </c>
      <c r="O243" s="1">
        <v>-0.001458784998552343</v>
      </c>
      <c r="P243" s="1">
        <v>-0.004474109555713368</v>
      </c>
      <c r="Q243" s="1">
        <v>0.0009087650716350648</v>
      </c>
      <c r="R243" s="1">
        <v>-0.004130478780148383</v>
      </c>
      <c r="S243" s="1">
        <v>0.01128123282492055</v>
      </c>
      <c r="T243" s="1">
        <v>0.01509091365777304</v>
      </c>
      <c r="U243" s="1">
        <v>0.004096158405722639</v>
      </c>
      <c r="V243" s="1">
        <v>-0.002987835572584641</v>
      </c>
      <c r="W243" s="1">
        <v>-0.006689829723557805</v>
      </c>
      <c r="X243" s="1">
        <v>-0.008365766746059489</v>
      </c>
      <c r="Y243" s="1">
        <v>0.008878749109086037</v>
      </c>
      <c r="Z243" s="1">
        <v>-0.02346662883370088</v>
      </c>
    </row>
    <row r="244" spans="1:26">
      <c r="A244" s="11">
        <v>42723</v>
      </c>
      <c r="B244" s="1">
        <v>0.004669127323879474</v>
      </c>
      <c r="C244" s="1">
        <v>0.01087379488826512</v>
      </c>
      <c r="D244" s="1">
        <v>-0.001788917992765593</v>
      </c>
      <c r="E244" s="1">
        <v>0.01364729483602312</v>
      </c>
      <c r="F244" s="1">
        <v>0.004151477675852888</v>
      </c>
      <c r="G244" s="1">
        <v>0.006998443884140615</v>
      </c>
      <c r="H244" s="1">
        <v>0.004871501903809472</v>
      </c>
      <c r="I244" s="1">
        <v>0.004815135342626675</v>
      </c>
      <c r="J244" s="1">
        <v>0.004651280979386829</v>
      </c>
      <c r="K244" s="1">
        <v>0.005465537259182307</v>
      </c>
      <c r="L244" s="1">
        <v>0.005768886423076935</v>
      </c>
      <c r="M244" s="1">
        <v>0.008412040872687099</v>
      </c>
      <c r="N244" s="1">
        <v>0.01073965470357874</v>
      </c>
      <c r="O244" s="1">
        <v>0.003213818665520618</v>
      </c>
      <c r="P244" s="1">
        <v>0.02118723909447695</v>
      </c>
      <c r="Q244" s="1">
        <v>0.01361768177938738</v>
      </c>
      <c r="R244" s="1">
        <v>0.001689933336568972</v>
      </c>
      <c r="S244" s="1">
        <v>0.007497631684544537</v>
      </c>
      <c r="T244" s="1">
        <v>-0.01059811939354482</v>
      </c>
      <c r="U244" s="1">
        <v>0.01079939947894371</v>
      </c>
      <c r="V244" s="1">
        <v>0.003778491225151726</v>
      </c>
      <c r="W244" s="1">
        <v>-0.009050142610674716</v>
      </c>
      <c r="X244" s="1">
        <v>-0.005349703611362</v>
      </c>
      <c r="Y244" s="1">
        <v>0.01224367777227431</v>
      </c>
      <c r="Z244" s="1">
        <v>0.01594063077445229</v>
      </c>
    </row>
    <row r="245" spans="1:26">
      <c r="A245" s="11">
        <v>42724</v>
      </c>
      <c r="B245" s="1">
        <v>0.0007500330605227923</v>
      </c>
      <c r="C245" s="1">
        <v>0.001344405836479101</v>
      </c>
      <c r="D245" s="1">
        <v>-0.01209681185768974</v>
      </c>
      <c r="E245" s="1">
        <v>-0.00504894601120931</v>
      </c>
      <c r="F245" s="1">
        <v>0.01225932015965769</v>
      </c>
      <c r="G245" s="1">
        <v>0.008176434204698824</v>
      </c>
      <c r="H245" s="1">
        <v>0.005181921270513534</v>
      </c>
      <c r="I245" s="1">
        <v>0.01359420342105344</v>
      </c>
      <c r="J245" s="1">
        <v>-0.00264548173534751</v>
      </c>
      <c r="K245" s="1">
        <v>0.01323577641121121</v>
      </c>
      <c r="L245" s="1">
        <v>0.01287637133798669</v>
      </c>
      <c r="M245" s="1">
        <v>0.01072481966117667</v>
      </c>
      <c r="N245" s="1">
        <v>0.002829572125639945</v>
      </c>
      <c r="O245" s="1">
        <v>-0.004222495864348419</v>
      </c>
      <c r="P245" s="1">
        <v>-0.001257075830473631</v>
      </c>
      <c r="Q245" s="1">
        <v>-0.005374219110507727</v>
      </c>
      <c r="R245" s="1">
        <v>0.007513969041278212</v>
      </c>
      <c r="S245" s="1">
        <v>-0.01148060982874144</v>
      </c>
      <c r="T245" s="1">
        <v>-0.01000431388737033</v>
      </c>
      <c r="U245" s="1">
        <v>0.00830912712089793</v>
      </c>
      <c r="V245" s="1">
        <v>0.007918048122386834</v>
      </c>
      <c r="W245" s="1">
        <v>0.003893596996225268</v>
      </c>
      <c r="X245" s="1">
        <v>0.006619725323522729</v>
      </c>
      <c r="Y245" s="1">
        <v>0.003969433663771449</v>
      </c>
      <c r="Z245" s="1">
        <v>0.02833738846600586</v>
      </c>
    </row>
    <row r="246" spans="1:26">
      <c r="A246" s="11">
        <v>42725</v>
      </c>
      <c r="B246" s="1">
        <v>-0.00164796978095616</v>
      </c>
      <c r="C246" s="1">
        <v>0.006969780010464666</v>
      </c>
      <c r="D246" s="1">
        <v>-0.0002266202442188225</v>
      </c>
      <c r="E246" s="1">
        <v>-0.007273430909105483</v>
      </c>
      <c r="F246" s="1">
        <v>-0.002535009763708573</v>
      </c>
      <c r="G246" s="1">
        <v>-0.0004052818289154159</v>
      </c>
      <c r="H246" s="1">
        <v>0.001330598527556903</v>
      </c>
      <c r="I246" s="1">
        <v>-0.005306900663817893</v>
      </c>
      <c r="J246" s="1">
        <v>0.003978792336802872</v>
      </c>
      <c r="K246" s="1">
        <v>-0.001399767248772332</v>
      </c>
      <c r="L246" s="1">
        <v>0.002542399026072006</v>
      </c>
      <c r="M246" s="1">
        <v>-0.004715923504748698</v>
      </c>
      <c r="N246" s="1">
        <v>-0.001039708859181698</v>
      </c>
      <c r="O246" s="1">
        <v>-0.001169863189010134</v>
      </c>
      <c r="P246" s="1">
        <v>0</v>
      </c>
      <c r="Q246" s="1">
        <v>0.005403257399684058</v>
      </c>
      <c r="R246" s="1">
        <v>-0.005174992517993804</v>
      </c>
      <c r="S246" s="1">
        <v>-0.01244011536893919</v>
      </c>
      <c r="T246" s="1">
        <v>0.0188588771560374</v>
      </c>
      <c r="U246" s="1">
        <v>-0.002589647943762374</v>
      </c>
      <c r="V246" s="1">
        <v>-0.006696883074654991</v>
      </c>
      <c r="W246" s="1">
        <v>-0.007263567740532162</v>
      </c>
      <c r="X246" s="1">
        <v>0.0008221630511158207</v>
      </c>
      <c r="Y246" s="1">
        <v>-0.002823969392537373</v>
      </c>
      <c r="Z246" s="1">
        <v>-0.006148722566935216</v>
      </c>
    </row>
    <row r="247" spans="1:26">
      <c r="A247" s="11">
        <v>42726</v>
      </c>
      <c r="B247" s="1">
        <v>0.001500533746162658</v>
      </c>
      <c r="C247" s="1">
        <v>-0.0001269767351449458</v>
      </c>
      <c r="D247" s="1">
        <v>0.001587606767309735</v>
      </c>
      <c r="E247" s="1">
        <v>0.001192826697209659</v>
      </c>
      <c r="F247" s="1">
        <v>0.002682359582585114</v>
      </c>
      <c r="G247" s="1">
        <v>0.007707964392122513</v>
      </c>
      <c r="H247" s="1">
        <v>0</v>
      </c>
      <c r="I247" s="1">
        <v>0</v>
      </c>
      <c r="J247" s="1">
        <v>0</v>
      </c>
      <c r="K247" s="1">
        <v>-0.004671475337228448</v>
      </c>
      <c r="L247" s="1">
        <v>0.001614024824233118</v>
      </c>
      <c r="M247" s="1">
        <v>-0.007897454997931375</v>
      </c>
      <c r="N247" s="1">
        <v>0.006094815622128325</v>
      </c>
      <c r="O247" s="1">
        <v>0.001464255479497023</v>
      </c>
      <c r="P247" s="1">
        <v>0.0001571475754076346</v>
      </c>
      <c r="Q247" s="1">
        <v>0.004478593630219185</v>
      </c>
      <c r="R247" s="1">
        <v>-0.00336592505073674</v>
      </c>
      <c r="S247" s="1">
        <v>0.00990107755092251</v>
      </c>
      <c r="T247" s="1">
        <v>-0.003687563196078547</v>
      </c>
      <c r="U247" s="1">
        <v>0.008498341190644521</v>
      </c>
      <c r="V247" s="1">
        <v>-0.04395173512718331</v>
      </c>
      <c r="W247" s="1">
        <v>-0.001776044013453992</v>
      </c>
      <c r="X247" s="1">
        <v>-0.002258892699066206</v>
      </c>
      <c r="Y247" s="1">
        <v>0.01283741608290057</v>
      </c>
      <c r="Z247" s="1">
        <v>0.002291385176330429</v>
      </c>
    </row>
    <row r="248" spans="1:26">
      <c r="A248" s="11">
        <v>42727</v>
      </c>
      <c r="B248" s="1">
        <v>-0.00509458193494694</v>
      </c>
      <c r="C248" s="1">
        <v>0.002222949919764572</v>
      </c>
      <c r="D248" s="1">
        <v>0.001358577051006948</v>
      </c>
      <c r="E248" s="1">
        <v>0.01446532511882181</v>
      </c>
      <c r="F248" s="1">
        <v>-0.005209615172173998</v>
      </c>
      <c r="G248" s="1">
        <v>-0.000402759143507625</v>
      </c>
      <c r="H248" s="1">
        <v>0.001162670695994406</v>
      </c>
      <c r="I248" s="1">
        <v>0.0002909710438683266</v>
      </c>
      <c r="J248" s="1">
        <v>-0.00264198695521678</v>
      </c>
      <c r="K248" s="1">
        <v>-0.00258204614220503</v>
      </c>
      <c r="L248" s="1">
        <v>0.001841109109522288</v>
      </c>
      <c r="M248" s="1">
        <v>0.003980117762229618</v>
      </c>
      <c r="N248" s="1">
        <v>0.0005910872182028903</v>
      </c>
      <c r="O248" s="1">
        <v>0.00160765611580227</v>
      </c>
      <c r="P248" s="1">
        <v>-0.004877994080630388</v>
      </c>
      <c r="Q248" s="1">
        <v>-0.005796073592380879</v>
      </c>
      <c r="R248" s="1">
        <v>0.00445208402847852</v>
      </c>
      <c r="S248" s="1">
        <v>0.006720192479689802</v>
      </c>
      <c r="T248" s="1">
        <v>0.007735011489788723</v>
      </c>
      <c r="U248" s="1">
        <v>0.0002340660391095817</v>
      </c>
      <c r="V248" s="1">
        <v>-0.00325450982966824</v>
      </c>
      <c r="W248" s="1">
        <v>0.009393603235062331</v>
      </c>
      <c r="X248" s="1">
        <v>0.007203217178302079</v>
      </c>
      <c r="Y248" s="1">
        <v>0.0005593950923494795</v>
      </c>
      <c r="Z248" s="1">
        <v>0.002743399308790195</v>
      </c>
    </row>
    <row r="249" spans="1:26">
      <c r="A249" s="11">
        <v>42731</v>
      </c>
      <c r="B249" s="1">
        <v>-0.0009033089668691874</v>
      </c>
      <c r="C249" s="1">
        <v>-0.002091308186116358</v>
      </c>
      <c r="D249" s="1">
        <v>0.00361839155267929</v>
      </c>
      <c r="E249" s="1">
        <v>-0.004696855360466157</v>
      </c>
      <c r="F249" s="1">
        <v>0.003113885194937271</v>
      </c>
      <c r="G249" s="1">
        <v>-0.002818999490883045</v>
      </c>
      <c r="H249" s="1">
        <v>0.003483782737227159</v>
      </c>
      <c r="I249" s="1">
        <v>0.007563991786433633</v>
      </c>
      <c r="J249" s="1">
        <v>0.007284688251520954</v>
      </c>
      <c r="K249" s="1">
        <v>-0.003058974350429011</v>
      </c>
      <c r="L249" s="1">
        <v>0.0009192023093784751</v>
      </c>
      <c r="M249" s="1">
        <v>0.000792884927567572</v>
      </c>
      <c r="N249" s="1">
        <v>0.00147678957031383</v>
      </c>
      <c r="O249" s="1">
        <v>-0.004670247038580211</v>
      </c>
      <c r="P249" s="1">
        <v>0.0006327869040505529</v>
      </c>
      <c r="Q249" s="1">
        <v>-0.003138906107444828</v>
      </c>
      <c r="R249" s="1">
        <v>0.003056539313651463</v>
      </c>
      <c r="S249" s="1">
        <v>0.006491961169032834</v>
      </c>
      <c r="T249" s="1">
        <v>0.0002937727880469865</v>
      </c>
      <c r="U249" s="1">
        <v>-0.001872206950543465</v>
      </c>
      <c r="V249" s="1">
        <v>0.00272109741595461</v>
      </c>
      <c r="W249" s="1">
        <v>0.004018908870608406</v>
      </c>
      <c r="X249" s="1">
        <v>0.002043174223808508</v>
      </c>
      <c r="Y249" s="1">
        <v>-0.0007454230698602515</v>
      </c>
      <c r="Z249" s="1">
        <v>0.001596063445027607</v>
      </c>
    </row>
    <row r="250" spans="1:26">
      <c r="A250" s="11">
        <v>42732</v>
      </c>
      <c r="B250" s="1">
        <v>-0.02637934380124718</v>
      </c>
      <c r="C250" s="1">
        <v>-0.008762857831412951</v>
      </c>
      <c r="D250" s="1">
        <v>-0.004281417090585382</v>
      </c>
      <c r="E250" s="1">
        <v>-0.01213572547563246</v>
      </c>
      <c r="F250" s="1">
        <v>-0.005926263279204425</v>
      </c>
      <c r="G250" s="1">
        <v>-0.01292422063551057</v>
      </c>
      <c r="H250" s="1">
        <v>0.0006613841390292752</v>
      </c>
      <c r="I250" s="1">
        <v>0.001065086799286297</v>
      </c>
      <c r="J250" s="1">
        <v>-0.01775149220458483</v>
      </c>
      <c r="K250" s="1">
        <v>-0.01203609379537329</v>
      </c>
      <c r="L250" s="1">
        <v>-0.007230643111867274</v>
      </c>
      <c r="M250" s="1">
        <v>-0.006338054072996036</v>
      </c>
      <c r="N250" s="1">
        <v>-0.004570997399661603</v>
      </c>
      <c r="O250" s="1">
        <v>-0.007038010302027442</v>
      </c>
      <c r="P250" s="1">
        <v>-0.00458315174186541</v>
      </c>
      <c r="Q250" s="1">
        <v>-0.01259574486020998</v>
      </c>
      <c r="R250" s="1">
        <v>-0.01020850464410017</v>
      </c>
      <c r="S250" s="1">
        <v>-0.008449028844129347</v>
      </c>
      <c r="T250" s="1">
        <v>-0.007636583500765237</v>
      </c>
      <c r="U250" s="1">
        <v>-0.003047969705709419</v>
      </c>
      <c r="V250" s="1">
        <v>-0.01180492585741844</v>
      </c>
      <c r="W250" s="1">
        <v>-0.008356343530712906</v>
      </c>
      <c r="X250" s="1">
        <v>-0.01060348858784954</v>
      </c>
      <c r="Y250" s="1">
        <v>-0.003728751652170126</v>
      </c>
      <c r="Z250" s="1">
        <v>-0.01479626186553784</v>
      </c>
    </row>
    <row r="251" spans="1:26">
      <c r="A251" s="11">
        <v>42733</v>
      </c>
      <c r="B251" s="1">
        <v>-0.01114710701967758</v>
      </c>
      <c r="C251" s="1">
        <v>-0.002626509080339123</v>
      </c>
      <c r="D251" s="1">
        <v>0.001584215265362676</v>
      </c>
      <c r="E251" s="1">
        <v>0.004948180221474363</v>
      </c>
      <c r="F251" s="1">
        <v>-0.005110022374914647</v>
      </c>
      <c r="G251" s="1">
        <v>0.01186612695628519</v>
      </c>
      <c r="H251" s="1">
        <v>0.006938787056398166</v>
      </c>
      <c r="I251" s="1">
        <v>-0.001934166763650436</v>
      </c>
      <c r="J251" s="1">
        <v>0</v>
      </c>
      <c r="K251" s="1">
        <v>-0.004300734478060453</v>
      </c>
      <c r="L251" s="1">
        <v>-0.007052357559812261</v>
      </c>
      <c r="M251" s="1">
        <v>0.0005983905895585728</v>
      </c>
      <c r="N251" s="1">
        <v>0.005036279797283161</v>
      </c>
      <c r="O251" s="1">
        <v>0.0004431302765195433</v>
      </c>
      <c r="P251" s="1">
        <v>-0.001428574622192924</v>
      </c>
      <c r="Q251" s="1">
        <v>0.01321198679832913</v>
      </c>
      <c r="R251" s="1">
        <v>-0.009082618733179726</v>
      </c>
      <c r="S251" s="1">
        <v>0.009711974637253151</v>
      </c>
      <c r="T251" s="1">
        <v>0.003070630229236482</v>
      </c>
      <c r="U251" s="1">
        <v>0.003292455213780077</v>
      </c>
      <c r="V251" s="1">
        <v>-0.002883216681958789</v>
      </c>
      <c r="W251" s="1">
        <v>0.001840671591409659</v>
      </c>
      <c r="X251" s="1">
        <v>0.001236643706455931</v>
      </c>
      <c r="Y251" s="1">
        <v>0.005614060917175312</v>
      </c>
      <c r="Z251" s="1">
        <v>-0.01132134470151136</v>
      </c>
    </row>
    <row r="252" spans="1:26">
      <c r="A252" s="11">
        <v>42734</v>
      </c>
      <c r="B252" s="1">
        <v>-0.006262903380118812</v>
      </c>
      <c r="C252" s="1">
        <v>-6.437685896110157E-05</v>
      </c>
      <c r="D252" s="1">
        <v>0.001807510504306942</v>
      </c>
      <c r="E252" s="1">
        <v>-0.007809986305604477</v>
      </c>
      <c r="F252" s="1">
        <v>-0.01095757855482105</v>
      </c>
      <c r="G252" s="1">
        <v>-0.003639290691477726</v>
      </c>
      <c r="H252" s="1">
        <v>-0.007875384029327193</v>
      </c>
      <c r="I252" s="1">
        <v>-0.001646997281694706</v>
      </c>
      <c r="J252" s="1">
        <v>-0.006693165576233118</v>
      </c>
      <c r="K252" s="1">
        <v>-0.01175607828202652</v>
      </c>
      <c r="L252" s="1">
        <v>0.004657511214555266</v>
      </c>
      <c r="M252" s="1">
        <v>-0.007171585865723418</v>
      </c>
      <c r="N252" s="1">
        <v>-0.003389431827603984</v>
      </c>
      <c r="O252" s="1">
        <v>-0.002362159920992091</v>
      </c>
      <c r="P252" s="1">
        <v>-0.01208285022488076</v>
      </c>
      <c r="Q252" s="1">
        <v>-0.004496599785064781</v>
      </c>
      <c r="R252" s="1">
        <v>-0.007301455584402872</v>
      </c>
      <c r="S252" s="1">
        <v>0.01406558438072802</v>
      </c>
      <c r="T252" s="1">
        <v>-0.008814890255049668</v>
      </c>
      <c r="U252" s="1">
        <v>-0.003047255276087291</v>
      </c>
      <c r="V252" s="1">
        <v>-0.005370309514665772</v>
      </c>
      <c r="W252" s="1">
        <v>-0.00268527815205688</v>
      </c>
      <c r="X252" s="1">
        <v>-0.0004117584599581114</v>
      </c>
      <c r="Y252" s="1">
        <v>-0.006699034646166946</v>
      </c>
      <c r="Z252" s="1">
        <v>0.00584237333491</v>
      </c>
    </row>
    <row r="253" spans="1:26">
      <c r="A253" s="11">
        <v>42738</v>
      </c>
      <c r="B253" s="1">
        <v>0.004884166555939595</v>
      </c>
      <c r="C253" s="1">
        <v>0.008286437745155251</v>
      </c>
      <c r="D253" s="1">
        <v>0.002255036516665365</v>
      </c>
      <c r="E253" s="1">
        <v>0.01728275081186648</v>
      </c>
      <c r="F253" s="1">
        <v>0</v>
      </c>
      <c r="G253" s="1">
        <v>-0.002029410266197518</v>
      </c>
      <c r="H253" s="1">
        <v>0.002811322187834087</v>
      </c>
      <c r="I253" s="1">
        <v>0.009802094129995886</v>
      </c>
      <c r="J253" s="1">
        <v>0.0006738713303944266</v>
      </c>
      <c r="K253" s="1">
        <v>0.03010460732079312</v>
      </c>
      <c r="L253" s="1">
        <v>0.0108936684939791</v>
      </c>
      <c r="M253" s="1">
        <v>0.00280875950475501</v>
      </c>
      <c r="N253" s="1">
        <v>0.0001474857516641226</v>
      </c>
      <c r="O253" s="1">
        <v>0.004142819793720554</v>
      </c>
      <c r="P253" s="1">
        <v>0.007080989278394956</v>
      </c>
      <c r="Q253" s="1">
        <v>0.002258514040711201</v>
      </c>
      <c r="R253" s="1">
        <v>0.02222193448404908</v>
      </c>
      <c r="S253" s="1">
        <v>8.957321248814765E-05</v>
      </c>
      <c r="T253" s="1">
        <v>0.02158244002991538</v>
      </c>
      <c r="U253" s="1">
        <v>0.01152129474590513</v>
      </c>
      <c r="V253" s="1">
        <v>0.007199121076840731</v>
      </c>
      <c r="W253" s="1">
        <v>0.01821366055658724</v>
      </c>
      <c r="X253" s="1">
        <v>0.01420925086857383</v>
      </c>
      <c r="Y253" s="1">
        <v>0.02248008934119095</v>
      </c>
      <c r="Z253" s="1">
        <v>0.003252706546216455</v>
      </c>
    </row>
    <row r="254" spans="1:26">
      <c r="A254" s="11">
        <v>42739</v>
      </c>
      <c r="B254" s="1">
        <v>-0.002978827894878133</v>
      </c>
      <c r="C254" s="1">
        <v>0.01051155331434339</v>
      </c>
      <c r="D254" s="1">
        <v>0.00697587276515943</v>
      </c>
      <c r="E254" s="1">
        <v>0.001354594991052949</v>
      </c>
      <c r="F254" s="1">
        <v>0.01187537718814635</v>
      </c>
      <c r="G254" s="1">
        <v>0.008946705592405069</v>
      </c>
      <c r="H254" s="1">
        <v>0.006926200122093329</v>
      </c>
      <c r="I254" s="1">
        <v>0.01701084259377872</v>
      </c>
      <c r="J254" s="1">
        <v>0.01548797733754625</v>
      </c>
      <c r="K254" s="1">
        <v>0.001413837896686365</v>
      </c>
      <c r="L254" s="1">
        <v>0.001844096283282193</v>
      </c>
      <c r="M254" s="1">
        <v>0.02641065634100337</v>
      </c>
      <c r="N254" s="1">
        <v>0.003252993624906608</v>
      </c>
      <c r="O254" s="1">
        <v>0.006188392870796644</v>
      </c>
      <c r="P254" s="1">
        <v>-0.004474109555713368</v>
      </c>
      <c r="Q254" s="1">
        <v>0.007661080804016951</v>
      </c>
      <c r="R254" s="1">
        <v>0.01377861720446072</v>
      </c>
      <c r="S254" s="1">
        <v>0.007337362518698543</v>
      </c>
      <c r="T254" s="1">
        <v>0.006774579533268765</v>
      </c>
      <c r="U254" s="1">
        <v>-0.005811076031368212</v>
      </c>
      <c r="V254" s="1">
        <v>0.01457050310578922</v>
      </c>
      <c r="W254" s="1">
        <v>0.01037142526903767</v>
      </c>
      <c r="X254" s="1">
        <v>0.02131966704706456</v>
      </c>
      <c r="Y254" s="1">
        <v>-0.001099372166060264</v>
      </c>
      <c r="Z254" s="1">
        <v>0.01435866147397014</v>
      </c>
    </row>
    <row r="255" spans="1:26">
      <c r="A255" s="11">
        <v>42740</v>
      </c>
      <c r="B255" s="1">
        <v>-0.00534686995227085</v>
      </c>
      <c r="C255" s="1">
        <v>0.0005671329344656417</v>
      </c>
      <c r="D255" s="1">
        <v>0.006703722886221897</v>
      </c>
      <c r="E255" s="1">
        <v>0.01673985946295198</v>
      </c>
      <c r="F255" s="1">
        <v>0.004007607407401803</v>
      </c>
      <c r="G255" s="1">
        <v>0</v>
      </c>
      <c r="H255" s="1">
        <v>-0.002129299991525446</v>
      </c>
      <c r="I255" s="1">
        <v>-0.004441467517616315</v>
      </c>
      <c r="J255" s="1">
        <v>-0.0006631467320673545</v>
      </c>
      <c r="K255" s="1">
        <v>-0.01294392012437895</v>
      </c>
      <c r="L255" s="1">
        <v>-0.009204974606655703</v>
      </c>
      <c r="M255" s="1">
        <v>-0.01617932094008179</v>
      </c>
      <c r="N255" s="1">
        <v>0.001179101492959633</v>
      </c>
      <c r="O255" s="1">
        <v>0.0002929105578663993</v>
      </c>
      <c r="P255" s="1">
        <v>0</v>
      </c>
      <c r="Q255" s="1">
        <v>0.01431089676808517</v>
      </c>
      <c r="R255" s="1">
        <v>-0.01630946968530012</v>
      </c>
      <c r="S255" s="1">
        <v>0.01065908801383064</v>
      </c>
      <c r="T255" s="1">
        <v>-0.0007961630782198359</v>
      </c>
      <c r="U255" s="1">
        <v>-0.002805974999276373</v>
      </c>
      <c r="V255" s="1">
        <v>-0.01693558670667394</v>
      </c>
      <c r="W255" s="1">
        <v>0.00151535806977865</v>
      </c>
      <c r="X255" s="1">
        <v>-0.001391375499853909</v>
      </c>
      <c r="Y255" s="1">
        <v>0.002201401195415453</v>
      </c>
      <c r="Z255" s="1">
        <v>-0.01621040012600417</v>
      </c>
    </row>
    <row r="256" spans="1:26">
      <c r="A256" s="11">
        <v>42741</v>
      </c>
      <c r="B256" s="1">
        <v>-0.002055338013968178</v>
      </c>
      <c r="C256" s="1">
        <v>0.00245742743910915</v>
      </c>
      <c r="D256" s="1">
        <v>0.01043304466052453</v>
      </c>
      <c r="E256" s="1">
        <v>-0.002993313896630934</v>
      </c>
      <c r="F256" s="1">
        <v>0.001710284930512618</v>
      </c>
      <c r="G256" s="1">
        <v>0.02216848141267436</v>
      </c>
      <c r="H256" s="1">
        <v>-0.003774656714621405</v>
      </c>
      <c r="I256" s="1">
        <v>0.0108211139256047</v>
      </c>
      <c r="J256" s="1">
        <v>-0.004644843170237167</v>
      </c>
      <c r="K256" s="1">
        <v>0.02026656904311119</v>
      </c>
      <c r="L256" s="1">
        <v>0.0001161553423549844</v>
      </c>
      <c r="M256" s="1">
        <v>-0.01069949262831438</v>
      </c>
      <c r="N256" s="1">
        <v>0.004416450867053223</v>
      </c>
      <c r="O256" s="1">
        <v>0.005416600810687955</v>
      </c>
      <c r="P256" s="1">
        <v>0.008667404161666337</v>
      </c>
      <c r="Q256" s="1">
        <v>-0.01410898454673426</v>
      </c>
      <c r="R256" s="1">
        <v>0.01136027343108159</v>
      </c>
      <c r="S256" s="1">
        <v>0.003471287521616073</v>
      </c>
      <c r="T256" s="1">
        <v>0.01017489446257902</v>
      </c>
      <c r="U256" s="1">
        <v>-0.01621943602728282</v>
      </c>
      <c r="V256" s="1">
        <v>-0.01543535933890972</v>
      </c>
      <c r="W256" s="1">
        <v>0.01300062580585171</v>
      </c>
      <c r="X256" s="1">
        <v>-0.007366341690807854</v>
      </c>
      <c r="Y256" s="1">
        <v>-0.0148350347259536</v>
      </c>
      <c r="Z256" s="1">
        <v>0.006498337866175596</v>
      </c>
    </row>
    <row r="257" spans="1:26">
      <c r="A257" s="11">
        <v>42744</v>
      </c>
      <c r="B257" s="1">
        <v>-0.01204067717028012</v>
      </c>
      <c r="C257" s="1">
        <v>-0.004902599699848409</v>
      </c>
      <c r="D257" s="1">
        <v>0.01427937875985652</v>
      </c>
      <c r="E257" s="1">
        <v>-0.003670123558385807</v>
      </c>
      <c r="F257" s="1">
        <v>0.007969590927129122</v>
      </c>
      <c r="G257" s="1">
        <v>-0.01892741055490699</v>
      </c>
      <c r="H257" s="1">
        <v>-0.009942058107243357</v>
      </c>
      <c r="I257" s="1">
        <v>-0.01220796689452408</v>
      </c>
      <c r="J257" s="1">
        <v>-0.02133333852681285</v>
      </c>
      <c r="K257" s="1">
        <v>-0.004440076565143225</v>
      </c>
      <c r="L257" s="1">
        <v>0.0006971923702652205</v>
      </c>
      <c r="M257" s="1">
        <v>0.007410418392709284</v>
      </c>
      <c r="N257" s="1">
        <v>-0.004103925548639586</v>
      </c>
      <c r="O257" s="1">
        <v>-0.0128134382983417</v>
      </c>
      <c r="P257" s="1">
        <v>-0.003182580201455676</v>
      </c>
      <c r="Q257" s="1">
        <v>-0.01341693859834348</v>
      </c>
      <c r="R257" s="1">
        <v>-0.01229532418639423</v>
      </c>
      <c r="S257" s="1">
        <v>-0.006831680500481996</v>
      </c>
      <c r="T257" s="1">
        <v>-0.0008244336286127307</v>
      </c>
      <c r="U257" s="1">
        <v>-0.01258479803798362</v>
      </c>
      <c r="V257" s="1">
        <v>-0.0001400388420138565</v>
      </c>
      <c r="W257" s="1">
        <v>0.001493540413753491</v>
      </c>
      <c r="X257" s="1">
        <v>-0.006417843895209718</v>
      </c>
      <c r="Y257" s="1">
        <v>-0.01088954755477645</v>
      </c>
      <c r="Z257" s="1">
        <v>-0.01083716388188338</v>
      </c>
    </row>
    <row r="258" spans="1:26">
      <c r="A258" s="11">
        <v>42745</v>
      </c>
      <c r="B258" s="1">
        <v>0.00817854014496433</v>
      </c>
      <c r="C258" s="1">
        <v>0.004737454990903167</v>
      </c>
      <c r="D258" s="1">
        <v>0.007364248509424298</v>
      </c>
      <c r="E258" s="1">
        <v>0.00418570536448537</v>
      </c>
      <c r="F258" s="1">
        <v>0.001270362102374856</v>
      </c>
      <c r="G258" s="1">
        <v>0.002813643960508871</v>
      </c>
      <c r="H258" s="1">
        <v>0.004351335608709039</v>
      </c>
      <c r="I258" s="1">
        <v>-0.002851737936942489</v>
      </c>
      <c r="J258" s="1">
        <v>0.0006811255849041853</v>
      </c>
      <c r="K258" s="1">
        <v>0.02370914156006099</v>
      </c>
      <c r="L258" s="1">
        <v>0.002900613986217992</v>
      </c>
      <c r="M258" s="1">
        <v>0.02067623022092047</v>
      </c>
      <c r="N258" s="1">
        <v>-0.003384886411885391</v>
      </c>
      <c r="O258" s="1">
        <v>-0.004277037745963108</v>
      </c>
      <c r="P258" s="1">
        <v>-0.0003192877600863842</v>
      </c>
      <c r="Q258" s="1">
        <v>-0.005439760370214208</v>
      </c>
      <c r="R258" s="1">
        <v>0.0181343484713965</v>
      </c>
      <c r="S258" s="1">
        <v>-0.006570064210460691</v>
      </c>
      <c r="T258" s="1">
        <v>0.0004307164402572727</v>
      </c>
      <c r="U258" s="1">
        <v>0.0002453292846771316</v>
      </c>
      <c r="V258" s="1">
        <v>0</v>
      </c>
      <c r="W258" s="1">
        <v>0.00196633887264297</v>
      </c>
      <c r="X258" s="1">
        <v>0.008074025838598509</v>
      </c>
      <c r="Y258" s="1">
        <v>0.001518241586522473</v>
      </c>
      <c r="Z258" s="1">
        <v>0.01538467186017756</v>
      </c>
    </row>
    <row r="259" spans="1:26">
      <c r="A259" s="11">
        <v>42746</v>
      </c>
      <c r="B259" s="1">
        <v>0.01431547642013098</v>
      </c>
      <c r="C259" s="1">
        <v>0.002074432285822603</v>
      </c>
      <c r="D259" s="1">
        <v>0.010320319113587</v>
      </c>
      <c r="E259" s="1">
        <v>-0.05301766761745985</v>
      </c>
      <c r="F259" s="1">
        <v>0.01113972981725753</v>
      </c>
      <c r="G259" s="1">
        <v>0.01883755852357272</v>
      </c>
      <c r="H259" s="1">
        <v>0.002332930639405539</v>
      </c>
      <c r="I259" s="1">
        <v>0.007817333703587392</v>
      </c>
      <c r="J259" s="1">
        <v>0.01701826668932527</v>
      </c>
      <c r="K259" s="1">
        <v>0.01077709028738916</v>
      </c>
      <c r="L259" s="1">
        <v>0.007520441773532172</v>
      </c>
      <c r="M259" s="1">
        <v>0.006622310895342709</v>
      </c>
      <c r="N259" s="1">
        <v>-0.001033319557960488</v>
      </c>
      <c r="O259" s="1">
        <v>-0.001036898685281673</v>
      </c>
      <c r="P259" s="1">
        <v>0.009102505298005825</v>
      </c>
      <c r="Q259" s="1">
        <v>0.008204032558942309</v>
      </c>
      <c r="R259" s="1">
        <v>0.008301952355849185</v>
      </c>
      <c r="S259" s="1">
        <v>-0.02458945781402677</v>
      </c>
      <c r="T259" s="1">
        <v>0.01749822135926782</v>
      </c>
      <c r="U259" s="1">
        <v>-0.004900985244581268</v>
      </c>
      <c r="V259" s="1">
        <v>0.002520122768135513</v>
      </c>
      <c r="W259" s="1">
        <v>-0.01055643389959993</v>
      </c>
      <c r="X259" s="1">
        <v>0.0008008584373040417</v>
      </c>
      <c r="Y259" s="1">
        <v>-0.005686107622292824</v>
      </c>
      <c r="Z259" s="1">
        <v>0.008264439678220326</v>
      </c>
    </row>
    <row r="260" spans="1:26">
      <c r="A260" s="11">
        <v>42747</v>
      </c>
      <c r="B260" s="1">
        <v>-0.01176126058767035</v>
      </c>
      <c r="C260" s="1">
        <v>-0.006963716831976607</v>
      </c>
      <c r="D260" s="1">
        <v>-0.0102148981054262</v>
      </c>
      <c r="E260" s="1">
        <v>-0.004401433505292873</v>
      </c>
      <c r="F260" s="1">
        <v>-0.004044283922901348</v>
      </c>
      <c r="G260" s="1">
        <v>-0.003540607538136231</v>
      </c>
      <c r="H260" s="1">
        <v>0.0236077872437721</v>
      </c>
      <c r="I260" s="1">
        <v>-0.005108261880786502</v>
      </c>
      <c r="J260" s="1">
        <v>-0.01003997056624772</v>
      </c>
      <c r="K260" s="1">
        <v>-0.006579115077157471</v>
      </c>
      <c r="L260" s="1">
        <v>-0.009646336977175096</v>
      </c>
      <c r="M260" s="1">
        <v>-0.01296446472461921</v>
      </c>
      <c r="N260" s="1">
        <v>-0.002069777414155705</v>
      </c>
      <c r="O260" s="1">
        <v>0.002075750053497583</v>
      </c>
      <c r="P260" s="1">
        <v>-0.009178415091556924</v>
      </c>
      <c r="Q260" s="1">
        <v>-0.004068342889201215</v>
      </c>
      <c r="R260" s="1">
        <v>-0.007035546095437661</v>
      </c>
      <c r="S260" s="1">
        <v>-0.01119368686148658</v>
      </c>
      <c r="T260" s="1">
        <v>-0.0007751602671822733</v>
      </c>
      <c r="U260" s="1">
        <v>0.009849580574312178</v>
      </c>
      <c r="V260" s="1">
        <v>-0.005027218853215332</v>
      </c>
      <c r="W260" s="1">
        <v>-0.001709846621052891</v>
      </c>
      <c r="X260" s="1">
        <v>-0.004201393527383246</v>
      </c>
      <c r="Y260" s="1">
        <v>0.004194015220871927</v>
      </c>
      <c r="Z260" s="1">
        <v>-0.02163042414632999</v>
      </c>
    </row>
    <row r="261" spans="1:26">
      <c r="A261" s="11">
        <v>42748</v>
      </c>
      <c r="B261" s="1">
        <v>-0.003808348258312666</v>
      </c>
      <c r="C261" s="1">
        <v>0.003411555891780438</v>
      </c>
      <c r="D261" s="1">
        <v>-0.001290314089287592</v>
      </c>
      <c r="E261" s="1">
        <v>-0.005835800533361968</v>
      </c>
      <c r="F261" s="1">
        <v>0.01890212340411734</v>
      </c>
      <c r="G261" s="1">
        <v>0.003553187982290762</v>
      </c>
      <c r="H261" s="1">
        <v>0.002436155899369963</v>
      </c>
      <c r="I261" s="1">
        <v>0.00589531055032988</v>
      </c>
      <c r="J261" s="1">
        <v>-0.001352119474210434</v>
      </c>
      <c r="K261" s="1">
        <v>-0.002968429866423872</v>
      </c>
      <c r="L261" s="1">
        <v>0.005333727734293747</v>
      </c>
      <c r="M261" s="1">
        <v>0.002744505224139271</v>
      </c>
      <c r="N261" s="1">
        <v>0.001037090842651578</v>
      </c>
      <c r="O261" s="1">
        <v>0.002219909604004533</v>
      </c>
      <c r="P261" s="1">
        <v>0.001437312647226685</v>
      </c>
      <c r="Q261" s="1">
        <v>-0.003177376380753993</v>
      </c>
      <c r="R261" s="1">
        <v>0.01794022001561313</v>
      </c>
      <c r="S261" s="1">
        <v>-0.01463402548337489</v>
      </c>
      <c r="T261" s="1">
        <v>0.005501656527426846</v>
      </c>
      <c r="U261" s="1">
        <v>-0.001218926836098477</v>
      </c>
      <c r="V261" s="1">
        <v>-0.01487760731198828</v>
      </c>
      <c r="W261" s="1">
        <v>0.002191995611926734</v>
      </c>
      <c r="X261" s="1">
        <v>-0.005626165777726788</v>
      </c>
      <c r="Y261" s="1">
        <v>-0.002468204158239784</v>
      </c>
      <c r="Z261" s="1">
        <v>0.02047964029755933</v>
      </c>
    </row>
    <row r="262" spans="1:26">
      <c r="A262" s="11">
        <v>42752</v>
      </c>
      <c r="B262" s="1">
        <v>0.005097313700693107</v>
      </c>
      <c r="C262" s="1">
        <v>-0.007303399718424863</v>
      </c>
      <c r="D262" s="1">
        <v>0.001506849772931584</v>
      </c>
      <c r="E262" s="1">
        <v>0.001067386967195549</v>
      </c>
      <c r="F262" s="1">
        <v>-0.002885635729858005</v>
      </c>
      <c r="G262" s="1">
        <v>0.002753670928733909</v>
      </c>
      <c r="H262" s="1">
        <v>0.005994835250887176</v>
      </c>
      <c r="I262" s="1">
        <v>-0.01370619733286427</v>
      </c>
      <c r="J262" s="1">
        <v>-0.01286432475241184</v>
      </c>
      <c r="K262" s="1">
        <v>-0.01259737191136323</v>
      </c>
      <c r="L262" s="1">
        <v>-0.03633192462343693</v>
      </c>
      <c r="M262" s="1">
        <v>-0.01779058431766478</v>
      </c>
      <c r="N262" s="1">
        <v>0.01331730136258025</v>
      </c>
      <c r="O262" s="1">
        <v>-0.001329061849503543</v>
      </c>
      <c r="P262" s="1">
        <v>-0.002711654930272367</v>
      </c>
      <c r="Q262" s="1">
        <v>0.01775918946793786</v>
      </c>
      <c r="R262" s="1">
        <v>-0.008886385491819526</v>
      </c>
      <c r="S262" s="1">
        <v>0.01667281177070912</v>
      </c>
      <c r="T262" s="1">
        <v>-0.002595397518449283</v>
      </c>
      <c r="U262" s="1">
        <v>0.003661903433627822</v>
      </c>
      <c r="V262" s="1">
        <v>0.01068559517888423</v>
      </c>
      <c r="W262" s="1">
        <v>-0.008475579128665367</v>
      </c>
      <c r="X262" s="1">
        <v>-0.01495251247304896</v>
      </c>
      <c r="Y262" s="1">
        <v>0.003616053152448284</v>
      </c>
      <c r="Z262" s="1">
        <v>-0.04743433418966547</v>
      </c>
    </row>
    <row r="263" spans="1:26">
      <c r="A263" s="11">
        <v>42753</v>
      </c>
      <c r="B263" s="1">
        <v>0.000954510444321377</v>
      </c>
      <c r="C263" s="1">
        <v>0.004122448860298444</v>
      </c>
      <c r="D263" s="1">
        <v>0.005374217600841558</v>
      </c>
      <c r="E263" s="1">
        <v>-0.003731300339477994</v>
      </c>
      <c r="F263" s="1">
        <v>-0.00372101537781</v>
      </c>
      <c r="G263" s="1">
        <v>0.007453955239734578</v>
      </c>
      <c r="H263" s="1">
        <v>0.003220975823669425</v>
      </c>
      <c r="I263" s="1">
        <v>0.008625666442988456</v>
      </c>
      <c r="J263" s="1">
        <v>0</v>
      </c>
      <c r="K263" s="1">
        <v>-0.0004639186096635495</v>
      </c>
      <c r="L263" s="1">
        <v>0.004668039453914918</v>
      </c>
      <c r="M263" s="1">
        <v>0.002786653977341791</v>
      </c>
      <c r="N263" s="1">
        <v>0.00992999481605783</v>
      </c>
      <c r="O263" s="1">
        <v>0.007835792441705847</v>
      </c>
      <c r="P263" s="1">
        <v>-0.0004796036732127584</v>
      </c>
      <c r="Q263" s="1">
        <v>0.007606354695532724</v>
      </c>
      <c r="R263" s="1">
        <v>-0.009115397743857057</v>
      </c>
      <c r="S263" s="1">
        <v>-0.009601025505990846</v>
      </c>
      <c r="T263" s="1">
        <v>0.00914339646128548</v>
      </c>
      <c r="U263" s="1">
        <v>-0.007540624786424921</v>
      </c>
      <c r="V263" s="1">
        <v>-0.05765445409564951</v>
      </c>
      <c r="W263" s="1">
        <v>-0.002689022067948077</v>
      </c>
      <c r="X263" s="1">
        <v>0.006974852297292111</v>
      </c>
      <c r="Y263" s="1">
        <v>-0.009291286434776391</v>
      </c>
      <c r="Z263" s="1">
        <v>0.01699760986313792</v>
      </c>
    </row>
    <row r="264" spans="1:26">
      <c r="A264" s="11">
        <v>42754</v>
      </c>
      <c r="B264" s="1">
        <v>-0.01096799306139651</v>
      </c>
      <c r="C264" s="1">
        <v>0.004295030563253199</v>
      </c>
      <c r="D264" s="1">
        <v>-0.004276126257924839</v>
      </c>
      <c r="E264" s="1">
        <v>-0.01034402035312454</v>
      </c>
      <c r="F264" s="1">
        <v>0.004426568977934586</v>
      </c>
      <c r="G264" s="1">
        <v>-0.009345827160399889</v>
      </c>
      <c r="H264" s="1">
        <v>-0.0008022933471532046</v>
      </c>
      <c r="I264" s="1">
        <v>-0.002090738065530617</v>
      </c>
      <c r="J264" s="1">
        <v>0.01920460433269144</v>
      </c>
      <c r="K264" s="1">
        <v>-0.005105363661425</v>
      </c>
      <c r="L264" s="1">
        <v>-0.00762436969317426</v>
      </c>
      <c r="M264" s="1">
        <v>-0.006153032159576632</v>
      </c>
      <c r="N264" s="1">
        <v>0.005639091407459773</v>
      </c>
      <c r="O264" s="1">
        <v>-0.01056195720776421</v>
      </c>
      <c r="P264" s="1">
        <v>-0.003199688558640168</v>
      </c>
      <c r="Q264" s="1">
        <v>-0.007992738266108468</v>
      </c>
      <c r="R264" s="1">
        <v>-0.008595739147385428</v>
      </c>
      <c r="S264" s="1">
        <v>-0.001252235741798335</v>
      </c>
      <c r="T264" s="1">
        <v>-0.01348620445375515</v>
      </c>
      <c r="U264" s="1">
        <v>0.004902247847645258</v>
      </c>
      <c r="V264" s="1">
        <v>-0.02183994774100628</v>
      </c>
      <c r="W264" s="1">
        <v>-0.002350051689213428</v>
      </c>
      <c r="X264" s="1">
        <v>0.006722288780099728</v>
      </c>
      <c r="Y264" s="1">
        <v>0.002105588920566781</v>
      </c>
      <c r="Z264" s="1">
        <v>-0.004001869149378612</v>
      </c>
    </row>
    <row r="265" spans="1:26">
      <c r="A265" s="11">
        <v>42755</v>
      </c>
      <c r="B265" s="1">
        <v>-0.006589511724562902</v>
      </c>
      <c r="C265" s="1">
        <v>0.003333388882914123</v>
      </c>
      <c r="D265" s="1">
        <v>-0.007300804519168258</v>
      </c>
      <c r="E265" s="1">
        <v>-0.1128132597614606</v>
      </c>
      <c r="F265" s="1">
        <v>0.01322118245768489</v>
      </c>
      <c r="G265" s="1">
        <v>0.006289229314330846</v>
      </c>
      <c r="H265" s="1">
        <v>0.009640067228278593</v>
      </c>
      <c r="I265" s="1">
        <v>0.01637823204354993</v>
      </c>
      <c r="J265" s="1">
        <v>-0.00874835936427687</v>
      </c>
      <c r="K265" s="1">
        <v>0.000699773493209932</v>
      </c>
      <c r="L265" s="1">
        <v>0.004441665332842071</v>
      </c>
      <c r="M265" s="1">
        <v>0.02037118874462718</v>
      </c>
      <c r="N265" s="1">
        <v>0.006614033685699017</v>
      </c>
      <c r="O265" s="1">
        <v>0.008005943957259953</v>
      </c>
      <c r="P265" s="1">
        <v>0.007062458693990026</v>
      </c>
      <c r="Q265" s="1">
        <v>0.007609990630667252</v>
      </c>
      <c r="R265" s="1">
        <v>0.003954906026252925</v>
      </c>
      <c r="S265" s="1">
        <v>0.01226029827866704</v>
      </c>
      <c r="T265" s="1">
        <v>0.001872240306573403</v>
      </c>
      <c r="U265" s="1">
        <v>0.0109754100070818</v>
      </c>
      <c r="V265" s="1">
        <v>-0.01972790698873139</v>
      </c>
      <c r="W265" s="1">
        <v>-0.005612773803086113</v>
      </c>
      <c r="X265" s="1">
        <v>-0.001416619853865875</v>
      </c>
      <c r="Y265" s="1">
        <v>0.006875490472160628</v>
      </c>
      <c r="Z265" s="1">
        <v>0.003545661809744471</v>
      </c>
    </row>
    <row r="266" spans="1:26">
      <c r="A266" s="11">
        <v>42758</v>
      </c>
      <c r="B266" s="1">
        <v>-0.01682583444734587</v>
      </c>
      <c r="C266" s="1">
        <v>-0.01059366818721041</v>
      </c>
      <c r="D266" s="1">
        <v>-0.004542540669805528</v>
      </c>
      <c r="E266" s="1">
        <v>0.01564072438388275</v>
      </c>
      <c r="F266" s="1">
        <v>-0.004213573139069227</v>
      </c>
      <c r="G266" s="1">
        <v>-0.006249922120915796</v>
      </c>
      <c r="H266" s="1">
        <v>0.004455647813247365</v>
      </c>
      <c r="I266" s="1">
        <v>0.003559790414120245</v>
      </c>
      <c r="J266" s="1">
        <v>-0.004073512719822259</v>
      </c>
      <c r="K266" s="1">
        <v>0.007925000288892203</v>
      </c>
      <c r="L266" s="1">
        <v>0.0004777022521671448</v>
      </c>
      <c r="M266" s="1">
        <v>-0.02250927389270374</v>
      </c>
      <c r="N266" s="1">
        <v>0.007713191073634107</v>
      </c>
      <c r="O266" s="1">
        <v>-0.001330257550549829</v>
      </c>
      <c r="P266" s="1">
        <v>0.003506431075487759</v>
      </c>
      <c r="Q266" s="1">
        <v>-0.01377210592970624</v>
      </c>
      <c r="R266" s="1">
        <v>-0.008030193636227922</v>
      </c>
      <c r="S266" s="1">
        <v>0.01045993015158997</v>
      </c>
      <c r="T266" s="1">
        <v>0.001339549779769245</v>
      </c>
      <c r="U266" s="1">
        <v>0.01326906303276409</v>
      </c>
      <c r="V266" s="1">
        <v>-0.003900110391456213</v>
      </c>
      <c r="W266" s="1">
        <v>-0.005017268919954132</v>
      </c>
      <c r="X266" s="1">
        <v>-0.009523663372894786</v>
      </c>
      <c r="Y266" s="1">
        <v>-0.00588045067775933</v>
      </c>
      <c r="Z266" s="1">
        <v>-0.003533134509644986</v>
      </c>
    </row>
    <row r="267" spans="1:26">
      <c r="A267" s="11">
        <v>42759</v>
      </c>
      <c r="B267" s="1">
        <v>0.003126514986742768</v>
      </c>
      <c r="C267" s="1">
        <v>0.01716949465703554</v>
      </c>
      <c r="D267" s="1">
        <v>-0.003693933026101548</v>
      </c>
      <c r="E267" s="1">
        <v>-0.02080019528186594</v>
      </c>
      <c r="F267" s="1">
        <v>0.004641072916192979</v>
      </c>
      <c r="G267" s="1">
        <v>0.007075648421615233</v>
      </c>
      <c r="H267" s="1">
        <v>0.002851548250501601</v>
      </c>
      <c r="I267" s="1">
        <v>0.005134619155339637</v>
      </c>
      <c r="J267" s="1">
        <v>0.03408321517898383</v>
      </c>
      <c r="K267" s="1">
        <v>0.01642047312616945</v>
      </c>
      <c r="L267" s="1">
        <v>0.01206535076504123</v>
      </c>
      <c r="M267" s="1">
        <v>-0.005806882647370393</v>
      </c>
      <c r="N267" s="1">
        <v>0.002976674331338414</v>
      </c>
      <c r="O267" s="1">
        <v>0.009917234185342627</v>
      </c>
      <c r="P267" s="1">
        <v>0.008894618801712495</v>
      </c>
      <c r="Q267" s="1">
        <v>0.002252175412692736</v>
      </c>
      <c r="R267" s="1">
        <v>0.01878695408712061</v>
      </c>
      <c r="S267" s="1">
        <v>0.009716414901310255</v>
      </c>
      <c r="T267" s="1">
        <v>-0.01137314173534065</v>
      </c>
      <c r="U267" s="1">
        <v>-0.01523830637935153</v>
      </c>
      <c r="V267" s="1">
        <v>0.008770715354222691</v>
      </c>
      <c r="W267" s="1">
        <v>-0.01267604597503225</v>
      </c>
      <c r="X267" s="1">
        <v>0.01022872685040999</v>
      </c>
      <c r="Y267" s="1">
        <v>-0.04369391092136188</v>
      </c>
      <c r="Z267" s="1">
        <v>0.005908595875059097</v>
      </c>
    </row>
    <row r="268" spans="1:26">
      <c r="A268" s="11">
        <v>42760</v>
      </c>
      <c r="B268" s="1">
        <v>0.007710057327212638</v>
      </c>
      <c r="C268" s="1">
        <v>0.04241656852264031</v>
      </c>
      <c r="D268" s="1">
        <v>0.006324920744997131</v>
      </c>
      <c r="E268" s="1">
        <v>0.012050976245082</v>
      </c>
      <c r="F268" s="1">
        <v>-0.00217396162162109</v>
      </c>
      <c r="G268" s="1">
        <v>0.01288058028530892</v>
      </c>
      <c r="H268" s="1">
        <v>-0.003159575164465522</v>
      </c>
      <c r="I268" s="1">
        <v>0.003621998650342295</v>
      </c>
      <c r="J268" s="1">
        <v>0.001318687628766746</v>
      </c>
      <c r="K268" s="1">
        <v>0.005460298935494601</v>
      </c>
      <c r="L268" s="1">
        <v>0.01546288457889355</v>
      </c>
      <c r="M268" s="1">
        <v>-0.003826952157847341</v>
      </c>
      <c r="N268" s="1">
        <v>0.002826154959259419</v>
      </c>
      <c r="O268" s="1">
        <v>0.006301995459355281</v>
      </c>
      <c r="P268" s="1">
        <v>0.002519049226526571</v>
      </c>
      <c r="Q268" s="1">
        <v>-0.002247114516628845</v>
      </c>
      <c r="R268" s="1">
        <v>0.02548764181835184</v>
      </c>
      <c r="S268" s="1">
        <v>-0.01564786585288325</v>
      </c>
      <c r="T268" s="1">
        <v>0.009438376194721432</v>
      </c>
      <c r="U268" s="1">
        <v>0.0007254285591347109</v>
      </c>
      <c r="V268" s="1">
        <v>0.009160032257141237</v>
      </c>
      <c r="W268" s="1">
        <v>0.01028524764188199</v>
      </c>
      <c r="X268" s="1">
        <v>-0.0536651677819947</v>
      </c>
      <c r="Y268" s="1">
        <v>-0.00698339882248955</v>
      </c>
      <c r="Z268" s="1">
        <v>0.01691748910429047</v>
      </c>
    </row>
    <row r="269" spans="1:26">
      <c r="A269" s="11">
        <v>42761</v>
      </c>
      <c r="B269" s="1">
        <v>0.01823193805476087</v>
      </c>
      <c r="C269" s="1">
        <v>0.01051627081668971</v>
      </c>
      <c r="D269" s="1">
        <v>-0.001950847713128145</v>
      </c>
      <c r="E269" s="1">
        <v>-0.05509598183201614</v>
      </c>
      <c r="F269" s="1">
        <v>0.02805013088021302</v>
      </c>
      <c r="G269" s="1">
        <v>0.001541331842361382</v>
      </c>
      <c r="H269" s="1">
        <v>-0.007606879585200232</v>
      </c>
      <c r="I269" s="1">
        <v>-0.003979163386707119</v>
      </c>
      <c r="J269" s="1">
        <v>-0.02633316263527263</v>
      </c>
      <c r="K269" s="1">
        <v>0.002489834032432858</v>
      </c>
      <c r="L269" s="1">
        <v>0.008369139447358398</v>
      </c>
      <c r="M269" s="1">
        <v>0.09017401703709726</v>
      </c>
      <c r="N269" s="1">
        <v>-0.001549586010396897</v>
      </c>
      <c r="O269" s="1">
        <v>0.001310819430130783</v>
      </c>
      <c r="P269" s="1">
        <v>0.00926479063942609</v>
      </c>
      <c r="Q269" s="1">
        <v>0.0009012218842983089</v>
      </c>
      <c r="R269" s="1">
        <v>-0.004678801293314439</v>
      </c>
      <c r="S269" s="1">
        <v>-0.003015206440734719</v>
      </c>
      <c r="T269" s="1">
        <v>0.07614150471515102</v>
      </c>
      <c r="U269" s="1">
        <v>0.00918119015885499</v>
      </c>
      <c r="V269" s="1">
        <v>-0.0127690824219584</v>
      </c>
      <c r="W269" s="1">
        <v>0.004704113071341665</v>
      </c>
      <c r="X269" s="1">
        <v>0.03809127237070542</v>
      </c>
      <c r="Y269" s="1">
        <v>-0.01305957702850491</v>
      </c>
      <c r="Z269" s="1">
        <v>0.004390244532265664</v>
      </c>
    </row>
    <row r="270" spans="1:26">
      <c r="A270" s="11">
        <v>42762</v>
      </c>
      <c r="B270" s="1">
        <v>-0.007513602891546012</v>
      </c>
      <c r="C270" s="1">
        <v>-0.008396503523179999</v>
      </c>
      <c r="D270" s="1">
        <v>0.02236695840806679</v>
      </c>
      <c r="E270" s="1">
        <v>0.01964979701700109</v>
      </c>
      <c r="F270" s="1">
        <v>0.005960311533200979</v>
      </c>
      <c r="G270" s="1">
        <v>0.002692981678182882</v>
      </c>
      <c r="H270" s="1">
        <v>-0.0006387086509671569</v>
      </c>
      <c r="I270" s="1">
        <v>0.003344619859833697</v>
      </c>
      <c r="J270" s="1">
        <v>0.0006759699549356846</v>
      </c>
      <c r="K270" s="1">
        <v>-0.01286725601846073</v>
      </c>
      <c r="L270" s="1">
        <v>0.0020751454244885</v>
      </c>
      <c r="M270" s="1">
        <v>-0.02262602294320903</v>
      </c>
      <c r="N270" s="1">
        <v>0.002540297094804522</v>
      </c>
      <c r="O270" s="1">
        <v>0.001454371515906994</v>
      </c>
      <c r="P270" s="1">
        <v>0.0234947515970152</v>
      </c>
      <c r="Q270" s="1">
        <v>-0.008551029152588097</v>
      </c>
      <c r="R270" s="1">
        <v>-0.007196853029995176</v>
      </c>
      <c r="S270" s="1">
        <v>-0.007697472518429005</v>
      </c>
      <c r="T270" s="1">
        <v>0.000655691322818619</v>
      </c>
      <c r="U270" s="1">
        <v>0.005745520610124899</v>
      </c>
      <c r="V270" s="1">
        <v>-0.007324474249023494</v>
      </c>
      <c r="W270" s="1">
        <v>0.0164221540957914</v>
      </c>
      <c r="X270" s="1">
        <v>-0.01525457735689539</v>
      </c>
      <c r="Y270" s="1">
        <v>0.009771614422314334</v>
      </c>
      <c r="Z270" s="1">
        <v>-0.008051911809010992</v>
      </c>
    </row>
    <row r="271" spans="1:26">
      <c r="A271" s="11">
        <v>42765</v>
      </c>
      <c r="B271" s="1">
        <v>-0.03431079217620947</v>
      </c>
      <c r="C271" s="1">
        <v>-0.01270110824088178</v>
      </c>
      <c r="D271" s="1">
        <v>-0.003822947275173738</v>
      </c>
      <c r="E271" s="1">
        <v>0.01989950395608431</v>
      </c>
      <c r="F271" s="1">
        <v>-0.008031623889774298</v>
      </c>
      <c r="G271" s="1">
        <v>-0.008825351290974948</v>
      </c>
      <c r="H271" s="1">
        <v>-0.003196097580338342</v>
      </c>
      <c r="I271" s="1">
        <v>-0.008611758236692801</v>
      </c>
      <c r="J271" s="1">
        <v>0.002702950528091996</v>
      </c>
      <c r="K271" s="1">
        <v>0.0009148983651994236</v>
      </c>
      <c r="L271" s="1">
        <v>-0.01035333902283153</v>
      </c>
      <c r="M271" s="1">
        <v>-0.006641436430885106</v>
      </c>
      <c r="N271" s="1">
        <v>0.003801108164176448</v>
      </c>
      <c r="O271" s="1">
        <v>-0.007407263115039919</v>
      </c>
      <c r="P271" s="1">
        <v>-0.009881481513195789</v>
      </c>
      <c r="Q271" s="1">
        <v>-0.008624543608055424</v>
      </c>
      <c r="R271" s="1">
        <v>0.0004436279295614298</v>
      </c>
      <c r="S271" s="1">
        <v>-0.007295612751252456</v>
      </c>
      <c r="T271" s="1">
        <v>-0.001212316003545988</v>
      </c>
      <c r="U271" s="1">
        <v>-0.004522552729762985</v>
      </c>
      <c r="V271" s="1">
        <v>0.006593565877775376</v>
      </c>
      <c r="W271" s="1">
        <v>-0.0148504011930517</v>
      </c>
      <c r="X271" s="1">
        <v>-0.006698793547435744</v>
      </c>
      <c r="Y271" s="1">
        <v>-0.004637123039259117</v>
      </c>
      <c r="Z271" s="1">
        <v>-0.01994415929927096</v>
      </c>
    </row>
    <row r="272" spans="1:26">
      <c r="A272" s="11">
        <v>42766</v>
      </c>
      <c r="B272" s="1">
        <v>-0.00216835162451734</v>
      </c>
      <c r="C272" s="1">
        <v>-0.01298547291407104</v>
      </c>
      <c r="D272" s="1">
        <v>0.02153530457495179</v>
      </c>
      <c r="E272" s="1">
        <v>0.009652768379185162</v>
      </c>
      <c r="F272" s="1">
        <v>0.001061737623442971</v>
      </c>
      <c r="G272" s="1">
        <v>0.01471157534016698</v>
      </c>
      <c r="H272" s="1">
        <v>-0.002404523022977556</v>
      </c>
      <c r="I272" s="1">
        <v>-9.340303805926986E-05</v>
      </c>
      <c r="J272" s="1">
        <v>0.01415058210098952</v>
      </c>
      <c r="K272" s="1">
        <v>0.004797693379306134</v>
      </c>
      <c r="L272" s="1">
        <v>-0.01627322548360599</v>
      </c>
      <c r="M272" s="1">
        <v>-0.0007643546981144222</v>
      </c>
      <c r="N272" s="1">
        <v>-0.001682702906945166</v>
      </c>
      <c r="O272" s="1">
        <v>-0.004682420438298474</v>
      </c>
      <c r="P272" s="1">
        <v>-0.007369878439952515</v>
      </c>
      <c r="Q272" s="1">
        <v>0.02426704306026672</v>
      </c>
      <c r="R272" s="1">
        <v>-0.004584561696168499</v>
      </c>
      <c r="S272" s="1">
        <v>4.650678783413298E-05</v>
      </c>
      <c r="T272" s="1">
        <v>-0.003346218839956672</v>
      </c>
      <c r="U272" s="1">
        <v>0.008129991460675834</v>
      </c>
      <c r="V272" s="1">
        <v>0.005614459696760443</v>
      </c>
      <c r="W272" s="1">
        <v>0.06350760306374692</v>
      </c>
      <c r="X272" s="1">
        <v>-0.001686338581022961</v>
      </c>
      <c r="Y272" s="1">
        <v>-0.007291699637900551</v>
      </c>
      <c r="Z272" s="1">
        <v>-0.001656191080273595</v>
      </c>
    </row>
    <row r="273" spans="1:26">
      <c r="A273" s="11">
        <v>42767</v>
      </c>
      <c r="B273" s="1">
        <v>-0.0341024034900872</v>
      </c>
      <c r="C273" s="1">
        <v>0.003365692794426334</v>
      </c>
      <c r="D273" s="1">
        <v>0.00396540728637218</v>
      </c>
      <c r="E273" s="1">
        <v>0.002644764312930148</v>
      </c>
      <c r="F273" s="1">
        <v>0.00251943852592218</v>
      </c>
      <c r="G273" s="1">
        <v>-0.01068288320262323</v>
      </c>
      <c r="H273" s="1">
        <v>0.004178011902593814</v>
      </c>
      <c r="I273" s="1">
        <v>0.0009341999311305305</v>
      </c>
      <c r="J273" s="1">
        <v>-0.00398681226804587</v>
      </c>
      <c r="K273" s="1">
        <v>-0.03365183485928291</v>
      </c>
      <c r="L273" s="1">
        <v>0.00378081461726687</v>
      </c>
      <c r="M273" s="1">
        <v>0.008029145129578419</v>
      </c>
      <c r="N273" s="1">
        <v>0.002949904871432096</v>
      </c>
      <c r="O273" s="1">
        <v>-0.008967890144923052</v>
      </c>
      <c r="P273" s="1">
        <v>-0.01655051385137751</v>
      </c>
      <c r="Q273" s="1">
        <v>-0.01743393657082393</v>
      </c>
      <c r="R273" s="1">
        <v>0.01961083703948652</v>
      </c>
      <c r="S273" s="1">
        <v>-0.007953869095372434</v>
      </c>
      <c r="T273" s="1">
        <v>0.007800871173803792</v>
      </c>
      <c r="U273" s="1">
        <v>-0.002372055133548545</v>
      </c>
      <c r="V273" s="1">
        <v>-0.0125618272422644</v>
      </c>
      <c r="W273" s="1">
        <v>0.003608864974304682</v>
      </c>
      <c r="X273" s="1">
        <v>-0.005910645924633195</v>
      </c>
      <c r="Y273" s="1">
        <v>-0.01265066828164563</v>
      </c>
      <c r="Z273" s="1">
        <v>0.006399752245903612</v>
      </c>
    </row>
    <row r="274" spans="1:26">
      <c r="A274" s="11">
        <v>42768</v>
      </c>
      <c r="B274" s="1">
        <v>0.02267230533913178</v>
      </c>
      <c r="C274" s="1">
        <v>-0.01042896108360658</v>
      </c>
      <c r="D274" s="1">
        <v>0.0006237846965251315</v>
      </c>
      <c r="E274" s="1">
        <v>0.02454810992738166</v>
      </c>
      <c r="F274" s="1">
        <v>-0.006877411673069211</v>
      </c>
      <c r="G274" s="1">
        <v>0.01002688001892138</v>
      </c>
      <c r="H274" s="1">
        <v>0.01072163341045029</v>
      </c>
      <c r="I274" s="1">
        <v>0.002613088217216841</v>
      </c>
      <c r="J274" s="1">
        <v>0.01467664822843351</v>
      </c>
      <c r="K274" s="1">
        <v>-0.00470566147987439</v>
      </c>
      <c r="L274" s="1">
        <v>-0.004237193827486996</v>
      </c>
      <c r="M274" s="1">
        <v>0.002465638211475829</v>
      </c>
      <c r="N274" s="1">
        <v>0.0008406068635828934</v>
      </c>
      <c r="O274" s="1">
        <v>0.031746052799557</v>
      </c>
      <c r="P274" s="1">
        <v>-0.006448795379439431</v>
      </c>
      <c r="Q274" s="1">
        <v>0.008189575753901446</v>
      </c>
      <c r="R274" s="1">
        <v>-0.01515346177671406</v>
      </c>
      <c r="S274" s="1">
        <v>0.008111395322051518</v>
      </c>
      <c r="T274" s="1">
        <v>-0.007577115860923023</v>
      </c>
      <c r="U274" s="1">
        <v>-0.02092218617977259</v>
      </c>
      <c r="V274" s="1">
        <v>0.0001568076748654779</v>
      </c>
      <c r="W274" s="1">
        <v>-0.008303494907346276</v>
      </c>
      <c r="X274" s="1">
        <v>0.00955602890882945</v>
      </c>
      <c r="Y274" s="1">
        <v>-0.002272954359237578</v>
      </c>
      <c r="Z274" s="1">
        <v>-0.01625076766307032</v>
      </c>
    </row>
    <row r="275" spans="1:26">
      <c r="A275" s="11">
        <v>42769</v>
      </c>
      <c r="B275" s="1">
        <v>0.009307799523657234</v>
      </c>
      <c r="C275" s="1">
        <v>0.0008629572555201026</v>
      </c>
      <c r="D275" s="1">
        <v>0.01038879384242697</v>
      </c>
      <c r="E275" s="1">
        <v>0.00554477452066493</v>
      </c>
      <c r="F275" s="1">
        <v>0.002263843397142029</v>
      </c>
      <c r="G275" s="1">
        <v>0.004200115257606329</v>
      </c>
      <c r="H275" s="1">
        <v>0.001899828664510439</v>
      </c>
      <c r="I275" s="1">
        <v>0.005212555566900257</v>
      </c>
      <c r="J275" s="1">
        <v>0.003945047654775324</v>
      </c>
      <c r="K275" s="1">
        <v>0.008510772711103787</v>
      </c>
      <c r="L275" s="1">
        <v>0.0306179716074424</v>
      </c>
      <c r="M275" s="1">
        <v>0.0003783269909285458</v>
      </c>
      <c r="N275" s="1">
        <v>0.0005596882756306876</v>
      </c>
      <c r="O275" s="1">
        <v>0.01394646861319826</v>
      </c>
      <c r="P275" s="1">
        <v>0.008073764547917639</v>
      </c>
      <c r="Q275" s="1">
        <v>0.004512480084658987</v>
      </c>
      <c r="R275" s="1">
        <v>0.01331495854812159</v>
      </c>
      <c r="S275" s="1">
        <v>0.007022702561672034</v>
      </c>
      <c r="T275" s="1">
        <v>0.0004609527448160566</v>
      </c>
      <c r="U275" s="1">
        <v>0.001699726521613432</v>
      </c>
      <c r="V275" s="1">
        <v>0.001099245941503346</v>
      </c>
      <c r="W275" s="1">
        <v>-0.001582651460199647</v>
      </c>
      <c r="X275" s="1">
        <v>0.01619718618937238</v>
      </c>
      <c r="Y275" s="1">
        <v>0.006214063301211104</v>
      </c>
      <c r="Z275" s="1">
        <v>0.03686879605026916</v>
      </c>
    </row>
    <row r="276" spans="1:26">
      <c r="A276" s="11">
        <v>42772</v>
      </c>
      <c r="B276" s="1">
        <v>-0.02967823299443739</v>
      </c>
      <c r="C276" s="1">
        <v>0.009729084869323668</v>
      </c>
      <c r="D276" s="1">
        <v>-0.005757837520307008</v>
      </c>
      <c r="E276" s="1">
        <v>0.005120147416391774</v>
      </c>
      <c r="F276" s="1">
        <v>-0.009566561860110623</v>
      </c>
      <c r="G276" s="1">
        <v>-0.00798479336637703</v>
      </c>
      <c r="H276" s="1">
        <v>-0.01074556357188294</v>
      </c>
      <c r="I276" s="1">
        <v>0.0006482723004732627</v>
      </c>
      <c r="J276" s="1">
        <v>-0.0006552430882289517</v>
      </c>
      <c r="K276" s="1">
        <v>-0.008438950719608984</v>
      </c>
      <c r="L276" s="1">
        <v>-0.004703018638350653</v>
      </c>
      <c r="M276" s="1">
        <v>0.003593113874753806</v>
      </c>
      <c r="N276" s="1">
        <v>-0.002797612434730756</v>
      </c>
      <c r="O276" s="1">
        <v>-0.008649718600774681</v>
      </c>
      <c r="P276" s="1">
        <v>-0.0006282804047074153</v>
      </c>
      <c r="Q276" s="1">
        <v>-0.0008984418161293029</v>
      </c>
      <c r="R276" s="1">
        <v>-0.006131786811891304</v>
      </c>
      <c r="S276" s="1">
        <v>-0.00387962141514242</v>
      </c>
      <c r="T276" s="1">
        <v>-0.006677980557628249</v>
      </c>
      <c r="U276" s="1">
        <v>-0.004605936296456115</v>
      </c>
      <c r="V276" s="1">
        <v>-0.005176492113698083</v>
      </c>
      <c r="W276" s="1">
        <v>0.004292400136356012</v>
      </c>
      <c r="X276" s="1">
        <v>-0.0006212095182063226</v>
      </c>
      <c r="Y276" s="1">
        <v>-0.01132215896319599</v>
      </c>
      <c r="Z276" s="1">
        <v>-0.007850936252269625</v>
      </c>
    </row>
    <row r="277" spans="1:26">
      <c r="A277" s="11">
        <v>42773</v>
      </c>
      <c r="B277" s="1">
        <v>-0.01451530723912364</v>
      </c>
      <c r="C277" s="1">
        <v>0.01536768921212661</v>
      </c>
      <c r="D277" s="1">
        <v>0.004963555910463713</v>
      </c>
      <c r="E277" s="1">
        <v>0.01214761985919743</v>
      </c>
      <c r="F277" s="1">
        <v>0.004292600044901285</v>
      </c>
      <c r="G277" s="1">
        <v>0.003066122082261424</v>
      </c>
      <c r="H277" s="1">
        <v>0.01006396481268257</v>
      </c>
      <c r="I277" s="1">
        <v>0.006478033966344166</v>
      </c>
      <c r="J277" s="1">
        <v>0.0111405189725664</v>
      </c>
      <c r="K277" s="1">
        <v>-0.02529558223581152</v>
      </c>
      <c r="L277" s="1">
        <v>-0.0005762462142915314</v>
      </c>
      <c r="M277" s="1">
        <v>-0.0005656102627001891</v>
      </c>
      <c r="N277" s="1">
        <v>0.01276425687354821</v>
      </c>
      <c r="O277" s="1">
        <v>-0.002002693193260296</v>
      </c>
      <c r="P277" s="1">
        <v>-0.003299942328956695</v>
      </c>
      <c r="Q277" s="1">
        <v>-0.003596998958794284</v>
      </c>
      <c r="R277" s="1">
        <v>-0.006464733925782506</v>
      </c>
      <c r="S277" s="1">
        <v>0.003662742429626054</v>
      </c>
      <c r="T277" s="1">
        <v>0.0002651566452411824</v>
      </c>
      <c r="U277" s="1">
        <v>0.001461217656236302</v>
      </c>
      <c r="V277" s="1">
        <v>0.002365494508414612</v>
      </c>
      <c r="W277" s="1">
        <v>0.006115366055851723</v>
      </c>
      <c r="X277" s="1">
        <v>-0.001449909689761553</v>
      </c>
      <c r="Y277" s="1">
        <v>0.0002082535887315551</v>
      </c>
      <c r="Z277" s="1">
        <v>-0.003490788666185796</v>
      </c>
    </row>
    <row r="278" spans="1:26">
      <c r="A278" s="11">
        <v>42774</v>
      </c>
      <c r="B278" s="1">
        <v>-0.001753199942932215</v>
      </c>
      <c r="C278" s="1">
        <v>-0.007693379790940758</v>
      </c>
      <c r="D278" s="1">
        <v>-0.004939040705776554</v>
      </c>
      <c r="E278" s="1">
        <v>0.006581145248386377</v>
      </c>
      <c r="F278" s="1">
        <v>-0.0022709392818131</v>
      </c>
      <c r="G278" s="1">
        <v>0.00955303096060045</v>
      </c>
      <c r="H278" s="1">
        <v>0.00268834479088742</v>
      </c>
      <c r="I278" s="1">
        <v>-0.003218169571379215</v>
      </c>
      <c r="J278" s="1">
        <v>0.005184749348130513</v>
      </c>
      <c r="K278" s="1">
        <v>-0.005336367745257808</v>
      </c>
      <c r="L278" s="1">
        <v>-0.008764015268032721</v>
      </c>
      <c r="M278" s="1">
        <v>-0.00226250280791962</v>
      </c>
      <c r="N278" s="1">
        <v>-0.0006921089990420404</v>
      </c>
      <c r="O278" s="1">
        <v>0.00917289991736836</v>
      </c>
      <c r="P278" s="1">
        <v>-0.001418731998437672</v>
      </c>
      <c r="Q278" s="1">
        <v>0.008869454608878335</v>
      </c>
      <c r="R278" s="1">
        <v>-0.01168020103254552</v>
      </c>
      <c r="S278" s="1">
        <v>0.014874309498492</v>
      </c>
      <c r="T278" s="1">
        <v>0.01095842000917835</v>
      </c>
      <c r="U278" s="1">
        <v>0.002188807758834788</v>
      </c>
      <c r="V278" s="1">
        <v>0.01887656581368091</v>
      </c>
      <c r="W278" s="1">
        <v>0.003202556306064031</v>
      </c>
      <c r="X278" s="1">
        <v>-0.004148385239442609</v>
      </c>
      <c r="Y278" s="1">
        <v>0.006869474072272119</v>
      </c>
      <c r="Z278" s="1">
        <v>-0.01517946333025666</v>
      </c>
    </row>
    <row r="279" spans="1:26">
      <c r="A279" s="11">
        <v>42775</v>
      </c>
      <c r="B279" s="1">
        <v>-0.0001758422423306927</v>
      </c>
      <c r="C279" s="1">
        <v>0.002869133904669807</v>
      </c>
      <c r="D279" s="1">
        <v>0.01199594820000693</v>
      </c>
      <c r="E279" s="1">
        <v>-0.009422831617881045</v>
      </c>
      <c r="F279" s="1">
        <v>0.004552426751245342</v>
      </c>
      <c r="G279" s="1">
        <v>0.001892487876675508</v>
      </c>
      <c r="H279" s="1">
        <v>0.006940203096632125</v>
      </c>
      <c r="I279" s="1">
        <v>0.006549115358246871</v>
      </c>
      <c r="J279" s="1">
        <v>0.008381385801446095</v>
      </c>
      <c r="K279" s="1">
        <v>0.007315811274956285</v>
      </c>
      <c r="L279" s="1">
        <v>0.01442554908235549</v>
      </c>
      <c r="M279" s="1">
        <v>0.03023445972123318</v>
      </c>
      <c r="N279" s="1">
        <v>0.004712394454289504</v>
      </c>
      <c r="O279" s="1">
        <v>0.002414509610355164</v>
      </c>
      <c r="P279" s="1">
        <v>0.01136726128235943</v>
      </c>
      <c r="Q279" s="1">
        <v>0.002254565681775622</v>
      </c>
      <c r="R279" s="1">
        <v>0.02019721056175605</v>
      </c>
      <c r="S279" s="1">
        <v>-0.005598627952613455</v>
      </c>
      <c r="T279" s="1">
        <v>0.003700697749962734</v>
      </c>
      <c r="U279" s="1">
        <v>0.002426378922629979</v>
      </c>
      <c r="V279" s="1">
        <v>0.02532048085236061</v>
      </c>
      <c r="W279" s="1">
        <v>0.00807787861576359</v>
      </c>
      <c r="X279" s="1">
        <v>0.01353881698947901</v>
      </c>
      <c r="Y279" s="1">
        <v>0.009096698361426236</v>
      </c>
      <c r="Z279" s="1">
        <v>0.02323916718226271</v>
      </c>
    </row>
    <row r="280" spans="1:26">
      <c r="A280" s="11">
        <v>42776</v>
      </c>
      <c r="B280" s="1">
        <v>0.008081762244001034</v>
      </c>
      <c r="C280" s="1">
        <v>0.01187011439828334</v>
      </c>
      <c r="D280" s="1">
        <v>0.00143056575067857</v>
      </c>
      <c r="E280" s="1">
        <v>0.002718129502892408</v>
      </c>
      <c r="F280" s="1">
        <v>0.001599326035212734</v>
      </c>
      <c r="G280" s="1">
        <v>0.0007553320054443091</v>
      </c>
      <c r="H280" s="1">
        <v>-0.008928523509743602</v>
      </c>
      <c r="I280" s="1">
        <v>0.01026397578966431</v>
      </c>
      <c r="J280" s="1">
        <v>0.005115304268017429</v>
      </c>
      <c r="K280" s="1">
        <v>0.01307193053356115</v>
      </c>
      <c r="L280" s="1">
        <v>-0.002293618435856959</v>
      </c>
      <c r="M280" s="1">
        <v>0.003484793949732001</v>
      </c>
      <c r="N280" s="1">
        <v>-0.0009654286285227798</v>
      </c>
      <c r="O280" s="1">
        <v>0.007084263111856615</v>
      </c>
      <c r="P280" s="1">
        <v>-0.0009367636882869901</v>
      </c>
      <c r="Q280" s="1">
        <v>0.008096715002252841</v>
      </c>
      <c r="R280" s="1">
        <v>0.01147851773393094</v>
      </c>
      <c r="S280" s="1">
        <v>0.006042250088166945</v>
      </c>
      <c r="T280" s="1">
        <v>-6.516879574514078E-05</v>
      </c>
      <c r="U280" s="1">
        <v>0.001694318398331784</v>
      </c>
      <c r="V280" s="1">
        <v>-0.01023928578459354</v>
      </c>
      <c r="W280" s="1">
        <v>0.0009692794651077197</v>
      </c>
      <c r="X280" s="1">
        <v>0.004932025442428767</v>
      </c>
      <c r="Y280" s="1">
        <v>0.003482752209005735</v>
      </c>
      <c r="Z280" s="1">
        <v>0.009733479538807543</v>
      </c>
    </row>
    <row r="281" spans="1:26">
      <c r="A281" s="11">
        <v>42779</v>
      </c>
      <c r="B281" s="1">
        <v>-0.003485691338280694</v>
      </c>
      <c r="C281" s="1">
        <v>0.01082836485614425</v>
      </c>
      <c r="D281" s="1">
        <v>0.004693754452250065</v>
      </c>
      <c r="E281" s="1">
        <v>0.007356625808499606</v>
      </c>
      <c r="F281" s="1">
        <v>0.007451580720915896</v>
      </c>
      <c r="G281" s="1">
        <v>0.006794993671634053</v>
      </c>
      <c r="H281" s="1">
        <v>0.002528841330881049</v>
      </c>
      <c r="I281" s="1">
        <v>0.004626384746612588</v>
      </c>
      <c r="J281" s="1">
        <v>0.02035615521444822</v>
      </c>
      <c r="K281" s="1">
        <v>-0.002389881181705134</v>
      </c>
      <c r="L281" s="1">
        <v>0.01321828667970681</v>
      </c>
      <c r="M281" s="1">
        <v>0.01864397314879729</v>
      </c>
      <c r="N281" s="1">
        <v>-0.005247327810307789</v>
      </c>
      <c r="O281" s="1">
        <v>0.005627354807384188</v>
      </c>
      <c r="P281" s="1">
        <v>0.01125010426208739</v>
      </c>
      <c r="Q281" s="1">
        <v>0.004908655069300272</v>
      </c>
      <c r="R281" s="1">
        <v>0.01658706237830621</v>
      </c>
      <c r="S281" s="1">
        <v>0.001228157441694355</v>
      </c>
      <c r="T281" s="1">
        <v>0.01027825381923009</v>
      </c>
      <c r="U281" s="1">
        <v>-0.01764156365918323</v>
      </c>
      <c r="V281" s="1">
        <v>-0.004913650037914996</v>
      </c>
      <c r="W281" s="1">
        <v>0.009426061884726389</v>
      </c>
      <c r="X281" s="1">
        <v>0.005930519486009533</v>
      </c>
      <c r="Y281" s="1">
        <v>-0.008779258349706942</v>
      </c>
      <c r="Z281" s="1">
        <v>0.01170525862171479</v>
      </c>
    </row>
    <row r="282" spans="1:26">
      <c r="A282" s="11">
        <v>42780</v>
      </c>
      <c r="B282" s="1">
        <v>-0.02938084177465916</v>
      </c>
      <c r="C282" s="1">
        <v>0.002797076621331884</v>
      </c>
      <c r="D282" s="1">
        <v>-0.00548456825998378</v>
      </c>
      <c r="E282" s="1">
        <v>0.03228952086524073</v>
      </c>
      <c r="F282" s="1">
        <v>0.005019230201139369</v>
      </c>
      <c r="G282" s="1">
        <v>-0.01333226329780379</v>
      </c>
      <c r="H282" s="1">
        <v>-0.006306029459140383</v>
      </c>
      <c r="I282" s="1">
        <v>-0.00632052940599015</v>
      </c>
      <c r="J282" s="1">
        <v>0.001246583134503432</v>
      </c>
      <c r="K282" s="1">
        <v>-0.006227174368459099</v>
      </c>
      <c r="L282" s="1">
        <v>0.01599565779436585</v>
      </c>
      <c r="M282" s="1">
        <v>-0.007536416735778206</v>
      </c>
      <c r="N282" s="1">
        <v>-0.002221149203283423</v>
      </c>
      <c r="O282" s="1">
        <v>0.006435748090827698</v>
      </c>
      <c r="P282" s="1">
        <v>0.003730337318676114</v>
      </c>
      <c r="Q282" s="1">
        <v>-0.01198930945691568</v>
      </c>
      <c r="R282" s="1">
        <v>0.002862586809472045</v>
      </c>
      <c r="S282" s="1">
        <v>-0.01435972070228619</v>
      </c>
      <c r="T282" s="1">
        <v>0.0009041087617489563</v>
      </c>
      <c r="U282" s="1">
        <v>0.002460290282324973</v>
      </c>
      <c r="V282" s="1">
        <v>0.01296086077392733</v>
      </c>
      <c r="W282" s="1">
        <v>0.005948553119159206</v>
      </c>
      <c r="X282" s="1">
        <v>0.0002034440005855842</v>
      </c>
      <c r="Y282" s="1">
        <v>-0.005766868137021763</v>
      </c>
      <c r="Z282" s="1">
        <v>0.02454555407655823</v>
      </c>
    </row>
    <row r="283" spans="1:26">
      <c r="A283" s="11">
        <v>42781</v>
      </c>
      <c r="B283" s="1">
        <v>0.001621509814012656</v>
      </c>
      <c r="C283" s="1">
        <v>0.004747955229055023</v>
      </c>
      <c r="D283" s="1">
        <v>0.009803973975300861</v>
      </c>
      <c r="E283" s="1">
        <v>0.02457640987573306</v>
      </c>
      <c r="F283" s="1">
        <v>0.00670275631338213</v>
      </c>
      <c r="G283" s="1">
        <v>0.000767911899437701</v>
      </c>
      <c r="H283" s="1">
        <v>0.006663197330780024</v>
      </c>
      <c r="I283" s="1">
        <v>-0.00845087516513876</v>
      </c>
      <c r="J283" s="1">
        <v>-0.004981033904979948</v>
      </c>
      <c r="K283" s="1">
        <v>0.003132983734589034</v>
      </c>
      <c r="L283" s="1">
        <v>0.01150050032136951</v>
      </c>
      <c r="M283" s="1">
        <v>0.03579842583188864</v>
      </c>
      <c r="N283" s="1">
        <v>0.004034382814870563</v>
      </c>
      <c r="O283" s="1">
        <v>0.009591021145250123</v>
      </c>
      <c r="P283" s="1">
        <v>-0.0006193684780003705</v>
      </c>
      <c r="Q283" s="1">
        <v>-0.0008985944882027308</v>
      </c>
      <c r="R283" s="1">
        <v>-0.003853761255758426</v>
      </c>
      <c r="S283" s="1">
        <v>0.0008298550929293214</v>
      </c>
      <c r="T283" s="1">
        <v>3.218552803141428E-05</v>
      </c>
      <c r="U283" s="1">
        <v>0.00907999688015737</v>
      </c>
      <c r="V283" s="1">
        <v>0.001523628497333229</v>
      </c>
      <c r="W283" s="1">
        <v>0.006230720608087159</v>
      </c>
      <c r="X283" s="1">
        <v>-0.0008132178090223263</v>
      </c>
      <c r="Y283" s="1">
        <v>-0.003936083626583264</v>
      </c>
      <c r="Z283" s="1">
        <v>0.004879959388227162</v>
      </c>
    </row>
    <row r="284" spans="1:26">
      <c r="A284" s="11">
        <v>42782</v>
      </c>
      <c r="B284" s="1">
        <v>-0.006116079605089753</v>
      </c>
      <c r="C284" s="1">
        <v>0.008918815321170781</v>
      </c>
      <c r="D284" s="1">
        <v>-0.0004045553161878823</v>
      </c>
      <c r="E284" s="1">
        <v>-0.01362910283835961</v>
      </c>
      <c r="F284" s="1">
        <v>-0.007963674730059656</v>
      </c>
      <c r="G284" s="1">
        <v>0.01150749548715613</v>
      </c>
      <c r="H284" s="1">
        <v>-0.01418401179810092</v>
      </c>
      <c r="I284" s="1">
        <v>0.0004581180471865398</v>
      </c>
      <c r="J284" s="1">
        <v>-0.003754705118747093</v>
      </c>
      <c r="K284" s="1">
        <v>0.001441581083660992</v>
      </c>
      <c r="L284" s="1">
        <v>-0.0006620337282501332</v>
      </c>
      <c r="M284" s="1">
        <v>-0.01658233692968558</v>
      </c>
      <c r="N284" s="1">
        <v>0.007482447528084801</v>
      </c>
      <c r="O284" s="1">
        <v>0.008674122814765539</v>
      </c>
      <c r="P284" s="1">
        <v>-0.0001550531078255979</v>
      </c>
      <c r="Q284" s="1">
        <v>0.01979289926051053</v>
      </c>
      <c r="R284" s="1">
        <v>-0.01547248046875682</v>
      </c>
      <c r="S284" s="1">
        <v>0.01639952073584428</v>
      </c>
      <c r="T284" s="1">
        <v>0.004065732187113591</v>
      </c>
      <c r="U284" s="1">
        <v>0.003161411943902293</v>
      </c>
      <c r="V284" s="1">
        <v>-0.008365091759648502</v>
      </c>
      <c r="W284" s="1">
        <v>-0.003475207416100967</v>
      </c>
      <c r="X284" s="1">
        <v>-0.003051007344094914</v>
      </c>
      <c r="Y284" s="1">
        <v>0.007903142274373609</v>
      </c>
      <c r="Z284" s="1">
        <v>-0.008829657098695542</v>
      </c>
    </row>
    <row r="285" spans="1:26">
      <c r="A285" s="11">
        <v>42783</v>
      </c>
      <c r="B285" s="1">
        <v>0.003438882991579906</v>
      </c>
      <c r="C285" s="1">
        <v>0.01112362024684033</v>
      </c>
      <c r="D285" s="1">
        <v>0.006272741323942066</v>
      </c>
      <c r="E285" s="1">
        <v>0.005711014331530651</v>
      </c>
      <c r="F285" s="1">
        <v>-0.008817233724828233</v>
      </c>
      <c r="G285" s="1">
        <v>0.005309186345825445</v>
      </c>
      <c r="H285" s="1">
        <v>-0.06506813995623228</v>
      </c>
      <c r="I285" s="1">
        <v>0.01007608024063678</v>
      </c>
      <c r="J285" s="1">
        <v>0.001884219507318763</v>
      </c>
      <c r="K285" s="1">
        <v>0.005519012227984232</v>
      </c>
      <c r="L285" s="1">
        <v>-0.003313660077256642</v>
      </c>
      <c r="M285" s="1">
        <v>0.01739419408302934</v>
      </c>
      <c r="N285" s="1">
        <v>0.003575914904603739</v>
      </c>
      <c r="O285" s="1">
        <v>0.003548908507885251</v>
      </c>
      <c r="P285" s="1">
        <v>0.001550179883581082</v>
      </c>
      <c r="Q285" s="1">
        <v>0.001322976566286327</v>
      </c>
      <c r="R285" s="1">
        <v>0.0018917486447938</v>
      </c>
      <c r="S285" s="1">
        <v>0.02320532176636814</v>
      </c>
      <c r="T285" s="1">
        <v>0.0005784210855694916</v>
      </c>
      <c r="U285" s="1">
        <v>0.005575654140921094</v>
      </c>
      <c r="V285" s="1">
        <v>0.009049019415336534</v>
      </c>
      <c r="W285" s="1">
        <v>0.005896558817788833</v>
      </c>
      <c r="X285" s="1">
        <v>-0.01346691902275532</v>
      </c>
      <c r="Y285" s="1">
        <v>0.0150637872573729</v>
      </c>
      <c r="Z285" s="1">
        <v>-0.005567992996132975</v>
      </c>
    </row>
    <row r="286" spans="1:26">
      <c r="A286" s="11">
        <v>42787</v>
      </c>
      <c r="B286" s="1">
        <v>0.008116851817272064</v>
      </c>
      <c r="C286" s="1">
        <v>0.01650163363896073</v>
      </c>
      <c r="D286" s="1">
        <v>0.004625211411667607</v>
      </c>
      <c r="E286" s="1">
        <v>0.003480852565198145</v>
      </c>
      <c r="F286" s="1">
        <v>0.006107796973382262</v>
      </c>
      <c r="G286" s="1">
        <v>0.003772262115154579</v>
      </c>
      <c r="H286" s="1">
        <v>0.008036827770923738</v>
      </c>
      <c r="I286" s="1">
        <v>-0.005984907936109174</v>
      </c>
      <c r="J286" s="1">
        <v>0.01128538744795771</v>
      </c>
      <c r="K286" s="1">
        <v>0.01717948379987222</v>
      </c>
      <c r="L286" s="1">
        <v>0.008644464009031516</v>
      </c>
      <c r="M286" s="1">
        <v>0.009421005112691949</v>
      </c>
      <c r="N286" s="1">
        <v>0.009318878345615733</v>
      </c>
      <c r="O286" s="1">
        <v>-0.008025198947137269</v>
      </c>
      <c r="P286" s="1">
        <v>-0.002011898107587062</v>
      </c>
      <c r="Q286" s="1">
        <v>0.01277559247690263</v>
      </c>
      <c r="R286" s="1">
        <v>-0.001161927792826756</v>
      </c>
      <c r="S286" s="1">
        <v>0.008726371587920001</v>
      </c>
      <c r="T286" s="1">
        <v>0.00375780447164531</v>
      </c>
      <c r="U286" s="1">
        <v>0.006026997992738981</v>
      </c>
      <c r="V286" s="1">
        <v>0.006384051447143158</v>
      </c>
      <c r="W286" s="1">
        <v>-6.286531817267793E-05</v>
      </c>
      <c r="X286" s="1">
        <v>-0.002895461624424889</v>
      </c>
      <c r="Y286" s="1">
        <v>0.004878986504422311</v>
      </c>
      <c r="Z286" s="1">
        <v>0.005374757175702793</v>
      </c>
    </row>
    <row r="287" spans="1:26">
      <c r="A287" s="11">
        <v>42788</v>
      </c>
      <c r="B287" s="1">
        <v>-0.01753477730395303</v>
      </c>
      <c r="C287" s="1">
        <v>-0.001139045850429454</v>
      </c>
      <c r="D287" s="1">
        <v>0.002001367333167581</v>
      </c>
      <c r="E287" s="1">
        <v>0.01040506441430455</v>
      </c>
      <c r="F287" s="1">
        <v>0.001319189451184366</v>
      </c>
      <c r="G287" s="1">
        <v>-0.001503789332828798</v>
      </c>
      <c r="H287" s="1">
        <v>0.003732005752165479</v>
      </c>
      <c r="I287" s="1">
        <v>0.0003648398550768484</v>
      </c>
      <c r="J287" s="1">
        <v>0.004339849652532868</v>
      </c>
      <c r="K287" s="1">
        <v>-0.0107908199231187</v>
      </c>
      <c r="L287" s="1">
        <v>0.0005488615401771924</v>
      </c>
      <c r="M287" s="1">
        <v>0.0008641959678301614</v>
      </c>
      <c r="N287" s="1">
        <v>-0.000678482723097118</v>
      </c>
      <c r="O287" s="1">
        <v>0</v>
      </c>
      <c r="P287" s="1">
        <v>-0.002015756694372151</v>
      </c>
      <c r="Q287" s="1">
        <v>0.007829506374608108</v>
      </c>
      <c r="R287" s="1">
        <v>-0.01061514527064666</v>
      </c>
      <c r="S287" s="1">
        <v>-0.006543041881726053</v>
      </c>
      <c r="T287" s="1">
        <v>-0.0001918141894826642</v>
      </c>
      <c r="U287" s="1">
        <v>-0.00335476695938608</v>
      </c>
      <c r="V287" s="1">
        <v>-0.004077938868137121</v>
      </c>
      <c r="W287" s="1">
        <v>-0.003845207157211705</v>
      </c>
      <c r="X287" s="1">
        <v>0.004148465385988898</v>
      </c>
      <c r="Y287" s="1">
        <v>0.004855491523804156</v>
      </c>
      <c r="Z287" s="1">
        <v>-0.003341292988548683</v>
      </c>
    </row>
    <row r="288" spans="1:26">
      <c r="A288" s="11">
        <v>42789</v>
      </c>
      <c r="B288" s="1">
        <v>-0.03514826666666671</v>
      </c>
      <c r="C288" s="1">
        <v>0.008553655756391443</v>
      </c>
      <c r="D288" s="1">
        <v>0.006592268678456525</v>
      </c>
      <c r="E288" s="1">
        <v>0.007587987501455506</v>
      </c>
      <c r="F288" s="1">
        <v>-0.007643303220715381</v>
      </c>
      <c r="G288" s="1">
        <v>0.01016224706763702</v>
      </c>
      <c r="H288" s="1">
        <v>-0.001859200550096807</v>
      </c>
      <c r="I288" s="1">
        <v>-0.01751026506205322</v>
      </c>
      <c r="J288" s="1">
        <v>0.08641988565163428</v>
      </c>
      <c r="K288" s="1">
        <v>-0.01612516424431498</v>
      </c>
      <c r="L288" s="1">
        <v>0.0007691034914867334</v>
      </c>
      <c r="M288" s="1">
        <v>-0.01122447506584134</v>
      </c>
      <c r="N288" s="1">
        <v>0.01168459094887964</v>
      </c>
      <c r="O288" s="1">
        <v>0.008364253076491135</v>
      </c>
      <c r="P288" s="1">
        <v>0.004039854058863535</v>
      </c>
      <c r="Q288" s="1">
        <v>0.02589556763118117</v>
      </c>
      <c r="R288" s="1">
        <v>-0.008818321094591575</v>
      </c>
      <c r="S288" s="1">
        <v>0.003668318349800748</v>
      </c>
      <c r="T288" s="1">
        <v>-0.00452489918622534</v>
      </c>
      <c r="U288" s="1">
        <v>0.008655581067228413</v>
      </c>
      <c r="V288" s="1">
        <v>-0.0145587247713117</v>
      </c>
      <c r="W288" s="1">
        <v>0.004493054758248904</v>
      </c>
      <c r="X288" s="1">
        <v>-0.02478835939772872</v>
      </c>
      <c r="Y288" s="1">
        <v>0.01288500491315969</v>
      </c>
      <c r="Z288" s="1">
        <v>0.001787717576665182</v>
      </c>
    </row>
    <row r="289" spans="1:26">
      <c r="A289" s="11">
        <v>42790</v>
      </c>
      <c r="B289" s="1">
        <v>0.008116295956859476</v>
      </c>
      <c r="C289" s="1">
        <v>0.003279552461860291</v>
      </c>
      <c r="D289" s="1">
        <v>0.001984288896829112</v>
      </c>
      <c r="E289" s="1">
        <v>0.01201347024473076</v>
      </c>
      <c r="F289" s="1">
        <v>0.006374574543770883</v>
      </c>
      <c r="G289" s="1">
        <v>0.006706265313591198</v>
      </c>
      <c r="H289" s="1">
        <v>0.0008468053673791331</v>
      </c>
      <c r="I289" s="1">
        <v>0.008261332804696986</v>
      </c>
      <c r="J289" s="1">
        <v>0.002840678675565256</v>
      </c>
      <c r="K289" s="1">
        <v>0.007953308847083118</v>
      </c>
      <c r="L289" s="1">
        <v>-0.008778714538537291</v>
      </c>
      <c r="M289" s="1">
        <v>0.0223540812357248</v>
      </c>
      <c r="N289" s="1">
        <v>-0.0004028227084130753</v>
      </c>
      <c r="O289" s="1">
        <v>-0.0004079654850621672</v>
      </c>
      <c r="P289" s="1">
        <v>0</v>
      </c>
      <c r="Q289" s="1">
        <v>0.0100965265875852</v>
      </c>
      <c r="R289" s="1">
        <v>-0.0002968248727857059</v>
      </c>
      <c r="S289" s="1">
        <v>0.005901374187948338</v>
      </c>
      <c r="T289" s="1">
        <v>0.007898188869545075</v>
      </c>
      <c r="U289" s="1">
        <v>0.009773973135724923</v>
      </c>
      <c r="V289" s="1">
        <v>0.02354571036197073</v>
      </c>
      <c r="W289" s="1">
        <v>0.0015747916372153</v>
      </c>
      <c r="X289" s="1">
        <v>-0.0008470876635063851</v>
      </c>
      <c r="Y289" s="1">
        <v>0.005764258421814716</v>
      </c>
      <c r="Z289" s="1">
        <v>-0.006023699039061525</v>
      </c>
    </row>
    <row r="290" spans="1:26">
      <c r="A290" s="11">
        <v>42793</v>
      </c>
      <c r="B290" s="1">
        <v>-0.008987102886395038</v>
      </c>
      <c r="C290" s="1">
        <v>0.01121487334263982</v>
      </c>
      <c r="D290" s="1">
        <v>-0.000990311429750701</v>
      </c>
      <c r="E290" s="1">
        <v>0.00212654745190366</v>
      </c>
      <c r="F290" s="1">
        <v>-0.009501329660854374</v>
      </c>
      <c r="G290" s="1">
        <v>-0.008512027602826322</v>
      </c>
      <c r="H290" s="1">
        <v>-0.002368813427798488</v>
      </c>
      <c r="I290" s="1">
        <v>0.00819348017492505</v>
      </c>
      <c r="J290" s="1">
        <v>0</v>
      </c>
      <c r="K290" s="1">
        <v>0.01004348655138965</v>
      </c>
      <c r="L290" s="1">
        <v>0.001106962967333258</v>
      </c>
      <c r="M290" s="1">
        <v>-0.001878940744394986</v>
      </c>
      <c r="N290" s="1">
        <v>0.002149624060834077</v>
      </c>
      <c r="O290" s="1">
        <v>-0.0005438719082222487</v>
      </c>
      <c r="P290" s="1">
        <v>-0.006035169228644666</v>
      </c>
      <c r="Q290" s="1">
        <v>-0.008746249080216706</v>
      </c>
      <c r="R290" s="1">
        <v>0.002818305666812071</v>
      </c>
      <c r="S290" s="1">
        <v>-0.001619947789687881</v>
      </c>
      <c r="T290" s="1">
        <v>-0.007836296321162894</v>
      </c>
      <c r="U290" s="1">
        <v>-0.01274794521915201</v>
      </c>
      <c r="V290" s="1">
        <v>0.006014033759875748</v>
      </c>
      <c r="W290" s="1">
        <v>-0.003145025669351154</v>
      </c>
      <c r="X290" s="1">
        <v>0.01462796805762534</v>
      </c>
      <c r="Y290" s="1">
        <v>-0.01304328604891891</v>
      </c>
      <c r="Z290" s="1">
        <v>0.01257012538710023</v>
      </c>
    </row>
    <row r="291" spans="1:26">
      <c r="A291" s="11">
        <v>42794</v>
      </c>
      <c r="B291" s="1">
        <v>-0.006423351983311454</v>
      </c>
      <c r="C291" s="1">
        <v>0.004458642111214495</v>
      </c>
      <c r="D291" s="1">
        <v>0.009516220464574454</v>
      </c>
      <c r="E291" s="1">
        <v>0.002651952024086857</v>
      </c>
      <c r="F291" s="1">
        <v>-0.002931088984271968</v>
      </c>
      <c r="G291" s="1">
        <v>0.01978332669177285</v>
      </c>
      <c r="H291" s="1">
        <v>0.006444163984473228</v>
      </c>
      <c r="I291" s="1">
        <v>-0.0001824658962551462</v>
      </c>
      <c r="J291" s="1">
        <v>-0.01586382300529687</v>
      </c>
      <c r="K291" s="1">
        <v>-0.007102216999158251</v>
      </c>
      <c r="L291" s="1">
        <v>0.002101088178429578</v>
      </c>
      <c r="M291" s="1">
        <v>-0.0107821007231087</v>
      </c>
      <c r="N291" s="1">
        <v>0.004423730279905502</v>
      </c>
      <c r="O291" s="1">
        <v>0.0001363614209262121</v>
      </c>
      <c r="P291" s="1">
        <v>-0.003892318615562051</v>
      </c>
      <c r="Q291" s="1">
        <v>0.004621755744239398</v>
      </c>
      <c r="R291" s="1">
        <v>-0.01183244236779646</v>
      </c>
      <c r="S291" s="1">
        <v>-0.002543130650671244</v>
      </c>
      <c r="T291" s="1">
        <v>-0.005351078212282423</v>
      </c>
      <c r="U291" s="1">
        <v>-0.0007178016694943112</v>
      </c>
      <c r="V291" s="1">
        <v>-0.1216559147770599</v>
      </c>
      <c r="W291" s="1">
        <v>-0.005047857532416211</v>
      </c>
      <c r="X291" s="1">
        <v>-0.01170074472642202</v>
      </c>
      <c r="Y291" s="1">
        <v>-0.006207349468495882</v>
      </c>
      <c r="Z291" s="1">
        <v>-0.00465504069942857</v>
      </c>
    </row>
    <row r="292" spans="1:26">
      <c r="A292" s="11">
        <v>42795</v>
      </c>
      <c r="B292" s="1">
        <v>0.006845399877731806</v>
      </c>
      <c r="C292" s="1">
        <v>0.02041818885867275</v>
      </c>
      <c r="D292" s="1">
        <v>0.008269555017481611</v>
      </c>
      <c r="E292" s="1">
        <v>0.008287660487404924</v>
      </c>
      <c r="F292" s="1">
        <v>0.004542882229954692</v>
      </c>
      <c r="G292" s="1">
        <v>0.01390909483265279</v>
      </c>
      <c r="H292" s="1">
        <v>0.002359234732986604</v>
      </c>
      <c r="I292" s="1">
        <v>0.01580026219373054</v>
      </c>
      <c r="J292" s="1">
        <v>0.01439238138805399</v>
      </c>
      <c r="K292" s="1">
        <v>0.0176438365787086</v>
      </c>
      <c r="L292" s="1">
        <v>0.03288446266650502</v>
      </c>
      <c r="M292" s="1">
        <v>0.01868516134948273</v>
      </c>
      <c r="N292" s="1">
        <v>0.009076632011865149</v>
      </c>
      <c r="O292" s="1">
        <v>0.01592260351164621</v>
      </c>
      <c r="P292" s="1">
        <v>0.01500456794214822</v>
      </c>
      <c r="Q292" s="1">
        <v>-0.0004180499519474967</v>
      </c>
      <c r="R292" s="1">
        <v>0.03562293418795193</v>
      </c>
      <c r="S292" s="1">
        <v>0.008220983178430785</v>
      </c>
      <c r="T292" s="1">
        <v>0.02210389601155249</v>
      </c>
      <c r="U292" s="1">
        <v>0.005982526514565878</v>
      </c>
      <c r="V292" s="1">
        <v>-0.01599454108287179</v>
      </c>
      <c r="W292" s="1">
        <v>0.01357177713179469</v>
      </c>
      <c r="X292" s="1">
        <v>0.0482028945491737</v>
      </c>
      <c r="Y292" s="1">
        <v>0.003626684579018269</v>
      </c>
      <c r="Z292" s="1">
        <v>0.0363027451350646</v>
      </c>
    </row>
    <row r="293" spans="1:26">
      <c r="A293" s="11">
        <v>42796</v>
      </c>
      <c r="B293" s="1">
        <v>-0.01945247785902449</v>
      </c>
      <c r="C293" s="1">
        <v>-0.005002340577233588</v>
      </c>
      <c r="D293" s="1">
        <v>-0.008591996832940429</v>
      </c>
      <c r="E293" s="1">
        <v>-0.005596342127879517</v>
      </c>
      <c r="F293" s="1">
        <v>-0.00372433964678931</v>
      </c>
      <c r="G293" s="1">
        <v>0.002527364768516671</v>
      </c>
      <c r="H293" s="1">
        <v>0.005714978892454869</v>
      </c>
      <c r="I293" s="1">
        <v>-0.01510487048718812</v>
      </c>
      <c r="J293" s="1">
        <v>-0.01702608693686214</v>
      </c>
      <c r="K293" s="1">
        <v>-0.009606149847441903</v>
      </c>
      <c r="L293" s="1">
        <v>-0.01559785642771305</v>
      </c>
      <c r="M293" s="1">
        <v>-0.02224876355913474</v>
      </c>
      <c r="N293" s="1">
        <v>0.001587789698249242</v>
      </c>
      <c r="O293" s="1">
        <v>-0.006965952059560854</v>
      </c>
      <c r="P293" s="1">
        <v>-0.01432086312356196</v>
      </c>
      <c r="Q293" s="1">
        <v>0.007949944402356746</v>
      </c>
      <c r="R293" s="1">
        <v>-0.02615919764480479</v>
      </c>
      <c r="S293" s="1">
        <v>-0.0102907808700986</v>
      </c>
      <c r="T293" s="1">
        <v>-0.00757867475960905</v>
      </c>
      <c r="U293" s="1">
        <v>0.0007133438331308195</v>
      </c>
      <c r="V293" s="1">
        <v>0.002075205823036663</v>
      </c>
      <c r="W293" s="1">
        <v>-0.003879173322135165</v>
      </c>
      <c r="X293" s="1">
        <v>-0.01512689810993262</v>
      </c>
      <c r="Y293" s="1">
        <v>0.003412767834653607</v>
      </c>
      <c r="Z293" s="1">
        <v>-0.03374200535070859</v>
      </c>
    </row>
    <row r="294" spans="1:26">
      <c r="A294" s="11">
        <v>42797</v>
      </c>
      <c r="B294" s="1">
        <v>0.003274199572470993</v>
      </c>
      <c r="C294" s="1">
        <v>-0.004426384637389424</v>
      </c>
      <c r="D294" s="1">
        <v>0.002757458191928075</v>
      </c>
      <c r="E294" s="1">
        <v>0.007034749716668731</v>
      </c>
      <c r="F294" s="1">
        <v>-0.006141275919652966</v>
      </c>
      <c r="G294" s="1">
        <v>0.004681307563750181</v>
      </c>
      <c r="H294" s="1">
        <v>-0.004847043866955003</v>
      </c>
      <c r="I294" s="1">
        <v>0.01177636070343691</v>
      </c>
      <c r="J294" s="1">
        <v>0.001732452241412386</v>
      </c>
      <c r="K294" s="1">
        <v>-0.004967834231133339</v>
      </c>
      <c r="L294" s="1">
        <v>0.007162839397594212</v>
      </c>
      <c r="M294" s="1">
        <v>0.02240773496939563</v>
      </c>
      <c r="N294" s="1">
        <v>-0.001981491445537165</v>
      </c>
      <c r="O294" s="1">
        <v>0.001214336040240571</v>
      </c>
      <c r="P294" s="1">
        <v>0.003749516699582456</v>
      </c>
      <c r="Q294" s="1">
        <v>-0.01535902045271864</v>
      </c>
      <c r="R294" s="1">
        <v>0.01855130515575287</v>
      </c>
      <c r="S294" s="1">
        <v>-0.001585575320957155</v>
      </c>
      <c r="T294" s="1">
        <v>-0.003322968109272129</v>
      </c>
      <c r="U294" s="1">
        <v>-0.001425904389382948</v>
      </c>
      <c r="V294" s="1">
        <v>-0.01035401738389341</v>
      </c>
      <c r="W294" s="1">
        <v>0.006029795570250407</v>
      </c>
      <c r="X294" s="1">
        <v>-0.01576951904189461</v>
      </c>
      <c r="Y294" s="1">
        <v>0.002200901332459093</v>
      </c>
      <c r="Z294" s="1">
        <v>0.008897219999402184</v>
      </c>
    </row>
    <row r="295" spans="1:26">
      <c r="A295" s="11">
        <v>42800</v>
      </c>
      <c r="B295" s="1">
        <v>0.001919840993051425</v>
      </c>
      <c r="C295" s="1">
        <v>-0.006861265031185337</v>
      </c>
      <c r="D295" s="1">
        <v>-0.0045178575044591</v>
      </c>
      <c r="E295" s="1">
        <v>-0.005064617011593664</v>
      </c>
      <c r="F295" s="1">
        <v>0.005910651034960246</v>
      </c>
      <c r="G295" s="1">
        <v>0.002150613405401902</v>
      </c>
      <c r="H295" s="1">
        <v>-0.004198813240477106</v>
      </c>
      <c r="I295" s="1">
        <v>9.022583885198721E-05</v>
      </c>
      <c r="J295" s="1">
        <v>0.004820618587630499</v>
      </c>
      <c r="K295" s="1">
        <v>-0.007133059939592679</v>
      </c>
      <c r="L295" s="1">
        <v>-0.009483093697804867</v>
      </c>
      <c r="M295" s="1">
        <v>-0.02208640382793614</v>
      </c>
      <c r="N295" s="1">
        <v>0.0001320697630904366</v>
      </c>
      <c r="O295" s="1">
        <v>-0.005389880771859534</v>
      </c>
      <c r="P295" s="1">
        <v>0.0003110614768251363</v>
      </c>
      <c r="Q295" s="1">
        <v>-0.005902408219566113</v>
      </c>
      <c r="R295" s="1">
        <v>-0.005245612638277719</v>
      </c>
      <c r="S295" s="1">
        <v>0.005780284503197564</v>
      </c>
      <c r="T295" s="1">
        <v>-0.001987672593639411</v>
      </c>
      <c r="U295" s="1">
        <v>-0.001189911404963828</v>
      </c>
      <c r="V295" s="1">
        <v>-0.02179583083849634</v>
      </c>
      <c r="W295" s="1">
        <v>-0.01529694968601791</v>
      </c>
      <c r="X295" s="1">
        <v>0.0002083078911225833</v>
      </c>
      <c r="Y295" s="1">
        <v>-0.001197750877259707</v>
      </c>
      <c r="Z295" s="1">
        <v>-0.0006615800942868511</v>
      </c>
    </row>
    <row r="296" spans="1:26">
      <c r="A296" s="11">
        <v>42801</v>
      </c>
      <c r="B296" s="1">
        <v>-0.01743624428080881</v>
      </c>
      <c r="C296" s="1">
        <v>0.006024385961130863</v>
      </c>
      <c r="D296" s="1">
        <v>0.007103324456069426</v>
      </c>
      <c r="E296" s="1">
        <v>-0.01123384878772526</v>
      </c>
      <c r="F296" s="1">
        <v>-0.0005342000286371329</v>
      </c>
      <c r="G296" s="1">
        <v>0.001430270770486297</v>
      </c>
      <c r="H296" s="1">
        <v>-0.003373087677706277</v>
      </c>
      <c r="I296" s="1">
        <v>-0.005413220906978045</v>
      </c>
      <c r="J296" s="1">
        <v>-0.001734031312800144</v>
      </c>
      <c r="K296" s="1">
        <v>-0.006944508825011853</v>
      </c>
      <c r="L296" s="1">
        <v>-0.005547570687750358</v>
      </c>
      <c r="M296" s="1">
        <v>-0.01096423244720779</v>
      </c>
      <c r="N296" s="1">
        <v>0.006880453440012868</v>
      </c>
      <c r="O296" s="1">
        <v>-0.002708848067960901</v>
      </c>
      <c r="P296" s="1">
        <v>0.002022656738408735</v>
      </c>
      <c r="Q296" s="1">
        <v>-0.003392955718445556</v>
      </c>
      <c r="R296" s="1">
        <v>-0.0102533913743168</v>
      </c>
      <c r="S296" s="1">
        <v>0.0003947168092985898</v>
      </c>
      <c r="T296" s="1">
        <v>-0.002345271989807829</v>
      </c>
      <c r="U296" s="1">
        <v>-0.001906735625024747</v>
      </c>
      <c r="V296" s="1">
        <v>-0.01711243114865668</v>
      </c>
      <c r="W296" s="1">
        <v>-0.002853375684224058</v>
      </c>
      <c r="X296" s="1">
        <v>-0.00457651409744142</v>
      </c>
      <c r="Y296" s="1">
        <v>-0.011792837887315</v>
      </c>
      <c r="Z296" s="1">
        <v>-0.001103214300216759</v>
      </c>
    </row>
    <row r="297" spans="1:26">
      <c r="A297" s="11">
        <v>42802</v>
      </c>
      <c r="B297" s="1">
        <v>-0.03646635928243336</v>
      </c>
      <c r="C297" s="1">
        <v>-0.001538247765555889</v>
      </c>
      <c r="D297" s="1">
        <v>0.006269916942325038</v>
      </c>
      <c r="E297" s="1">
        <v>0.01402445253584239</v>
      </c>
      <c r="F297" s="1">
        <v>-0.008284001140497099</v>
      </c>
      <c r="G297" s="1">
        <v>-0.01999946701801036</v>
      </c>
      <c r="H297" s="1">
        <v>-0.007277177162295034</v>
      </c>
      <c r="I297" s="1">
        <v>0.002086540439548035</v>
      </c>
      <c r="J297" s="1">
        <v>0.002894894300992989</v>
      </c>
      <c r="K297" s="1">
        <v>-0.00795748871469959</v>
      </c>
      <c r="L297" s="1">
        <v>-0.002188196236341033</v>
      </c>
      <c r="M297" s="1">
        <v>-0.00263968397062242</v>
      </c>
      <c r="N297" s="1">
        <v>-0.003416619317943126</v>
      </c>
      <c r="O297" s="1">
        <v>-0.009101141717327121</v>
      </c>
      <c r="P297" s="1">
        <v>0.009161792293894022</v>
      </c>
      <c r="Q297" s="1">
        <v>-0.0204251744090157</v>
      </c>
      <c r="R297" s="1">
        <v>-0.003847830450705358</v>
      </c>
      <c r="S297" s="1">
        <v>-0.01837600965518815</v>
      </c>
      <c r="T297" s="1">
        <v>0.00135262861952179</v>
      </c>
      <c r="U297" s="1">
        <v>-0.002626447222426997</v>
      </c>
      <c r="V297" s="1">
        <v>-0.002176261188051032</v>
      </c>
      <c r="W297" s="1">
        <v>0.001526394367935779</v>
      </c>
      <c r="X297" s="1">
        <v>0.003972472810424232</v>
      </c>
      <c r="Y297" s="1">
        <v>-0.005663636046326692</v>
      </c>
      <c r="Z297" s="1">
        <v>-0.0004414595220701978</v>
      </c>
    </row>
    <row r="298" spans="1:26">
      <c r="A298" s="11">
        <v>42803</v>
      </c>
      <c r="B298" s="1">
        <v>0.02469110435871813</v>
      </c>
      <c r="C298" s="1">
        <v>-0.006437840492071079</v>
      </c>
      <c r="D298" s="1">
        <v>0.01499209987692152</v>
      </c>
      <c r="E298" s="1">
        <v>0.01523090204951782</v>
      </c>
      <c r="F298" s="1">
        <v>0.007275651475567635</v>
      </c>
      <c r="G298" s="1">
        <v>-0.002551125054687464</v>
      </c>
      <c r="H298" s="1">
        <v>0.006307098732757588</v>
      </c>
      <c r="I298" s="1">
        <v>-0.008056745339982241</v>
      </c>
      <c r="J298" s="1">
        <v>0.002309626076878901</v>
      </c>
      <c r="K298" s="1">
        <v>-0.007778251491480925</v>
      </c>
      <c r="L298" s="1">
        <v>0.003946596094432708</v>
      </c>
      <c r="M298" s="1">
        <v>-0.005645329477596439</v>
      </c>
      <c r="N298" s="1">
        <v>0.004615009749971755</v>
      </c>
      <c r="O298" s="1">
        <v>0.002056447293495411</v>
      </c>
      <c r="P298" s="1">
        <v>-0.004000691788599853</v>
      </c>
      <c r="Q298" s="1">
        <v>-0.001303310491655107</v>
      </c>
      <c r="R298" s="1">
        <v>-0.00876546982273374</v>
      </c>
      <c r="S298" s="1">
        <v>-0.006612573075921335</v>
      </c>
      <c r="T298" s="1">
        <v>-0.002540237868037476</v>
      </c>
      <c r="U298" s="1">
        <v>0.004069979160482573</v>
      </c>
      <c r="V298" s="1">
        <v>0.003271695388080254</v>
      </c>
      <c r="W298" s="1">
        <v>0.001777150150072071</v>
      </c>
      <c r="X298" s="1">
        <v>-0.01228665033025766</v>
      </c>
      <c r="Y298" s="1">
        <v>0.00244140453599262</v>
      </c>
      <c r="Z298" s="1">
        <v>0.0004416544946523882</v>
      </c>
    </row>
    <row r="299" spans="1:26">
      <c r="A299" s="11">
        <v>42804</v>
      </c>
      <c r="B299" s="1">
        <v>-0.007900040026560973</v>
      </c>
      <c r="C299" s="1">
        <v>-0.0103560099829767</v>
      </c>
      <c r="D299" s="1">
        <v>-0.002302310730299184</v>
      </c>
      <c r="E299" s="1">
        <v>0.005690610815243691</v>
      </c>
      <c r="F299" s="1">
        <v>-0.001605382156829593</v>
      </c>
      <c r="G299" s="1">
        <v>0.01242192738202097</v>
      </c>
      <c r="H299" s="1">
        <v>0.002710937205962605</v>
      </c>
      <c r="I299" s="1">
        <v>0.003103154812418518</v>
      </c>
      <c r="J299" s="1">
        <v>0.001728038236356477</v>
      </c>
      <c r="K299" s="1">
        <v>0.01004420834992126</v>
      </c>
      <c r="L299" s="1">
        <v>-0.003167010794560943</v>
      </c>
      <c r="M299" s="1">
        <v>-0.00851675714786182</v>
      </c>
      <c r="N299" s="1">
        <v>0.003412583519205814</v>
      </c>
      <c r="O299" s="1">
        <v>0.00779738623447801</v>
      </c>
      <c r="P299" s="1">
        <v>0.003089710777568699</v>
      </c>
      <c r="Q299" s="1">
        <v>0.01478889288113461</v>
      </c>
      <c r="R299" s="1">
        <v>0.01483821292323073</v>
      </c>
      <c r="S299" s="1">
        <v>-0.01020947804363981</v>
      </c>
      <c r="T299" s="1">
        <v>0.005448067836967274</v>
      </c>
      <c r="U299" s="1">
        <v>0.009775478382330283</v>
      </c>
      <c r="V299" s="1">
        <v>0.002898007604875019</v>
      </c>
      <c r="W299" s="1">
        <v>0.009824070134618168</v>
      </c>
      <c r="X299" s="1">
        <v>0.004216635490989828</v>
      </c>
      <c r="Y299" s="1">
        <v>0.001420149193481768</v>
      </c>
      <c r="Z299" s="1">
        <v>-0.008171256729541998</v>
      </c>
    </row>
    <row r="300" spans="1:26">
      <c r="A300" s="11">
        <v>42807</v>
      </c>
      <c r="B300" s="1">
        <v>-0.001393817064814007</v>
      </c>
      <c r="C300" s="1">
        <v>0.001958372955222831</v>
      </c>
      <c r="D300" s="1">
        <v>0.00557637420831214</v>
      </c>
      <c r="E300" s="1">
        <v>-0.0238342412161352</v>
      </c>
      <c r="F300" s="1">
        <v>-0.0005360580247900648</v>
      </c>
      <c r="G300" s="1">
        <v>-0.003608535310920424</v>
      </c>
      <c r="H300" s="1">
        <v>-0.002365521239086732</v>
      </c>
      <c r="I300" s="1">
        <v>-0.0003645322905636572</v>
      </c>
      <c r="J300" s="1">
        <v>0.005750519256181086</v>
      </c>
      <c r="K300" s="1">
        <v>0.0002429941923014489</v>
      </c>
      <c r="L300" s="1">
        <v>0.0008765041404543705</v>
      </c>
      <c r="M300" s="1">
        <v>-0.02487463610175433</v>
      </c>
      <c r="N300" s="1">
        <v>-0.002505232556709647</v>
      </c>
      <c r="O300" s="1">
        <v>0.00760149096389573</v>
      </c>
      <c r="P300" s="1">
        <v>-0.003388193659293548</v>
      </c>
      <c r="Q300" s="1">
        <v>0.007286629104767961</v>
      </c>
      <c r="R300" s="1">
        <v>0.002363040892026103</v>
      </c>
      <c r="S300" s="1">
        <v>-0.003714322307581508</v>
      </c>
      <c r="T300" s="1">
        <v>-3.221186486879191E-05</v>
      </c>
      <c r="U300" s="1">
        <v>0.0004724684398047518</v>
      </c>
      <c r="V300" s="1">
        <v>-0.003070344059519559</v>
      </c>
      <c r="W300" s="1">
        <v>-0.000879452165075234</v>
      </c>
      <c r="X300" s="1">
        <v>-0.005248865387969648</v>
      </c>
      <c r="Y300" s="1">
        <v>0.002431745766558802</v>
      </c>
      <c r="Z300" s="1">
        <v>0.002671708233472625</v>
      </c>
    </row>
    <row r="301" spans="1:26">
      <c r="A301" s="11">
        <v>42808</v>
      </c>
      <c r="B301" s="1">
        <v>0.003388986087135892</v>
      </c>
      <c r="C301" s="1">
        <v>-0.001787132554474047</v>
      </c>
      <c r="D301" s="1">
        <v>-0.007648576625354231</v>
      </c>
      <c r="E301" s="1">
        <v>-0.004215454868746416</v>
      </c>
      <c r="F301" s="1">
        <v>0.002949444079500818</v>
      </c>
      <c r="G301" s="1">
        <v>-0.003984096450663888</v>
      </c>
      <c r="H301" s="1">
        <v>-0.001693353591685653</v>
      </c>
      <c r="I301" s="1">
        <v>-0.006097077442368981</v>
      </c>
      <c r="J301" s="1">
        <v>-0.001143738924055171</v>
      </c>
      <c r="K301" s="1">
        <v>-0.008487275269234984</v>
      </c>
      <c r="L301" s="1">
        <v>0.001642314320689175</v>
      </c>
      <c r="M301" s="1">
        <v>-0.02954699787155202</v>
      </c>
      <c r="N301" s="1">
        <v>-0.004098030822762166</v>
      </c>
      <c r="O301" s="1">
        <v>0.0002692681020766141</v>
      </c>
      <c r="P301" s="1">
        <v>-0.004636162328342963</v>
      </c>
      <c r="Q301" s="1">
        <v>-0.00595711819860878</v>
      </c>
      <c r="R301" s="1">
        <v>-0.007661882014901256</v>
      </c>
      <c r="S301" s="1">
        <v>0.009619679207149678</v>
      </c>
      <c r="T301" s="1">
        <v>-0.005610880127636664</v>
      </c>
      <c r="U301" s="1">
        <v>-0.006608649724159976</v>
      </c>
      <c r="V301" s="1">
        <v>-0.007972730520149685</v>
      </c>
      <c r="W301" s="1">
        <v>-0.004401426920089602</v>
      </c>
      <c r="X301" s="1">
        <v>-0.00379883071139675</v>
      </c>
      <c r="Y301" s="1">
        <v>-0.00222359055030219</v>
      </c>
      <c r="Z301" s="1">
        <v>-0.01199166502255367</v>
      </c>
    </row>
    <row r="302" spans="1:26">
      <c r="A302" s="11">
        <v>42809</v>
      </c>
      <c r="B302" s="1">
        <v>0.01470317838622881</v>
      </c>
      <c r="C302" s="1">
        <v>-0.0001119299935407048</v>
      </c>
      <c r="D302" s="1">
        <v>0.005009680232632485</v>
      </c>
      <c r="E302" s="1">
        <v>0.01693442818153557</v>
      </c>
      <c r="F302" s="1">
        <v>0.009088260355911038</v>
      </c>
      <c r="G302" s="1">
        <v>0.02145426766956726</v>
      </c>
      <c r="H302" s="1">
        <v>0.006954907617078732</v>
      </c>
      <c r="I302" s="1">
        <v>0.01446746896820117</v>
      </c>
      <c r="J302" s="1">
        <v>0.005724111406941956</v>
      </c>
      <c r="K302" s="1">
        <v>0.02543406969362549</v>
      </c>
      <c r="L302" s="1">
        <v>0.002403657781993251</v>
      </c>
      <c r="M302" s="1">
        <v>0.02666441934665942</v>
      </c>
      <c r="N302" s="1">
        <v>0.004380399553997938</v>
      </c>
      <c r="O302" s="1">
        <v>0.001346941429632764</v>
      </c>
      <c r="P302" s="1">
        <v>0.005278663324257415</v>
      </c>
      <c r="Q302" s="1">
        <v>0.01498276380835284</v>
      </c>
      <c r="R302" s="1">
        <v>0.02256843597008595</v>
      </c>
      <c r="S302" s="1">
        <v>0.01723296975033173</v>
      </c>
      <c r="T302" s="1">
        <v>0.007931709152176225</v>
      </c>
      <c r="U302" s="1">
        <v>0.01187953530279806</v>
      </c>
      <c r="V302" s="1">
        <v>-0.003287368281831515</v>
      </c>
      <c r="W302" s="1">
        <v>0.01711543355206735</v>
      </c>
      <c r="X302" s="1">
        <v>0.01355936003506142</v>
      </c>
      <c r="Y302" s="1">
        <v>0.01580239889482971</v>
      </c>
      <c r="Z302" s="1">
        <v>-0.009440280475239593</v>
      </c>
    </row>
    <row r="303" spans="1:26">
      <c r="A303" s="11">
        <v>42810</v>
      </c>
      <c r="B303" s="1">
        <v>0.0001957324589596521</v>
      </c>
      <c r="C303" s="1">
        <v>-0.002909775148011162</v>
      </c>
      <c r="D303" s="1">
        <v>-0.01399533830854127</v>
      </c>
      <c r="E303" s="1">
        <v>-0.005897717797244462</v>
      </c>
      <c r="F303" s="1">
        <v>-0.00185431143538306</v>
      </c>
      <c r="G303" s="1">
        <v>-0.01779968473492</v>
      </c>
      <c r="H303" s="1">
        <v>-0.008928319388489703</v>
      </c>
      <c r="I303" s="1">
        <v>-0.0005414709146063235</v>
      </c>
      <c r="J303" s="1">
        <v>0.004553225952937945</v>
      </c>
      <c r="K303" s="1">
        <v>-0.003816019015012162</v>
      </c>
      <c r="L303" s="1">
        <v>-0.0009808158863124916</v>
      </c>
      <c r="M303" s="1">
        <v>-0.00257888648803084</v>
      </c>
      <c r="N303" s="1">
        <v>-0.00488959657722321</v>
      </c>
      <c r="O303" s="1">
        <v>0.004438609062256793</v>
      </c>
      <c r="P303" s="1">
        <v>-0.001698937371532483</v>
      </c>
      <c r="Q303" s="1">
        <v>-0.01433990916779693</v>
      </c>
      <c r="R303" s="1">
        <v>0.0002910725695557392</v>
      </c>
      <c r="S303" s="1">
        <v>-0.01160775090395638</v>
      </c>
      <c r="T303" s="1">
        <v>-0.004062527190181853</v>
      </c>
      <c r="U303" s="1">
        <v>-0.003521928277375297</v>
      </c>
      <c r="V303" s="1">
        <v>0.0003664678572359303</v>
      </c>
      <c r="W303" s="1">
        <v>-0.01881453763442531</v>
      </c>
      <c r="X303" s="1">
        <v>-0.003971722908790554</v>
      </c>
      <c r="Y303" s="1">
        <v>-0.001994260176319651</v>
      </c>
      <c r="Z303" s="1">
        <v>0.006580135853162306</v>
      </c>
    </row>
    <row r="304" spans="1:26">
      <c r="A304" s="11">
        <v>42811</v>
      </c>
      <c r="B304" s="1">
        <v>0.002740960372889178</v>
      </c>
      <c r="C304" s="1">
        <v>0.01071905309994414</v>
      </c>
      <c r="D304" s="1">
        <v>0.003888809789170722</v>
      </c>
      <c r="E304" s="1">
        <v>-0.01779793487799486</v>
      </c>
      <c r="F304" s="1">
        <v>-0.005838493844709691</v>
      </c>
      <c r="G304" s="1">
        <v>0.003262212690692268</v>
      </c>
      <c r="H304" s="1">
        <v>0.006289237208063847</v>
      </c>
      <c r="I304" s="1">
        <v>-0.002528922804122202</v>
      </c>
      <c r="J304" s="1">
        <v>-0.00509916156229151</v>
      </c>
      <c r="K304" s="1">
        <v>0.004788239481601453</v>
      </c>
      <c r="L304" s="1">
        <v>-0.01047597779409559</v>
      </c>
      <c r="M304" s="1">
        <v>-0.01791331275301566</v>
      </c>
      <c r="N304" s="1">
        <v>-0.0018594279965094</v>
      </c>
      <c r="O304" s="1">
        <v>0.00615913984673977</v>
      </c>
      <c r="P304" s="1">
        <v>0.003558315354968311</v>
      </c>
      <c r="Q304" s="1">
        <v>0.005562434216588752</v>
      </c>
      <c r="R304" s="1">
        <v>0.009144997848097747</v>
      </c>
      <c r="S304" s="1">
        <v>0.008841976877143942</v>
      </c>
      <c r="T304" s="1">
        <v>0.00658469338655121</v>
      </c>
      <c r="U304" s="1">
        <v>0.004005379118626529</v>
      </c>
      <c r="V304" s="1">
        <v>-0.005495560290660451</v>
      </c>
      <c r="W304" s="1">
        <v>-0.0008225582205062532</v>
      </c>
      <c r="X304" s="1">
        <v>0.001888571371138514</v>
      </c>
      <c r="Y304" s="1">
        <v>0.006993922052088708</v>
      </c>
      <c r="Z304" s="1">
        <v>-0.01352554246144932</v>
      </c>
    </row>
    <row r="305" spans="1:26">
      <c r="A305" s="11">
        <v>42814</v>
      </c>
      <c r="B305" s="1">
        <v>-0.005662190614727725</v>
      </c>
      <c r="C305" s="1">
        <v>-0.003942291706210854</v>
      </c>
      <c r="D305" s="1">
        <v>-0.00852210305056067</v>
      </c>
      <c r="E305" s="1">
        <v>0.002131738308200903</v>
      </c>
      <c r="F305" s="1">
        <v>0.0005341244340746343</v>
      </c>
      <c r="G305" s="1">
        <v>-0.008309432995007082</v>
      </c>
      <c r="H305" s="1">
        <v>-0.003378577570100849</v>
      </c>
      <c r="I305" s="1">
        <v>0.003893059362355178</v>
      </c>
      <c r="J305" s="1">
        <v>0</v>
      </c>
      <c r="K305" s="1">
        <v>0.01318303540543253</v>
      </c>
      <c r="L305" s="1">
        <v>-0.007168081247544977</v>
      </c>
      <c r="M305" s="1">
        <v>0.005077367346488115</v>
      </c>
      <c r="N305" s="1">
        <v>0.005587980842967077</v>
      </c>
      <c r="O305" s="1">
        <v>-0.00146348562317844</v>
      </c>
      <c r="P305" s="1">
        <v>0.0009249193784928167</v>
      </c>
      <c r="Q305" s="1">
        <v>-0.01191456603577878</v>
      </c>
      <c r="R305" s="1">
        <v>-0.00589782239258696</v>
      </c>
      <c r="S305" s="1">
        <v>0.005168378309978516</v>
      </c>
      <c r="T305" s="1">
        <v>-0.003988613462401758</v>
      </c>
      <c r="U305" s="1">
        <v>-0.004458870193411513</v>
      </c>
      <c r="V305" s="1">
        <v>0.001473711388011223</v>
      </c>
      <c r="W305" s="1">
        <v>-0.007283306379989862</v>
      </c>
      <c r="X305" s="1">
        <v>-0.002304001693112401</v>
      </c>
      <c r="Y305" s="1">
        <v>-0.002976613455325294</v>
      </c>
      <c r="Z305" s="1">
        <v>-0.01302568484558997</v>
      </c>
    </row>
    <row r="306" spans="1:26">
      <c r="A306" s="11">
        <v>42815</v>
      </c>
      <c r="B306" s="1">
        <v>-0.01236974075420028</v>
      </c>
      <c r="C306" s="1">
        <v>-0.01912027436019625</v>
      </c>
      <c r="D306" s="1">
        <v>0.004102467297335544</v>
      </c>
      <c r="E306" s="1">
        <v>-0.01240906764215377</v>
      </c>
      <c r="F306" s="1">
        <v>-0.01093972276551392</v>
      </c>
      <c r="G306" s="1">
        <v>0.004735880517799052</v>
      </c>
      <c r="H306" s="1">
        <v>-0.0323726596958146</v>
      </c>
      <c r="I306" s="1">
        <v>-0.01145335742297038</v>
      </c>
      <c r="J306" s="1">
        <v>-0.02334827176489362</v>
      </c>
      <c r="K306" s="1">
        <v>-0.0210550099398833</v>
      </c>
      <c r="L306" s="1">
        <v>-0.02932383441705377</v>
      </c>
      <c r="M306" s="1">
        <v>-0.02937345692475113</v>
      </c>
      <c r="N306" s="1">
        <v>0.004630955008728677</v>
      </c>
      <c r="O306" s="1">
        <v>-0.01106271621297938</v>
      </c>
      <c r="P306" s="1">
        <v>-0.01108884164120583</v>
      </c>
      <c r="Q306" s="1">
        <v>0.01507298794410072</v>
      </c>
      <c r="R306" s="1">
        <v>-0.02112584382496796</v>
      </c>
      <c r="S306" s="1">
        <v>0.002862070168278219</v>
      </c>
      <c r="T306" s="1">
        <v>-0.01339225703855662</v>
      </c>
      <c r="U306" s="1">
        <v>-0.008014883575173326</v>
      </c>
      <c r="V306" s="1">
        <v>-0.01802474678686949</v>
      </c>
      <c r="W306" s="1">
        <v>-0.007656278454175824</v>
      </c>
      <c r="X306" s="1">
        <v>-0.01784589905328238</v>
      </c>
      <c r="Y306" s="1">
        <v>-0.001592360030351125</v>
      </c>
      <c r="Z306" s="1">
        <v>-0.05441030625745613</v>
      </c>
    </row>
    <row r="307" spans="1:26">
      <c r="A307" s="11">
        <v>42816</v>
      </c>
      <c r="B307" s="1">
        <v>0.004771334305564645</v>
      </c>
      <c r="C307" s="1">
        <v>0.005796715729186719</v>
      </c>
      <c r="D307" s="1">
        <v>0.007587616413649911</v>
      </c>
      <c r="E307" s="1">
        <v>0.01166761186253806</v>
      </c>
      <c r="F307" s="1">
        <v>-0.0008089094487688797</v>
      </c>
      <c r="G307" s="1">
        <v>0.01087736975226927</v>
      </c>
      <c r="H307" s="1">
        <v>-0.003153205404053505</v>
      </c>
      <c r="I307" s="1">
        <v>0.001459520178119567</v>
      </c>
      <c r="J307" s="1">
        <v>0.004664501849350522</v>
      </c>
      <c r="K307" s="1">
        <v>0.01039150460303429</v>
      </c>
      <c r="L307" s="1">
        <v>0.001602244330321634</v>
      </c>
      <c r="M307" s="1">
        <v>0.01117970955059033</v>
      </c>
      <c r="N307" s="1">
        <v>-0.011326069809656</v>
      </c>
      <c r="O307" s="1">
        <v>0.003234573387689954</v>
      </c>
      <c r="P307" s="1">
        <v>0.01277051614540992</v>
      </c>
      <c r="Q307" s="1">
        <v>0.01018263939245312</v>
      </c>
      <c r="R307" s="1">
        <v>-0.001773987090650464</v>
      </c>
      <c r="S307" s="1">
        <v>0.006643680203454183</v>
      </c>
      <c r="T307" s="1">
        <v>0.01204762900899503</v>
      </c>
      <c r="U307" s="1">
        <v>-0.01021880584128709</v>
      </c>
      <c r="V307" s="1">
        <v>0.003558579559407526</v>
      </c>
      <c r="W307" s="1">
        <v>-0.001349949438587017</v>
      </c>
      <c r="X307" s="1">
        <v>0.00726834548233124</v>
      </c>
      <c r="Y307" s="1">
        <v>-0.008971167381326195</v>
      </c>
      <c r="Z307" s="1">
        <v>-0.002693980535968921</v>
      </c>
    </row>
    <row r="308" spans="1:26">
      <c r="A308" s="11">
        <v>42817</v>
      </c>
      <c r="B308" s="1">
        <v>-0.008903805180153435</v>
      </c>
      <c r="C308" s="1">
        <v>0.001582145871083407</v>
      </c>
      <c r="D308" s="1">
        <v>-0.001931187529543466</v>
      </c>
      <c r="E308" s="1">
        <v>-0.01046850345051153</v>
      </c>
      <c r="F308" s="1">
        <v>0.004859507007150432</v>
      </c>
      <c r="G308" s="1">
        <v>-0.004662746912024063</v>
      </c>
      <c r="H308" s="1">
        <v>0.01212451823503491</v>
      </c>
      <c r="I308" s="1">
        <v>-0.002186250148785263</v>
      </c>
      <c r="J308" s="1">
        <v>-0.001160692202965774</v>
      </c>
      <c r="K308" s="1">
        <v>-0.007414718668365738</v>
      </c>
      <c r="L308" s="1">
        <v>-0.001599681250108453</v>
      </c>
      <c r="M308" s="1">
        <v>-0.001715711436425349</v>
      </c>
      <c r="N308" s="1">
        <v>-0.01398724487463332</v>
      </c>
      <c r="O308" s="1">
        <v>0.002283854209518932</v>
      </c>
      <c r="P308" s="1">
        <v>-0.002460339884586715</v>
      </c>
      <c r="Q308" s="1">
        <v>-0.002520026713129009</v>
      </c>
      <c r="R308" s="1">
        <v>0.0008888690990032089</v>
      </c>
      <c r="S308" s="1">
        <v>0.0006642128189500163</v>
      </c>
      <c r="T308" s="1">
        <v>-0.002919858670585196</v>
      </c>
      <c r="U308" s="1">
        <v>0</v>
      </c>
      <c r="V308" s="1">
        <v>-0.00821201722453424</v>
      </c>
      <c r="W308" s="1">
        <v>-0.004378163162371163</v>
      </c>
      <c r="X308" s="1">
        <v>-0.004456914241593002</v>
      </c>
      <c r="Y308" s="1">
        <v>-0.001408379084117728</v>
      </c>
      <c r="Z308" s="1">
        <v>0.003928694616016415</v>
      </c>
    </row>
    <row r="309" spans="1:26">
      <c r="A309" s="11">
        <v>42818</v>
      </c>
      <c r="B309" s="1">
        <v>0.002994306053567097</v>
      </c>
      <c r="C309" s="1">
        <v>-0.008123857552326474</v>
      </c>
      <c r="D309" s="1">
        <v>0.006384351192214588</v>
      </c>
      <c r="E309" s="1">
        <v>0.002151902695104679</v>
      </c>
      <c r="F309" s="1">
        <v>0.004298930351094299</v>
      </c>
      <c r="G309" s="1">
        <v>0.004324293369900145</v>
      </c>
      <c r="H309" s="1">
        <v>-0.00277777467969198</v>
      </c>
      <c r="I309" s="1">
        <v>-0.005021559695089994</v>
      </c>
      <c r="J309" s="1">
        <v>0.001162040974864942</v>
      </c>
      <c r="K309" s="1">
        <v>-0.006746562681896884</v>
      </c>
      <c r="L309" s="1">
        <v>-0.001144091907595568</v>
      </c>
      <c r="M309" s="1">
        <v>0.004582819969444651</v>
      </c>
      <c r="N309" s="1">
        <v>-0.01148315693778856</v>
      </c>
      <c r="O309" s="1">
        <v>-0.0005361529658551856</v>
      </c>
      <c r="P309" s="1">
        <v>0.001695532965013236</v>
      </c>
      <c r="Q309" s="1">
        <v>0.005052569137687479</v>
      </c>
      <c r="R309" s="1">
        <v>0.0004436810844283823</v>
      </c>
      <c r="S309" s="1">
        <v>-0.01332355964715115</v>
      </c>
      <c r="T309" s="1">
        <v>-0.004183384426594383</v>
      </c>
      <c r="U309" s="1">
        <v>0.0007200233051478655</v>
      </c>
      <c r="V309" s="1">
        <v>-0.0003761391421532867</v>
      </c>
      <c r="W309" s="1">
        <v>-0.003944403941486541</v>
      </c>
      <c r="X309" s="1">
        <v>-0.01620111363874011</v>
      </c>
      <c r="Y309" s="1">
        <v>0.0008058679132405544</v>
      </c>
      <c r="Z309" s="1">
        <v>0.0004893510648067423</v>
      </c>
    </row>
    <row r="310" spans="1:26">
      <c r="A310" s="11">
        <v>42821</v>
      </c>
      <c r="B310" s="1">
        <v>-0.01034993272747742</v>
      </c>
      <c r="C310" s="1">
        <v>0.001592677377818763</v>
      </c>
      <c r="D310" s="1">
        <v>-0.003652565990548418</v>
      </c>
      <c r="E310" s="1">
        <v>0.00268355170913348</v>
      </c>
      <c r="F310" s="1">
        <v>-0.007223098726658828</v>
      </c>
      <c r="G310" s="1">
        <v>-0.00645832880256747</v>
      </c>
      <c r="H310" s="1">
        <v>0.0008707812939066084</v>
      </c>
      <c r="I310" s="1">
        <v>-0.01670058593809998</v>
      </c>
      <c r="J310" s="1">
        <v>-0.001741153020025199</v>
      </c>
      <c r="K310" s="1">
        <v>0.003396137047815495</v>
      </c>
      <c r="L310" s="1">
        <v>-0.000572701176579371</v>
      </c>
      <c r="M310" s="1">
        <v>0.005132050529198073</v>
      </c>
      <c r="N310" s="1">
        <v>0.0004098147940998498</v>
      </c>
      <c r="O310" s="1">
        <v>0.0005364405800631911</v>
      </c>
      <c r="P310" s="1">
        <v>0.00184664233023013</v>
      </c>
      <c r="Q310" s="1">
        <v>-0.002513476333026787</v>
      </c>
      <c r="R310" s="1">
        <v>-0.01671111072859099</v>
      </c>
      <c r="S310" s="1">
        <v>-0.008971712743494398</v>
      </c>
      <c r="T310" s="1">
        <v>6.469210465498421E-05</v>
      </c>
      <c r="U310" s="1">
        <v>-0.004558596507120538</v>
      </c>
      <c r="V310" s="1">
        <v>0.003953138099866305</v>
      </c>
      <c r="W310" s="1">
        <v>0.003570815097964752</v>
      </c>
      <c r="X310" s="1">
        <v>0.004550006088378078</v>
      </c>
      <c r="Y310" s="1">
        <v>-0.0108696847777906</v>
      </c>
      <c r="Z310" s="1">
        <v>-0.003177924675184185</v>
      </c>
    </row>
    <row r="311" spans="1:26">
      <c r="A311" s="11">
        <v>42822</v>
      </c>
      <c r="B311" s="1">
        <v>0.03016902574569724</v>
      </c>
      <c r="C311" s="1">
        <v>0.00715495660297405</v>
      </c>
      <c r="D311" s="1">
        <v>0.001157903992310194</v>
      </c>
      <c r="E311" s="1">
        <v>0.002855188997941349</v>
      </c>
      <c r="F311" s="1">
        <v>-0.0005390913568955602</v>
      </c>
      <c r="G311" s="1">
        <v>0</v>
      </c>
      <c r="H311" s="1">
        <v>0.002261149023521147</v>
      </c>
      <c r="I311" s="1">
        <v>0.01091853506050766</v>
      </c>
      <c r="J311" s="1">
        <v>0.003488533064032406</v>
      </c>
      <c r="K311" s="1">
        <v>0.009187599600033902</v>
      </c>
      <c r="L311" s="1">
        <v>0.01558868912152689</v>
      </c>
      <c r="M311" s="1">
        <v>0.024773205199216</v>
      </c>
      <c r="N311" s="1">
        <v>-0.0001363790922901398</v>
      </c>
      <c r="O311" s="1">
        <v>0.004154825972884302</v>
      </c>
      <c r="P311" s="1">
        <v>0.002918651031639685</v>
      </c>
      <c r="Q311" s="1">
        <v>-0.004200008372253872</v>
      </c>
      <c r="R311" s="1">
        <v>0.009023831678331984</v>
      </c>
      <c r="S311" s="1">
        <v>0.005658095845071154</v>
      </c>
      <c r="T311" s="1">
        <v>0.004749930035543803</v>
      </c>
      <c r="U311" s="1">
        <v>0.001687205251558188</v>
      </c>
      <c r="V311" s="1">
        <v>0.005062728550321971</v>
      </c>
      <c r="W311" s="1">
        <v>0.0003233723960971435</v>
      </c>
      <c r="X311" s="1">
        <v>0.01358952486898879</v>
      </c>
      <c r="Y311" s="1">
        <v>0.003256400751767252</v>
      </c>
      <c r="Z311" s="1">
        <v>0.01275110519111555</v>
      </c>
    </row>
    <row r="312" spans="1:26">
      <c r="A312" s="11">
        <v>42823</v>
      </c>
      <c r="B312" s="1">
        <v>0.03826588444153067</v>
      </c>
      <c r="C312" s="1">
        <v>0.001522358904644916</v>
      </c>
      <c r="D312" s="1">
        <v>0.001734250331305809</v>
      </c>
      <c r="E312" s="1">
        <v>-0.004447947997385127</v>
      </c>
      <c r="F312" s="1">
        <v>0.003504960034954374</v>
      </c>
      <c r="G312" s="1">
        <v>0.005777971529528969</v>
      </c>
      <c r="H312" s="1">
        <v>-0.0008679679682469521</v>
      </c>
      <c r="I312" s="1">
        <v>0.004176958469277681</v>
      </c>
      <c r="J312" s="1">
        <v>0</v>
      </c>
      <c r="K312" s="1">
        <v>0.01221862717451283</v>
      </c>
      <c r="L312" s="1">
        <v>-0.003724406728124574</v>
      </c>
      <c r="M312" s="1">
        <v>-0.01310199272851509</v>
      </c>
      <c r="N312" s="1">
        <v>-0.003142855686550372</v>
      </c>
      <c r="O312" s="1">
        <v>-0.006940791263808976</v>
      </c>
      <c r="P312" s="1">
        <v>0.002757038992093008</v>
      </c>
      <c r="Q312" s="1">
        <v>0</v>
      </c>
      <c r="R312" s="1">
        <v>0.008347106422383899</v>
      </c>
      <c r="S312" s="1">
        <v>-0.009947612864507072</v>
      </c>
      <c r="T312" s="1">
        <v>-0.002572798887528482</v>
      </c>
      <c r="U312" s="1">
        <v>-0.002646552567480143</v>
      </c>
      <c r="V312" s="1">
        <v>0.02891807539733682</v>
      </c>
      <c r="W312" s="1">
        <v>-0.004268128554642092</v>
      </c>
      <c r="X312" s="1">
        <v>0.002128141715235232</v>
      </c>
      <c r="Y312" s="1">
        <v>-0.003448460489263949</v>
      </c>
      <c r="Z312" s="1">
        <v>0.0004843704283319372</v>
      </c>
    </row>
    <row r="313" spans="1:26">
      <c r="A313" s="11">
        <v>42824</v>
      </c>
      <c r="B313" s="1">
        <v>-0.02049633625889891</v>
      </c>
      <c r="C313" s="1">
        <v>0.001970353659604296</v>
      </c>
      <c r="D313" s="1">
        <v>0.005194339579439378</v>
      </c>
      <c r="E313" s="1">
        <v>-0.01054540381934221</v>
      </c>
      <c r="F313" s="1">
        <v>0.007791507823593058</v>
      </c>
      <c r="G313" s="1">
        <v>-0.01220829411977709</v>
      </c>
      <c r="H313" s="1">
        <v>-0.007990438292655333</v>
      </c>
      <c r="I313" s="1">
        <v>0.009151425090231369</v>
      </c>
      <c r="J313" s="1">
        <v>0.02259541429926748</v>
      </c>
      <c r="K313" s="1">
        <v>-0.002603754449515328</v>
      </c>
      <c r="L313" s="1">
        <v>0.008610122412432419</v>
      </c>
      <c r="M313" s="1">
        <v>0.006544302271270119</v>
      </c>
      <c r="N313" s="1">
        <v>-0.01247228676145751</v>
      </c>
      <c r="O313" s="1">
        <v>-0.003897660718567009</v>
      </c>
      <c r="P313" s="1">
        <v>0.003665836862258631</v>
      </c>
      <c r="Q313" s="1">
        <v>-0.005060984255853107</v>
      </c>
      <c r="R313" s="1">
        <v>-0.0001479218709655727</v>
      </c>
      <c r="S313" s="1">
        <v>-0.002500603825963621</v>
      </c>
      <c r="T313" s="1">
        <v>0.0002256372826423547</v>
      </c>
      <c r="U313" s="1">
        <v>0.007478948001403252</v>
      </c>
      <c r="V313" s="1">
        <v>0.001812885581118362</v>
      </c>
      <c r="W313" s="1">
        <v>-0.0004542707555443837</v>
      </c>
      <c r="X313" s="1">
        <v>0.00488428218456205</v>
      </c>
      <c r="Y313" s="1">
        <v>-0.001424810527193565</v>
      </c>
      <c r="Z313" s="1">
        <v>0.02565343623604632</v>
      </c>
    </row>
    <row r="314" spans="1:26">
      <c r="A314" s="11">
        <v>42825</v>
      </c>
      <c r="B314" s="1">
        <v>-0.01343804364183032</v>
      </c>
      <c r="C314" s="1">
        <v>-0.0062928428195691</v>
      </c>
      <c r="D314" s="1">
        <v>-0.007464097685896842</v>
      </c>
      <c r="E314" s="1">
        <v>-0.017702426686385</v>
      </c>
      <c r="F314" s="1">
        <v>0.002132463079686397</v>
      </c>
      <c r="G314" s="1">
        <v>0.002180732019444687</v>
      </c>
      <c r="H314" s="1">
        <v>0.002276570400966405</v>
      </c>
      <c r="I314" s="1">
        <v>-0.002839373740684548</v>
      </c>
      <c r="J314" s="1">
        <v>0.01303119065918956</v>
      </c>
      <c r="K314" s="1">
        <v>-0.0004744432669985255</v>
      </c>
      <c r="L314" s="1">
        <v>-0.01336627486157049</v>
      </c>
      <c r="M314" s="1">
        <v>-0.001300462441695349</v>
      </c>
      <c r="N314" s="1">
        <v>-0.008743929250782601</v>
      </c>
      <c r="O314" s="1">
        <v>-0.002968675953513689</v>
      </c>
      <c r="P314" s="1">
        <v>0.002282610302335675</v>
      </c>
      <c r="Q314" s="1">
        <v>0.008478245045417721</v>
      </c>
      <c r="R314" s="1">
        <v>-0.006505342645743428</v>
      </c>
      <c r="S314" s="1">
        <v>-0.002233269203085864</v>
      </c>
      <c r="T314" s="1">
        <v>-6.445325198400909E-05</v>
      </c>
      <c r="U314" s="1">
        <v>-0.005028652666021816</v>
      </c>
      <c r="V314" s="1">
        <v>-0.001085598125367238</v>
      </c>
      <c r="W314" s="1">
        <v>-0.002014458787874207</v>
      </c>
      <c r="X314" s="1">
        <v>0.005705796786562356</v>
      </c>
      <c r="Y314" s="1">
        <v>-0.006318692288316274</v>
      </c>
      <c r="Z314" s="1">
        <v>-0.008966595098865993</v>
      </c>
    </row>
    <row r="315" spans="1:26">
      <c r="A315" s="11">
        <v>42828</v>
      </c>
      <c r="B315" s="1">
        <v>-0.006810827116114804</v>
      </c>
      <c r="C315" s="1">
        <v>-0.001187506885067302</v>
      </c>
      <c r="D315" s="1">
        <v>0.008291491241571247</v>
      </c>
      <c r="E315" s="1">
        <v>-0.003126427059895631</v>
      </c>
      <c r="F315" s="1">
        <v>0.003419882526927154</v>
      </c>
      <c r="G315" s="1">
        <v>-0.0007252981347589671</v>
      </c>
      <c r="H315" s="1">
        <v>-0.006114521888944568</v>
      </c>
      <c r="I315" s="1">
        <v>-0.0007350643227560516</v>
      </c>
      <c r="J315" s="1">
        <v>-0.01621920153596013</v>
      </c>
      <c r="K315" s="1">
        <v>-0.0225546634784396</v>
      </c>
      <c r="L315" s="1">
        <v>-0.003642984608682731</v>
      </c>
      <c r="M315" s="1">
        <v>0.004464328579192323</v>
      </c>
      <c r="N315" s="1">
        <v>0.002800470815901512</v>
      </c>
      <c r="O315" s="1">
        <v>-0.007713902006696305</v>
      </c>
      <c r="P315" s="1">
        <v>-0.004706938832077956</v>
      </c>
      <c r="Q315" s="1">
        <v>-0.004624022732625743</v>
      </c>
      <c r="R315" s="1">
        <v>-0.005356278525521008</v>
      </c>
      <c r="S315" s="1">
        <v>0.001826739493227203</v>
      </c>
      <c r="T315" s="1">
        <v>-0.005093581786362322</v>
      </c>
      <c r="U315" s="1">
        <v>0.0004814468441982633</v>
      </c>
      <c r="V315" s="1">
        <v>-0.02101828332180511</v>
      </c>
      <c r="W315" s="1">
        <v>0.006380419807512361</v>
      </c>
      <c r="X315" s="1">
        <v>-0.01407866832799953</v>
      </c>
      <c r="Y315" s="1">
        <v>0.008820349754022683</v>
      </c>
      <c r="Z315" s="1">
        <v>-0.005475913045567493</v>
      </c>
    </row>
    <row r="316" spans="1:26">
      <c r="A316" s="11">
        <v>42829</v>
      </c>
      <c r="B316" s="1">
        <v>0.01665335196690032</v>
      </c>
      <c r="C316" s="1">
        <v>0.01160514374776622</v>
      </c>
      <c r="D316" s="1">
        <v>0.001721238116988211</v>
      </c>
      <c r="E316" s="1">
        <v>-0.001290733371772546</v>
      </c>
      <c r="F316" s="1">
        <v>0.006123518521501614</v>
      </c>
      <c r="G316" s="1">
        <v>0.007985826639037574</v>
      </c>
      <c r="H316" s="1">
        <v>-0.001933618212974664</v>
      </c>
      <c r="I316" s="1">
        <v>0.006618915028878902</v>
      </c>
      <c r="J316" s="1">
        <v>0.007390429051656433</v>
      </c>
      <c r="K316" s="1">
        <v>0.003157451713719617</v>
      </c>
      <c r="L316" s="1">
        <v>0.00333236921365887</v>
      </c>
      <c r="M316" s="1">
        <v>-0.01722192881205531</v>
      </c>
      <c r="N316" s="1">
        <v>0.004607711160370176</v>
      </c>
      <c r="O316" s="1">
        <v>0.001363721116043992</v>
      </c>
      <c r="P316" s="1">
        <v>0.002746297451649671</v>
      </c>
      <c r="Q316" s="1">
        <v>-0.0008446568529738574</v>
      </c>
      <c r="R316" s="1">
        <v>-0.003291902676453184</v>
      </c>
      <c r="S316" s="1">
        <v>0.004559850218839756</v>
      </c>
      <c r="T316" s="1">
        <v>-0.0007453783031176053</v>
      </c>
      <c r="U316" s="1">
        <v>0.002886463141863249</v>
      </c>
      <c r="V316" s="1">
        <v>-0.01110522636074707</v>
      </c>
      <c r="W316" s="1">
        <v>-0.01203254161598555</v>
      </c>
      <c r="X316" s="1">
        <v>0.005967802397657263</v>
      </c>
      <c r="Y316" s="1">
        <v>0.002643340293219776</v>
      </c>
      <c r="Z316" s="1">
        <v>-0.002633453607634118</v>
      </c>
    </row>
    <row r="317" spans="1:26">
      <c r="A317" s="11">
        <v>42830</v>
      </c>
      <c r="B317" s="1">
        <v>-0.003661090030720682</v>
      </c>
      <c r="C317" s="1">
        <v>-0.009065567462464785</v>
      </c>
      <c r="D317" s="1">
        <v>0.003245575334674955</v>
      </c>
      <c r="E317" s="1">
        <v>-0.01246533178164733</v>
      </c>
      <c r="F317" s="1">
        <v>-0.01190805301442344</v>
      </c>
      <c r="G317" s="1">
        <v>0.002520718181378001</v>
      </c>
      <c r="H317" s="1">
        <v>-0.0001763126001658177</v>
      </c>
      <c r="I317" s="1">
        <v>-0.002283200382019013</v>
      </c>
      <c r="J317" s="1">
        <v>-0.001692559986382736</v>
      </c>
      <c r="K317" s="1">
        <v>-0.007748442550092882</v>
      </c>
      <c r="L317" s="1">
        <v>-0.01282769138258888</v>
      </c>
      <c r="M317" s="1">
        <v>0.005276018303468133</v>
      </c>
      <c r="N317" s="1">
        <v>-0.0002782226436522928</v>
      </c>
      <c r="O317" s="1">
        <v>0.004105076514271389</v>
      </c>
      <c r="P317" s="1">
        <v>-0.002586037398426777</v>
      </c>
      <c r="Q317" s="1">
        <v>0.005072007134904188</v>
      </c>
      <c r="R317" s="1">
        <v>0.001951683946955107</v>
      </c>
      <c r="S317" s="1">
        <v>0.008987548134316015</v>
      </c>
      <c r="T317" s="1">
        <v>0.002918497279081889</v>
      </c>
      <c r="U317" s="1">
        <v>-0.004317292140030737</v>
      </c>
      <c r="V317" s="1">
        <v>-0.01272661200800362</v>
      </c>
      <c r="W317" s="1">
        <v>0.0002616809084954319</v>
      </c>
      <c r="X317" s="1">
        <v>-0.005508697139652297</v>
      </c>
      <c r="Y317" s="1">
        <v>-0.005881091481117817</v>
      </c>
      <c r="Z317" s="1">
        <v>-0.01464271066610623</v>
      </c>
    </row>
    <row r="318" spans="1:26">
      <c r="A318" s="11">
        <v>42831</v>
      </c>
      <c r="B318" s="1">
        <v>0.02437110673771925</v>
      </c>
      <c r="C318" s="1">
        <v>0.001637462487872332</v>
      </c>
      <c r="D318" s="1">
        <v>-0.0003807358119498616</v>
      </c>
      <c r="E318" s="1">
        <v>0.003956182324606816</v>
      </c>
      <c r="F318" s="1">
        <v>0.02115693502690497</v>
      </c>
      <c r="G318" s="1">
        <v>0.002155156839343642</v>
      </c>
      <c r="H318" s="1">
        <v>-0.003170320093033974</v>
      </c>
      <c r="I318" s="1">
        <v>0.01089229500388678</v>
      </c>
      <c r="J318" s="1">
        <v>-0.007349170750863498</v>
      </c>
      <c r="K318" s="1">
        <v>0.004881252107246103</v>
      </c>
      <c r="L318" s="1">
        <v>0.003364346649983085</v>
      </c>
      <c r="M318" s="1">
        <v>0.0005622287123503433</v>
      </c>
      <c r="N318" s="1">
        <v>-0.007090168912481487</v>
      </c>
      <c r="O318" s="1">
        <v>-0.001499287650378989</v>
      </c>
      <c r="P318" s="1">
        <v>0.002592742327049091</v>
      </c>
      <c r="Q318" s="1">
        <v>0.002523205849381149</v>
      </c>
      <c r="R318" s="1">
        <v>0.006142207941021605</v>
      </c>
      <c r="S318" s="1">
        <v>0.00157449650447461</v>
      </c>
      <c r="T318" s="1">
        <v>0.003847709257177145</v>
      </c>
      <c r="U318" s="1">
        <v>-0.006393814488422023</v>
      </c>
      <c r="V318" s="1">
        <v>0.01554473730963357</v>
      </c>
      <c r="W318" s="1">
        <v>0.001243966684664644</v>
      </c>
      <c r="X318" s="1">
        <v>0.01022583057309401</v>
      </c>
      <c r="Y318" s="1">
        <v>-0.000247660427110219</v>
      </c>
      <c r="Z318" s="1">
        <v>0.01096229894638756</v>
      </c>
    </row>
    <row r="319" spans="1:26">
      <c r="A319" s="11">
        <v>42832</v>
      </c>
      <c r="B319" s="1">
        <v>-0.006042310551095165</v>
      </c>
      <c r="C319" s="1">
        <v>0.008344490261986026</v>
      </c>
      <c r="D319" s="1">
        <v>0.004949513496758984</v>
      </c>
      <c r="E319" s="1">
        <v>0.002439471468126841</v>
      </c>
      <c r="F319" s="1">
        <v>-0.002622516683115528</v>
      </c>
      <c r="G319" s="1">
        <v>0</v>
      </c>
      <c r="H319" s="1">
        <v>-0.003180970596668775</v>
      </c>
      <c r="I319" s="1">
        <v>-0.01014098112096284</v>
      </c>
      <c r="J319" s="1">
        <v>-0.0108198447965947</v>
      </c>
      <c r="K319" s="1">
        <v>-0.004614219687777976</v>
      </c>
      <c r="L319" s="1">
        <v>-0.003468176060619665</v>
      </c>
      <c r="M319" s="1">
        <v>0.02173086706294147</v>
      </c>
      <c r="N319" s="1">
        <v>0.004060562544979884</v>
      </c>
      <c r="O319" s="1">
        <v>0.002047580636051594</v>
      </c>
      <c r="P319" s="1">
        <v>-0.0007607244957095194</v>
      </c>
      <c r="Q319" s="1">
        <v>-0.006711578043472888</v>
      </c>
      <c r="R319" s="1">
        <v>0</v>
      </c>
      <c r="S319" s="1">
        <v>0.004312134939720158</v>
      </c>
      <c r="T319" s="1">
        <v>0.008374394560525911</v>
      </c>
      <c r="U319" s="1">
        <v>-0.0002460817926054348</v>
      </c>
      <c r="V319" s="1">
        <v>-0.006160068646513528</v>
      </c>
      <c r="W319" s="1">
        <v>0.001046276347036024</v>
      </c>
      <c r="X319" s="1">
        <v>0.005272110284109122</v>
      </c>
      <c r="Y319" s="1">
        <v>0.004748902776407604</v>
      </c>
      <c r="Z319" s="1">
        <v>0.0004819750260078859</v>
      </c>
    </row>
    <row r="320" spans="1:26">
      <c r="A320" s="11">
        <v>42835</v>
      </c>
      <c r="B320" s="1">
        <v>0.02564626562470584</v>
      </c>
      <c r="C320" s="1">
        <v>-0.007212997134927734</v>
      </c>
      <c r="D320" s="1">
        <v>0.0009470932743553817</v>
      </c>
      <c r="E320" s="1">
        <v>-0.001310334350647313</v>
      </c>
      <c r="F320" s="1">
        <v>-0.009466199940943776</v>
      </c>
      <c r="G320" s="1">
        <v>0.003583960135380648</v>
      </c>
      <c r="H320" s="1">
        <v>0.007848687791874864</v>
      </c>
      <c r="I320" s="1">
        <v>0.002835717830447448</v>
      </c>
      <c r="J320" s="1">
        <v>-0.000575706418098676</v>
      </c>
      <c r="K320" s="1">
        <v>0.003171431446920003</v>
      </c>
      <c r="L320" s="1">
        <v>-0.003481715483772518</v>
      </c>
      <c r="M320" s="1">
        <v>-0.005867072543040641</v>
      </c>
      <c r="N320" s="1">
        <v>0.0006974163859867488</v>
      </c>
      <c r="O320" s="1">
        <v>-0.0005449259671012063</v>
      </c>
      <c r="P320" s="1">
        <v>-0.002283588026822936</v>
      </c>
      <c r="Q320" s="1">
        <v>0.002533752470397665</v>
      </c>
      <c r="R320" s="1">
        <v>0.007295817516762115</v>
      </c>
      <c r="S320" s="1">
        <v>0.01001717748851783</v>
      </c>
      <c r="T320" s="1">
        <v>-0.003896925651592498</v>
      </c>
      <c r="U320" s="1">
        <v>-0.005173937523714867</v>
      </c>
      <c r="V320" s="1">
        <v>0.01033057556674888</v>
      </c>
      <c r="W320" s="1">
        <v>0.002220412322822884</v>
      </c>
      <c r="X320" s="1">
        <v>0.01027875448063953</v>
      </c>
      <c r="Y320" s="1">
        <v>-0.002466028507102647</v>
      </c>
      <c r="Z320" s="1">
        <v>-0.01420991762496693</v>
      </c>
    </row>
    <row r="321" spans="1:26">
      <c r="A321" s="11">
        <v>42836</v>
      </c>
      <c r="B321" s="1">
        <v>-0.002222932191211391</v>
      </c>
      <c r="C321" s="1">
        <v>0.005688332531365914</v>
      </c>
      <c r="D321" s="1">
        <v>0.002460698697086539</v>
      </c>
      <c r="E321" s="1">
        <v>-0.006935325351632549</v>
      </c>
      <c r="F321" s="1">
        <v>-0.01168056093719749</v>
      </c>
      <c r="G321" s="1">
        <v>-0.00321399054075211</v>
      </c>
      <c r="H321" s="1">
        <v>0.002478024435603521</v>
      </c>
      <c r="I321" s="1">
        <v>0.01395612087163656</v>
      </c>
      <c r="J321" s="1">
        <v>0.01036868484418774</v>
      </c>
      <c r="K321" s="1">
        <v>0.00243220138764455</v>
      </c>
      <c r="L321" s="1">
        <v>-0.001746543122851718</v>
      </c>
      <c r="M321" s="1">
        <v>0.0154922652916849</v>
      </c>
      <c r="N321" s="1">
        <v>0.004459189649789197</v>
      </c>
      <c r="O321" s="1">
        <v>0.0001364422105385454</v>
      </c>
      <c r="P321" s="1">
        <v>-0.0007633697473345968</v>
      </c>
      <c r="Q321" s="1">
        <v>0.00463365407038463</v>
      </c>
      <c r="R321" s="1">
        <v>-0.001773987090650464</v>
      </c>
      <c r="S321" s="1">
        <v>0.002347350506278323</v>
      </c>
      <c r="T321" s="1">
        <v>0.001763702691625291</v>
      </c>
      <c r="U321" s="1">
        <v>-0.001733515587468482</v>
      </c>
      <c r="V321" s="1">
        <v>-0.001487316184511922</v>
      </c>
      <c r="W321" s="1">
        <v>-0.003779742771674588</v>
      </c>
      <c r="X321" s="1">
        <v>-0.003322049187243103</v>
      </c>
      <c r="Y321" s="1">
        <v>0.003296491746604513</v>
      </c>
      <c r="Z321" s="1">
        <v>0.000244188656860711</v>
      </c>
    </row>
    <row r="322" spans="1:26">
      <c r="A322" s="11">
        <v>42837</v>
      </c>
      <c r="B322" s="1">
        <v>-0.001113806406438989</v>
      </c>
      <c r="C322" s="1">
        <v>-0.0141122514156844</v>
      </c>
      <c r="D322" s="1">
        <v>0.01057181256489148</v>
      </c>
      <c r="E322" s="1">
        <v>0.0001888885389096373</v>
      </c>
      <c r="F322" s="1">
        <v>0.001611940520151345</v>
      </c>
      <c r="G322" s="1">
        <v>0.004657642941597429</v>
      </c>
      <c r="H322" s="1">
        <v>0.006885548145202147</v>
      </c>
      <c r="I322" s="1">
        <v>-0.01628277280052437</v>
      </c>
      <c r="J322" s="1">
        <v>0.02736570040640585</v>
      </c>
      <c r="K322" s="1">
        <v>-0.00776336343721673</v>
      </c>
      <c r="L322" s="1">
        <v>-0.003849140243546323</v>
      </c>
      <c r="M322" s="1">
        <v>0.008172921273454703</v>
      </c>
      <c r="N322" s="1">
        <v>0.001109744876681251</v>
      </c>
      <c r="O322" s="1">
        <v>-0.009129467084563525</v>
      </c>
      <c r="P322" s="1">
        <v>-0.003817950937562098</v>
      </c>
      <c r="Q322" s="1">
        <v>0.003773321387874562</v>
      </c>
      <c r="R322" s="1">
        <v>-0.02783922218088686</v>
      </c>
      <c r="S322" s="1">
        <v>-0.009144318470667767</v>
      </c>
      <c r="T322" s="1">
        <v>0.001792358821617546</v>
      </c>
      <c r="U322" s="1">
        <v>0.006202066807354356</v>
      </c>
      <c r="V322" s="1">
        <v>-0.00577148738820854</v>
      </c>
      <c r="W322" s="1">
        <v>-0.00268218528055908</v>
      </c>
      <c r="X322" s="1">
        <v>-0.01125001086257893</v>
      </c>
      <c r="Y322" s="1">
        <v>0.004517272657239557</v>
      </c>
      <c r="Z322" s="1">
        <v>-0.01831946322823319</v>
      </c>
    </row>
    <row r="323" spans="1:26">
      <c r="A323" s="11">
        <v>42838</v>
      </c>
      <c r="B323" s="1">
        <v>-0.02676088838867574</v>
      </c>
      <c r="C323" s="1">
        <v>-0.002442387561517378</v>
      </c>
      <c r="D323" s="1">
        <v>-0.005230815899002317</v>
      </c>
      <c r="E323" s="1">
        <v>-0.003019740289698092</v>
      </c>
      <c r="F323" s="1">
        <v>-0.00402280639315844</v>
      </c>
      <c r="G323" s="1">
        <v>-0.003566429749335409</v>
      </c>
      <c r="H323" s="1">
        <v>-0.01560586116534834</v>
      </c>
      <c r="I323" s="1">
        <v>-0.01234587190291558</v>
      </c>
      <c r="J323" s="1">
        <v>0.009989217091838087</v>
      </c>
      <c r="K323" s="1">
        <v>-0.007335048053670024</v>
      </c>
      <c r="L323" s="1">
        <v>-0.0117096325913868</v>
      </c>
      <c r="M323" s="1">
        <v>-0.021617621361123</v>
      </c>
      <c r="N323" s="1">
        <v>-0.01191790311740681</v>
      </c>
      <c r="O323" s="1">
        <v>-0.008938282277919152</v>
      </c>
      <c r="P323" s="1">
        <v>-0.004292100841254087</v>
      </c>
      <c r="Q323" s="1">
        <v>-0.006683113879565883</v>
      </c>
      <c r="R323" s="1">
        <v>-0.01553672159869879</v>
      </c>
      <c r="S323" s="1">
        <v>0.00744536646808891</v>
      </c>
      <c r="T323" s="1">
        <v>-0.01472991491650133</v>
      </c>
      <c r="U323" s="1">
        <v>-0.006903348527019793</v>
      </c>
      <c r="V323" s="1">
        <v>-0.0001873433593460039</v>
      </c>
      <c r="W323" s="1">
        <v>-0.001836431986921405</v>
      </c>
      <c r="X323" s="1">
        <v>-0.01938465547319357</v>
      </c>
      <c r="Y323" s="1">
        <v>-0.006132562610572934</v>
      </c>
      <c r="Z323" s="1">
        <v>-0.01841220233682972</v>
      </c>
    </row>
    <row r="324" spans="1:26">
      <c r="A324" s="11">
        <v>42842</v>
      </c>
      <c r="B324" s="1">
        <v>0.002482197620508941</v>
      </c>
      <c r="C324" s="1">
        <v>0.01935995135784929</v>
      </c>
      <c r="D324" s="1">
        <v>-0.008074973349031733</v>
      </c>
      <c r="E324" s="1">
        <v>0.002271589607726554</v>
      </c>
      <c r="F324" s="1">
        <v>0.001615495499721176</v>
      </c>
      <c r="G324" s="1">
        <v>0.01073758408733139</v>
      </c>
      <c r="H324" s="1">
        <v>0.008015761813897404</v>
      </c>
      <c r="I324" s="1">
        <v>0.007407392384196632</v>
      </c>
      <c r="J324" s="1">
        <v>0</v>
      </c>
      <c r="K324" s="1">
        <v>0.01206892485930799</v>
      </c>
      <c r="L324" s="1">
        <v>0.01729875106507262</v>
      </c>
      <c r="M324" s="1">
        <v>0.007549265583359555</v>
      </c>
      <c r="N324" s="1">
        <v>0.01416551453940662</v>
      </c>
      <c r="O324" s="1">
        <v>0.008880158670228511</v>
      </c>
      <c r="P324" s="1">
        <v>0.008159706678687595</v>
      </c>
      <c r="Q324" s="1">
        <v>0.01009260622613017</v>
      </c>
      <c r="R324" s="1">
        <v>0.01098532355270376</v>
      </c>
      <c r="S324" s="1">
        <v>0.02310020222212206</v>
      </c>
      <c r="T324" s="1">
        <v>0.008107355106778291</v>
      </c>
      <c r="U324" s="1">
        <v>0.0004966141093913912</v>
      </c>
      <c r="V324" s="1">
        <v>0.005431700739628287</v>
      </c>
      <c r="W324" s="1">
        <v>0.009988014259356248</v>
      </c>
      <c r="X324" s="1">
        <v>0.006661094869024886</v>
      </c>
      <c r="Y324" s="1">
        <v>0.003908179539832579</v>
      </c>
      <c r="Z324" s="1">
        <v>0.01850402817411401</v>
      </c>
    </row>
    <row r="325" spans="1:26">
      <c r="A325" s="11">
        <v>42843</v>
      </c>
      <c r="B325" s="1">
        <v>-0.0390474810988749</v>
      </c>
      <c r="C325" s="1">
        <v>-0.006535565839796309</v>
      </c>
      <c r="D325" s="1">
        <v>-0.001703966803221935</v>
      </c>
      <c r="E325" s="1">
        <v>-0.0003777903819426331</v>
      </c>
      <c r="F325" s="1">
        <v>0.01048374918976935</v>
      </c>
      <c r="G325" s="1">
        <v>0.002124450141387957</v>
      </c>
      <c r="H325" s="1">
        <v>0.01060256839829909</v>
      </c>
      <c r="I325" s="1">
        <v>-0.003033037838161667</v>
      </c>
      <c r="J325" s="1">
        <v>0.001098975727688689</v>
      </c>
      <c r="K325" s="1">
        <v>0.006327312466691382</v>
      </c>
      <c r="L325" s="1">
        <v>-0.008153110764345661</v>
      </c>
      <c r="M325" s="1">
        <v>-0.00548246812158848</v>
      </c>
      <c r="N325" s="1">
        <v>0.0004148951592641836</v>
      </c>
      <c r="O325" s="1">
        <v>-0.001237459325868606</v>
      </c>
      <c r="P325" s="1">
        <v>-0.001374519339266911</v>
      </c>
      <c r="Q325" s="1">
        <v>0.007910011564929098</v>
      </c>
      <c r="R325" s="1">
        <v>-0.01744732450770414</v>
      </c>
      <c r="S325" s="1">
        <v>-4.304883900485557E-05</v>
      </c>
      <c r="T325" s="1">
        <v>0.0007078468991157383</v>
      </c>
      <c r="U325" s="1">
        <v>-0.001240708868420537</v>
      </c>
      <c r="V325" s="1">
        <v>-0.001490458089385638</v>
      </c>
      <c r="W325" s="1">
        <v>-0.002797656972478135</v>
      </c>
      <c r="X325" s="1">
        <v>0.01045849310281399</v>
      </c>
      <c r="Y325" s="1">
        <v>0.008399539728204175</v>
      </c>
      <c r="Z325" s="1">
        <v>-0.00871055239503904</v>
      </c>
    </row>
    <row r="326" spans="1:26">
      <c r="A326" s="11">
        <v>42844</v>
      </c>
      <c r="B326" s="1">
        <v>-0.02011941680112894</v>
      </c>
      <c r="C326" s="1">
        <v>0.003092479410460092</v>
      </c>
      <c r="D326" s="1">
        <v>-0.0003793522298459751</v>
      </c>
      <c r="E326" s="1">
        <v>0.005101194013755528</v>
      </c>
      <c r="F326" s="1">
        <v>-0.001595948051349771</v>
      </c>
      <c r="G326" s="1">
        <v>-0.01166060519889911</v>
      </c>
      <c r="H326" s="1">
        <v>0.001573569758584803</v>
      </c>
      <c r="I326" s="1">
        <v>-0.002304961717652043</v>
      </c>
      <c r="J326" s="1">
        <v>0.008781503552689252</v>
      </c>
      <c r="K326" s="1">
        <v>-0.001692503871750128</v>
      </c>
      <c r="L326" s="1">
        <v>-0.008219901641635552</v>
      </c>
      <c r="M326" s="1">
        <v>0.004226249095834689</v>
      </c>
      <c r="N326" s="1">
        <v>-0.003179268672285795</v>
      </c>
      <c r="O326" s="1">
        <v>0.0004129362339810871</v>
      </c>
      <c r="P326" s="1">
        <v>-0.005352306792596018</v>
      </c>
      <c r="Q326" s="1">
        <v>0.0008259523970270966</v>
      </c>
      <c r="R326" s="1">
        <v>0.005607514289482474</v>
      </c>
      <c r="S326" s="1">
        <v>-0.005147563519890541</v>
      </c>
      <c r="T326" s="1">
        <v>0.001510944711909934</v>
      </c>
      <c r="U326" s="1">
        <v>0</v>
      </c>
      <c r="V326" s="1">
        <v>0.005410515167710406</v>
      </c>
      <c r="W326" s="1">
        <v>0.007764202592108305</v>
      </c>
      <c r="X326" s="1">
        <v>-0.02809432670906442</v>
      </c>
      <c r="Y326" s="1">
        <v>-0.005688792357250394</v>
      </c>
      <c r="Z326" s="1">
        <v>0.003765578645403833</v>
      </c>
    </row>
    <row r="327" spans="1:26">
      <c r="A327" s="11">
        <v>42845</v>
      </c>
      <c r="B327" s="1">
        <v>-0.003456067296750964</v>
      </c>
      <c r="C327" s="1">
        <v>0.005044977838299713</v>
      </c>
      <c r="D327" s="1">
        <v>0.003414878147810052</v>
      </c>
      <c r="E327" s="1">
        <v>0.004511081554704255</v>
      </c>
      <c r="F327" s="1">
        <v>0.01252317507630996</v>
      </c>
      <c r="G327" s="1">
        <v>-0.002502693716797455</v>
      </c>
      <c r="H327" s="1">
        <v>0.00384085278969426</v>
      </c>
      <c r="I327" s="1">
        <v>0.005359580488957238</v>
      </c>
      <c r="J327" s="1">
        <v>0.00761677518687609</v>
      </c>
      <c r="K327" s="1">
        <v>0.01090111842111985</v>
      </c>
      <c r="L327" s="1">
        <v>0.01290580241564432</v>
      </c>
      <c r="M327" s="1">
        <v>0.02378792689724807</v>
      </c>
      <c r="N327" s="1">
        <v>-0.00970749423604278</v>
      </c>
      <c r="O327" s="1">
        <v>0.0088093859963434</v>
      </c>
      <c r="P327" s="1">
        <v>0.007072600484610225</v>
      </c>
      <c r="Q327" s="1">
        <v>-0.004539735178029414</v>
      </c>
      <c r="R327" s="1">
        <v>0.02044596190937664</v>
      </c>
      <c r="S327" s="1">
        <v>-0.002565316099846227</v>
      </c>
      <c r="T327" s="1">
        <v>0.0400589702201668</v>
      </c>
      <c r="U327" s="1">
        <v>0.002732962329534017</v>
      </c>
      <c r="V327" s="1">
        <v>0.01391736270695176</v>
      </c>
      <c r="W327" s="1">
        <v>0.005827022466776244</v>
      </c>
      <c r="X327" s="1">
        <v>-0.002173470331693461</v>
      </c>
      <c r="Y327" s="1">
        <v>-0.01082921582702057</v>
      </c>
      <c r="Z327" s="1">
        <v>0.02751424353270049</v>
      </c>
    </row>
    <row r="328" spans="1:26">
      <c r="A328" s="11">
        <v>42846</v>
      </c>
      <c r="B328" s="1">
        <v>0</v>
      </c>
      <c r="C328" s="1">
        <v>0.006023366139410458</v>
      </c>
      <c r="D328" s="1">
        <v>-0.0001889768522178592</v>
      </c>
      <c r="E328" s="1">
        <v>0.0007482550411992417</v>
      </c>
      <c r="F328" s="1">
        <v>0.004210560268803842</v>
      </c>
      <c r="G328" s="1">
        <v>0.007885186946184675</v>
      </c>
      <c r="H328" s="1">
        <v>-0.002608878050125552</v>
      </c>
      <c r="I328" s="1">
        <v>-0.0115810120428449</v>
      </c>
      <c r="J328" s="1">
        <v>-0.01241867812107145</v>
      </c>
      <c r="K328" s="1">
        <v>0.007428595978265395</v>
      </c>
      <c r="L328" s="1">
        <v>-0.01203989357583901</v>
      </c>
      <c r="M328" s="1">
        <v>-0.005719445630784636</v>
      </c>
      <c r="N328" s="1">
        <v>0.0008400393690093377</v>
      </c>
      <c r="O328" s="1">
        <v>-0.0192387789979962</v>
      </c>
      <c r="P328" s="1">
        <v>0.01374028174347708</v>
      </c>
      <c r="Q328" s="1">
        <v>0.002902369642269198</v>
      </c>
      <c r="R328" s="1">
        <v>-0.001821097045792253</v>
      </c>
      <c r="S328" s="1">
        <v>-0.004490125232399111</v>
      </c>
      <c r="T328" s="1">
        <v>0.001790249235346986</v>
      </c>
      <c r="U328" s="1">
        <v>-0.01065432950243028</v>
      </c>
      <c r="V328" s="1">
        <v>0.002561988660347847</v>
      </c>
      <c r="W328" s="1">
        <v>-0.002060091965006117</v>
      </c>
      <c r="X328" s="1">
        <v>0.01633619795447983</v>
      </c>
      <c r="Y328" s="1">
        <v>-0.02396209224079626</v>
      </c>
      <c r="Z328" s="1">
        <v>-0.005598916705035428</v>
      </c>
    </row>
    <row r="329" spans="1:26">
      <c r="A329" s="11">
        <v>42849</v>
      </c>
      <c r="B329" s="1">
        <v>-0.005711726158942887</v>
      </c>
      <c r="C329" s="1">
        <v>0.009313581549563077</v>
      </c>
      <c r="D329" s="1">
        <v>0.01077915516819283</v>
      </c>
      <c r="E329" s="1">
        <v>0.001309162878087466</v>
      </c>
      <c r="F329" s="1">
        <v>-0.003930477572194557</v>
      </c>
      <c r="G329" s="1">
        <v>0.007112204324178917</v>
      </c>
      <c r="H329" s="1">
        <v>0.01098500257200818</v>
      </c>
      <c r="I329" s="1">
        <v>0.02519989040337856</v>
      </c>
      <c r="J329" s="1">
        <v>0.01366848087445072</v>
      </c>
      <c r="K329" s="1">
        <v>0.02069451790751087</v>
      </c>
      <c r="L329" s="1">
        <v>0.03525805839703078</v>
      </c>
      <c r="M329" s="1">
        <v>0.0154593135120511</v>
      </c>
      <c r="N329" s="1">
        <v>0.01511156673647207</v>
      </c>
      <c r="O329" s="1">
        <v>0.0159988529974604</v>
      </c>
      <c r="P329" s="1">
        <v>0.01701823522419077</v>
      </c>
      <c r="Q329" s="1">
        <v>0.002893650035081796</v>
      </c>
      <c r="R329" s="1">
        <v>0.02995723231291825</v>
      </c>
      <c r="S329" s="1">
        <v>-0.008319738171964186</v>
      </c>
      <c r="T329" s="1">
        <v>0.009642527795546973</v>
      </c>
      <c r="U329" s="1">
        <v>0.002253897690472906</v>
      </c>
      <c r="V329" s="1">
        <v>0.00073040330788543</v>
      </c>
      <c r="W329" s="1">
        <v>0.01483509038404396</v>
      </c>
      <c r="X329" s="1">
        <v>0.006215358942607496</v>
      </c>
      <c r="Y329" s="1">
        <v>-0.004233029917733444</v>
      </c>
      <c r="Z329" s="1">
        <v>0.02717266901129767</v>
      </c>
    </row>
    <row r="330" spans="1:26">
      <c r="A330" s="11">
        <v>42850</v>
      </c>
      <c r="B330" s="1">
        <v>0.03098094278371022</v>
      </c>
      <c r="C330" s="1">
        <v>0.007964256745553344</v>
      </c>
      <c r="D330" s="1">
        <v>-0.004490491799370444</v>
      </c>
      <c r="E330" s="1">
        <v>0.007282981608049965</v>
      </c>
      <c r="F330" s="1">
        <v>0.01262794115427313</v>
      </c>
      <c r="G330" s="1">
        <v>0.002471944122138803</v>
      </c>
      <c r="H330" s="1">
        <v>-0.006726049208620188</v>
      </c>
      <c r="I330" s="1">
        <v>0.0263040049487393</v>
      </c>
      <c r="J330" s="1">
        <v>0.003775556989183526</v>
      </c>
      <c r="K330" s="1">
        <v>0.006758276156697551</v>
      </c>
      <c r="L330" s="1">
        <v>0.008685581160490896</v>
      </c>
      <c r="M330" s="1">
        <v>0.01062129589511129</v>
      </c>
      <c r="N330" s="1">
        <v>-0.001654295955459295</v>
      </c>
      <c r="O330" s="1">
        <v>0.0004110446090030972</v>
      </c>
      <c r="P330" s="1">
        <v>0.005775352649997068</v>
      </c>
      <c r="Q330" s="1">
        <v>0.007007083505451206</v>
      </c>
      <c r="R330" s="1">
        <v>-0.02908589927141447</v>
      </c>
      <c r="S330" s="1">
        <v>-0.004106480467419571</v>
      </c>
      <c r="T330" s="1">
        <v>0.0105267882205009</v>
      </c>
      <c r="U330" s="1">
        <v>-0.001998878548115202</v>
      </c>
      <c r="V330" s="1">
        <v>0.006019698464927892</v>
      </c>
      <c r="W330" s="1">
        <v>0.009342833417302021</v>
      </c>
      <c r="X330" s="1">
        <v>0.001703914272702667</v>
      </c>
      <c r="Y330" s="1">
        <v>-0.007438672249323264</v>
      </c>
      <c r="Z330" s="1">
        <v>-0.03503325961107473</v>
      </c>
    </row>
    <row r="331" spans="1:26">
      <c r="A331" s="11">
        <v>42851</v>
      </c>
      <c r="B331" s="1">
        <v>-0.004776478770571857</v>
      </c>
      <c r="C331" s="1">
        <v>-0.009808548835563258</v>
      </c>
      <c r="D331" s="1">
        <v>0.04472871530887601</v>
      </c>
      <c r="E331" s="1">
        <v>-0.003151590963751172</v>
      </c>
      <c r="F331" s="1">
        <v>0.007794167576330668</v>
      </c>
      <c r="G331" s="1">
        <v>-0.002113405178345018</v>
      </c>
      <c r="H331" s="1">
        <v>-0.003299235779742227</v>
      </c>
      <c r="I331" s="1">
        <v>-0.005302684963863213</v>
      </c>
      <c r="J331" s="1">
        <v>0.001074693309166763</v>
      </c>
      <c r="K331" s="1">
        <v>-0.003472100380638277</v>
      </c>
      <c r="L331" s="1">
        <v>0.001926127125935428</v>
      </c>
      <c r="M331" s="1">
        <v>-0.002627436233001879</v>
      </c>
      <c r="N331" s="1">
        <v>-0.01270158249832509</v>
      </c>
      <c r="O331" s="1">
        <v>0.004927280600831141</v>
      </c>
      <c r="P331" s="1">
        <v>-0.001325576997870059</v>
      </c>
      <c r="Q331" s="1">
        <v>-0.006802317715600026</v>
      </c>
      <c r="R331" s="1">
        <v>-0.006387035429876176</v>
      </c>
      <c r="S331" s="1">
        <v>-0.007138576458907475</v>
      </c>
      <c r="T331" s="1">
        <v>-0.0007243903581031219</v>
      </c>
      <c r="U331" s="1">
        <v>0.01251892166186619</v>
      </c>
      <c r="V331" s="1">
        <v>0.01504975801124675</v>
      </c>
      <c r="W331" s="1">
        <v>0.05793077691453719</v>
      </c>
      <c r="X331" s="1">
        <v>0.002551482769628022</v>
      </c>
      <c r="Y331" s="1">
        <v>0.01413273821752248</v>
      </c>
      <c r="Z331" s="1">
        <v>0.01704100115975749</v>
      </c>
    </row>
    <row r="332" spans="1:26">
      <c r="A332" s="11">
        <v>42852</v>
      </c>
      <c r="B332" s="1">
        <v>-0.03379315796639715</v>
      </c>
      <c r="C332" s="1">
        <v>0.008309969709680454</v>
      </c>
      <c r="D332" s="1">
        <v>-0.003058082556290254</v>
      </c>
      <c r="E332" s="1">
        <v>0.03533564154745883</v>
      </c>
      <c r="F332" s="1">
        <v>0.02062397120157744</v>
      </c>
      <c r="G332" s="1">
        <v>0.01094223596108201</v>
      </c>
      <c r="H332" s="1">
        <v>-0.005052500645338243</v>
      </c>
      <c r="I332" s="1">
        <v>-0.01217242517468586</v>
      </c>
      <c r="J332" s="1">
        <v>0.00751484781349232</v>
      </c>
      <c r="K332" s="1">
        <v>-0.02067341608266926</v>
      </c>
      <c r="L332" s="1">
        <v>-0.009272753488104635</v>
      </c>
      <c r="M332" s="1">
        <v>-0.02089914317456476</v>
      </c>
      <c r="N332" s="1">
        <v>0.0002794128157415088</v>
      </c>
      <c r="O332" s="1">
        <v>0.01130471373992248</v>
      </c>
      <c r="P332" s="1">
        <v>0.006487046760425441</v>
      </c>
      <c r="Q332" s="1">
        <v>0.01120789112498533</v>
      </c>
      <c r="R332" s="1">
        <v>0.01637582122503067</v>
      </c>
      <c r="S332" s="1">
        <v>-0.0488096926691467</v>
      </c>
      <c r="T332" s="1">
        <v>0.01399027364259897</v>
      </c>
      <c r="U332" s="1">
        <v>-0.01310619957548842</v>
      </c>
      <c r="V332" s="1">
        <v>0.001964896536269967</v>
      </c>
      <c r="W332" s="1">
        <v>-0.007797090646447069</v>
      </c>
      <c r="X332" s="1">
        <v>-0.001484611206996167</v>
      </c>
      <c r="Y332" s="1">
        <v>-0.01456938380980421</v>
      </c>
      <c r="Z332" s="1">
        <v>-0.01262768011962179</v>
      </c>
    </row>
    <row r="333" spans="1:26">
      <c r="A333" s="11">
        <v>42853</v>
      </c>
      <c r="B333" s="1">
        <v>0.006622078567176892</v>
      </c>
      <c r="C333" s="1">
        <v>0.008787240257773998</v>
      </c>
      <c r="D333" s="1">
        <v>0.004691169966293263</v>
      </c>
      <c r="E333" s="1">
        <v>0.006826063355811707</v>
      </c>
      <c r="F333" s="1">
        <v>-0.01010354318633822</v>
      </c>
      <c r="G333" s="1">
        <v>-0.003840637037836658</v>
      </c>
      <c r="H333" s="1">
        <v>0.00752943526254457</v>
      </c>
      <c r="I333" s="1">
        <v>0.003867433008283738</v>
      </c>
      <c r="J333" s="1">
        <v>0.00266376047384953</v>
      </c>
      <c r="K333" s="1">
        <v>-0.01399466493543677</v>
      </c>
      <c r="L333" s="1">
        <v>-0.006963177432500967</v>
      </c>
      <c r="M333" s="1">
        <v>0.008430475696662665</v>
      </c>
      <c r="N333" s="1">
        <v>0.003495126713989549</v>
      </c>
      <c r="O333" s="1">
        <v>-0.001616024345183487</v>
      </c>
      <c r="P333" s="1">
        <v>0.002783127822648668</v>
      </c>
      <c r="Q333" s="1">
        <v>-0.00451578615028414</v>
      </c>
      <c r="R333" s="1">
        <v>0.004818475252246435</v>
      </c>
      <c r="S333" s="1">
        <v>-0.01699511964114231</v>
      </c>
      <c r="T333" s="1">
        <v>-0.002652156512523041</v>
      </c>
      <c r="U333" s="1">
        <v>-0.007015600759848639</v>
      </c>
      <c r="V333" s="1">
        <v>-0.004278713717270954</v>
      </c>
      <c r="W333" s="1">
        <v>-0.0082183891897043</v>
      </c>
      <c r="X333" s="1">
        <v>-0.008921075398698575</v>
      </c>
      <c r="Y333" s="1">
        <v>-0.0162845422301906</v>
      </c>
      <c r="Z333" s="1">
        <v>-0.01549408789629725</v>
      </c>
    </row>
    <row r="334" spans="1:26">
      <c r="A334" s="11">
        <v>42856</v>
      </c>
      <c r="B334" s="1">
        <v>0.003084165732570199</v>
      </c>
      <c r="C334" s="1">
        <v>-0.01320142910277089</v>
      </c>
      <c r="D334" s="1">
        <v>-0.001616125335931251</v>
      </c>
      <c r="E334" s="1">
        <v>0.00463831558921779</v>
      </c>
      <c r="F334" s="1">
        <v>0</v>
      </c>
      <c r="G334" s="1">
        <v>-0.007711156589581325</v>
      </c>
      <c r="H334" s="1">
        <v>-0.01181768891048807</v>
      </c>
      <c r="I334" s="1">
        <v>0.003225778596285478</v>
      </c>
      <c r="J334" s="1">
        <v>0.005844928201484523</v>
      </c>
      <c r="K334" s="1">
        <v>-0.001443297944835886</v>
      </c>
      <c r="L334" s="1">
        <v>0.0006901163670098853</v>
      </c>
      <c r="M334" s="1">
        <v>0.001067207605545129</v>
      </c>
      <c r="N334" s="1">
        <v>-0.01365313971488802</v>
      </c>
      <c r="O334" s="1">
        <v>0.002563111957311293</v>
      </c>
      <c r="P334" s="1">
        <v>0.01387683173410648</v>
      </c>
      <c r="Q334" s="1">
        <v>-0.006597674131689768</v>
      </c>
      <c r="R334" s="1">
        <v>-0.008242418809842889</v>
      </c>
      <c r="S334" s="1">
        <v>-0.01026883866735906</v>
      </c>
      <c r="T334" s="1">
        <v>-0.006364179732414987</v>
      </c>
      <c r="U334" s="1">
        <v>-0.01337389726206306</v>
      </c>
      <c r="V334" s="1">
        <v>-0.001432457196847037</v>
      </c>
      <c r="W334" s="1">
        <v>0.007802383336166452</v>
      </c>
      <c r="X334" s="1">
        <v>-0.01135829365683749</v>
      </c>
      <c r="Y334" s="1">
        <v>-0.0006532637876009995</v>
      </c>
      <c r="Z334" s="1">
        <v>0.01224078330980438</v>
      </c>
    </row>
    <row r="335" spans="1:26">
      <c r="A335" s="11">
        <v>42857</v>
      </c>
      <c r="B335" s="1">
        <v>-0.006558686447047046</v>
      </c>
      <c r="C335" s="1">
        <v>0.005757153185221853</v>
      </c>
      <c r="D335" s="1">
        <v>0.001618741424960435</v>
      </c>
      <c r="E335" s="1">
        <v>-0.006392951519897383</v>
      </c>
      <c r="F335" s="1">
        <v>0.003827375235492703</v>
      </c>
      <c r="G335" s="1">
        <v>-0.004238754885542817</v>
      </c>
      <c r="H335" s="1">
        <v>0.0008790711544239826</v>
      </c>
      <c r="I335" s="1">
        <v>-0.009288073715531531</v>
      </c>
      <c r="J335" s="1">
        <v>-0.001584650034929802</v>
      </c>
      <c r="K335" s="1">
        <v>-0.001204222909337416</v>
      </c>
      <c r="L335" s="1">
        <v>-0.006432429837980425</v>
      </c>
      <c r="M335" s="1">
        <v>0.03642507358465608</v>
      </c>
      <c r="N335" s="1">
        <v>0.0004239547612976402</v>
      </c>
      <c r="O335" s="1">
        <v>-0.003633033554278353</v>
      </c>
      <c r="P335" s="1">
        <v>-0.001584997168905922</v>
      </c>
      <c r="Q335" s="1">
        <v>0.006226026779875493</v>
      </c>
      <c r="R335" s="1">
        <v>0.02840797223056835</v>
      </c>
      <c r="S335" s="1">
        <v>0.0001929699865688139</v>
      </c>
      <c r="T335" s="1">
        <v>0.006464915406293015</v>
      </c>
      <c r="U335" s="1">
        <v>-0.003836114466813978</v>
      </c>
      <c r="V335" s="1">
        <v>0.006992906106421115</v>
      </c>
      <c r="W335" s="1">
        <v>0.003781103489879145</v>
      </c>
      <c r="X335" s="1">
        <v>-0.008237984162520862</v>
      </c>
      <c r="Y335" s="1">
        <v>0.0006536908201419944</v>
      </c>
      <c r="Z335" s="1">
        <v>-0.01332711950056398</v>
      </c>
    </row>
    <row r="336" spans="1:26">
      <c r="A336" s="11">
        <v>42858</v>
      </c>
      <c r="B336" s="1">
        <v>0.006808298896215259</v>
      </c>
      <c r="C336" s="1">
        <v>-0.0002727291164751344</v>
      </c>
      <c r="D336" s="1">
        <v>0.004130981006673418</v>
      </c>
      <c r="E336" s="1">
        <v>-0.01590682394217224</v>
      </c>
      <c r="F336" s="1">
        <v>-0.0203351703179977</v>
      </c>
      <c r="G336" s="1">
        <v>-0.003192598807951863</v>
      </c>
      <c r="H336" s="1">
        <v>-0.001757159048882961</v>
      </c>
      <c r="I336" s="1">
        <v>-0.001262141297745045</v>
      </c>
      <c r="J336" s="1">
        <v>-0.004762332043034001</v>
      </c>
      <c r="K336" s="1">
        <v>0.003618043216157663</v>
      </c>
      <c r="L336" s="1">
        <v>0.005779968645902578</v>
      </c>
      <c r="M336" s="1">
        <v>-0.002914497932912208</v>
      </c>
      <c r="N336" s="1">
        <v>-0.008612230825651435</v>
      </c>
      <c r="O336" s="1">
        <v>-0.00189074414519208</v>
      </c>
      <c r="P336" s="1">
        <v>-0.003174231092200386</v>
      </c>
      <c r="Q336" s="1">
        <v>-0.009488019644666945</v>
      </c>
      <c r="R336" s="1">
        <v>-0.01028538215165586</v>
      </c>
      <c r="S336" s="1">
        <v>-0.008394629677794696</v>
      </c>
      <c r="T336" s="1">
        <v>-0.001553465398748122</v>
      </c>
      <c r="U336" s="1">
        <v>-0.01412045706948795</v>
      </c>
      <c r="V336" s="1">
        <v>0.02101135144053035</v>
      </c>
      <c r="W336" s="1">
        <v>0.006397621431024847</v>
      </c>
      <c r="X336" s="1">
        <v>0.01049198142034058</v>
      </c>
      <c r="Y336" s="1">
        <v>0.005227623600094988</v>
      </c>
      <c r="Z336" s="1">
        <v>0.01500771154753511</v>
      </c>
    </row>
    <row r="337" spans="1:26">
      <c r="A337" s="11">
        <v>42859</v>
      </c>
      <c r="B337" s="1">
        <v>-0.01844232662647483</v>
      </c>
      <c r="C337" s="1">
        <v>-0.001744839199854686</v>
      </c>
      <c r="D337" s="1">
        <v>0.0008943207427807298</v>
      </c>
      <c r="E337" s="1">
        <v>0.002360856973997016</v>
      </c>
      <c r="F337" s="1">
        <v>-0.006487151084462406</v>
      </c>
      <c r="G337" s="1">
        <v>-0.004270522816179678</v>
      </c>
      <c r="H337" s="1">
        <v>0.007569196375057041</v>
      </c>
      <c r="I337" s="1">
        <v>0.01119213275905828</v>
      </c>
      <c r="J337" s="1">
        <v>-0.001063126572868334</v>
      </c>
      <c r="K337" s="1">
        <v>-0.003364869847447882</v>
      </c>
      <c r="L337" s="1">
        <v>0.001149708788582782</v>
      </c>
      <c r="M337" s="1">
        <v>0.0030949766427113</v>
      </c>
      <c r="N337" s="1">
        <v>0.00128141308199492</v>
      </c>
      <c r="O337" s="1">
        <v>0.006359152593833794</v>
      </c>
      <c r="P337" s="1">
        <v>-0.00390841791410601</v>
      </c>
      <c r="Q337" s="1">
        <v>0.01124523729493299</v>
      </c>
      <c r="R337" s="1">
        <v>-0.006828601274029067</v>
      </c>
      <c r="S337" s="1">
        <v>0.01021744502908795</v>
      </c>
      <c r="T337" s="1">
        <v>0.0132561091660095</v>
      </c>
      <c r="U337" s="1">
        <v>-0.01015641496573394</v>
      </c>
      <c r="V337" s="1">
        <v>-0.0008717347892958083</v>
      </c>
      <c r="W337" s="1">
        <v>0.01069404242249372</v>
      </c>
      <c r="X337" s="1">
        <v>0.0004324248818412535</v>
      </c>
      <c r="Y337" s="1">
        <v>-0.005850304199395473</v>
      </c>
      <c r="Z337" s="1">
        <v>0.002217965275057354</v>
      </c>
    </row>
    <row r="338" spans="1:26">
      <c r="A338" s="11">
        <v>42860</v>
      </c>
      <c r="B338" s="1">
        <v>0.02901862731827554</v>
      </c>
      <c r="C338" s="1">
        <v>0.01059705605937222</v>
      </c>
      <c r="D338" s="1">
        <v>-0.0001787675821396384</v>
      </c>
      <c r="E338" s="1">
        <v>-0.0007246251208511412</v>
      </c>
      <c r="F338" s="1">
        <v>0.01880384713120531</v>
      </c>
      <c r="G338" s="1">
        <v>0.00250170862712662</v>
      </c>
      <c r="H338" s="1">
        <v>0.002795375709649051</v>
      </c>
      <c r="I338" s="1">
        <v>0.009640194303897731</v>
      </c>
      <c r="J338" s="1">
        <v>0.006386529870894941</v>
      </c>
      <c r="K338" s="1">
        <v>0.01205712509899626</v>
      </c>
      <c r="L338" s="1">
        <v>-0.001148388476258755</v>
      </c>
      <c r="M338" s="1">
        <v>0.001028352884228534</v>
      </c>
      <c r="N338" s="1">
        <v>0.008675928220218676</v>
      </c>
      <c r="O338" s="1">
        <v>0.00174780765752125</v>
      </c>
      <c r="P338" s="1">
        <v>0.002760915651810913</v>
      </c>
      <c r="Q338" s="1">
        <v>0.0102963922873196</v>
      </c>
      <c r="R338" s="1">
        <v>0.002092249265525759</v>
      </c>
      <c r="S338" s="1">
        <v>0.002986243802769462</v>
      </c>
      <c r="T338" s="1">
        <v>-0.001092524427922958</v>
      </c>
      <c r="U338" s="1">
        <v>0.01446959635404643</v>
      </c>
      <c r="V338" s="1">
        <v>0.0005236032168740579</v>
      </c>
      <c r="W338" s="1">
        <v>0.005525453072049435</v>
      </c>
      <c r="X338" s="1">
        <v>0.008000160335569051</v>
      </c>
      <c r="Y338" s="1">
        <v>0.01765467682846045</v>
      </c>
      <c r="Z338" s="1">
        <v>0.001967182373297849</v>
      </c>
    </row>
    <row r="339" spans="1:26">
      <c r="A339" s="11">
        <v>42863</v>
      </c>
      <c r="B339" s="1">
        <v>0.01947685583788372</v>
      </c>
      <c r="C339" s="1">
        <v>0.005459008749143068</v>
      </c>
      <c r="D339" s="1">
        <v>-0.004468169805952327</v>
      </c>
      <c r="E339" s="1">
        <v>-0.003807787394521922</v>
      </c>
      <c r="F339" s="1">
        <v>0.004870873811136267</v>
      </c>
      <c r="G339" s="1">
        <v>-0.006416976647884876</v>
      </c>
      <c r="H339" s="1">
        <v>0.007839620573523831</v>
      </c>
      <c r="I339" s="1">
        <v>-0.004155204796220113</v>
      </c>
      <c r="J339" s="1">
        <v>0.0211528719364884</v>
      </c>
      <c r="K339" s="1">
        <v>0.001191135811511534</v>
      </c>
      <c r="L339" s="1">
        <v>0.001149708788582782</v>
      </c>
      <c r="M339" s="1">
        <v>-0.01575320489684606</v>
      </c>
      <c r="N339" s="1">
        <v>-0.002961083933884057</v>
      </c>
      <c r="O339" s="1">
        <v>-0.005234095303629394</v>
      </c>
      <c r="P339" s="1">
        <v>-0.0008697425724266683</v>
      </c>
      <c r="Q339" s="1">
        <v>-0.006114978740232813</v>
      </c>
      <c r="R339" s="1">
        <v>-0.01073962817598073</v>
      </c>
      <c r="S339" s="1">
        <v>0.0009599085858753575</v>
      </c>
      <c r="T339" s="1">
        <v>-0.001448686143750044</v>
      </c>
      <c r="U339" s="1">
        <v>0.0002599164527365971</v>
      </c>
      <c r="V339" s="1">
        <v>-0.0003488861333476034</v>
      </c>
      <c r="W339" s="1">
        <v>-0.003916769741964643</v>
      </c>
      <c r="X339" s="1">
        <v>0.001501240277478777</v>
      </c>
      <c r="Y339" s="1">
        <v>-0.001284903576769247</v>
      </c>
      <c r="Z339" s="1">
        <v>0.01104262597976247</v>
      </c>
    </row>
    <row r="340" spans="1:26">
      <c r="A340" s="11">
        <v>42864</v>
      </c>
      <c r="B340" s="1">
        <v>0.003979980155673468</v>
      </c>
      <c r="C340" s="1">
        <v>0.004784634852843528</v>
      </c>
      <c r="D340" s="1">
        <v>0.00789947115500711</v>
      </c>
      <c r="E340" s="1">
        <v>0.006916471562516069</v>
      </c>
      <c r="F340" s="1">
        <v>-0.003061597587125764</v>
      </c>
      <c r="G340" s="1">
        <v>-0.01506995167447056</v>
      </c>
      <c r="H340" s="1">
        <v>-0.01175482108054304</v>
      </c>
      <c r="I340" s="1">
        <v>0.008345162913740323</v>
      </c>
      <c r="J340" s="1">
        <v>-0.003625140146291228</v>
      </c>
      <c r="K340" s="1">
        <v>-0.0002381224425153095</v>
      </c>
      <c r="L340" s="1">
        <v>-0.004018073614955653</v>
      </c>
      <c r="M340" s="1">
        <v>0.01391763841305615</v>
      </c>
      <c r="N340" s="1">
        <v>-0.005939861500658949</v>
      </c>
      <c r="O340" s="1">
        <v>-0.006340714083180043</v>
      </c>
      <c r="P340" s="1">
        <v>0.001450545694219763</v>
      </c>
      <c r="Q340" s="1">
        <v>-0.01148468137809022</v>
      </c>
      <c r="R340" s="1">
        <v>-0.0004521774507636467</v>
      </c>
      <c r="S340" s="1">
        <v>-0.001822378380680223</v>
      </c>
      <c r="T340" s="1">
        <v>0.001865245979590258</v>
      </c>
      <c r="U340" s="1">
        <v>-0.009074950414152294</v>
      </c>
      <c r="V340" s="1">
        <v>0.01361263267289714</v>
      </c>
      <c r="W340" s="1">
        <v>0.01015305200215444</v>
      </c>
      <c r="X340" s="1">
        <v>0.00835309886244362</v>
      </c>
      <c r="Y340" s="1">
        <v>-0.004503998098304374</v>
      </c>
      <c r="Z340" s="1">
        <v>-0.006553210930584474</v>
      </c>
    </row>
    <row r="341" spans="1:26">
      <c r="A341" s="11">
        <v>42865</v>
      </c>
      <c r="B341" s="1">
        <v>0.01506414357038932</v>
      </c>
      <c r="C341" s="1">
        <v>-0.01245379686149972</v>
      </c>
      <c r="D341" s="1">
        <v>0.0008905779220216292</v>
      </c>
      <c r="E341" s="1">
        <v>-0.003253774735110238</v>
      </c>
      <c r="F341" s="1">
        <v>0.0005116330965420079</v>
      </c>
      <c r="G341" s="1">
        <v>0.003278757877632987</v>
      </c>
      <c r="H341" s="1">
        <v>0.005772645379352515</v>
      </c>
      <c r="I341" s="1">
        <v>-0.0002641266691026933</v>
      </c>
      <c r="J341" s="1">
        <v>0.006237087539207486</v>
      </c>
      <c r="K341" s="1">
        <v>0.009521357084964155</v>
      </c>
      <c r="L341" s="1">
        <v>0.00783850199962588</v>
      </c>
      <c r="M341" s="1">
        <v>0.001544006852411517</v>
      </c>
      <c r="N341" s="1">
        <v>0.0002845811169760459</v>
      </c>
      <c r="O341" s="1">
        <v>0.001900347546154313</v>
      </c>
      <c r="P341" s="1">
        <v>0.003910683853623365</v>
      </c>
      <c r="Q341" s="1">
        <v>0.00165968465140609</v>
      </c>
      <c r="R341" s="1">
        <v>-0.004827623250167168</v>
      </c>
      <c r="S341" s="1">
        <v>0.004084594576921008</v>
      </c>
      <c r="T341" s="1">
        <v>-0.002009639521049045</v>
      </c>
      <c r="U341" s="1">
        <v>0.006017963357253242</v>
      </c>
      <c r="V341" s="1">
        <v>0.005681728580951395</v>
      </c>
      <c r="W341" s="1">
        <v>-0.006681433999859654</v>
      </c>
      <c r="X341" s="1">
        <v>-0.004247818624543487</v>
      </c>
      <c r="Y341" s="1">
        <v>-0.0008612675531736169</v>
      </c>
      <c r="Z341" s="1">
        <v>0.000244188656860711</v>
      </c>
    </row>
    <row r="342" spans="1:26">
      <c r="A342" s="11">
        <v>42866</v>
      </c>
      <c r="B342" s="1">
        <v>-0.002733542010556533</v>
      </c>
      <c r="C342" s="1">
        <v>0.004149160806037777</v>
      </c>
      <c r="D342" s="1">
        <v>0.002847313595843781</v>
      </c>
      <c r="E342" s="1">
        <v>0</v>
      </c>
      <c r="F342" s="1">
        <v>0.00409203885942877</v>
      </c>
      <c r="G342" s="1">
        <v>-0.004357544461785934</v>
      </c>
      <c r="H342" s="1">
        <v>0.002434743119981597</v>
      </c>
      <c r="I342" s="1">
        <v>-0.0007044724276976666</v>
      </c>
      <c r="J342" s="1">
        <v>-0.005165367514561203</v>
      </c>
      <c r="K342" s="1">
        <v>-0.0117893341793861</v>
      </c>
      <c r="L342" s="1">
        <v>-0.003088020390426549</v>
      </c>
      <c r="M342" s="1">
        <v>-0.004796810242785332</v>
      </c>
      <c r="N342" s="1">
        <v>0.002418198247050363</v>
      </c>
      <c r="O342" s="1">
        <v>-0.001490715951312005</v>
      </c>
      <c r="P342" s="1">
        <v>-0.01226354430138066</v>
      </c>
      <c r="Q342" s="1">
        <v>0</v>
      </c>
      <c r="R342" s="1">
        <v>-0.0242530670437896</v>
      </c>
      <c r="S342" s="1">
        <v>-0.002153995438370693</v>
      </c>
      <c r="T342" s="1">
        <v>-0.009061329988238387</v>
      </c>
      <c r="U342" s="1">
        <v>-0.0002598418809607317</v>
      </c>
      <c r="V342" s="1">
        <v>-0.04023275989479924</v>
      </c>
      <c r="W342" s="1">
        <v>0.0002339314176857954</v>
      </c>
      <c r="X342" s="1">
        <v>0.03604933133168653</v>
      </c>
      <c r="Y342" s="1">
        <v>-0.007762038946373284</v>
      </c>
      <c r="Z342" s="1">
        <v>-0.01318984259683942</v>
      </c>
    </row>
    <row r="343" spans="1:26">
      <c r="A343" s="11">
        <v>42867</v>
      </c>
      <c r="B343" s="1">
        <v>0.007440535627270206</v>
      </c>
      <c r="C343" s="1">
        <v>-0.003751344434974602</v>
      </c>
      <c r="D343" s="1">
        <v>-0.002839229419316358</v>
      </c>
      <c r="E343" s="1">
        <v>-0.001994935650843632</v>
      </c>
      <c r="F343" s="1">
        <v>-0.007131618353664382</v>
      </c>
      <c r="G343" s="1">
        <v>0.00508256946343888</v>
      </c>
      <c r="H343" s="1">
        <v>-0.00728648863187964</v>
      </c>
      <c r="I343" s="1">
        <v>-0.003172746838198348</v>
      </c>
      <c r="J343" s="1">
        <v>0.002076847461041087</v>
      </c>
      <c r="K343" s="1">
        <v>0.00310181290152145</v>
      </c>
      <c r="L343" s="1">
        <v>-0.002753720025314377</v>
      </c>
      <c r="M343" s="1">
        <v>-0.01497644017362121</v>
      </c>
      <c r="N343" s="1">
        <v>0.002411941226293735</v>
      </c>
      <c r="O343" s="1">
        <v>-0.004071647663872691</v>
      </c>
      <c r="P343" s="1">
        <v>-0.001168845297817023</v>
      </c>
      <c r="Q343" s="1">
        <v>0.006628375850384449</v>
      </c>
      <c r="R343" s="1">
        <v>-0.01553525069749462</v>
      </c>
      <c r="S343" s="1">
        <v>0.0008159971132046806</v>
      </c>
      <c r="T343" s="1">
        <v>-0.001763159684665117</v>
      </c>
      <c r="U343" s="1">
        <v>0.00130061718572172</v>
      </c>
      <c r="V343" s="1">
        <v>-0.004638000880987314</v>
      </c>
      <c r="W343" s="1">
        <v>0.002982683779638062</v>
      </c>
      <c r="X343" s="1">
        <v>-0.01008892397984573</v>
      </c>
      <c r="Y343" s="1">
        <v>-0.003911379755180411</v>
      </c>
      <c r="Z343" s="1">
        <v>-0.006188066073398391</v>
      </c>
    </row>
    <row r="344" spans="1:26">
      <c r="A344" s="11">
        <v>42870</v>
      </c>
      <c r="B344" s="1">
        <v>-0.009329584659132362</v>
      </c>
      <c r="C344" s="1">
        <v>-0.004693074119076601</v>
      </c>
      <c r="D344" s="1">
        <v>0.009076284539228929</v>
      </c>
      <c r="E344" s="1">
        <v>0.001271901673598475</v>
      </c>
      <c r="F344" s="1">
        <v>-0.000256238624393279</v>
      </c>
      <c r="G344" s="1">
        <v>0.00476384574391564</v>
      </c>
      <c r="H344" s="1">
        <v>0.004718699056065034</v>
      </c>
      <c r="I344" s="1">
        <v>0.006100543670859215</v>
      </c>
      <c r="J344" s="1">
        <v>0.003108882932311152</v>
      </c>
      <c r="K344" s="1">
        <v>0.009752794207580129</v>
      </c>
      <c r="L344" s="1">
        <v>0.004831896658956003</v>
      </c>
      <c r="M344" s="1">
        <v>0.0141555876490751</v>
      </c>
      <c r="N344" s="1">
        <v>0.000283025333829956</v>
      </c>
      <c r="O344" s="1">
        <v>0.005859859417223223</v>
      </c>
      <c r="P344" s="1">
        <v>0.0007313676780269507</v>
      </c>
      <c r="Q344" s="1">
        <v>0.009053344076132896</v>
      </c>
      <c r="R344" s="1">
        <v>0.00646981863155216</v>
      </c>
      <c r="S344" s="1">
        <v>0.005224075505161352</v>
      </c>
      <c r="T344" s="1">
        <v>-0.0003592699789258802</v>
      </c>
      <c r="U344" s="1">
        <v>0.002597792690322009</v>
      </c>
      <c r="V344" s="1">
        <v>0.002717215354393288</v>
      </c>
      <c r="W344" s="1">
        <v>0.00431408055501703</v>
      </c>
      <c r="X344" s="1">
        <v>-0.002287467951470279</v>
      </c>
      <c r="Y344" s="1">
        <v>-0.01003499130039887</v>
      </c>
      <c r="Z344" s="1">
        <v>0.009713356921931204</v>
      </c>
    </row>
    <row r="345" spans="1:26">
      <c r="A345" s="11">
        <v>42871</v>
      </c>
      <c r="B345" s="1">
        <v>0</v>
      </c>
      <c r="C345" s="1">
        <v>0.001699792118398324</v>
      </c>
      <c r="D345" s="1">
        <v>0.01552014692832349</v>
      </c>
      <c r="E345" s="1">
        <v>-0.01288554192696112</v>
      </c>
      <c r="F345" s="1">
        <v>-0.00384938274496549</v>
      </c>
      <c r="G345" s="1">
        <v>-0.008388183428134632</v>
      </c>
      <c r="H345" s="1">
        <v>-0.006610226162110822</v>
      </c>
      <c r="I345" s="1">
        <v>0.008787250964115367</v>
      </c>
      <c r="J345" s="1">
        <v>0.005681693270783494</v>
      </c>
      <c r="K345" s="1">
        <v>-0.008952017689331071</v>
      </c>
      <c r="L345" s="1">
        <v>0.003091537433465241</v>
      </c>
      <c r="M345" s="1">
        <v>0.004135979403421475</v>
      </c>
      <c r="N345" s="1">
        <v>0.00396207815686922</v>
      </c>
      <c r="O345" s="1">
        <v>0.00365813736312437</v>
      </c>
      <c r="P345" s="1">
        <v>0.02013550444069012</v>
      </c>
      <c r="Q345" s="1">
        <v>-0.01264280807702722</v>
      </c>
      <c r="R345" s="1">
        <v>0.01034793826355185</v>
      </c>
      <c r="S345" s="1">
        <v>-0.007581260156049985</v>
      </c>
      <c r="T345" s="1">
        <v>0.008834692838446623</v>
      </c>
      <c r="U345" s="1">
        <v>-0.01036506173170049</v>
      </c>
      <c r="V345" s="1">
        <v>-0.01481469623799669</v>
      </c>
      <c r="W345" s="1">
        <v>5.847687298787818E-05</v>
      </c>
      <c r="X345" s="1">
        <v>0.004377538148872206</v>
      </c>
      <c r="Y345" s="1">
        <v>-0.001542455558629863</v>
      </c>
      <c r="Z345" s="1">
        <v>0.004942889160429287</v>
      </c>
    </row>
    <row r="346" spans="1:26">
      <c r="A346" s="11">
        <v>42872</v>
      </c>
      <c r="B346" s="1">
        <v>-0.01530303928296528</v>
      </c>
      <c r="C346" s="1">
        <v>-0.02145593353546138</v>
      </c>
      <c r="D346" s="1">
        <v>-0.01250422050483768</v>
      </c>
      <c r="E346" s="1">
        <v>0.0003678859504696597</v>
      </c>
      <c r="F346" s="1">
        <v>-0.01854712050589924</v>
      </c>
      <c r="G346" s="1">
        <v>-0.0007354806338117914</v>
      </c>
      <c r="H346" s="1">
        <v>0.005253389009767018</v>
      </c>
      <c r="I346" s="1">
        <v>-0.01367585854666553</v>
      </c>
      <c r="J346" s="1">
        <v>-0.02619392908056384</v>
      </c>
      <c r="K346" s="1">
        <v>-0.01758952363942601</v>
      </c>
      <c r="L346" s="1">
        <v>-0.03812370218680239</v>
      </c>
      <c r="M346" s="1">
        <v>-0.02110881050556501</v>
      </c>
      <c r="N346" s="1">
        <v>-0.005637624121585971</v>
      </c>
      <c r="O346" s="1">
        <v>-0.004994831752024087</v>
      </c>
      <c r="P346" s="1">
        <v>-0.02780581462466203</v>
      </c>
      <c r="Q346" s="1">
        <v>0.00165214360921051</v>
      </c>
      <c r="R346" s="1">
        <v>-0.01261878917500336</v>
      </c>
      <c r="S346" s="1">
        <v>0.02310965049165592</v>
      </c>
      <c r="T346" s="1">
        <v>-0.02249825111780079</v>
      </c>
      <c r="U346" s="1">
        <v>-0.01911520660478394</v>
      </c>
      <c r="V346" s="1">
        <v>0.009352760892199941</v>
      </c>
      <c r="W346" s="1">
        <v>-0.007546803998347507</v>
      </c>
      <c r="X346" s="1">
        <v>-0.04130331145873856</v>
      </c>
      <c r="Y346" s="1">
        <v>-0.01831809648029847</v>
      </c>
      <c r="Z346" s="1">
        <v>-0.04107186820797104</v>
      </c>
    </row>
    <row r="347" spans="1:26">
      <c r="A347" s="11">
        <v>42873</v>
      </c>
      <c r="B347" s="1">
        <v>-0.005379432283715735</v>
      </c>
      <c r="C347" s="1">
        <v>-0.007719233728690988</v>
      </c>
      <c r="D347" s="1">
        <v>0.00369321953156132</v>
      </c>
      <c r="E347" s="1">
        <v>-0.01157862709350488</v>
      </c>
      <c r="F347" s="1">
        <v>0.01496060766208873</v>
      </c>
      <c r="G347" s="1">
        <v>0.001472043927424282</v>
      </c>
      <c r="H347" s="1">
        <v>-0.00818688445226845</v>
      </c>
      <c r="I347" s="1">
        <v>-0.004945861166602006</v>
      </c>
      <c r="J347" s="1">
        <v>-0.009493688700667358</v>
      </c>
      <c r="K347" s="1">
        <v>0.01064640130378569</v>
      </c>
      <c r="L347" s="1">
        <v>-0.003678413880510489</v>
      </c>
      <c r="M347" s="1">
        <v>0.004383175940600781</v>
      </c>
      <c r="N347" s="1">
        <v>-0.000141818995179066</v>
      </c>
      <c r="O347" s="1">
        <v>0.01071769982532089</v>
      </c>
      <c r="P347" s="1">
        <v>0.003408254732339966</v>
      </c>
      <c r="Q347" s="1">
        <v>0.01030944728198513</v>
      </c>
      <c r="R347" s="1">
        <v>-0.01656653721965295</v>
      </c>
      <c r="S347" s="1">
        <v>0.01488619540924851</v>
      </c>
      <c r="T347" s="1">
        <v>0.008372158166084942</v>
      </c>
      <c r="U347" s="1">
        <v>0.01308049995061777</v>
      </c>
      <c r="V347" s="1">
        <v>0.01435307394105911</v>
      </c>
      <c r="W347" s="1">
        <v>0.004503981553046321</v>
      </c>
      <c r="X347" s="1">
        <v>-0.0012986490654886</v>
      </c>
      <c r="Y347" s="1">
        <v>0.01258967458539972</v>
      </c>
      <c r="Z347" s="1">
        <v>0.01513209651863723</v>
      </c>
    </row>
    <row r="348" spans="1:26">
      <c r="A348" s="11">
        <v>42874</v>
      </c>
      <c r="B348" s="1">
        <v>0.02483941367799303</v>
      </c>
      <c r="C348" s="1">
        <v>0.01894058718248393</v>
      </c>
      <c r="D348" s="1">
        <v>0.002453370836169588</v>
      </c>
      <c r="E348" s="1">
        <v>0.004462232545214828</v>
      </c>
      <c r="F348" s="1">
        <v>0.00465493469003353</v>
      </c>
      <c r="G348" s="1">
        <v>0.00992280348600727</v>
      </c>
      <c r="H348" s="1">
        <v>-0.02037224550297023</v>
      </c>
      <c r="I348" s="1">
        <v>0.07304526612966256</v>
      </c>
      <c r="J348" s="1">
        <v>0.01171440168704785</v>
      </c>
      <c r="K348" s="1">
        <v>0.01987019938625489</v>
      </c>
      <c r="L348" s="1">
        <v>0.00976654607899019</v>
      </c>
      <c r="M348" s="1">
        <v>0.0130910914774105</v>
      </c>
      <c r="N348" s="1">
        <v>0.005103563705010972</v>
      </c>
      <c r="O348" s="1">
        <v>0.001476688533578852</v>
      </c>
      <c r="P348" s="1">
        <v>-0.000295352471284871</v>
      </c>
      <c r="Q348" s="1">
        <v>0.008163565130685946</v>
      </c>
      <c r="R348" s="1">
        <v>0.008021411789143729</v>
      </c>
      <c r="S348" s="1">
        <v>-0.00758891321066657</v>
      </c>
      <c r="T348" s="1">
        <v>0.003471980565017185</v>
      </c>
      <c r="U348" s="1">
        <v>0.007642156947758494</v>
      </c>
      <c r="V348" s="1">
        <v>0.002866237183884124</v>
      </c>
      <c r="W348" s="1">
        <v>-0.00122279285888971</v>
      </c>
      <c r="X348" s="1">
        <v>0.007803617268177243</v>
      </c>
      <c r="Y348" s="1">
        <v>0.008437080186337598</v>
      </c>
      <c r="Z348" s="1">
        <v>0.01313772846107408</v>
      </c>
    </row>
    <row r="349" spans="1:26">
      <c r="A349" s="11">
        <v>42877</v>
      </c>
      <c r="B349" s="1">
        <v>-0.02228320418519336</v>
      </c>
      <c r="C349" s="1">
        <v>0.01609856298152912</v>
      </c>
      <c r="D349" s="1">
        <v>0.00769074010699744</v>
      </c>
      <c r="E349" s="1">
        <v>0.001480934335471806</v>
      </c>
      <c r="F349" s="1">
        <v>0.01647340946015285</v>
      </c>
      <c r="G349" s="1">
        <v>0.008006102929395187</v>
      </c>
      <c r="H349" s="1">
        <v>0.03065624994038774</v>
      </c>
      <c r="I349" s="1">
        <v>0.006699640675532637</v>
      </c>
      <c r="J349" s="1">
        <v>0.005789624434862972</v>
      </c>
      <c r="K349" s="1">
        <v>0.0009388606911191477</v>
      </c>
      <c r="L349" s="1">
        <v>-0.0009437131516434327</v>
      </c>
      <c r="M349" s="1">
        <v>0.0151620258684646</v>
      </c>
      <c r="N349" s="1">
        <v>0.01607903079412276</v>
      </c>
      <c r="O349" s="1">
        <v>0.001608226869191709</v>
      </c>
      <c r="P349" s="1">
        <v>0.0112277065895956</v>
      </c>
      <c r="Q349" s="1">
        <v>0.01255015114755365</v>
      </c>
      <c r="R349" s="1">
        <v>0.0007959503032775039</v>
      </c>
      <c r="S349" s="1">
        <v>0.005222505423061463</v>
      </c>
      <c r="T349" s="1">
        <v>-0.002767899281535757</v>
      </c>
      <c r="U349" s="1">
        <v>0.0002612687575338501</v>
      </c>
      <c r="V349" s="1">
        <v>-0.009466498499720699</v>
      </c>
      <c r="W349" s="1">
        <v>0.003322889956201447</v>
      </c>
      <c r="X349" s="1">
        <v>0.006237837007067704</v>
      </c>
      <c r="Y349" s="1">
        <v>0.001320970071361227</v>
      </c>
      <c r="Z349" s="1">
        <v>0.00274307738955204</v>
      </c>
    </row>
    <row r="350" spans="1:26">
      <c r="A350" s="11">
        <v>42878</v>
      </c>
      <c r="B350" s="1">
        <v>-0.0003996438935995883</v>
      </c>
      <c r="C350" s="1">
        <v>-0.000979881569577401</v>
      </c>
      <c r="D350" s="1">
        <v>0.0046834654574468</v>
      </c>
      <c r="E350" s="1">
        <v>0.002033384081979062</v>
      </c>
      <c r="F350" s="1">
        <v>0.007343735533330342</v>
      </c>
      <c r="G350" s="1">
        <v>0.001805121034057278</v>
      </c>
      <c r="H350" s="1">
        <v>0.0109583407405982</v>
      </c>
      <c r="I350" s="1">
        <v>0.003450840833358892</v>
      </c>
      <c r="J350" s="1">
        <v>-0.007849239764783467</v>
      </c>
      <c r="K350" s="1">
        <v>-0.01547832195125387</v>
      </c>
      <c r="L350" s="1">
        <v>0.01251480329017718</v>
      </c>
      <c r="M350" s="1">
        <v>0.01222007346119836</v>
      </c>
      <c r="N350" s="1">
        <v>0.001249350364738167</v>
      </c>
      <c r="O350" s="1">
        <v>0.0001340964844451786</v>
      </c>
      <c r="P350" s="1">
        <v>0.003359895280984126</v>
      </c>
      <c r="Q350" s="1">
        <v>0.005197661513595131</v>
      </c>
      <c r="R350" s="1">
        <v>-0.001113392958439374</v>
      </c>
      <c r="S350" s="1">
        <v>0.007421010240095782</v>
      </c>
      <c r="T350" s="1">
        <v>0.001387753393288449</v>
      </c>
      <c r="U350" s="1">
        <v>0.001568784583843241</v>
      </c>
      <c r="V350" s="1">
        <v>-0.01748997092255777</v>
      </c>
      <c r="W350" s="1">
        <v>-0.001568600749327298</v>
      </c>
      <c r="X350" s="1">
        <v>0.00726834548233124</v>
      </c>
      <c r="Y350" s="1">
        <v>0</v>
      </c>
      <c r="Z350" s="1">
        <v>0.02810252705445682</v>
      </c>
    </row>
    <row r="351" spans="1:26">
      <c r="A351" s="11">
        <v>42879</v>
      </c>
      <c r="B351" s="1">
        <v>-0.00259969521283665</v>
      </c>
      <c r="C351" s="1">
        <v>0.009591765934258811</v>
      </c>
      <c r="D351" s="1">
        <v>0.007251488309403253</v>
      </c>
      <c r="E351" s="1">
        <v>-0.007194311607690018</v>
      </c>
      <c r="F351" s="1">
        <v>0.01382589443959725</v>
      </c>
      <c r="G351" s="1">
        <v>0.007927930351259826</v>
      </c>
      <c r="H351" s="1">
        <v>0.004473534880710783</v>
      </c>
      <c r="I351" s="1">
        <v>0.005322348973057167</v>
      </c>
      <c r="J351" s="1">
        <v>0.002636857754586552</v>
      </c>
      <c r="K351" s="1">
        <v>0.0009529502608931484</v>
      </c>
      <c r="L351" s="1">
        <v>-0.0005829955430882716</v>
      </c>
      <c r="M351" s="1">
        <v>-0.001006225819404016</v>
      </c>
      <c r="N351" s="1">
        <v>0.009981710851048042</v>
      </c>
      <c r="O351" s="1">
        <v>0.004816704800451044</v>
      </c>
      <c r="P351" s="1">
        <v>0.001310315001838758</v>
      </c>
      <c r="Q351" s="1">
        <v>0.003182563115124548</v>
      </c>
      <c r="R351" s="1">
        <v>-0.00191019677936799</v>
      </c>
      <c r="S351" s="1">
        <v>0.001703656804177944</v>
      </c>
      <c r="T351" s="1">
        <v>0.002621067406175737</v>
      </c>
      <c r="U351" s="1">
        <v>-0.004176767674853754</v>
      </c>
      <c r="V351" s="1">
        <v>-0.00660663871878886</v>
      </c>
      <c r="W351" s="1">
        <v>0.002909916755976516</v>
      </c>
      <c r="X351" s="1">
        <v>0.0074274527065048</v>
      </c>
      <c r="Y351" s="1">
        <v>-0.009674681533892282</v>
      </c>
      <c r="Z351" s="1">
        <v>-0.01548135353899649</v>
      </c>
    </row>
    <row r="352" spans="1:26">
      <c r="A352" s="11">
        <v>42880</v>
      </c>
      <c r="B352" s="1">
        <v>-0.04331237657997355</v>
      </c>
      <c r="C352" s="1">
        <v>0.009824595939879055</v>
      </c>
      <c r="D352" s="1">
        <v>0.0137126668076788</v>
      </c>
      <c r="E352" s="1">
        <v>0.01059090459792378</v>
      </c>
      <c r="F352" s="1">
        <v>0.0002481786544887843</v>
      </c>
      <c r="G352" s="1">
        <v>0.007507997431877911</v>
      </c>
      <c r="H352" s="1">
        <v>0.007708110648961375</v>
      </c>
      <c r="I352" s="1">
        <v>-0.002850674819552923</v>
      </c>
      <c r="J352" s="1">
        <v>-0.03366614776617005</v>
      </c>
      <c r="K352" s="1">
        <v>0.003331927159997861</v>
      </c>
      <c r="L352" s="1">
        <v>-0.004200175603001788</v>
      </c>
      <c r="M352" s="1">
        <v>0.02249065572717113</v>
      </c>
      <c r="N352" s="1">
        <v>0.01770763742937187</v>
      </c>
      <c r="O352" s="1">
        <v>0.01904114420118419</v>
      </c>
      <c r="P352" s="1">
        <v>0.01236035218820009</v>
      </c>
      <c r="Q352" s="1">
        <v>0.01229189741738113</v>
      </c>
      <c r="R352" s="1">
        <v>0</v>
      </c>
      <c r="S352" s="1">
        <v>-0.002206515737844472</v>
      </c>
      <c r="T352" s="1">
        <v>0.003936641892995585</v>
      </c>
      <c r="U352" s="1">
        <v>0.002096984552450554</v>
      </c>
      <c r="V352" s="1">
        <v>0.001293308973317142</v>
      </c>
      <c r="W352" s="1">
        <v>0.003307281856303135</v>
      </c>
      <c r="X352" s="1">
        <v>0.01474627974622567</v>
      </c>
      <c r="Y352" s="1">
        <v>0.00599476381055486</v>
      </c>
      <c r="Z352" s="1">
        <v>0.004422579064776277</v>
      </c>
    </row>
    <row r="353" spans="1:26">
      <c r="A353" s="11">
        <v>42881</v>
      </c>
      <c r="B353" s="1">
        <v>0.01006062475409841</v>
      </c>
      <c r="C353" s="1">
        <v>-0.002565929508007603</v>
      </c>
      <c r="D353" s="1">
        <v>-0.008454389725183864</v>
      </c>
      <c r="E353" s="1">
        <v>-0.007721989613206803</v>
      </c>
      <c r="F353" s="1">
        <v>0.01412993784014271</v>
      </c>
      <c r="G353" s="1">
        <v>0.005322763215697135</v>
      </c>
      <c r="H353" s="1">
        <v>0.002209682140922764</v>
      </c>
      <c r="I353" s="1">
        <v>0.002940406950947994</v>
      </c>
      <c r="J353" s="1">
        <v>0.005443380976127399</v>
      </c>
      <c r="K353" s="1">
        <v>-0.003083975893247048</v>
      </c>
      <c r="L353" s="1">
        <v>0.0001170907401881749</v>
      </c>
      <c r="M353" s="1">
        <v>-0.004103728774017545</v>
      </c>
      <c r="N353" s="1">
        <v>0.003641989695755576</v>
      </c>
      <c r="O353" s="1">
        <v>-0.00209077710181016</v>
      </c>
      <c r="P353" s="1">
        <v>0.004883545500434128</v>
      </c>
      <c r="Q353" s="1">
        <v>0.00117509108160907</v>
      </c>
      <c r="R353" s="1">
        <v>-0.0009574400586909171</v>
      </c>
      <c r="S353" s="1">
        <v>-0.003224112416565394</v>
      </c>
      <c r="T353" s="1">
        <v>0.002574191290905858</v>
      </c>
      <c r="U353" s="1">
        <v>-0.002877051068226111</v>
      </c>
      <c r="V353" s="1">
        <v>0.003690105402687882</v>
      </c>
      <c r="W353" s="1">
        <v>0.003007886539515114</v>
      </c>
      <c r="X353" s="1">
        <v>-0.000207825462531952</v>
      </c>
      <c r="Y353" s="1">
        <v>0.0002206613302309091</v>
      </c>
      <c r="Z353" s="1">
        <v>-0.01051820770424083</v>
      </c>
    </row>
    <row r="354" spans="1:26">
      <c r="A354" s="11">
        <v>42885</v>
      </c>
      <c r="B354" s="1">
        <v>-0.0130733808112089</v>
      </c>
      <c r="C354" s="1">
        <v>0.001554175666805824</v>
      </c>
      <c r="D354" s="1">
        <v>0.01210766364978588</v>
      </c>
      <c r="E354" s="1">
        <v>-0.0007410053764002056</v>
      </c>
      <c r="F354" s="1">
        <v>0.004644588573024411</v>
      </c>
      <c r="G354" s="1">
        <v>0.002118010593969544</v>
      </c>
      <c r="H354" s="1">
        <v>-0.01831750259629616</v>
      </c>
      <c r="I354" s="1">
        <v>-0.004316264735280129</v>
      </c>
      <c r="J354" s="1">
        <v>0.02544679426638807</v>
      </c>
      <c r="K354" s="1">
        <v>-0.001189435994955024</v>
      </c>
      <c r="L354" s="1">
        <v>-0.0171040870724477</v>
      </c>
      <c r="M354" s="1">
        <v>-0.01961433407704016</v>
      </c>
      <c r="N354" s="1">
        <v>0.008869689622027943</v>
      </c>
      <c r="O354" s="1">
        <v>0.01335626559219572</v>
      </c>
      <c r="P354" s="1">
        <v>0.006432248239064853</v>
      </c>
      <c r="Q354" s="1">
        <v>0.01017193544805406</v>
      </c>
      <c r="R354" s="1">
        <v>0.0001595441434283362</v>
      </c>
      <c r="S354" s="1">
        <v>-0.009427560319138606</v>
      </c>
      <c r="T354" s="1">
        <v>0.001224100435035291</v>
      </c>
      <c r="U354" s="1">
        <v>0.01127995300257623</v>
      </c>
      <c r="V354" s="1">
        <v>0.009926304513720785</v>
      </c>
      <c r="W354" s="1">
        <v>-0.0009805914262613902</v>
      </c>
      <c r="X354" s="1">
        <v>-0.003529516868958971</v>
      </c>
      <c r="Y354" s="1">
        <v>0.01941753661518453</v>
      </c>
      <c r="Z354" s="1">
        <v>-0.01433875525101269</v>
      </c>
    </row>
    <row r="355" spans="1:26">
      <c r="A355" s="11">
        <v>42886</v>
      </c>
      <c r="B355" s="1">
        <v>-0.01682117529491745</v>
      </c>
      <c r="C355" s="1">
        <v>0.004013373869137249</v>
      </c>
      <c r="D355" s="1">
        <v>0.002027077599849436</v>
      </c>
      <c r="E355" s="1">
        <v>0.0003705310725288236</v>
      </c>
      <c r="F355" s="1">
        <v>0.0143548833614966</v>
      </c>
      <c r="G355" s="1">
        <v>0.007749032880937756</v>
      </c>
      <c r="H355" s="1">
        <v>-0.00397366114367903</v>
      </c>
      <c r="I355" s="1">
        <v>0.001635639747335826</v>
      </c>
      <c r="J355" s="1">
        <v>-0.0095037143951614</v>
      </c>
      <c r="K355" s="1">
        <v>-0.005240443861961763</v>
      </c>
      <c r="L355" s="1">
        <v>-0.02085801822008759</v>
      </c>
      <c r="M355" s="1">
        <v>0.01025573638466759</v>
      </c>
      <c r="N355" s="1">
        <v>0.004928378643235254</v>
      </c>
      <c r="O355" s="1">
        <v>0.002196225339757607</v>
      </c>
      <c r="P355" s="1">
        <v>-0.0080955383736665</v>
      </c>
      <c r="Q355" s="1">
        <v>0.009682873265872916</v>
      </c>
      <c r="R355" s="1">
        <v>0.005108582934777672</v>
      </c>
      <c r="S355" s="1">
        <v>0.004665153340602579</v>
      </c>
      <c r="T355" s="1">
        <v>-0.01070519875802789</v>
      </c>
      <c r="U355" s="1">
        <v>-0.0005187750756978637</v>
      </c>
      <c r="V355" s="1">
        <v>0.003821994742855273</v>
      </c>
      <c r="W355" s="1">
        <v>-0.002654942876816557</v>
      </c>
      <c r="X355" s="1">
        <v>-0.003959389318702877</v>
      </c>
      <c r="Y355" s="1">
        <v>0.009523565400432865</v>
      </c>
      <c r="Z355" s="1">
        <v>0.005016159909867035</v>
      </c>
    </row>
    <row r="356" spans="1:26">
      <c r="A356" s="11">
        <v>42887</v>
      </c>
      <c r="B356" s="1">
        <v>0.01154848086292248</v>
      </c>
      <c r="C356" s="1">
        <v>-0.001652148479152626</v>
      </c>
      <c r="D356" s="1">
        <v>0.01163403276358022</v>
      </c>
      <c r="E356" s="1">
        <v>0.01075087793681173</v>
      </c>
      <c r="F356" s="1">
        <v>-0.0007198099106321409</v>
      </c>
      <c r="G356" s="1">
        <v>0.01118503495631917</v>
      </c>
      <c r="H356" s="1">
        <v>0.005377030771584801</v>
      </c>
      <c r="I356" s="1">
        <v>0.01829191206093839</v>
      </c>
      <c r="J356" s="1">
        <v>0.01012767072915133</v>
      </c>
      <c r="K356" s="1">
        <v>0.01005711634710726</v>
      </c>
      <c r="L356" s="1">
        <v>0.01107695270093068</v>
      </c>
      <c r="M356" s="1">
        <v>0.00349459371312455</v>
      </c>
      <c r="N356" s="1">
        <v>-0.0005301098959352712</v>
      </c>
      <c r="O356" s="1">
        <v>-0.002707308965410715</v>
      </c>
      <c r="P356" s="1">
        <v>0.003723206655662059</v>
      </c>
      <c r="Q356" s="1">
        <v>0.006520592210750076</v>
      </c>
      <c r="R356" s="1">
        <v>0.01159520579308215</v>
      </c>
      <c r="S356" s="1">
        <v>-0.01430206807136136</v>
      </c>
      <c r="T356" s="1">
        <v>0.02161164915664915</v>
      </c>
      <c r="U356" s="1">
        <v>0.008824507433826456</v>
      </c>
      <c r="V356" s="1">
        <v>0.009247982183342884</v>
      </c>
      <c r="W356" s="1">
        <v>0.0117484406100874</v>
      </c>
      <c r="X356" s="1">
        <v>-0.001673372546218577</v>
      </c>
      <c r="Y356" s="1">
        <v>-0.002786999275709245</v>
      </c>
      <c r="Z356" s="1">
        <v>0.01197879776539934</v>
      </c>
    </row>
    <row r="357" spans="1:26">
      <c r="A357" s="11">
        <v>42888</v>
      </c>
      <c r="B357" s="1">
        <v>-0.006553671527440685</v>
      </c>
      <c r="C357" s="1">
        <v>0.01553461274727286</v>
      </c>
      <c r="D357" s="1">
        <v>-0.004666460794838345</v>
      </c>
      <c r="E357" s="1">
        <v>0.008068910528957973</v>
      </c>
      <c r="F357" s="1">
        <v>0.007921546739842578</v>
      </c>
      <c r="G357" s="1">
        <v>-0.001728373861527022</v>
      </c>
      <c r="H357" s="1">
        <v>-0.003968085318286296</v>
      </c>
      <c r="I357" s="1">
        <v>0.001683943475651706</v>
      </c>
      <c r="J357" s="1">
        <v>0.00158332558590879</v>
      </c>
      <c r="K357" s="1">
        <v>0.001659978463339984</v>
      </c>
      <c r="L357" s="1">
        <v>-0.005056330645114016</v>
      </c>
      <c r="M357" s="1">
        <v>0.0009951413560844724</v>
      </c>
      <c r="N357" s="1">
        <v>-0.00371333115173722</v>
      </c>
      <c r="O357" s="1">
        <v>0.001939058139873273</v>
      </c>
      <c r="P357" s="1">
        <v>0.02368014080519476</v>
      </c>
      <c r="Q357" s="1">
        <v>0.004191953688222672</v>
      </c>
      <c r="R357" s="1">
        <v>-0.008479136006881327</v>
      </c>
      <c r="S357" s="1">
        <v>0.007772912843331925</v>
      </c>
      <c r="T357" s="1">
        <v>0.01905915178612361</v>
      </c>
      <c r="U357" s="1">
        <v>0</v>
      </c>
      <c r="V357" s="1">
        <v>-0.002515335922536832</v>
      </c>
      <c r="W357" s="1">
        <v>0.008980470400471674</v>
      </c>
      <c r="X357" s="1">
        <v>0.0006287891038594395</v>
      </c>
      <c r="Y357" s="1">
        <v>-0.001505251643663663</v>
      </c>
      <c r="Z357" s="1">
        <v>-0.01109734789391581</v>
      </c>
    </row>
    <row r="358" spans="1:26">
      <c r="A358" s="11">
        <v>42891</v>
      </c>
      <c r="B358" s="1">
        <v>-0.005533268549772208</v>
      </c>
      <c r="C358" s="1">
        <v>-0.006728532871337234</v>
      </c>
      <c r="D358" s="1">
        <v>-0.00217710869768406</v>
      </c>
      <c r="E358" s="1">
        <v>-0.04748018134279208</v>
      </c>
      <c r="F358" s="1">
        <v>-0.00476355740397516</v>
      </c>
      <c r="G358" s="1">
        <v>-0.01142651119297577</v>
      </c>
      <c r="H358" s="1">
        <v>-0.004330683916659028</v>
      </c>
      <c r="I358" s="1">
        <v>0.003362365439798953</v>
      </c>
      <c r="J358" s="1">
        <v>-0.009483547260452418</v>
      </c>
      <c r="K358" s="1">
        <v>-0.004970571687391678</v>
      </c>
      <c r="L358" s="1">
        <v>0.001815018081229303</v>
      </c>
      <c r="M358" s="1">
        <v>0.01253401229285034</v>
      </c>
      <c r="N358" s="1">
        <v>-0.0007989491692924622</v>
      </c>
      <c r="O358" s="1">
        <v>-0.001548198442247295</v>
      </c>
      <c r="P358" s="1">
        <v>0.007246237128379018</v>
      </c>
      <c r="Q358" s="1">
        <v>0.001138620281762481</v>
      </c>
      <c r="R358" s="1">
        <v>-0.01314300632061038</v>
      </c>
      <c r="S358" s="1">
        <v>-0.01201372632045739</v>
      </c>
      <c r="T358" s="1">
        <v>-0.009090542567123383</v>
      </c>
      <c r="U358" s="1">
        <v>-0.001543823547940582</v>
      </c>
      <c r="V358" s="1">
        <v>0.001981061442117626</v>
      </c>
      <c r="W358" s="1">
        <v>0.0002835845153794647</v>
      </c>
      <c r="X358" s="1">
        <v>-0.01486953727345286</v>
      </c>
      <c r="Y358" s="1">
        <v>-0.001507384839286696</v>
      </c>
      <c r="Z358" s="1">
        <v>0.008977441706450318</v>
      </c>
    </row>
    <row r="359" spans="1:26">
      <c r="A359" s="11">
        <v>42892</v>
      </c>
      <c r="B359" s="1">
        <v>0.02803323467499386</v>
      </c>
      <c r="C359" s="1">
        <v>-0.01164331153856568</v>
      </c>
      <c r="D359" s="1">
        <v>-0.003355982506623723</v>
      </c>
      <c r="E359" s="1">
        <v>-0.01336911829591469</v>
      </c>
      <c r="F359" s="1">
        <v>-0.001674622919662472</v>
      </c>
      <c r="G359" s="1">
        <v>-0.001751466783872724</v>
      </c>
      <c r="H359" s="1">
        <v>0.001565816206109849</v>
      </c>
      <c r="I359" s="1">
        <v>-0.002233832190364993</v>
      </c>
      <c r="J359" s="1">
        <v>-0.0287235287030273</v>
      </c>
      <c r="K359" s="1">
        <v>-0.01855377500184763</v>
      </c>
      <c r="L359" s="1">
        <v>0.002053387848762966</v>
      </c>
      <c r="M359" s="1">
        <v>-0.01459226628045995</v>
      </c>
      <c r="N359" s="1">
        <v>0.002797762783790958</v>
      </c>
      <c r="O359" s="1">
        <v>-0.006978615948282973</v>
      </c>
      <c r="P359" s="1">
        <v>0.003320258301696022</v>
      </c>
      <c r="Q359" s="1">
        <v>-0.004548912470947353</v>
      </c>
      <c r="R359" s="1">
        <v>0.02888346792573349</v>
      </c>
      <c r="S359" s="1">
        <v>-0.01632408910392824</v>
      </c>
      <c r="T359" s="1">
        <v>-0.005668493607523417</v>
      </c>
      <c r="U359" s="1">
        <v>-0.002061073823327431</v>
      </c>
      <c r="V359" s="1">
        <v>-0.01887456811826438</v>
      </c>
      <c r="W359" s="1">
        <v>-0.002096847244198785</v>
      </c>
      <c r="X359" s="1">
        <v>-0.001700408401807407</v>
      </c>
      <c r="Y359" s="1">
        <v>0.00150966047860468</v>
      </c>
      <c r="Z359" s="1">
        <v>-0.004943014861315875</v>
      </c>
    </row>
    <row r="360" spans="1:26">
      <c r="A360" s="11">
        <v>42893</v>
      </c>
      <c r="B360" s="1">
        <v>-0.02622800798302616</v>
      </c>
      <c r="C360" s="1">
        <v>0.007228945750779925</v>
      </c>
      <c r="D360" s="1">
        <v>0.003535792084221168</v>
      </c>
      <c r="E360" s="1">
        <v>0.01761499549198664</v>
      </c>
      <c r="F360" s="1">
        <v>0.004074906417610435</v>
      </c>
      <c r="G360" s="1">
        <v>-0.006315511542277608</v>
      </c>
      <c r="H360" s="1">
        <v>-0.003821505245374501</v>
      </c>
      <c r="I360" s="1">
        <v>0.001918990020887579</v>
      </c>
      <c r="J360" s="1">
        <v>-0.00109529246502571</v>
      </c>
      <c r="K360" s="1">
        <v>-0.002423380015105558</v>
      </c>
      <c r="L360" s="1">
        <v>0.01145171488065433</v>
      </c>
      <c r="M360" s="1">
        <v>-0.002329398338401067</v>
      </c>
      <c r="N360" s="1">
        <v>0.004517300043902273</v>
      </c>
      <c r="O360" s="1">
        <v>0.0006507971309333005</v>
      </c>
      <c r="P360" s="1">
        <v>-0.001792167846189741</v>
      </c>
      <c r="Q360" s="1">
        <v>0.006854451825439201</v>
      </c>
      <c r="R360" s="1">
        <v>-0.01044934257595698</v>
      </c>
      <c r="S360" s="1">
        <v>0.009476488512104142</v>
      </c>
      <c r="T360" s="1">
        <v>-0.0001760266595992599</v>
      </c>
      <c r="U360" s="1">
        <v>0.00077413974649998</v>
      </c>
      <c r="V360" s="1">
        <v>-0.002015271970000065</v>
      </c>
      <c r="W360" s="1">
        <v>0.001533320514881753</v>
      </c>
      <c r="X360" s="1">
        <v>-0.002130405699877658</v>
      </c>
      <c r="Y360" s="1">
        <v>0.001292024719016904</v>
      </c>
      <c r="Z360" s="1">
        <v>0.004967569631830759</v>
      </c>
    </row>
    <row r="361" spans="1:26">
      <c r="A361" s="11">
        <v>42894</v>
      </c>
      <c r="B361" s="1">
        <v>0.004702839571169237</v>
      </c>
      <c r="C361" s="1">
        <v>0.009728770082424232</v>
      </c>
      <c r="D361" s="1">
        <v>0.002684498069418062</v>
      </c>
      <c r="E361" s="1">
        <v>0.005326590167467726</v>
      </c>
      <c r="F361" s="1">
        <v>-0.02267865548451309</v>
      </c>
      <c r="G361" s="1">
        <v>-0.003884449060583606</v>
      </c>
      <c r="H361" s="1">
        <v>-0.01203106076664862</v>
      </c>
      <c r="I361" s="1">
        <v>0.00566678282050459</v>
      </c>
      <c r="J361" s="1">
        <v>0.002192986892070259</v>
      </c>
      <c r="K361" s="1">
        <v>0.002672250769229834</v>
      </c>
      <c r="L361" s="1">
        <v>0.01239395909270313</v>
      </c>
      <c r="M361" s="1">
        <v>-0.01334235586230759</v>
      </c>
      <c r="N361" s="1">
        <v>-0.00529036257416815</v>
      </c>
      <c r="O361" s="1">
        <v>0.005332394405974439</v>
      </c>
      <c r="P361" s="1">
        <v>-0.006078257787480168</v>
      </c>
      <c r="Q361" s="1">
        <v>-0.02307100467501544</v>
      </c>
      <c r="R361" s="1">
        <v>0.008195674390973018</v>
      </c>
      <c r="S361" s="1">
        <v>0.004955385932881695</v>
      </c>
      <c r="T361" s="1">
        <v>0.01678123934354248</v>
      </c>
      <c r="U361" s="1">
        <v>-0.006707350761258279</v>
      </c>
      <c r="V361" s="1">
        <v>0.002937065250655513</v>
      </c>
      <c r="W361" s="1">
        <v>-0.00867669843571206</v>
      </c>
      <c r="X361" s="1">
        <v>0.003202307395464787</v>
      </c>
      <c r="Y361" s="1">
        <v>-0.006666666213909656</v>
      </c>
      <c r="Z361" s="1">
        <v>0.02298611983214904</v>
      </c>
    </row>
    <row r="362" spans="1:26">
      <c r="A362" s="11">
        <v>42895</v>
      </c>
      <c r="B362" s="1">
        <v>0.02851090138200019</v>
      </c>
      <c r="C362" s="1">
        <v>0.0005264835731584316</v>
      </c>
      <c r="D362" s="1">
        <v>-0.01422358761128484</v>
      </c>
      <c r="E362" s="1">
        <v>0.01702931192412849</v>
      </c>
      <c r="F362" s="1">
        <v>-0.006106542295277406</v>
      </c>
      <c r="G362" s="1">
        <v>0.001063688945492691</v>
      </c>
      <c r="H362" s="1">
        <v>-0.002118156672231031</v>
      </c>
      <c r="I362" s="1">
        <v>-0.0003965639193170833</v>
      </c>
      <c r="J362" s="1">
        <v>-0.0262582586877329</v>
      </c>
      <c r="K362" s="1">
        <v>0.01938438889047456</v>
      </c>
      <c r="L362" s="1">
        <v>0.02366073491443821</v>
      </c>
      <c r="M362" s="1">
        <v>0.005070807289006218</v>
      </c>
      <c r="N362" s="1">
        <v>0.003324310111408435</v>
      </c>
      <c r="O362" s="1">
        <v>0.0120307870991867</v>
      </c>
      <c r="P362" s="1">
        <v>-0.02265488182194697</v>
      </c>
      <c r="Q362" s="1">
        <v>-0.002322985617637219</v>
      </c>
      <c r="R362" s="1">
        <v>0.0006254375088934339</v>
      </c>
      <c r="S362" s="1">
        <v>-0.01588360166467961</v>
      </c>
      <c r="T362" s="1">
        <v>0.0200591749830874</v>
      </c>
      <c r="U362" s="1">
        <v>0.007531721716590001</v>
      </c>
      <c r="V362" s="1">
        <v>0.04155259639470588</v>
      </c>
      <c r="W362" s="1">
        <v>0.0006862884707570238</v>
      </c>
      <c r="X362" s="1">
        <v>0.006384581503914077</v>
      </c>
      <c r="Y362" s="1">
        <v>0.01147429138073752</v>
      </c>
      <c r="Z362" s="1">
        <v>0.02295205461990601</v>
      </c>
    </row>
    <row r="363" spans="1:26">
      <c r="A363" s="11">
        <v>42898</v>
      </c>
      <c r="B363" s="1">
        <v>0.001655035470284671</v>
      </c>
      <c r="C363" s="1">
        <v>-0.0001579045680351054</v>
      </c>
      <c r="D363" s="1">
        <v>-0.02987587821101878</v>
      </c>
      <c r="E363" s="1">
        <v>0.01134863313027279</v>
      </c>
      <c r="F363" s="1">
        <v>0.006881625492086041</v>
      </c>
      <c r="G363" s="1">
        <v>-0.004603587642564522</v>
      </c>
      <c r="H363" s="1">
        <v>0.006190396252357511</v>
      </c>
      <c r="I363" s="1">
        <v>0.0003967212446487345</v>
      </c>
      <c r="J363" s="1">
        <v>0.005264135065076614</v>
      </c>
      <c r="K363" s="1">
        <v>-0.01426177893891245</v>
      </c>
      <c r="L363" s="1">
        <v>0.0002302938834459756</v>
      </c>
      <c r="M363" s="1">
        <v>-0.007904188971084469</v>
      </c>
      <c r="N363" s="1">
        <v>-0.0007955469147739036</v>
      </c>
      <c r="O363" s="1">
        <v>0.0035793220914353</v>
      </c>
      <c r="P363" s="1">
        <v>-0.007679015911459253</v>
      </c>
      <c r="Q363" s="1">
        <v>-0.003880425280921918</v>
      </c>
      <c r="R363" s="1">
        <v>0.008748450827268384</v>
      </c>
      <c r="S363" s="1">
        <v>0.007199487412479444</v>
      </c>
      <c r="T363" s="1">
        <v>-0.01408265613056414</v>
      </c>
      <c r="U363" s="1">
        <v>0.007218790213250781</v>
      </c>
      <c r="V363" s="1">
        <v>0.01704724906133714</v>
      </c>
      <c r="W363" s="1">
        <v>-0.008860196426170974</v>
      </c>
      <c r="X363" s="1">
        <v>-0.00105784963122213</v>
      </c>
      <c r="Y363" s="1">
        <v>0.01006024969810926</v>
      </c>
      <c r="Z363" s="1">
        <v>0.01393506595261051</v>
      </c>
    </row>
    <row r="364" spans="1:26">
      <c r="A364" s="11">
        <v>42899</v>
      </c>
      <c r="B364" s="1">
        <v>0.01652180489469424</v>
      </c>
      <c r="C364" s="1">
        <v>0.005736770122567014</v>
      </c>
      <c r="D364" s="1">
        <v>0.0127732678175172</v>
      </c>
      <c r="E364" s="1">
        <v>-0.003127338440237493</v>
      </c>
      <c r="F364" s="1">
        <v>0.006102451031283707</v>
      </c>
      <c r="G364" s="1">
        <v>0.0007117682273085624</v>
      </c>
      <c r="H364" s="1">
        <v>0.001406333363103363</v>
      </c>
      <c r="I364" s="1">
        <v>0.003333417703703656</v>
      </c>
      <c r="J364" s="1">
        <v>-0.001126256323685459</v>
      </c>
      <c r="K364" s="1">
        <v>0.01085106175899875</v>
      </c>
      <c r="L364" s="1">
        <v>0.003333901096544523</v>
      </c>
      <c r="M364" s="1">
        <v>0.003729361402255549</v>
      </c>
      <c r="N364" s="1">
        <v>0.002139672746735988</v>
      </c>
      <c r="O364" s="1">
        <v>0.001145814145272928</v>
      </c>
      <c r="P364" s="1">
        <v>0.01246779477862936</v>
      </c>
      <c r="Q364" s="1">
        <v>0.005843312458772232</v>
      </c>
      <c r="R364" s="1">
        <v>-0.003717131400576279</v>
      </c>
      <c r="S364" s="1">
        <v>0.006568699101213493</v>
      </c>
      <c r="T364" s="1">
        <v>0.01526109297158951</v>
      </c>
      <c r="U364" s="1">
        <v>-0.009981875514231575</v>
      </c>
      <c r="V364" s="1">
        <v>-0.008467214101014697</v>
      </c>
      <c r="W364" s="1">
        <v>0.009813327483063627</v>
      </c>
      <c r="X364" s="1">
        <v>0.009314570764978658</v>
      </c>
      <c r="Y364" s="1">
        <v>-0.01546948193276376</v>
      </c>
      <c r="Z364" s="1">
        <v>0.004658967932682501</v>
      </c>
    </row>
    <row r="365" spans="1:26">
      <c r="A365" s="11">
        <v>42900</v>
      </c>
      <c r="B365" s="1">
        <v>-0.03047564880666465</v>
      </c>
      <c r="C365" s="1">
        <v>0.006750876856389532</v>
      </c>
      <c r="D365" s="1">
        <v>0.001727603553674628</v>
      </c>
      <c r="E365" s="1">
        <v>0.006089922069475007</v>
      </c>
      <c r="F365" s="1">
        <v>-0.003154508071042339</v>
      </c>
      <c r="G365" s="1">
        <v>0.008531647437462153</v>
      </c>
      <c r="H365" s="1">
        <v>0.0003509495108044991</v>
      </c>
      <c r="I365" s="1">
        <v>7.921561158807933E-05</v>
      </c>
      <c r="J365" s="1">
        <v>-0.01916580754290997</v>
      </c>
      <c r="K365" s="1">
        <v>-0.001431023588266411</v>
      </c>
      <c r="L365" s="1">
        <v>-0.002062603590582079</v>
      </c>
      <c r="M365" s="1">
        <v>0.005404370824053428</v>
      </c>
      <c r="N365" s="1">
        <v>0.01067344802314985</v>
      </c>
      <c r="O365" s="1">
        <v>0.01246882990671305</v>
      </c>
      <c r="P365" s="1">
        <v>-0.005378890644843093</v>
      </c>
      <c r="Q365" s="1">
        <v>0.003873109590295076</v>
      </c>
      <c r="R365" s="1">
        <v>-0.006839624324132543</v>
      </c>
      <c r="S365" s="1">
        <v>0.007102337185998397</v>
      </c>
      <c r="T365" s="1">
        <v>-0.001585032606646553</v>
      </c>
      <c r="U365" s="1">
        <v>0.00103400014425592</v>
      </c>
      <c r="V365" s="1">
        <v>0.008365301099542366</v>
      </c>
      <c r="W365" s="1">
        <v>-0.002057909772480992</v>
      </c>
      <c r="X365" s="1">
        <v>-0.005872685712046355</v>
      </c>
      <c r="Y365" s="1">
        <v>0.004950401840355889</v>
      </c>
      <c r="Z365" s="1">
        <v>0.002318270617289953</v>
      </c>
    </row>
    <row r="366" spans="1:26">
      <c r="A366" s="11">
        <v>42901</v>
      </c>
      <c r="B366" s="1">
        <v>0.001676640953558239</v>
      </c>
      <c r="C366" s="1">
        <v>0.01595808975984614</v>
      </c>
      <c r="D366" s="1">
        <v>-0.0008623500961781883</v>
      </c>
      <c r="E366" s="1">
        <v>-0.004402446568318119</v>
      </c>
      <c r="F366" s="1">
        <v>0.008517912215663115</v>
      </c>
      <c r="G366" s="1">
        <v>0.00845947418619919</v>
      </c>
      <c r="H366" s="1">
        <v>-0.0005264262917772378</v>
      </c>
      <c r="I366" s="1">
        <v>-0.0004747016257733438</v>
      </c>
      <c r="J366" s="1">
        <v>-0.00747100228731612</v>
      </c>
      <c r="K366" s="1">
        <v>0.001911139523948391</v>
      </c>
      <c r="L366" s="1">
        <v>-0.005970538201803599</v>
      </c>
      <c r="M366" s="1">
        <v>0.009743201240511867</v>
      </c>
      <c r="N366" s="1">
        <v>0.008713133586075505</v>
      </c>
      <c r="O366" s="1">
        <v>0.006533842620783936</v>
      </c>
      <c r="P366" s="1">
        <v>-0.00526520315332446</v>
      </c>
      <c r="Q366" s="1">
        <v>0.005015477965386816</v>
      </c>
      <c r="R366" s="1">
        <v>0.01909532210324216</v>
      </c>
      <c r="S366" s="1">
        <v>0.01334029595882846</v>
      </c>
      <c r="T366" s="1">
        <v>-0.003374281792049127</v>
      </c>
      <c r="U366" s="1">
        <v>0.003098983753301088</v>
      </c>
      <c r="V366" s="1">
        <v>-0.04147960336639533</v>
      </c>
      <c r="W366" s="1">
        <v>-0.002520599119296696</v>
      </c>
      <c r="X366" s="1">
        <v>-0.002320354178783623</v>
      </c>
      <c r="Y366" s="1">
        <v>-0.001071102439422988</v>
      </c>
      <c r="Z366" s="1">
        <v>-0.008327852608820963</v>
      </c>
    </row>
    <row r="367" spans="1:26">
      <c r="A367" s="11">
        <v>42902</v>
      </c>
      <c r="B367" s="1">
        <v>0.03640168452334014</v>
      </c>
      <c r="C367" s="1">
        <v>0.00506518877656581</v>
      </c>
      <c r="D367" s="1">
        <v>0</v>
      </c>
      <c r="E367" s="1">
        <v>0.003316410878164477</v>
      </c>
      <c r="F367" s="1">
        <v>-0.003861160582241951</v>
      </c>
      <c r="G367" s="1">
        <v>0.009437329172733433</v>
      </c>
      <c r="H367" s="1">
        <v>-0.03353212135160411</v>
      </c>
      <c r="I367" s="1">
        <v>0.01210731244176499</v>
      </c>
      <c r="J367" s="1">
        <v>0.004632391312793249</v>
      </c>
      <c r="K367" s="1">
        <v>-0.001907494036703206</v>
      </c>
      <c r="L367" s="1">
        <v>-0.004504771601430146</v>
      </c>
      <c r="M367" s="1">
        <v>0.002994513795351983</v>
      </c>
      <c r="N367" s="1">
        <v>0.01138595386904595</v>
      </c>
      <c r="O367" s="1">
        <v>0.00212303326655805</v>
      </c>
      <c r="P367" s="1">
        <v>0.00143091717465027</v>
      </c>
      <c r="Q367" s="1">
        <v>0.0003838125199839837</v>
      </c>
      <c r="R367" s="1">
        <v>0.001535969992163322</v>
      </c>
      <c r="S367" s="1">
        <v>0.004607839893298937</v>
      </c>
      <c r="T367" s="1">
        <v>-0.002702650503398907</v>
      </c>
      <c r="U367" s="1">
        <v>0.003089658918949523</v>
      </c>
      <c r="V367" s="1">
        <v>-0.05138804959096166</v>
      </c>
      <c r="W367" s="1">
        <v>0.004192348045698235</v>
      </c>
      <c r="X367" s="1">
        <v>0.003171507973710908</v>
      </c>
      <c r="Y367" s="1">
        <v>-0.0002140303858146897</v>
      </c>
      <c r="Z367" s="1">
        <v>0.005132145607307681</v>
      </c>
    </row>
    <row r="368" spans="1:26">
      <c r="A368" s="11">
        <v>42905</v>
      </c>
      <c r="B368" s="1">
        <v>0.005651968463796342</v>
      </c>
      <c r="C368" s="1">
        <v>0.01343912597827646</v>
      </c>
      <c r="D368" s="1">
        <v>0.02796468465482005</v>
      </c>
      <c r="E368" s="1">
        <v>0.01395515687365378</v>
      </c>
      <c r="F368" s="1">
        <v>0.01259673338936995</v>
      </c>
      <c r="G368" s="1">
        <v>-0.005886366031689683</v>
      </c>
      <c r="H368" s="1">
        <v>-0.004178227754148223</v>
      </c>
      <c r="I368" s="1">
        <v>-0.007114998916967097</v>
      </c>
      <c r="J368" s="1">
        <v>0.01959669419892784</v>
      </c>
      <c r="K368" s="1">
        <v>0.01624457383696409</v>
      </c>
      <c r="L368" s="1">
        <v>0.02193000401236489</v>
      </c>
      <c r="M368" s="1">
        <v>0.01044936468987645</v>
      </c>
      <c r="N368" s="1">
        <v>0.005564053652642675</v>
      </c>
      <c r="O368" s="1">
        <v>-0.001619945721673566</v>
      </c>
      <c r="P368" s="1">
        <v>0.012428365840782</v>
      </c>
      <c r="Q368" s="1">
        <v>0.004221104914643892</v>
      </c>
      <c r="R368" s="1">
        <v>-0.0003066487966211229</v>
      </c>
      <c r="S368" s="1">
        <v>-0.008798847448131641</v>
      </c>
      <c r="T368" s="1">
        <v>0.01839969337745972</v>
      </c>
      <c r="U368" s="1">
        <v>-0.00128344439335093</v>
      </c>
      <c r="V368" s="1">
        <v>-0.0171071404953802</v>
      </c>
      <c r="W368" s="1">
        <v>0.007949294947084296</v>
      </c>
      <c r="X368" s="1">
        <v>0.01391225927060113</v>
      </c>
      <c r="Y368" s="1">
        <v>-0.001287030747465279</v>
      </c>
      <c r="Z368" s="1">
        <v>0.006265859171438404</v>
      </c>
    </row>
    <row r="369" spans="1:26">
      <c r="A369" s="11">
        <v>42906</v>
      </c>
      <c r="B369" s="1">
        <v>-0.04215191433177179</v>
      </c>
      <c r="C369" s="1">
        <v>-0.003767345835514968</v>
      </c>
      <c r="D369" s="1">
        <v>0.005541561563528585</v>
      </c>
      <c r="E369" s="1">
        <v>0.007967892441488322</v>
      </c>
      <c r="F369" s="1">
        <v>-0.03373169445266255</v>
      </c>
      <c r="G369" s="1">
        <v>-0.01044918165117303</v>
      </c>
      <c r="H369" s="1">
        <v>-0.002736322101650646</v>
      </c>
      <c r="I369" s="1">
        <v>-0.007480735171653485</v>
      </c>
      <c r="J369" s="1">
        <v>0.007913657735633794</v>
      </c>
      <c r="K369" s="1">
        <v>-0.01245904757365701</v>
      </c>
      <c r="L369" s="1">
        <v>-0.006244526044333121</v>
      </c>
      <c r="M369" s="1">
        <v>-0.009684579639284596</v>
      </c>
      <c r="N369" s="1">
        <v>-0.004890047034810774</v>
      </c>
      <c r="O369" s="1">
        <v>-0.004242502382333369</v>
      </c>
      <c r="P369" s="1">
        <v>-0.01354609772080317</v>
      </c>
      <c r="Q369" s="1">
        <v>0.002292413444763275</v>
      </c>
      <c r="R369" s="1">
        <v>-0.01840802988207779</v>
      </c>
      <c r="S369" s="1">
        <v>-0.0001418258171415054</v>
      </c>
      <c r="T369" s="1">
        <v>0.002688945004063692</v>
      </c>
      <c r="U369" s="1">
        <v>-0.006425095576709228</v>
      </c>
      <c r="V369" s="1">
        <v>-0.01547089356213416</v>
      </c>
      <c r="W369" s="1">
        <v>-0.003290783603469793</v>
      </c>
      <c r="X369" s="1">
        <v>-0.02536337853265513</v>
      </c>
      <c r="Y369" s="1">
        <v>-0.01352805082822905</v>
      </c>
      <c r="Z369" s="1">
        <v>-0.009225064471456657</v>
      </c>
    </row>
    <row r="370" spans="1:26">
      <c r="A370" s="11">
        <v>42907</v>
      </c>
      <c r="B370" s="1">
        <v>-0.04316826314286415</v>
      </c>
      <c r="C370" s="1">
        <v>0.004235563118831109</v>
      </c>
      <c r="D370" s="1">
        <v>0.002839149728892432</v>
      </c>
      <c r="E370" s="1">
        <v>0.007366576228753363</v>
      </c>
      <c r="F370" s="1">
        <v>-0.002723649611707346</v>
      </c>
      <c r="G370" s="1">
        <v>-0.01513556052968201</v>
      </c>
      <c r="H370" s="1">
        <v>-0.01042616513273642</v>
      </c>
      <c r="I370" s="1">
        <v>-0.009996799578245064</v>
      </c>
      <c r="J370" s="1">
        <v>-0.006730422152152138</v>
      </c>
      <c r="K370" s="1">
        <v>-0.01332998929199236</v>
      </c>
      <c r="L370" s="1">
        <v>-0.004570395509602587</v>
      </c>
      <c r="M370" s="1">
        <v>0.01160265836679497</v>
      </c>
      <c r="N370" s="1">
        <v>-0.003879333074360169</v>
      </c>
      <c r="O370" s="1">
        <v>-0.005012588907486237</v>
      </c>
      <c r="P370" s="1">
        <v>0.005149346801910593</v>
      </c>
      <c r="Q370" s="1">
        <v>-0.008006122317332331</v>
      </c>
      <c r="R370" s="1">
        <v>-0.01937791607736949</v>
      </c>
      <c r="S370" s="1">
        <v>0.00259736365754093</v>
      </c>
      <c r="T370" s="1">
        <v>-0.007151406366372348</v>
      </c>
      <c r="U370" s="1">
        <v>-0.01319196956667057</v>
      </c>
      <c r="V370" s="1">
        <v>-0.007660494227146764</v>
      </c>
      <c r="W370" s="1">
        <v>-0.0003984610067323535</v>
      </c>
      <c r="X370" s="1">
        <v>-0.01471855347245621</v>
      </c>
      <c r="Y370" s="1">
        <v>-0.01153645931254044</v>
      </c>
      <c r="Z370" s="1">
        <v>-0.0146648953721692</v>
      </c>
    </row>
    <row r="371" spans="1:26">
      <c r="A371" s="11">
        <v>42908</v>
      </c>
      <c r="B371" s="1">
        <v>-0.0006568139958074148</v>
      </c>
      <c r="C371" s="1">
        <v>0.001355517575262644</v>
      </c>
      <c r="D371" s="1">
        <v>0.01049094158862651</v>
      </c>
      <c r="E371" s="1">
        <v>0.02247185047277478</v>
      </c>
      <c r="F371" s="1">
        <v>-0.008440844746156362</v>
      </c>
      <c r="G371" s="1">
        <v>0.00393120065382413</v>
      </c>
      <c r="H371" s="1">
        <v>-0.002772444116202255</v>
      </c>
      <c r="I371" s="1">
        <v>-0.00737287732149472</v>
      </c>
      <c r="J371" s="1">
        <v>0</v>
      </c>
      <c r="K371" s="1">
        <v>0.008926366562216126</v>
      </c>
      <c r="L371" s="1">
        <v>-0.001147900885405395</v>
      </c>
      <c r="M371" s="1">
        <v>0.008028762787538612</v>
      </c>
      <c r="N371" s="1">
        <v>-0.007139888394268268</v>
      </c>
      <c r="O371" s="1">
        <v>-0.00906768883611353</v>
      </c>
      <c r="P371" s="1">
        <v>-0.0001424163304059034</v>
      </c>
      <c r="Q371" s="1">
        <v>-0.003842945656665431</v>
      </c>
      <c r="R371" s="1">
        <v>0</v>
      </c>
      <c r="S371" s="1">
        <v>-0.005275379516239909</v>
      </c>
      <c r="T371" s="1">
        <v>-0.00182894472429318</v>
      </c>
      <c r="U371" s="1">
        <v>-0.00131056777591454</v>
      </c>
      <c r="V371" s="1">
        <v>0.002177425659616317</v>
      </c>
      <c r="W371" s="1">
        <v>-0.0007401029833290496</v>
      </c>
      <c r="X371" s="1">
        <v>-0.0177528472481846</v>
      </c>
      <c r="Y371" s="1">
        <v>0.0002201058218720409</v>
      </c>
      <c r="Z371" s="1">
        <v>-0.0007083146177031541</v>
      </c>
    </row>
    <row r="372" spans="1:26">
      <c r="A372" s="11">
        <v>42909</v>
      </c>
      <c r="B372" s="1">
        <v>0.009861771919462914</v>
      </c>
      <c r="C372" s="1">
        <v>0.0139892447511305</v>
      </c>
      <c r="D372" s="1">
        <v>0.01153622095301654</v>
      </c>
      <c r="E372" s="1">
        <v>-0.0120356714114217</v>
      </c>
      <c r="F372" s="1">
        <v>-0.01101617297260304</v>
      </c>
      <c r="G372" s="1">
        <v>-0.001424190920585322</v>
      </c>
      <c r="H372" s="1">
        <v>-0.006858174876408385</v>
      </c>
      <c r="I372" s="1">
        <v>-0.002099203418937101</v>
      </c>
      <c r="J372" s="1">
        <v>0.005082094607542942</v>
      </c>
      <c r="K372" s="1">
        <v>0</v>
      </c>
      <c r="L372" s="1">
        <v>-0.001839065535318651</v>
      </c>
      <c r="M372" s="1">
        <v>0.006502013828929343</v>
      </c>
      <c r="N372" s="1">
        <v>0.0001305385630172573</v>
      </c>
      <c r="O372" s="1">
        <v>-0.007880187933665073</v>
      </c>
      <c r="P372" s="1">
        <v>0.01352157455545422</v>
      </c>
      <c r="Q372" s="1">
        <v>-0.004244101826002322</v>
      </c>
      <c r="R372" s="1">
        <v>-0.003824879456021169</v>
      </c>
      <c r="S372" s="1">
        <v>0.009139223678978015</v>
      </c>
      <c r="T372" s="1">
        <v>0.006624346536158843</v>
      </c>
      <c r="U372" s="1">
        <v>-0.003937180398615903</v>
      </c>
      <c r="V372" s="1">
        <v>0.002567487508611688</v>
      </c>
      <c r="W372" s="1">
        <v>-0.005870349387881224</v>
      </c>
      <c r="X372" s="1">
        <v>0.009036810958161778</v>
      </c>
      <c r="Y372" s="1">
        <v>-0.0006604502714805394</v>
      </c>
      <c r="Z372" s="1">
        <v>-0.008747536055941585</v>
      </c>
    </row>
    <row r="373" spans="1:26">
      <c r="A373" s="11">
        <v>42912</v>
      </c>
      <c r="B373" s="1">
        <v>0.002821165390992419</v>
      </c>
      <c r="C373" s="1">
        <v>-0.01112607175101543</v>
      </c>
      <c r="D373" s="1">
        <v>-0.006516801558108631</v>
      </c>
      <c r="E373" s="1">
        <v>0.004943177665116538</v>
      </c>
      <c r="F373" s="1">
        <v>0.002278230378759849</v>
      </c>
      <c r="G373" s="1">
        <v>0.01176480424687676</v>
      </c>
      <c r="H373" s="1">
        <v>0.003919408259910551</v>
      </c>
      <c r="I373" s="1">
        <v>-0.00202295083013071</v>
      </c>
      <c r="J373" s="1">
        <v>0.02022507574346522</v>
      </c>
      <c r="K373" s="1">
        <v>0.01780150788451085</v>
      </c>
      <c r="L373" s="1">
        <v>0.004375351487616141</v>
      </c>
      <c r="M373" s="1">
        <v>-0.002745450840921704</v>
      </c>
      <c r="N373" s="1">
        <v>0.0005229568882274549</v>
      </c>
      <c r="O373" s="1">
        <v>0.001152875484887295</v>
      </c>
      <c r="P373" s="1">
        <v>-0.00954900922174251</v>
      </c>
      <c r="Q373" s="1">
        <v>0.01046119071968743</v>
      </c>
      <c r="R373" s="1">
        <v>0.01087845715127012</v>
      </c>
      <c r="S373" s="1">
        <v>-0.002909128258420046</v>
      </c>
      <c r="T373" s="1">
        <v>0.005264407693202244</v>
      </c>
      <c r="U373" s="1">
        <v>0.005270217814671296</v>
      </c>
      <c r="V373" s="1">
        <v>0.01418422790384666</v>
      </c>
      <c r="W373" s="1">
        <v>-0.006936186207540773</v>
      </c>
      <c r="X373" s="1">
        <v>-0.004587188070410031</v>
      </c>
      <c r="Y373" s="1">
        <v>0.007931197646605881</v>
      </c>
      <c r="Z373" s="1">
        <v>0.009778240236605562</v>
      </c>
    </row>
    <row r="374" spans="1:26">
      <c r="A374" s="11">
        <v>42913</v>
      </c>
      <c r="B374" s="1">
        <v>0</v>
      </c>
      <c r="C374" s="1">
        <v>-0.005450476497644186</v>
      </c>
      <c r="D374" s="1">
        <v>-0.004755727177184088</v>
      </c>
      <c r="E374" s="1">
        <v>-0.01791964836507709</v>
      </c>
      <c r="F374" s="1">
        <v>-0.008587823972630915</v>
      </c>
      <c r="G374" s="1">
        <v>-0.007046946081967875</v>
      </c>
      <c r="H374" s="1">
        <v>-0.01691786065410006</v>
      </c>
      <c r="I374" s="1">
        <v>-0.01094421687646419</v>
      </c>
      <c r="J374" s="1">
        <v>-0.02147616012560005</v>
      </c>
      <c r="K374" s="1">
        <v>-0.003782174032269214</v>
      </c>
      <c r="L374" s="1">
        <v>0.009284905931710608</v>
      </c>
      <c r="M374" s="1">
        <v>-0.003886760551121804</v>
      </c>
      <c r="N374" s="1">
        <v>-0.01502688604870095</v>
      </c>
      <c r="O374" s="1">
        <v>-0.003070870302363304</v>
      </c>
      <c r="P374" s="1">
        <v>-0.01871553546103655</v>
      </c>
      <c r="Q374" s="1">
        <v>-0.007668601445544931</v>
      </c>
      <c r="R374" s="1">
        <v>-0.006171664396014021</v>
      </c>
      <c r="S374" s="1">
        <v>-0.01044771254394128</v>
      </c>
      <c r="T374" s="1">
        <v>-0.002283973297511288</v>
      </c>
      <c r="U374" s="1">
        <v>-0.01179555396399024</v>
      </c>
      <c r="V374" s="1">
        <v>0.01146085080405745</v>
      </c>
      <c r="W374" s="1">
        <v>0.002713128843757406</v>
      </c>
      <c r="X374" s="1">
        <v>0.01931090443464667</v>
      </c>
      <c r="Y374" s="1">
        <v>-0.01989057996319343</v>
      </c>
      <c r="Z374" s="1">
        <v>0.004724070251039381</v>
      </c>
    </row>
    <row r="375" spans="1:26">
      <c r="A375" s="11">
        <v>42914</v>
      </c>
      <c r="B375" s="1">
        <v>0.02012551118323347</v>
      </c>
      <c r="C375" s="1">
        <v>0.003670228525828989</v>
      </c>
      <c r="D375" s="1">
        <v>0.002966156471660986</v>
      </c>
      <c r="E375" s="1">
        <v>-0.0005365898365853328</v>
      </c>
      <c r="F375" s="1">
        <v>0.01554143468995561</v>
      </c>
      <c r="G375" s="1">
        <v>-0.01242007913091125</v>
      </c>
      <c r="H375" s="1">
        <v>0.0001893487028405971</v>
      </c>
      <c r="I375" s="1">
        <v>0.01705095580465454</v>
      </c>
      <c r="J375" s="1">
        <v>0.01463147595528902</v>
      </c>
      <c r="K375" s="1">
        <v>0.01731959356220769</v>
      </c>
      <c r="L375" s="1">
        <v>0.02010203512709374</v>
      </c>
      <c r="M375" s="1">
        <v>0.0081287865316646</v>
      </c>
      <c r="N375" s="1">
        <v>0.006102317869546292</v>
      </c>
      <c r="O375" s="1">
        <v>0.0102682603140094</v>
      </c>
      <c r="P375" s="1">
        <v>0.008524914335283684</v>
      </c>
      <c r="Q375" s="1">
        <v>-0.01506949202760721</v>
      </c>
      <c r="R375" s="1">
        <v>0.04076393587356364</v>
      </c>
      <c r="S375" s="1">
        <v>-0.003947380089976082</v>
      </c>
      <c r="T375" s="1">
        <v>0.008013074090889249</v>
      </c>
      <c r="U375" s="1">
        <v>0.006366108863818276</v>
      </c>
      <c r="V375" s="1">
        <v>-0.0001922738779881472</v>
      </c>
      <c r="W375" s="1">
        <v>0.01191710829719916</v>
      </c>
      <c r="X375" s="1">
        <v>0.0114102703903125</v>
      </c>
      <c r="Y375" s="1">
        <v>0</v>
      </c>
      <c r="Z375" s="1">
        <v>0.01010799908966731</v>
      </c>
    </row>
    <row r="376" spans="1:26">
      <c r="A376" s="11">
        <v>42915</v>
      </c>
      <c r="B376" s="1">
        <v>0.006576120899492999</v>
      </c>
      <c r="C376" s="1">
        <v>-0.01082042746792911</v>
      </c>
      <c r="D376" s="1">
        <v>-0.01166461828385001</v>
      </c>
      <c r="E376" s="1">
        <v>-0.0008950184882339229</v>
      </c>
      <c r="F376" s="1">
        <v>-0.02483714164881845</v>
      </c>
      <c r="G376" s="1">
        <v>-0.01329502547921746</v>
      </c>
      <c r="H376" s="1">
        <v>-0.01701663056109026</v>
      </c>
      <c r="I376" s="1">
        <v>-0.01263444147843185</v>
      </c>
      <c r="J376" s="1">
        <v>-0.02551308412204722</v>
      </c>
      <c r="K376" s="1">
        <v>-0.00769607452220622</v>
      </c>
      <c r="L376" s="1">
        <v>0.01480738117760882</v>
      </c>
      <c r="M376" s="1">
        <v>-0.003225144566971982</v>
      </c>
      <c r="N376" s="1">
        <v>-0.01898751408740496</v>
      </c>
      <c r="O376" s="1">
        <v>-0.01333989284893322</v>
      </c>
      <c r="P376" s="1">
        <v>-0.01876807634981303</v>
      </c>
      <c r="Q376" s="1">
        <v>-0.003923150621747973</v>
      </c>
      <c r="R376" s="1">
        <v>-0.0007648320409250342</v>
      </c>
      <c r="S376" s="1">
        <v>-0.008928860073964984</v>
      </c>
      <c r="T376" s="1">
        <v>-0.02323930545889563</v>
      </c>
      <c r="U376" s="1">
        <v>-0.008434620593224529</v>
      </c>
      <c r="V376" s="1">
        <v>0.0005765479413171182</v>
      </c>
      <c r="W376" s="1">
        <v>-0.01069577813791822</v>
      </c>
      <c r="X376" s="1">
        <v>-0.007237277959759925</v>
      </c>
      <c r="Y376" s="1">
        <v>-0.009589651405258692</v>
      </c>
      <c r="Z376" s="1">
        <v>0.02373695688121247</v>
      </c>
    </row>
    <row r="377" spans="1:26">
      <c r="A377" s="11">
        <v>42916</v>
      </c>
      <c r="B377" s="1">
        <v>0.01011585764472844</v>
      </c>
      <c r="C377" s="1">
        <v>0.001468701783748028</v>
      </c>
      <c r="D377" s="1">
        <v>0.006316767853335348</v>
      </c>
      <c r="E377" s="1">
        <v>-0.001791450110123383</v>
      </c>
      <c r="F377" s="1">
        <v>0.005373293187052264</v>
      </c>
      <c r="G377" s="1">
        <v>-0.002913454558144402</v>
      </c>
      <c r="H377" s="1">
        <v>0.003077552816451057</v>
      </c>
      <c r="I377" s="1">
        <v>0.01378045162853514</v>
      </c>
      <c r="J377" s="1">
        <v>-0.00512266283486118</v>
      </c>
      <c r="K377" s="1">
        <v>0.01903642541303796</v>
      </c>
      <c r="L377" s="1">
        <v>0.002742712006369885</v>
      </c>
      <c r="M377" s="1">
        <v>0.005338786503057635</v>
      </c>
      <c r="N377" s="1">
        <v>0.0009413061824408153</v>
      </c>
      <c r="O377" s="1">
        <v>0.00386251973804308</v>
      </c>
      <c r="P377" s="1">
        <v>0.006424246969599867</v>
      </c>
      <c r="Q377" s="1">
        <v>-0.001181772551797744</v>
      </c>
      <c r="R377" s="1">
        <v>0.01117773317585669</v>
      </c>
      <c r="S377" s="1">
        <v>0.004625022887152275</v>
      </c>
      <c r="T377" s="1">
        <v>-0.004763958503486432</v>
      </c>
      <c r="U377" s="1">
        <v>0.002924667195371988</v>
      </c>
      <c r="V377" s="1">
        <v>0.003839676335129605</v>
      </c>
      <c r="W377" s="1">
        <v>0.00333499497995482</v>
      </c>
      <c r="X377" s="1">
        <v>0.009862919539737058</v>
      </c>
      <c r="Y377" s="1">
        <v>0.005629182091831053</v>
      </c>
      <c r="Z377" s="1">
        <v>-0.001818406261134276</v>
      </c>
    </row>
    <row r="378" spans="1:26">
      <c r="A378" s="11">
        <v>42919</v>
      </c>
      <c r="B378" s="1">
        <v>0.02920961624766605</v>
      </c>
      <c r="C378" s="1">
        <v>0.004247657834869578</v>
      </c>
      <c r="D378" s="1">
        <v>-0.004955234881121706</v>
      </c>
      <c r="E378" s="1">
        <v>0.009870944536968018</v>
      </c>
      <c r="F378" s="1">
        <v>-0.0143890048351295</v>
      </c>
      <c r="G378" s="1">
        <v>0.007304596584268186</v>
      </c>
      <c r="H378" s="1">
        <v>0.0007670786454037071</v>
      </c>
      <c r="I378" s="1">
        <v>0.01100405144357008</v>
      </c>
      <c r="J378" s="1">
        <v>0.004576890861144767</v>
      </c>
      <c r="K378" s="1">
        <v>-0.002536672929179917</v>
      </c>
      <c r="L378" s="1">
        <v>0.02035187722523557</v>
      </c>
      <c r="M378" s="1">
        <v>-0.001126290581588418</v>
      </c>
      <c r="N378" s="1">
        <v>0.0008053652590829241</v>
      </c>
      <c r="O378" s="1">
        <v>0.000641561739358254</v>
      </c>
      <c r="P378" s="1">
        <v>-0.01102579010575855</v>
      </c>
      <c r="Q378" s="1">
        <v>-0.001577122992443503</v>
      </c>
      <c r="R378" s="1">
        <v>0.01453615983222467</v>
      </c>
      <c r="S378" s="1">
        <v>0.02014122791058348</v>
      </c>
      <c r="T378" s="1">
        <v>0.006468013817040763</v>
      </c>
      <c r="U378" s="1">
        <v>0.01007113438497997</v>
      </c>
      <c r="V378" s="1">
        <v>0.00688469410613668</v>
      </c>
      <c r="W378" s="1">
        <v>-0.0003437846745242279</v>
      </c>
      <c r="X378" s="1">
        <v>0.0133757251236275</v>
      </c>
      <c r="Y378" s="1">
        <v>0.007613093836911222</v>
      </c>
      <c r="Z378" s="1">
        <v>0.01867463554384918</v>
      </c>
    </row>
    <row r="379" spans="1:26">
      <c r="A379" s="11">
        <v>42921</v>
      </c>
      <c r="B379" s="1">
        <v>-0.03405675476001824</v>
      </c>
      <c r="C379" s="1">
        <v>0.01621432046304405</v>
      </c>
      <c r="D379" s="1">
        <v>0.007801946827861839</v>
      </c>
      <c r="E379" s="1">
        <v>0.008410829042742929</v>
      </c>
      <c r="F379" s="1">
        <v>0.009124402408889454</v>
      </c>
      <c r="G379" s="1">
        <v>-0.004713753731809378</v>
      </c>
      <c r="H379" s="1">
        <v>-0.003640601395993759</v>
      </c>
      <c r="I379" s="1">
        <v>0.005202112411400783</v>
      </c>
      <c r="J379" s="1">
        <v>0.005125431448387729</v>
      </c>
      <c r="K379" s="1">
        <v>0.007398326005910283</v>
      </c>
      <c r="L379" s="1">
        <v>0.01002670627174385</v>
      </c>
      <c r="M379" s="1">
        <v>0.01756052442630596</v>
      </c>
      <c r="N379" s="1">
        <v>0.001073518916761662</v>
      </c>
      <c r="O379" s="1">
        <v>0.001410188632836817</v>
      </c>
      <c r="P379" s="1">
        <v>0.01334921920711762</v>
      </c>
      <c r="Q379" s="1">
        <v>0.00118483724232421</v>
      </c>
      <c r="R379" s="1">
        <v>-0.009104150267691402</v>
      </c>
      <c r="S379" s="1">
        <v>-0.02195276574940275</v>
      </c>
      <c r="T379" s="1">
        <v>-0.006086697940143493</v>
      </c>
      <c r="U379" s="1">
        <v>0.0002626045251408193</v>
      </c>
      <c r="V379" s="1">
        <v>-0.009307076378704982</v>
      </c>
      <c r="W379" s="1">
        <v>0.007626082773623644</v>
      </c>
      <c r="X379" s="1">
        <v>0.006285110334604438</v>
      </c>
      <c r="Y379" s="1">
        <v>-0.007777753995458769</v>
      </c>
      <c r="Z379" s="1">
        <v>0.0002236817541536595</v>
      </c>
    </row>
    <row r="380" spans="1:26">
      <c r="A380" s="11">
        <v>42922</v>
      </c>
      <c r="B380" s="1">
        <v>-0.03945435342883108</v>
      </c>
      <c r="C380" s="1">
        <v>-0.001635160262636659</v>
      </c>
      <c r="D380" s="1">
        <v>-0.009059728048982585</v>
      </c>
      <c r="E380" s="1">
        <v>-0.018988567054396</v>
      </c>
      <c r="F380" s="1">
        <v>-0.01188327446681126</v>
      </c>
      <c r="G380" s="1">
        <v>-0.006192831602200632</v>
      </c>
      <c r="H380" s="1">
        <v>-0.006153921708053955</v>
      </c>
      <c r="I380" s="1">
        <v>-0.004060395246973991</v>
      </c>
      <c r="J380" s="1">
        <v>-0.02606244767659249</v>
      </c>
      <c r="K380" s="1">
        <v>-0.01193440312994209</v>
      </c>
      <c r="L380" s="1">
        <v>-0.003202099243567957</v>
      </c>
      <c r="M380" s="1">
        <v>0.003166694203827536</v>
      </c>
      <c r="N380" s="1">
        <v>-0.003886750193176969</v>
      </c>
      <c r="O380" s="1">
        <v>-0.005760632865318471</v>
      </c>
      <c r="P380" s="1">
        <v>-0.007382976901022742</v>
      </c>
      <c r="Q380" s="1">
        <v>-0.005917478714956625</v>
      </c>
      <c r="R380" s="1">
        <v>0.01220008555080399</v>
      </c>
      <c r="S380" s="1">
        <v>-0.01297707211432331</v>
      </c>
      <c r="T380" s="1">
        <v>-0.003560388303742612</v>
      </c>
      <c r="U380" s="1">
        <v>-0.007772284659409934</v>
      </c>
      <c r="V380" s="1">
        <v>-0.01380361459670032</v>
      </c>
      <c r="W380" s="1">
        <v>-0.003983289475852247</v>
      </c>
      <c r="X380" s="1">
        <v>-0.01249186965861082</v>
      </c>
      <c r="Y380" s="1">
        <v>-0.0125247678637167</v>
      </c>
      <c r="Z380" s="1">
        <v>-0.01385781478654824</v>
      </c>
    </row>
    <row r="381" spans="1:26">
      <c r="A381" s="11">
        <v>42923</v>
      </c>
      <c r="B381" s="1">
        <v>-0.01441974462897855</v>
      </c>
      <c r="C381" s="1">
        <v>0.004417293059344463</v>
      </c>
      <c r="D381" s="1">
        <v>0.009308836118231412</v>
      </c>
      <c r="E381" s="1">
        <v>0.01139656247138809</v>
      </c>
      <c r="F381" s="1">
        <v>0.008366159777300819</v>
      </c>
      <c r="G381" s="1">
        <v>0.001466108128155286</v>
      </c>
      <c r="H381" s="1">
        <v>-0.001934982687484599</v>
      </c>
      <c r="I381" s="1">
        <v>0.01239115183173811</v>
      </c>
      <c r="J381" s="1">
        <v>0.009308054043653424</v>
      </c>
      <c r="K381" s="1">
        <v>0.002555372453581173</v>
      </c>
      <c r="L381" s="1">
        <v>0.005032903455705728</v>
      </c>
      <c r="M381" s="1">
        <v>0.01388891523629598</v>
      </c>
      <c r="N381" s="1">
        <v>-0.0009419207615507519</v>
      </c>
      <c r="O381" s="1">
        <v>0.0133906416986993</v>
      </c>
      <c r="P381" s="1">
        <v>0.01297976040071558</v>
      </c>
      <c r="Q381" s="1">
        <v>0.004762224009784211</v>
      </c>
      <c r="R381" s="1">
        <v>0.006250368814954443</v>
      </c>
      <c r="S381" s="1">
        <v>0.008132380408173434</v>
      </c>
      <c r="T381" s="1">
        <v>0.006289017581000422</v>
      </c>
      <c r="U381" s="1">
        <v>-0.005379484262977408</v>
      </c>
      <c r="V381" s="1">
        <v>-0.007192601461895154</v>
      </c>
      <c r="W381" s="1">
        <v>0.01399668709422541</v>
      </c>
      <c r="X381" s="1">
        <v>0.01328266170911729</v>
      </c>
      <c r="Y381" s="1">
        <v>-0.0009195871562918123</v>
      </c>
      <c r="Z381" s="1">
        <v>0.007252993203193725</v>
      </c>
    </row>
    <row r="382" spans="1:26">
      <c r="A382" s="11">
        <v>42926</v>
      </c>
      <c r="B382" s="1">
        <v>0.04433593638551447</v>
      </c>
      <c r="C382" s="1">
        <v>0.007856945152060479</v>
      </c>
      <c r="D382" s="1">
        <v>-0.002799945089711375</v>
      </c>
      <c r="E382" s="1">
        <v>0.0003577638194298682</v>
      </c>
      <c r="F382" s="1">
        <v>0.004925672161289141</v>
      </c>
      <c r="G382" s="1">
        <v>-0.001830044557606603</v>
      </c>
      <c r="H382" s="1">
        <v>-0.0120200276720358</v>
      </c>
      <c r="I382" s="1">
        <v>0.01184459933043369</v>
      </c>
      <c r="J382" s="1">
        <v>0.02997094907113396</v>
      </c>
      <c r="K382" s="1">
        <v>0.005096961711446246</v>
      </c>
      <c r="L382" s="1">
        <v>-0.007032353159759253</v>
      </c>
      <c r="M382" s="1">
        <v>-0.01727899916104492</v>
      </c>
      <c r="N382" s="1">
        <v>-0.007542171482360804</v>
      </c>
      <c r="O382" s="1">
        <v>-0.003064397461237989</v>
      </c>
      <c r="P382" s="1">
        <v>0.007486298413950543</v>
      </c>
      <c r="Q382" s="1">
        <v>-0.004344369471578013</v>
      </c>
      <c r="R382" s="1">
        <v>0.01271803454878717</v>
      </c>
      <c r="S382" s="1">
        <v>-0.01767892957079553</v>
      </c>
      <c r="T382" s="1">
        <v>-0.0002842544642572831</v>
      </c>
      <c r="U382" s="1">
        <v>-0.0040561452887663</v>
      </c>
      <c r="V382" s="1">
        <v>-0.01742725614863261</v>
      </c>
      <c r="W382" s="1">
        <v>0.001014246186060497</v>
      </c>
      <c r="X382" s="1">
        <v>0.00957142464678995</v>
      </c>
      <c r="Y382" s="1">
        <v>-0.006439378813797081</v>
      </c>
      <c r="Z382" s="1">
        <v>0.004950377222844082</v>
      </c>
    </row>
    <row r="383" spans="1:26">
      <c r="A383" s="11">
        <v>42927</v>
      </c>
      <c r="B383" s="1">
        <v>0.001910412371133985</v>
      </c>
      <c r="C383" s="1">
        <v>0.01132570241085529</v>
      </c>
      <c r="D383" s="1">
        <v>0.001321590911244064</v>
      </c>
      <c r="E383" s="1">
        <v>-0.01072775502527934</v>
      </c>
      <c r="F383" s="1">
        <v>0.0002582538195465833</v>
      </c>
      <c r="G383" s="1">
        <v>-0.004033645928023355</v>
      </c>
      <c r="H383" s="1">
        <v>0.009879153750522507</v>
      </c>
      <c r="I383" s="1">
        <v>-0.0006243888446336721</v>
      </c>
      <c r="J383" s="1">
        <v>0.003917266947353948</v>
      </c>
      <c r="K383" s="1">
        <v>-0.00691544934289523</v>
      </c>
      <c r="L383" s="1">
        <v>-0.003863117791672477</v>
      </c>
      <c r="M383" s="1">
        <v>-0.02090910500307896</v>
      </c>
      <c r="N383" s="1">
        <v>-0.00352863147750182</v>
      </c>
      <c r="O383" s="1">
        <v>-0.008707673347925549</v>
      </c>
      <c r="P383" s="1">
        <v>0.0001428256506190717</v>
      </c>
      <c r="Q383" s="1">
        <v>-0.001586811687126377</v>
      </c>
      <c r="R383" s="1">
        <v>0.0005841296626756254</v>
      </c>
      <c r="S383" s="1">
        <v>-0.0005408779272902953</v>
      </c>
      <c r="T383" s="1">
        <v>0.003807506705974184</v>
      </c>
      <c r="U383" s="1">
        <v>-0.006244842812376361</v>
      </c>
      <c r="V383" s="1">
        <v>0.004583475446743313</v>
      </c>
      <c r="W383" s="1">
        <v>0.005459539667007851</v>
      </c>
      <c r="X383" s="1">
        <v>0.004328062610543748</v>
      </c>
      <c r="Y383" s="1">
        <v>-0.007176038684933328</v>
      </c>
      <c r="Z383" s="1">
        <v>0.01209151352596649</v>
      </c>
    </row>
    <row r="384" spans="1:26">
      <c r="A384" s="11">
        <v>42928</v>
      </c>
      <c r="B384" s="1">
        <v>0.008051113897769024</v>
      </c>
      <c r="C384" s="1">
        <v>0.0008240822634604239</v>
      </c>
      <c r="D384" s="1">
        <v>0.01072034222418217</v>
      </c>
      <c r="E384" s="1">
        <v>-0.005241477591133248</v>
      </c>
      <c r="F384" s="1">
        <v>0.006448113327943261</v>
      </c>
      <c r="G384" s="1">
        <v>0.01178170708710202</v>
      </c>
      <c r="H384" s="1">
        <v>0.005478400414180351</v>
      </c>
      <c r="I384" s="1">
        <v>-0.03576456107015091</v>
      </c>
      <c r="J384" s="1">
        <v>0.005574343091544254</v>
      </c>
      <c r="K384" s="1">
        <v>0.007428171063973643</v>
      </c>
      <c r="L384" s="1">
        <v>-0.00344722260862107</v>
      </c>
      <c r="M384" s="1">
        <v>0.004368091734371138</v>
      </c>
      <c r="N384" s="1">
        <v>0.006264977474764954</v>
      </c>
      <c r="O384" s="1">
        <v>0.009688711167554764</v>
      </c>
      <c r="P384" s="1">
        <v>0.01657408628136814</v>
      </c>
      <c r="Q384" s="1">
        <v>0.01589180878983809</v>
      </c>
      <c r="R384" s="1">
        <v>0</v>
      </c>
      <c r="S384" s="1">
        <v>0.01549746687364029</v>
      </c>
      <c r="T384" s="1">
        <v>0.007614285912388441</v>
      </c>
      <c r="U384" s="1">
        <v>0.006284085941299145</v>
      </c>
      <c r="V384" s="1">
        <v>0.009125324707501381</v>
      </c>
      <c r="W384" s="1">
        <v>0.008732465498774822</v>
      </c>
      <c r="X384" s="1">
        <v>0.001641450332560357</v>
      </c>
      <c r="Y384" s="1">
        <v>0.007694126843641902</v>
      </c>
      <c r="Z384" s="1">
        <v>-0.009071221483225034</v>
      </c>
    </row>
    <row r="385" spans="1:26">
      <c r="A385" s="11">
        <v>42929</v>
      </c>
      <c r="B385" s="1">
        <v>0.013870991844664</v>
      </c>
      <c r="C385" s="1">
        <v>-0.00101715498917776</v>
      </c>
      <c r="D385" s="1">
        <v>0.000326695893359874</v>
      </c>
      <c r="E385" s="1">
        <v>-0.006722483599401086</v>
      </c>
      <c r="F385" s="1">
        <v>0.007432400995007082</v>
      </c>
      <c r="G385" s="1">
        <v>-0.004366406284556312</v>
      </c>
      <c r="H385" s="1">
        <v>-0.0007781147414906986</v>
      </c>
      <c r="I385" s="1">
        <v>0.007612614524067585</v>
      </c>
      <c r="J385" s="1">
        <v>0.002216970831971699</v>
      </c>
      <c r="K385" s="1">
        <v>0.003456183922773581</v>
      </c>
      <c r="L385" s="1">
        <v>0.006377651861781075</v>
      </c>
      <c r="M385" s="1">
        <v>-0.0009664039780219458</v>
      </c>
      <c r="N385" s="1">
        <v>-0.00554879817438525</v>
      </c>
      <c r="O385" s="1">
        <v>0.007420659386782269</v>
      </c>
      <c r="P385" s="1">
        <v>0.008713603126578873</v>
      </c>
      <c r="Q385" s="1">
        <v>-0.008603589982570603</v>
      </c>
      <c r="R385" s="1">
        <v>-0.003794391234051453</v>
      </c>
      <c r="S385" s="1">
        <v>-0.007702969238564172</v>
      </c>
      <c r="T385" s="1">
        <v>-0.002275057894655541</v>
      </c>
      <c r="U385" s="1">
        <v>-0.01683404203324668</v>
      </c>
      <c r="V385" s="1">
        <v>0.04796552606048099</v>
      </c>
      <c r="W385" s="1">
        <v>-0.0009431412963424313</v>
      </c>
      <c r="X385" s="1">
        <v>0.007785199397014608</v>
      </c>
      <c r="Y385" s="1">
        <v>0.006247180943371955</v>
      </c>
      <c r="Z385" s="1">
        <v>0.004688539512315071</v>
      </c>
    </row>
    <row r="386" spans="1:26">
      <c r="A386" s="11">
        <v>42930</v>
      </c>
      <c r="B386" s="1">
        <v>0.006633666466418386</v>
      </c>
      <c r="C386" s="1">
        <v>0.01105553869956788</v>
      </c>
      <c r="D386" s="1">
        <v>0.01321358156127928</v>
      </c>
      <c r="E386" s="1">
        <v>0.008780216839527455</v>
      </c>
      <c r="F386" s="1">
        <v>-0.002798137226860398</v>
      </c>
      <c r="G386" s="1">
        <v>0.009502482192466077</v>
      </c>
      <c r="H386" s="1">
        <v>0.007400213036903525</v>
      </c>
      <c r="I386" s="1">
        <v>0.008439137884121983</v>
      </c>
      <c r="J386" s="1">
        <v>0.01880546081010537</v>
      </c>
      <c r="K386" s="1">
        <v>0.007347575646039495</v>
      </c>
      <c r="L386" s="1">
        <v>-0.009129863948961647</v>
      </c>
      <c r="M386" s="1">
        <v>-0.001451146655721547</v>
      </c>
      <c r="N386" s="1">
        <v>0.006124138158864811</v>
      </c>
      <c r="O386" s="1">
        <v>0.001524108357242815</v>
      </c>
      <c r="P386" s="1">
        <v>0.01407266381088368</v>
      </c>
      <c r="Q386" s="1">
        <v>0.01577886450912414</v>
      </c>
      <c r="R386" s="1">
        <v>0.005713501129264831</v>
      </c>
      <c r="S386" s="1">
        <v>0.01396359189022833</v>
      </c>
      <c r="T386" s="1">
        <v>0.0037164796161826</v>
      </c>
      <c r="U386" s="1">
        <v>0.002485517569178475</v>
      </c>
      <c r="V386" s="1">
        <v>-0.001500627914327257</v>
      </c>
      <c r="W386" s="1">
        <v>0.005110012552021592</v>
      </c>
      <c r="X386" s="1">
        <v>0.009148279145929417</v>
      </c>
      <c r="Y386" s="1">
        <v>0.001609581485878087</v>
      </c>
      <c r="Z386" s="1">
        <v>-0.006221800560269108</v>
      </c>
    </row>
    <row r="387" spans="1:26">
      <c r="A387" s="11">
        <v>42933</v>
      </c>
      <c r="B387" s="1">
        <v>0.00247145663119186</v>
      </c>
      <c r="C387" s="1">
        <v>0.002350162300293279</v>
      </c>
      <c r="D387" s="1">
        <v>0.001449170957414703</v>
      </c>
      <c r="E387" s="1">
        <v>-0.006527535702634535</v>
      </c>
      <c r="F387" s="1">
        <v>0</v>
      </c>
      <c r="G387" s="1">
        <v>0.005430867509001125</v>
      </c>
      <c r="H387" s="1">
        <v>0.001159704744115864</v>
      </c>
      <c r="I387" s="1">
        <v>0.003267732924902012</v>
      </c>
      <c r="J387" s="1">
        <v>0.002714399580918903</v>
      </c>
      <c r="K387" s="1">
        <v>0.005015005137828155</v>
      </c>
      <c r="L387" s="1">
        <v>-0.009322671610811573</v>
      </c>
      <c r="M387" s="1">
        <v>0.003390814074716753</v>
      </c>
      <c r="N387" s="1">
        <v>-0.007574816440662158</v>
      </c>
      <c r="O387" s="1">
        <v>0.001648361398266962</v>
      </c>
      <c r="P387" s="1">
        <v>0.00783214805775323</v>
      </c>
      <c r="Q387" s="1">
        <v>0.002330103737604228</v>
      </c>
      <c r="R387" s="1">
        <v>-0.006118172064147664</v>
      </c>
      <c r="S387" s="1">
        <v>-0.0004335564110764523</v>
      </c>
      <c r="T387" s="1">
        <v>0.008219884473339878</v>
      </c>
      <c r="U387" s="1">
        <v>0.002479092993343368</v>
      </c>
      <c r="V387" s="1">
        <v>0.009392902340053411</v>
      </c>
      <c r="W387" s="1">
        <v>-0.0008841307738493009</v>
      </c>
      <c r="X387" s="1">
        <v>-0.002417156209497784</v>
      </c>
      <c r="Y387" s="1">
        <v>0.002295604768417725</v>
      </c>
      <c r="Z387" s="1">
        <v>-0.00849750511402958</v>
      </c>
    </row>
    <row r="388" spans="1:26">
      <c r="A388" s="11">
        <v>42934</v>
      </c>
      <c r="B388" s="1">
        <v>-0.01951529181899558</v>
      </c>
      <c r="C388" s="1">
        <v>-0.003636337433704395</v>
      </c>
      <c r="D388" s="1">
        <v>-0.0009648814645142334</v>
      </c>
      <c r="E388" s="1">
        <v>-0.0009126927286757791</v>
      </c>
      <c r="F388" s="1">
        <v>-0.0005103122903169499</v>
      </c>
      <c r="G388" s="1">
        <v>0.0003599689794644423</v>
      </c>
      <c r="H388" s="1">
        <v>-0.01544668890141043</v>
      </c>
      <c r="I388" s="1">
        <v>0.001668126898156652</v>
      </c>
      <c r="J388" s="1">
        <v>-0.00433135330768708</v>
      </c>
      <c r="K388" s="1">
        <v>-0.002041278649666411</v>
      </c>
      <c r="L388" s="1">
        <v>-0.003501221892627138</v>
      </c>
      <c r="M388" s="1">
        <v>-0.009172802293034743</v>
      </c>
      <c r="N388" s="1">
        <v>-0.0005449934838831494</v>
      </c>
      <c r="O388" s="1">
        <v>0.00202552600045447</v>
      </c>
      <c r="P388" s="1">
        <v>-0.000681893160795588</v>
      </c>
      <c r="Q388" s="1">
        <v>-0.00464927462296838</v>
      </c>
      <c r="R388" s="1">
        <v>0.003223894701762209</v>
      </c>
      <c r="S388" s="1">
        <v>-0.001830581294577471</v>
      </c>
      <c r="T388" s="1">
        <v>-0.003422612128498592</v>
      </c>
      <c r="U388" s="1">
        <v>-0.01099201834835406</v>
      </c>
      <c r="V388" s="1">
        <v>0</v>
      </c>
      <c r="W388" s="1">
        <v>-0.007964824420797934</v>
      </c>
      <c r="X388" s="1">
        <v>0.0004039914227833563</v>
      </c>
      <c r="Y388" s="1">
        <v>-0.006871326689946611</v>
      </c>
      <c r="Z388" s="1">
        <v>-0.005863796923501141</v>
      </c>
    </row>
    <row r="389" spans="1:26">
      <c r="A389" s="11">
        <v>42935</v>
      </c>
      <c r="B389" s="1">
        <v>0.05012616939066183</v>
      </c>
      <c r="C389" s="1">
        <v>0.0126777475354527</v>
      </c>
      <c r="D389" s="1">
        <v>0.004988840350078849</v>
      </c>
      <c r="E389" s="1">
        <v>0.006028599983763705</v>
      </c>
      <c r="F389" s="1">
        <v>0.00408345578927749</v>
      </c>
      <c r="G389" s="1">
        <v>-0.005399316486601746</v>
      </c>
      <c r="H389" s="1">
        <v>0.03098595577455465</v>
      </c>
      <c r="I389" s="1">
        <v>0.001744865231892101</v>
      </c>
      <c r="J389" s="1">
        <v>0.0168570877308043</v>
      </c>
      <c r="K389" s="1">
        <v>0.003408948617351859</v>
      </c>
      <c r="L389" s="1">
        <v>0.001427598290583809</v>
      </c>
      <c r="M389" s="1">
        <v>-0.00259867947230763</v>
      </c>
      <c r="N389" s="1">
        <v>0.002999956501892331</v>
      </c>
      <c r="O389" s="1">
        <v>0.0006314385923451571</v>
      </c>
      <c r="P389" s="1">
        <v>0.00763965305812242</v>
      </c>
      <c r="Q389" s="1">
        <v>-0.00155726322837979</v>
      </c>
      <c r="R389" s="1">
        <v>0.00116959532096006</v>
      </c>
      <c r="S389" s="1">
        <v>0.002702696911616842</v>
      </c>
      <c r="T389" s="1">
        <v>0.00432742970712563</v>
      </c>
      <c r="U389" s="1">
        <v>0.003890017859015771</v>
      </c>
      <c r="V389" s="1">
        <v>0.006886328438382439</v>
      </c>
      <c r="W389" s="1">
        <v>0.00446035141369272</v>
      </c>
      <c r="X389" s="1">
        <v>-0.01756169856315215</v>
      </c>
      <c r="Y389" s="1">
        <v>0.002075718059775022</v>
      </c>
      <c r="Z389" s="1">
        <v>-0.002268538519976993</v>
      </c>
    </row>
    <row r="390" spans="1:26">
      <c r="A390" s="11">
        <v>42936</v>
      </c>
      <c r="B390" s="1">
        <v>-0.01022840069129882</v>
      </c>
      <c r="C390" s="1">
        <v>-0.0028453083857235</v>
      </c>
      <c r="D390" s="1">
        <v>0.009447817891246935</v>
      </c>
      <c r="E390" s="1">
        <v>0.006718723854565178</v>
      </c>
      <c r="F390" s="1">
        <v>0.003812930888325239</v>
      </c>
      <c r="G390" s="1">
        <v>0.01520068598267055</v>
      </c>
      <c r="H390" s="1">
        <v>-0.01236446667426516</v>
      </c>
      <c r="I390" s="1">
        <v>-0.005621124721918669</v>
      </c>
      <c r="J390" s="1">
        <v>0.01283416879758192</v>
      </c>
      <c r="K390" s="1">
        <v>-0.0009059786667067193</v>
      </c>
      <c r="L390" s="1">
        <v>0</v>
      </c>
      <c r="M390" s="1">
        <v>-0.01644670780295043</v>
      </c>
      <c r="N390" s="1">
        <v>0.0005436597082650874</v>
      </c>
      <c r="O390" s="1">
        <v>0.005555792256177083</v>
      </c>
      <c r="P390" s="1">
        <v>0.004873904841689924</v>
      </c>
      <c r="Q390" s="1">
        <v>0.006627966713242506</v>
      </c>
      <c r="R390" s="1">
        <v>0.0002920866146081114</v>
      </c>
      <c r="S390" s="1">
        <v>-0.001155008682865888</v>
      </c>
      <c r="T390" s="1">
        <v>-0.02485260342715911</v>
      </c>
      <c r="U390" s="1">
        <v>0.01079449227440343</v>
      </c>
      <c r="V390" s="1">
        <v>0.008872476197922641</v>
      </c>
      <c r="W390" s="1">
        <v>0.007771388216829322</v>
      </c>
      <c r="X390" s="1">
        <v>-0.0008217766366681589</v>
      </c>
      <c r="Y390" s="1">
        <v>0.01772112269240478</v>
      </c>
      <c r="Z390" s="1">
        <v>-0.003183221111834</v>
      </c>
    </row>
    <row r="391" spans="1:26">
      <c r="A391" s="11">
        <v>42937</v>
      </c>
      <c r="B391" s="1">
        <v>-0.01904799385671119</v>
      </c>
      <c r="C391" s="1">
        <v>0.008845293385197683</v>
      </c>
      <c r="D391" s="1">
        <v>-0.005869569082423753</v>
      </c>
      <c r="E391" s="1">
        <v>0.003787890326914178</v>
      </c>
      <c r="F391" s="1">
        <v>0.003545230979332237</v>
      </c>
      <c r="G391" s="1">
        <v>0.003565375526876968</v>
      </c>
      <c r="H391" s="1">
        <v>0.001540954200931921</v>
      </c>
      <c r="I391" s="1">
        <v>0.001194552385762382</v>
      </c>
      <c r="J391" s="1">
        <v>0.01108761486185639</v>
      </c>
      <c r="K391" s="1">
        <v>0.001813706178329877</v>
      </c>
      <c r="L391" s="1">
        <v>-0.003399109354959462</v>
      </c>
      <c r="M391" s="1">
        <v>-0.001986781135962623</v>
      </c>
      <c r="N391" s="1">
        <v>-0.002310027399519576</v>
      </c>
      <c r="O391" s="1">
        <v>0.004645653538160044</v>
      </c>
      <c r="P391" s="1">
        <v>-0.005793157557816508</v>
      </c>
      <c r="Q391" s="1">
        <v>0.006196598041958712</v>
      </c>
      <c r="R391" s="1">
        <v>0.004667322867015988</v>
      </c>
      <c r="S391" s="1">
        <v>0.006794084181221072</v>
      </c>
      <c r="T391" s="1">
        <v>0.003962552264771269</v>
      </c>
      <c r="U391" s="1">
        <v>-0.0002739329186086659</v>
      </c>
      <c r="V391" s="1">
        <v>0.004763445151135359</v>
      </c>
      <c r="W391" s="1">
        <v>0.003470174005301585</v>
      </c>
      <c r="X391" s="1">
        <v>-0.00287858378123651</v>
      </c>
      <c r="Y391" s="1">
        <v>0.0002265572462367693</v>
      </c>
      <c r="Z391" s="1">
        <v>-0.006843218154937714</v>
      </c>
    </row>
    <row r="392" spans="1:26">
      <c r="A392" s="11">
        <v>42940</v>
      </c>
      <c r="B392" s="1">
        <v>-0.00929546591798891</v>
      </c>
      <c r="C392" s="1">
        <v>0.0001884690095192987</v>
      </c>
      <c r="D392" s="1">
        <v>0.0009572933523243066</v>
      </c>
      <c r="E392" s="1">
        <v>-0.0008987779010458663</v>
      </c>
      <c r="F392" s="1">
        <v>-0.004037416556737172</v>
      </c>
      <c r="G392" s="1">
        <v>0.0007106671743073445</v>
      </c>
      <c r="H392" s="1">
        <v>0.0001925515375114095</v>
      </c>
      <c r="I392" s="1">
        <v>0.006361796303545386</v>
      </c>
      <c r="J392" s="1">
        <v>0.004699462762438156</v>
      </c>
      <c r="K392" s="1">
        <v>-0.004299555739669891</v>
      </c>
      <c r="L392" s="1">
        <v>0.004290743087894011</v>
      </c>
      <c r="M392" s="1">
        <v>-0.007797020810262123</v>
      </c>
      <c r="N392" s="1">
        <v>-0.01062381591500949</v>
      </c>
      <c r="O392" s="1">
        <v>0.003374535842197712</v>
      </c>
      <c r="P392" s="1">
        <v>-0.002575057649606083</v>
      </c>
      <c r="Q392" s="1">
        <v>0.004234104076188627</v>
      </c>
      <c r="R392" s="1">
        <v>0.003920548048985451</v>
      </c>
      <c r="S392" s="1">
        <v>0.0002872946186127656</v>
      </c>
      <c r="T392" s="1">
        <v>-0.001476702794444451</v>
      </c>
      <c r="U392" s="1">
        <v>-0.007669226636911053</v>
      </c>
      <c r="V392" s="1">
        <v>-0.01440524026077161</v>
      </c>
      <c r="W392" s="1">
        <v>-0.0001098023797733161</v>
      </c>
      <c r="X392" s="1">
        <v>0.006186599398163128</v>
      </c>
      <c r="Y392" s="1">
        <v>-0.01175702496089703</v>
      </c>
      <c r="Z392" s="1">
        <v>0.01791473073564354</v>
      </c>
    </row>
    <row r="393" spans="1:26">
      <c r="A393" s="11">
        <v>42941</v>
      </c>
      <c r="B393" s="1">
        <v>0.01876566684919889</v>
      </c>
      <c r="C393" s="1">
        <v>0.001319721347385672</v>
      </c>
      <c r="D393" s="1">
        <v>-0.01020220750514611</v>
      </c>
      <c r="E393" s="1">
        <v>0.006295206543696308</v>
      </c>
      <c r="F393" s="1">
        <v>0.007094120895448919</v>
      </c>
      <c r="G393" s="1">
        <v>-0.008875016863337692</v>
      </c>
      <c r="H393" s="1">
        <v>0.009997951930508675</v>
      </c>
      <c r="I393" s="1">
        <v>0.01066764421656985</v>
      </c>
      <c r="J393" s="1">
        <v>0.00883589920361616</v>
      </c>
      <c r="K393" s="1">
        <v>0.004090483878372408</v>
      </c>
      <c r="L393" s="1">
        <v>0.01665208852332567</v>
      </c>
      <c r="M393" s="1">
        <v>-0.01655251006365943</v>
      </c>
      <c r="N393" s="1">
        <v>-0.005506538811073436</v>
      </c>
      <c r="O393" s="1">
        <v>0.003488402880745589</v>
      </c>
      <c r="P393" s="1">
        <v>0.008016489544939942</v>
      </c>
      <c r="Q393" s="1">
        <v>-0.002683060538316018</v>
      </c>
      <c r="R393" s="1">
        <v>-0.007231688158631733</v>
      </c>
      <c r="S393" s="1">
        <v>-0.006124819363874101</v>
      </c>
      <c r="T393" s="1">
        <v>0.001621026115258939</v>
      </c>
      <c r="U393" s="1">
        <v>-0.0002759286973460506</v>
      </c>
      <c r="V393" s="1">
        <v>0.01942658618285487</v>
      </c>
      <c r="W393" s="1">
        <v>-0.01114393132593461</v>
      </c>
      <c r="X393" s="1">
        <v>0.01024789132576198</v>
      </c>
      <c r="Y393" s="1">
        <v>0.006177149993353614</v>
      </c>
      <c r="Z393" s="1">
        <v>0.007446014170584325</v>
      </c>
    </row>
    <row r="394" spans="1:26">
      <c r="A394" s="11">
        <v>42942</v>
      </c>
      <c r="B394" s="1">
        <v>0</v>
      </c>
      <c r="C394" s="1">
        <v>0.0987951425214737</v>
      </c>
      <c r="D394" s="1">
        <v>-0.01401190795064178</v>
      </c>
      <c r="E394" s="1">
        <v>0.000536167740134097</v>
      </c>
      <c r="F394" s="1">
        <v>-0.01006300444804542</v>
      </c>
      <c r="G394" s="1">
        <v>0.005730818188575793</v>
      </c>
      <c r="H394" s="1">
        <v>0.001522858467706723</v>
      </c>
      <c r="I394" s="1">
        <v>-0.0006257649942972288</v>
      </c>
      <c r="J394" s="1">
        <v>-0.007727926531635898</v>
      </c>
      <c r="K394" s="1">
        <v>-0.01946574247903454</v>
      </c>
      <c r="L394" s="1">
        <v>-0.009374728266287491</v>
      </c>
      <c r="M394" s="1">
        <v>0.01190081230871098</v>
      </c>
      <c r="N394" s="1">
        <v>-0.007059998410030244</v>
      </c>
      <c r="O394" s="1">
        <v>-0.004221114035492746</v>
      </c>
      <c r="P394" s="1">
        <v>-0.001887115070704048</v>
      </c>
      <c r="Q394" s="1">
        <v>0.0188317539789622</v>
      </c>
      <c r="R394" s="1">
        <v>-0.00116518425231138</v>
      </c>
      <c r="S394" s="1">
        <v>0.0112651707569813</v>
      </c>
      <c r="T394" s="1">
        <v>-0.004599135581093594</v>
      </c>
      <c r="U394" s="1">
        <v>0.049972507867583</v>
      </c>
      <c r="V394" s="1">
        <v>-0.002540990725642733</v>
      </c>
      <c r="W394" s="1">
        <v>-0.02814655352571394</v>
      </c>
      <c r="X394" s="1">
        <v>-0.003651949033748325</v>
      </c>
      <c r="Y394" s="1">
        <v>0.009550247397668077</v>
      </c>
      <c r="Z394" s="1">
        <v>0.02284428309197528</v>
      </c>
    </row>
    <row r="395" spans="1:26">
      <c r="A395" s="11">
        <v>42943</v>
      </c>
      <c r="B395" s="1">
        <v>0.02783463635357752</v>
      </c>
      <c r="C395" s="1">
        <v>0.0323409212489012</v>
      </c>
      <c r="D395" s="1">
        <v>-0.01372126447137578</v>
      </c>
      <c r="E395" s="1">
        <v>-0.03108228988754813</v>
      </c>
      <c r="F395" s="1">
        <v>0.00203340280094344</v>
      </c>
      <c r="G395" s="1">
        <v>0.001780782599574371</v>
      </c>
      <c r="H395" s="1">
        <v>0.008743623813268542</v>
      </c>
      <c r="I395" s="1">
        <v>0.004850805518692436</v>
      </c>
      <c r="J395" s="1">
        <v>-0.002596150672892761</v>
      </c>
      <c r="K395" s="1">
        <v>-0.07340713569265689</v>
      </c>
      <c r="L395" s="1">
        <v>-0.004133980984383001</v>
      </c>
      <c r="M395" s="1">
        <v>-0.04956331890326893</v>
      </c>
      <c r="N395" s="1">
        <v>0.03108887301829344</v>
      </c>
      <c r="O395" s="1">
        <v>-0.03502825544891031</v>
      </c>
      <c r="P395" s="1">
        <v>-0.01201886195212021</v>
      </c>
      <c r="Q395" s="1">
        <v>-0.0017086951783154</v>
      </c>
      <c r="R395" s="1">
        <v>-0.005834596511361978</v>
      </c>
      <c r="S395" s="1">
        <v>-0.05607864397895246</v>
      </c>
      <c r="T395" s="1">
        <v>-0.01431835733249809</v>
      </c>
      <c r="U395" s="1">
        <v>0.0362871939125049</v>
      </c>
      <c r="V395" s="1">
        <v>0.01983258274430044</v>
      </c>
      <c r="W395" s="1">
        <v>0.001199906046104759</v>
      </c>
      <c r="X395" s="1">
        <v>-0.01242091399418732</v>
      </c>
      <c r="Y395" s="1">
        <v>0.07680151979620908</v>
      </c>
      <c r="Z395" s="1">
        <v>-0.0116052495336979</v>
      </c>
    </row>
    <row r="396" spans="1:26">
      <c r="A396" s="11">
        <v>42944</v>
      </c>
      <c r="B396" s="1">
        <v>-0.004181706640022598</v>
      </c>
      <c r="C396" s="1">
        <v>0.001120309765347827</v>
      </c>
      <c r="D396" s="1">
        <v>0.005796805103228886</v>
      </c>
      <c r="E396" s="1">
        <v>0.01898939191268711</v>
      </c>
      <c r="F396" s="1">
        <v>0.002282219679469621</v>
      </c>
      <c r="G396" s="1">
        <v>0.0003554516921429052</v>
      </c>
      <c r="H396" s="1">
        <v>-0.004145248470982299</v>
      </c>
      <c r="I396" s="1">
        <v>0.003659453538529478</v>
      </c>
      <c r="J396" s="1">
        <v>-0.002081877231129847</v>
      </c>
      <c r="K396" s="1">
        <v>-0.01245654463989343</v>
      </c>
      <c r="L396" s="1">
        <v>-0.002949108384362464</v>
      </c>
      <c r="M396" s="1">
        <v>-0.0001765026017059856</v>
      </c>
      <c r="N396" s="1">
        <v>-0.09491584614153059</v>
      </c>
      <c r="O396" s="1">
        <v>0.01640611994473851</v>
      </c>
      <c r="P396" s="1">
        <v>-0.001640448202407052</v>
      </c>
      <c r="Q396" s="1">
        <v>-0.008368134364431956</v>
      </c>
      <c r="R396" s="1">
        <v>0.0002937904257160895</v>
      </c>
      <c r="S396" s="1">
        <v>0.02299716785687744</v>
      </c>
      <c r="T396" s="1">
        <v>-0.009260016153182393</v>
      </c>
      <c r="U396" s="1">
        <v>-0.01040365995421977</v>
      </c>
      <c r="V396" s="1">
        <v>0.001070474863578363</v>
      </c>
      <c r="W396" s="1">
        <v>0.003993523986193903</v>
      </c>
      <c r="X396" s="1">
        <v>0.01546399015060262</v>
      </c>
      <c r="Y396" s="1">
        <v>0.002718937445270742</v>
      </c>
      <c r="Z396" s="1">
        <v>0.002658455709894758</v>
      </c>
    </row>
    <row r="397" spans="1:26">
      <c r="A397" s="11">
        <v>42947</v>
      </c>
      <c r="B397" s="1">
        <v>-0.01059796078398034</v>
      </c>
      <c r="C397" s="1">
        <v>0.004932424396429269</v>
      </c>
      <c r="D397" s="1">
        <v>-0.004116285725682789</v>
      </c>
      <c r="E397" s="1">
        <v>0.02949156614448989</v>
      </c>
      <c r="F397" s="1">
        <v>0.02353239238902405</v>
      </c>
      <c r="G397" s="1">
        <v>0.001776716571139536</v>
      </c>
      <c r="H397" s="1">
        <v>-0.0003787092991228702</v>
      </c>
      <c r="I397" s="1">
        <v>-0.004887293915037394</v>
      </c>
      <c r="J397" s="1">
        <v>-0.003651619258177696</v>
      </c>
      <c r="K397" s="1">
        <v>-0.0174063289942995</v>
      </c>
      <c r="L397" s="1">
        <v>0.005697149737731388</v>
      </c>
      <c r="M397" s="1">
        <v>-0.01856458168101727</v>
      </c>
      <c r="N397" s="1">
        <v>-0.02942935964194338</v>
      </c>
      <c r="O397" s="1">
        <v>-0.009023861649955611</v>
      </c>
      <c r="P397" s="1">
        <v>-0.004655169626380795</v>
      </c>
      <c r="Q397" s="1">
        <v>-0.0003838193710286042</v>
      </c>
      <c r="R397" s="1">
        <v>0.003959278222375406</v>
      </c>
      <c r="S397" s="1">
        <v>0.01345900043087811</v>
      </c>
      <c r="T397" s="1">
        <v>-0.01492490049218975</v>
      </c>
      <c r="U397" s="1">
        <v>0</v>
      </c>
      <c r="V397" s="1">
        <v>0.009980474420027141</v>
      </c>
      <c r="W397" s="1">
        <v>-0.002500189684591647</v>
      </c>
      <c r="X397" s="1">
        <v>-0.002436609660368738</v>
      </c>
      <c r="Y397" s="1">
        <v>0.00959532317967593</v>
      </c>
      <c r="Z397" s="1">
        <v>0.001325815347925641</v>
      </c>
    </row>
    <row r="398" spans="1:26">
      <c r="A398" s="11">
        <v>42948</v>
      </c>
      <c r="B398" s="1">
        <v>-0.01657226761214137</v>
      </c>
      <c r="C398" s="1">
        <v>-0.01245577520563657</v>
      </c>
      <c r="D398" s="1">
        <v>0.003802574316327911</v>
      </c>
      <c r="E398" s="1">
        <v>-0.01388412620867086</v>
      </c>
      <c r="F398" s="1">
        <v>-0.002719149566517531</v>
      </c>
      <c r="G398" s="1">
        <v>0.002128171189768491</v>
      </c>
      <c r="H398" s="1">
        <v>-0.00586781738696196</v>
      </c>
      <c r="I398" s="1">
        <v>0.005768665228680137</v>
      </c>
      <c r="J398" s="1">
        <v>0.002093866489255136</v>
      </c>
      <c r="K398" s="1">
        <v>-0.005134833777400427</v>
      </c>
      <c r="L398" s="1">
        <v>0.01339856159443431</v>
      </c>
      <c r="M398" s="1">
        <v>0.003783442772847145</v>
      </c>
      <c r="N398" s="1">
        <v>0.008157438227450742</v>
      </c>
      <c r="O398" s="1">
        <v>0.01013210194486192</v>
      </c>
      <c r="P398" s="1">
        <v>-0.001650132470031207</v>
      </c>
      <c r="Q398" s="1">
        <v>0.006907199176128032</v>
      </c>
      <c r="R398" s="1">
        <v>-0.02059854625759494</v>
      </c>
      <c r="S398" s="1">
        <v>-0.01332864081664475</v>
      </c>
      <c r="T398" s="1">
        <v>-0.0005336665591173517</v>
      </c>
      <c r="U398" s="1">
        <v>-0.003076821931416007</v>
      </c>
      <c r="V398" s="1">
        <v>0.003352426286725052</v>
      </c>
      <c r="W398" s="1">
        <v>-0.0003417976021378166</v>
      </c>
      <c r="X398" s="1">
        <v>0.005291692132931791</v>
      </c>
      <c r="Y398" s="1">
        <v>0.01012381262802897</v>
      </c>
      <c r="Z398" s="1">
        <v>0.001323836550909396</v>
      </c>
    </row>
    <row r="399" spans="1:26">
      <c r="A399" s="11">
        <v>42949</v>
      </c>
      <c r="B399" s="1">
        <v>-0.01541297913869488</v>
      </c>
      <c r="C399" s="1">
        <v>-0.006222847491745176</v>
      </c>
      <c r="D399" s="1">
        <v>-0.01993079116987784</v>
      </c>
      <c r="E399" s="1">
        <v>-0.01568343204338363</v>
      </c>
      <c r="F399" s="1">
        <v>-0.008180527502602897</v>
      </c>
      <c r="G399" s="1">
        <v>-0.002831446327314469</v>
      </c>
      <c r="H399" s="1">
        <v>0.003617829770953263</v>
      </c>
      <c r="I399" s="1">
        <v>-0.0003101664242209923</v>
      </c>
      <c r="J399" s="1">
        <v>-0.002089491373288954</v>
      </c>
      <c r="K399" s="1">
        <v>0.01600018492034772</v>
      </c>
      <c r="L399" s="1">
        <v>0.0008597964311940487</v>
      </c>
      <c r="M399" s="1">
        <v>-0.0003590064273706339</v>
      </c>
      <c r="N399" s="1">
        <v>0.0007633491185554675</v>
      </c>
      <c r="O399" s="1">
        <v>-0.001523833813389941</v>
      </c>
      <c r="P399" s="1">
        <v>-0.004408672314102691</v>
      </c>
      <c r="Q399" s="1">
        <v>0.01638721672281673</v>
      </c>
      <c r="R399" s="1">
        <v>0.005966766264902779</v>
      </c>
      <c r="S399" s="1">
        <v>-0.003007319156164479</v>
      </c>
      <c r="T399" s="1">
        <v>-5.909024046113487E-05</v>
      </c>
      <c r="U399" s="1">
        <v>-0.01568932346258078</v>
      </c>
      <c r="V399" s="1">
        <v>-0.001055049570778621</v>
      </c>
      <c r="W399" s="1">
        <v>0.005527632094680657</v>
      </c>
      <c r="X399" s="1">
        <v>-0.0006071914985685822</v>
      </c>
      <c r="Y399" s="1">
        <v>-0.01390855451208739</v>
      </c>
      <c r="Z399" s="1">
        <v>0.007492119897114735</v>
      </c>
    </row>
    <row r="400" spans="1:26">
      <c r="A400" s="11">
        <v>42950</v>
      </c>
      <c r="B400" s="1">
        <v>-0.08035878601501334</v>
      </c>
      <c r="C400" s="1">
        <v>0.001260842328696166</v>
      </c>
      <c r="D400" s="1">
        <v>0.001512517108055444</v>
      </c>
      <c r="E400" s="1">
        <v>0.004888799870345517</v>
      </c>
      <c r="F400" s="1">
        <v>-0.007747889556496856</v>
      </c>
      <c r="G400" s="1">
        <v>0.01064948311575931</v>
      </c>
      <c r="H400" s="1">
        <v>0.005691216971143831</v>
      </c>
      <c r="I400" s="1">
        <v>0.004109121336830501</v>
      </c>
      <c r="J400" s="1">
        <v>0.01361228911120271</v>
      </c>
      <c r="K400" s="1">
        <v>0.002286003819564897</v>
      </c>
      <c r="L400" s="1">
        <v>-0.006551291224137112</v>
      </c>
      <c r="M400" s="1">
        <v>0.007360502308600747</v>
      </c>
      <c r="N400" s="1">
        <v>-0.0001525307918007757</v>
      </c>
      <c r="O400" s="1">
        <v>-0.00267007510064865</v>
      </c>
      <c r="P400" s="1">
        <v>-0.001522560366647108</v>
      </c>
      <c r="Q400" s="1">
        <v>-0.006373936121603752</v>
      </c>
      <c r="R400" s="1">
        <v>0.002520715041121946</v>
      </c>
      <c r="S400" s="1">
        <v>-0.009297161385284691</v>
      </c>
      <c r="T400" s="1">
        <v>-0.009019282336499734</v>
      </c>
      <c r="U400" s="1">
        <v>0.0002616552172309827</v>
      </c>
      <c r="V400" s="1">
        <v>0.004225624946901041</v>
      </c>
      <c r="W400" s="1">
        <v>-0.003967044028794997</v>
      </c>
      <c r="X400" s="1">
        <v>-0.006483016778302986</v>
      </c>
      <c r="Y400" s="1">
        <v>0.008297265667936093</v>
      </c>
      <c r="Z400" s="1">
        <v>-0.005030512828715361</v>
      </c>
    </row>
    <row r="401" spans="1:26">
      <c r="A401" s="11">
        <v>42951</v>
      </c>
      <c r="B401" s="1">
        <v>0.02632763187500742</v>
      </c>
      <c r="C401" s="1">
        <v>-0.002266549543142093</v>
      </c>
      <c r="D401" s="1">
        <v>0.004866511558335285</v>
      </c>
      <c r="E401" s="1">
        <v>0.008108106052018726</v>
      </c>
      <c r="F401" s="1">
        <v>-0.002519164089723525</v>
      </c>
      <c r="G401" s="1">
        <v>0.002458713272206481</v>
      </c>
      <c r="H401" s="1">
        <v>0.003207221046674258</v>
      </c>
      <c r="I401" s="1">
        <v>0.00185335193753744</v>
      </c>
      <c r="J401" s="1">
        <v>0.0005163185158993944</v>
      </c>
      <c r="K401" s="1">
        <v>-0.007349317069404893</v>
      </c>
      <c r="L401" s="1">
        <v>0.01254062846512261</v>
      </c>
      <c r="M401" s="1">
        <v>0.008376560960823953</v>
      </c>
      <c r="N401" s="1">
        <v>-0.0003051081219850316</v>
      </c>
      <c r="O401" s="1">
        <v>-0.003187644028649905</v>
      </c>
      <c r="P401" s="1">
        <v>0.007345830726397606</v>
      </c>
      <c r="Q401" s="1">
        <v>-0.003773510561312698</v>
      </c>
      <c r="R401" s="1">
        <v>0.01434694258400504</v>
      </c>
      <c r="S401" s="1">
        <v>0.005740679139174087</v>
      </c>
      <c r="T401" s="1">
        <v>0.003113795118891982</v>
      </c>
      <c r="U401" s="1">
        <v>0.003918023055176967</v>
      </c>
      <c r="V401" s="1">
        <v>0.009466969252556634</v>
      </c>
      <c r="W401" s="1">
        <v>0.003357246014417115</v>
      </c>
      <c r="X401" s="1">
        <v>0.005506007358609954</v>
      </c>
      <c r="Y401" s="1">
        <v>0.006171420055675503</v>
      </c>
      <c r="Z401" s="1">
        <v>0.01384895105735318</v>
      </c>
    </row>
    <row r="402" spans="1:26">
      <c r="A402" s="11">
        <v>42954</v>
      </c>
      <c r="B402" s="1">
        <v>-0.01835484110149344</v>
      </c>
      <c r="C402" s="1">
        <v>0.01060096428139579</v>
      </c>
      <c r="D402" s="1">
        <v>-0.002504815677813133</v>
      </c>
      <c r="E402" s="1">
        <v>0.006255541846363899</v>
      </c>
      <c r="F402" s="1">
        <v>0.0002525132777713157</v>
      </c>
      <c r="G402" s="1">
        <v>0.007007879811296025</v>
      </c>
      <c r="H402" s="1">
        <v>0.001128084372842064</v>
      </c>
      <c r="I402" s="1">
        <v>0.001618506571390732</v>
      </c>
      <c r="J402" s="1">
        <v>-0.002580935538999629</v>
      </c>
      <c r="K402" s="1">
        <v>0.01557339064105423</v>
      </c>
      <c r="L402" s="1">
        <v>0.003843523965681772</v>
      </c>
      <c r="M402" s="1">
        <v>-0.02138558565626003</v>
      </c>
      <c r="N402" s="1">
        <v>0.007173358710293121</v>
      </c>
      <c r="O402" s="1">
        <v>-0.00230276480180891</v>
      </c>
      <c r="P402" s="1">
        <v>-0.003852759349286528</v>
      </c>
      <c r="Q402" s="1">
        <v>-0.001515025084011246</v>
      </c>
      <c r="R402" s="1">
        <v>-0.0004368713810031233</v>
      </c>
      <c r="S402" s="1">
        <v>-0.002035289740401125</v>
      </c>
      <c r="T402" s="1">
        <v>-0.002029640258361276</v>
      </c>
      <c r="U402" s="1">
        <v>0.002342245779467289</v>
      </c>
      <c r="V402" s="1">
        <v>0.005210064834353156</v>
      </c>
      <c r="W402" s="1">
        <v>0.005784374722878072</v>
      </c>
      <c r="X402" s="1">
        <v>0.001825155261899525</v>
      </c>
      <c r="Y402" s="1">
        <v>-0.001022441778081307</v>
      </c>
      <c r="Z402" s="1">
        <v>-0.007805681180488855</v>
      </c>
    </row>
    <row r="403" spans="1:26">
      <c r="A403" s="11">
        <v>42955</v>
      </c>
      <c r="B403" s="1">
        <v>-0.006082884608582306</v>
      </c>
      <c r="C403" s="1">
        <v>-0.003038637163345403</v>
      </c>
      <c r="D403" s="1">
        <v>-0.0001672543593806974</v>
      </c>
      <c r="E403" s="1">
        <v>0.01083480290932926</v>
      </c>
      <c r="F403" s="1">
        <v>0.007826394457441044</v>
      </c>
      <c r="G403" s="1">
        <v>0.01078609149970777</v>
      </c>
      <c r="H403" s="1">
        <v>0.0001878683678893101</v>
      </c>
      <c r="I403" s="1">
        <v>0.0158509223433676</v>
      </c>
      <c r="J403" s="1">
        <v>0</v>
      </c>
      <c r="K403" s="1">
        <v>-0.004274036515247714</v>
      </c>
      <c r="L403" s="1">
        <v>-0.003616559951994835</v>
      </c>
      <c r="M403" s="1">
        <v>-0.01011378482784198</v>
      </c>
      <c r="N403" s="1">
        <v>-0.009243797188236647</v>
      </c>
      <c r="O403" s="1">
        <v>-0.007179266955592012</v>
      </c>
      <c r="P403" s="1">
        <v>0.005386578487563964</v>
      </c>
      <c r="Q403" s="1">
        <v>-0.00151809678023973</v>
      </c>
      <c r="R403" s="1">
        <v>-0.009482525729239799</v>
      </c>
      <c r="S403" s="1">
        <v>-0.001988876862522693</v>
      </c>
      <c r="T403" s="1">
        <v>-0.005651834641299258</v>
      </c>
      <c r="U403" s="1">
        <v>-0.00415381623955613</v>
      </c>
      <c r="V403" s="1">
        <v>0.01485824010140391</v>
      </c>
      <c r="W403" s="1">
        <v>-0.01894548101621529</v>
      </c>
      <c r="X403" s="1">
        <v>-0.006882738597072002</v>
      </c>
      <c r="Y403" s="1">
        <v>-0.005321398782991316</v>
      </c>
      <c r="Z403" s="1">
        <v>0.00109290318527866</v>
      </c>
    </row>
    <row r="404" spans="1:26">
      <c r="A404" s="11">
        <v>42956</v>
      </c>
      <c r="B404" s="1">
        <v>-0.01223880155734913</v>
      </c>
      <c r="C404" s="1">
        <v>-0.01583510380286168</v>
      </c>
      <c r="D404" s="1">
        <v>0.005023420635650755</v>
      </c>
      <c r="E404" s="1">
        <v>0.008610267812761085</v>
      </c>
      <c r="F404" s="1">
        <v>0.01778544209375066</v>
      </c>
      <c r="G404" s="1">
        <v>0.0003441947838647152</v>
      </c>
      <c r="H404" s="1">
        <v>-0.0007510346447350269</v>
      </c>
      <c r="I404" s="1">
        <v>0.002954115421627712</v>
      </c>
      <c r="J404" s="1">
        <v>0</v>
      </c>
      <c r="K404" s="1">
        <v>-0.004039161790601264</v>
      </c>
      <c r="L404" s="1">
        <v>-0.001600946214845855</v>
      </c>
      <c r="M404" s="1">
        <v>-0.002189410521090673</v>
      </c>
      <c r="N404" s="1">
        <v>-0.001070378519622106</v>
      </c>
      <c r="O404" s="1">
        <v>0.0005168315651762345</v>
      </c>
      <c r="P404" s="1">
        <v>-0.004395955077063363</v>
      </c>
      <c r="Q404" s="1">
        <v>0.00227988164586912</v>
      </c>
      <c r="R404" s="1">
        <v>-0.01016242399289735</v>
      </c>
      <c r="S404" s="1">
        <v>0.0009961436353944642</v>
      </c>
      <c r="T404" s="1">
        <v>0.009563785280654047</v>
      </c>
      <c r="U404" s="1">
        <v>0</v>
      </c>
      <c r="V404" s="1">
        <v>-0.01481114591609478</v>
      </c>
      <c r="W404" s="1">
        <v>-0.004195900448458745</v>
      </c>
      <c r="X404" s="1">
        <v>0.001426912949024528</v>
      </c>
      <c r="Y404" s="1">
        <v>-0.00781866224577199</v>
      </c>
      <c r="Z404" s="1">
        <v>-0.01135104476939197</v>
      </c>
    </row>
    <row r="405" spans="1:26">
      <c r="A405" s="11">
        <v>42957</v>
      </c>
      <c r="B405" s="1">
        <v>-0.02225794857843622</v>
      </c>
      <c r="C405" s="1">
        <v>-0.006102985484068957</v>
      </c>
      <c r="D405" s="1">
        <v>-0.005165199332568315</v>
      </c>
      <c r="E405" s="1">
        <v>-0.01411193426641155</v>
      </c>
      <c r="F405" s="1">
        <v>0.002461182880251878</v>
      </c>
      <c r="G405" s="1">
        <v>0.002408794817246873</v>
      </c>
      <c r="H405" s="1">
        <v>0.000751599121714408</v>
      </c>
      <c r="I405" s="1">
        <v>-0.03496709133405018</v>
      </c>
      <c r="J405" s="1">
        <v>-0.0217391392644718</v>
      </c>
      <c r="K405" s="1">
        <v>-0.01419510927201495</v>
      </c>
      <c r="L405" s="1">
        <v>-0.01432659741032904</v>
      </c>
      <c r="M405" s="1">
        <v>-0.01243367318345645</v>
      </c>
      <c r="N405" s="1">
        <v>-0.008268740760415949</v>
      </c>
      <c r="O405" s="1">
        <v>-0.005162902455139284</v>
      </c>
      <c r="P405" s="1">
        <v>-0.01462679069771777</v>
      </c>
      <c r="Q405" s="1">
        <v>-0.0003788263122870283</v>
      </c>
      <c r="R405" s="1">
        <v>-0.02975699723141689</v>
      </c>
      <c r="S405" s="1">
        <v>-0.001144673818796793</v>
      </c>
      <c r="T405" s="1">
        <v>-0.01084360001949802</v>
      </c>
      <c r="U405" s="1">
        <v>-0.004431873676347009</v>
      </c>
      <c r="V405" s="1">
        <v>-0.03853449595012248</v>
      </c>
      <c r="W405" s="1">
        <v>-0.008772713569686896</v>
      </c>
      <c r="X405" s="1">
        <v>-0.01811521716274089</v>
      </c>
      <c r="Y405" s="1">
        <v>-0.004147836615380873</v>
      </c>
      <c r="Z405" s="1">
        <v>-0.01876801995640687</v>
      </c>
    </row>
    <row r="406" spans="1:26">
      <c r="A406" s="11">
        <v>42958</v>
      </c>
      <c r="B406" s="1">
        <v>-0.005163021356195618</v>
      </c>
      <c r="C406" s="1">
        <v>0.008587990596419459</v>
      </c>
      <c r="D406" s="1">
        <v>0.002177326115239575</v>
      </c>
      <c r="E406" s="1">
        <v>0.002474441173313302</v>
      </c>
      <c r="F406" s="1">
        <v>0.009329801083957756</v>
      </c>
      <c r="G406" s="1">
        <v>-0.01064177448150494</v>
      </c>
      <c r="H406" s="1">
        <v>0.006760700953761356</v>
      </c>
      <c r="I406" s="1">
        <v>-0.008451871825592816</v>
      </c>
      <c r="J406" s="1">
        <v>0</v>
      </c>
      <c r="K406" s="1">
        <v>-0.00565701323112644</v>
      </c>
      <c r="L406" s="1">
        <v>-0.008352663337440114</v>
      </c>
      <c r="M406" s="1">
        <v>0.002406947178859031</v>
      </c>
      <c r="N406" s="1">
        <v>-0.007101941627764341</v>
      </c>
      <c r="O406" s="1">
        <v>-0.0007788106511146253</v>
      </c>
      <c r="P406" s="1">
        <v>0.01526404238511714</v>
      </c>
      <c r="Q406" s="1">
        <v>-0.0007585192167376409</v>
      </c>
      <c r="R406" s="1">
        <v>-0.006134210676922103</v>
      </c>
      <c r="S406" s="1">
        <v>-0.01006748016376158</v>
      </c>
      <c r="T406" s="1">
        <v>-0.0004819335939694191</v>
      </c>
      <c r="U406" s="1">
        <v>-0.002356467018430175</v>
      </c>
      <c r="V406" s="1">
        <v>0.0001798471182534733</v>
      </c>
      <c r="W406" s="1">
        <v>0.008676003923405062</v>
      </c>
      <c r="X406" s="1">
        <v>0.004975010107677535</v>
      </c>
      <c r="Y406" s="1">
        <v>0.0008334120397823774</v>
      </c>
      <c r="Z406" s="1">
        <v>-0.007425679714579525</v>
      </c>
    </row>
    <row r="407" spans="1:26">
      <c r="A407" s="11">
        <v>42961</v>
      </c>
      <c r="B407" s="1">
        <v>-0.01934430698694545</v>
      </c>
      <c r="C407" s="1">
        <v>0.009664540731794125</v>
      </c>
      <c r="D407" s="1">
        <v>0.006517418298884747</v>
      </c>
      <c r="E407" s="1">
        <v>0.01568822563462691</v>
      </c>
      <c r="F407" s="1">
        <v>0.019217151774376</v>
      </c>
      <c r="G407" s="1">
        <v>0.008685702925579575</v>
      </c>
      <c r="H407" s="1">
        <v>0.004476735797092068</v>
      </c>
      <c r="I407" s="1">
        <v>0.01475928935929205</v>
      </c>
      <c r="J407" s="1">
        <v>0.01058212701140437</v>
      </c>
      <c r="K407" s="1">
        <v>-0.0005172436049086793</v>
      </c>
      <c r="L407" s="1">
        <v>0.01170406374324684</v>
      </c>
      <c r="M407" s="1">
        <v>0.01071288372676071</v>
      </c>
      <c r="N407" s="1">
        <v>0.008241157870424898</v>
      </c>
      <c r="O407" s="1">
        <v>0.009738236174823278</v>
      </c>
      <c r="P407" s="1">
        <v>0.01503467064947994</v>
      </c>
      <c r="Q407" s="1">
        <v>0.01100552446032399</v>
      </c>
      <c r="R407" s="1">
        <v>0.01006794310189951</v>
      </c>
      <c r="S407" s="1">
        <v>0.009615968146679421</v>
      </c>
      <c r="T407" s="1">
        <v>0.0169639249193787</v>
      </c>
      <c r="U407" s="1">
        <v>0.01049879875672999</v>
      </c>
      <c r="V407" s="1">
        <v>0.01381056661444924</v>
      </c>
      <c r="W407" s="1">
        <v>0.004617930161080031</v>
      </c>
      <c r="X407" s="1">
        <v>0.009694594125621236</v>
      </c>
      <c r="Y407" s="1">
        <v>0.01498094717250753</v>
      </c>
      <c r="Z407" s="1">
        <v>0.01994999278907628</v>
      </c>
    </row>
    <row r="408" spans="1:26">
      <c r="A408" s="11">
        <v>42962</v>
      </c>
      <c r="B408" s="1">
        <v>-0.0007218419183632196</v>
      </c>
      <c r="C408" s="1">
        <v>0.008518005629480685</v>
      </c>
      <c r="D408" s="1">
        <v>0.009463586503967614</v>
      </c>
      <c r="E408" s="1">
        <v>0.004338596860019805</v>
      </c>
      <c r="F408" s="1">
        <v>-0.009546641015390822</v>
      </c>
      <c r="G408" s="1">
        <v>0.001389175637811491</v>
      </c>
      <c r="H408" s="1">
        <v>-0.002228588215416272</v>
      </c>
      <c r="I408" s="1">
        <v>-0.01081149625056665</v>
      </c>
      <c r="J408" s="1">
        <v>-0.003141518710897517</v>
      </c>
      <c r="K408" s="1">
        <v>-0.02121566931228092</v>
      </c>
      <c r="L408" s="1">
        <v>0.002595078243541549</v>
      </c>
      <c r="M408" s="1">
        <v>0.008771889912460029</v>
      </c>
      <c r="N408" s="1">
        <v>0.007094617345162701</v>
      </c>
      <c r="O408" s="1">
        <v>0.004371750483605163</v>
      </c>
      <c r="P408" s="1">
        <v>0.0002731284995662886</v>
      </c>
      <c r="Q408" s="1">
        <v>0.0007506405108790304</v>
      </c>
      <c r="R408" s="1">
        <v>-0.00521352488253668</v>
      </c>
      <c r="S408" s="1">
        <v>0.005186221322465379</v>
      </c>
      <c r="T408" s="1">
        <v>-0.01463651161015556</v>
      </c>
      <c r="U408" s="1">
        <v>-0.008831391045099224</v>
      </c>
      <c r="V408" s="1">
        <v>-0.02581139284791212</v>
      </c>
      <c r="W408" s="1">
        <v>-0.002700747337477605</v>
      </c>
      <c r="X408" s="1">
        <v>0.002859845112031634</v>
      </c>
      <c r="Y408" s="1">
        <v>-0.006150105280391061</v>
      </c>
      <c r="Z408" s="1">
        <v>0.005794264139703076</v>
      </c>
    </row>
    <row r="409" spans="1:26">
      <c r="A409" s="11">
        <v>42963</v>
      </c>
      <c r="B409" s="1">
        <v>-0.02190653216046301</v>
      </c>
      <c r="C409" s="1">
        <v>-0.006606259769848077</v>
      </c>
      <c r="D409" s="1">
        <v>0.009210628303454982</v>
      </c>
      <c r="E409" s="1">
        <v>-0.006393735239333509</v>
      </c>
      <c r="F409" s="1">
        <v>-0.006265074386688663</v>
      </c>
      <c r="G409" s="1">
        <v>0.003813850551044551</v>
      </c>
      <c r="H409" s="1">
        <v>0.004839048628564102</v>
      </c>
      <c r="I409" s="1">
        <v>-0.004324605128281811</v>
      </c>
      <c r="J409" s="1">
        <v>-0.00367662109969058</v>
      </c>
      <c r="K409" s="1">
        <v>-0.007401830665026532</v>
      </c>
      <c r="L409" s="1">
        <v>-0.006901878784421944</v>
      </c>
      <c r="M409" s="1">
        <v>0.001992670109512762</v>
      </c>
      <c r="N409" s="1">
        <v>0.002297061194217909</v>
      </c>
      <c r="O409" s="1">
        <v>0.0005121715871196919</v>
      </c>
      <c r="P409" s="1">
        <v>0.005872893686347025</v>
      </c>
      <c r="Q409" s="1">
        <v>0.01125269051604794</v>
      </c>
      <c r="R409" s="1">
        <v>-0.006782797772401539</v>
      </c>
      <c r="S409" s="1">
        <v>-0.01274943554261143</v>
      </c>
      <c r="T409" s="1">
        <v>0.005155014197562036</v>
      </c>
      <c r="U409" s="1">
        <v>0.001834373123086541</v>
      </c>
      <c r="V409" s="1">
        <v>0.03606272676674838</v>
      </c>
      <c r="W409" s="1">
        <v>0.01083206413635329</v>
      </c>
      <c r="X409" s="1">
        <v>0.0008152965262642198</v>
      </c>
      <c r="Y409" s="1">
        <v>-0.00144397331459134</v>
      </c>
      <c r="Z409" s="1">
        <v>-0.0002215552575141055</v>
      </c>
    </row>
    <row r="410" spans="1:26">
      <c r="A410" s="11">
        <v>42964</v>
      </c>
      <c r="B410" s="1">
        <v>-0.01821295605964934</v>
      </c>
      <c r="C410" s="1">
        <v>-0.008417877068627733</v>
      </c>
      <c r="D410" s="1">
        <v>-0.008800728508743916</v>
      </c>
      <c r="E410" s="1">
        <v>-0.01269545367556857</v>
      </c>
      <c r="F410" s="1">
        <v>-0.02352111772165999</v>
      </c>
      <c r="G410" s="1">
        <v>-0.006217433252730942</v>
      </c>
      <c r="H410" s="1">
        <v>-0.0005555800761958274</v>
      </c>
      <c r="I410" s="1">
        <v>-0.02092723583129985</v>
      </c>
      <c r="J410" s="1">
        <v>-0.01739590376319256</v>
      </c>
      <c r="K410" s="1">
        <v>-0.01757641551124089</v>
      </c>
      <c r="L410" s="1">
        <v>-0.01563652184560338</v>
      </c>
      <c r="M410" s="1">
        <v>-0.03905259488114321</v>
      </c>
      <c r="N410" s="1">
        <v>-0.01757055518291184</v>
      </c>
      <c r="O410" s="1">
        <v>-0.01202800100228618</v>
      </c>
      <c r="P410" s="1">
        <v>-0.01697243755972</v>
      </c>
      <c r="Q410" s="1">
        <v>-0.01001469103484132</v>
      </c>
      <c r="R410" s="1">
        <v>-0.01986672401376577</v>
      </c>
      <c r="S410" s="1">
        <v>-0.006432054321917513</v>
      </c>
      <c r="T410" s="1">
        <v>-0.01160658221102173</v>
      </c>
      <c r="U410" s="1">
        <v>-0.01647900480418851</v>
      </c>
      <c r="V410" s="1">
        <v>-0.003374247312707079</v>
      </c>
      <c r="W410" s="1">
        <v>-0.01453496930807607</v>
      </c>
      <c r="X410" s="1">
        <v>-0.02055777839139539</v>
      </c>
      <c r="Y410" s="1">
        <v>-0.01074147122870339</v>
      </c>
      <c r="Z410" s="1">
        <v>-0.02814688531778864</v>
      </c>
    </row>
    <row r="411" spans="1:26">
      <c r="A411" s="11">
        <v>42965</v>
      </c>
      <c r="B411" s="1">
        <v>0.01052885600896492</v>
      </c>
      <c r="C411" s="1">
        <v>0.0007640494181861968</v>
      </c>
      <c r="D411" s="1">
        <v>0.0008223727765372946</v>
      </c>
      <c r="E411" s="1">
        <v>-0.006165371174533085</v>
      </c>
      <c r="F411" s="1">
        <v>0.006208252537861947</v>
      </c>
      <c r="G411" s="1">
        <v>0.008341746489616719</v>
      </c>
      <c r="H411" s="1">
        <v>-0.005003881528390042</v>
      </c>
      <c r="I411" s="1">
        <v>-0.05379883672907249</v>
      </c>
      <c r="J411" s="1">
        <v>-0.006973723714610802</v>
      </c>
      <c r="K411" s="1">
        <v>0.004336662059483576</v>
      </c>
      <c r="L411" s="1">
        <v>0.0009925461790980528</v>
      </c>
      <c r="M411" s="1">
        <v>0.0003763658709166062</v>
      </c>
      <c r="N411" s="1">
        <v>-0.009486751592107434</v>
      </c>
      <c r="O411" s="1">
        <v>0.001942715585107724</v>
      </c>
      <c r="P411" s="1">
        <v>0.001243065048213809</v>
      </c>
      <c r="Q411" s="1">
        <v>0.003746839704306337</v>
      </c>
      <c r="R411" s="1">
        <v>-0.002375095837339747</v>
      </c>
      <c r="S411" s="1">
        <v>-0.007282049082679154</v>
      </c>
      <c r="T411" s="1">
        <v>-0.001790362733601225</v>
      </c>
      <c r="U411" s="1">
        <v>-0.006116892572774035</v>
      </c>
      <c r="V411" s="1">
        <v>-0.008374738361093037</v>
      </c>
      <c r="W411" s="1">
        <v>-0.00185060600307585</v>
      </c>
      <c r="X411" s="1">
        <v>-0.008936032697365759</v>
      </c>
      <c r="Y411" s="1">
        <v>-0.004176288680528217</v>
      </c>
      <c r="Z411" s="1">
        <v>0.00159627244830074</v>
      </c>
    </row>
    <row r="412" spans="1:26">
      <c r="A412" s="11">
        <v>42968</v>
      </c>
      <c r="B412" s="1">
        <v>-0.01959813271900035</v>
      </c>
      <c r="C412" s="1">
        <v>-0.0003818013225264094</v>
      </c>
      <c r="D412" s="1">
        <v>0.003942768420910792</v>
      </c>
      <c r="E412" s="1">
        <v>0.003899735571193608</v>
      </c>
      <c r="F412" s="1">
        <v>0.006909903260969852</v>
      </c>
      <c r="G412" s="1">
        <v>0.009307378600392546</v>
      </c>
      <c r="H412" s="1">
        <v>0.002421523869320819</v>
      </c>
      <c r="I412" s="1">
        <v>-0.006734408110601442</v>
      </c>
      <c r="J412" s="1">
        <v>0.003241016988313028</v>
      </c>
      <c r="K412" s="1">
        <v>0.03292863445797156</v>
      </c>
      <c r="L412" s="1">
        <v>-0.001212336150196447</v>
      </c>
      <c r="M412" s="1">
        <v>0.006958938027062045</v>
      </c>
      <c r="N412" s="1">
        <v>0.01099071184046574</v>
      </c>
      <c r="O412" s="1">
        <v>0.00129232720790684</v>
      </c>
      <c r="P412" s="1">
        <v>-0.004690167580553406</v>
      </c>
      <c r="Q412" s="1">
        <v>-0.0003732187857764524</v>
      </c>
      <c r="R412" s="1">
        <v>0.003968086996437137</v>
      </c>
      <c r="S412" s="1">
        <v>0.02078519719840632</v>
      </c>
      <c r="T412" s="1">
        <v>0.001975811483230894</v>
      </c>
      <c r="U412" s="1">
        <v>0.005619389576789313</v>
      </c>
      <c r="V412" s="1">
        <v>0.01635225138326479</v>
      </c>
      <c r="W412" s="1">
        <v>0.008344391404001561</v>
      </c>
      <c r="X412" s="1">
        <v>-0.003355059254499304</v>
      </c>
      <c r="Y412" s="1">
        <v>0.009435942847200396</v>
      </c>
      <c r="Z412" s="1">
        <v>-0.008652193939327035</v>
      </c>
    </row>
    <row r="413" spans="1:26">
      <c r="A413" s="11">
        <v>42969</v>
      </c>
      <c r="B413" s="1">
        <v>0.009362465322674485</v>
      </c>
      <c r="C413" s="1">
        <v>0.01726924316612055</v>
      </c>
      <c r="D413" s="1">
        <v>0.01701832715708007</v>
      </c>
      <c r="E413" s="1">
        <v>0.01818466271725772</v>
      </c>
      <c r="F413" s="1">
        <v>0.0134803911426904</v>
      </c>
      <c r="G413" s="1">
        <v>0.007855318720493276</v>
      </c>
      <c r="H413" s="1">
        <v>0.003344402146637782</v>
      </c>
      <c r="I413" s="1">
        <v>0.008239278167521569</v>
      </c>
      <c r="J413" s="1">
        <v>0.02423304447160635</v>
      </c>
      <c r="K413" s="1">
        <v>0.009145917411917726</v>
      </c>
      <c r="L413" s="1">
        <v>0.01026135665349082</v>
      </c>
      <c r="M413" s="1">
        <v>0.0002807794218668835</v>
      </c>
      <c r="N413" s="1">
        <v>-0.005125344693309164</v>
      </c>
      <c r="O413" s="1">
        <v>0.008649635178376913</v>
      </c>
      <c r="P413" s="1">
        <v>0.0139986620430832</v>
      </c>
      <c r="Q413" s="1">
        <v>0.005974776168187201</v>
      </c>
      <c r="R413" s="1">
        <v>0.0189721201985662</v>
      </c>
      <c r="S413" s="1">
        <v>0.006088925253395994</v>
      </c>
      <c r="T413" s="1">
        <v>0.02854788620155913</v>
      </c>
      <c r="U413" s="1">
        <v>0.01064369115978936</v>
      </c>
      <c r="V413" s="1">
        <v>-0.0003538396370408314</v>
      </c>
      <c r="W413" s="1">
        <v>0.01597588873673139</v>
      </c>
      <c r="X413" s="1">
        <v>0.0111509192878454</v>
      </c>
      <c r="Y413" s="1">
        <v>0.004362256207862236</v>
      </c>
      <c r="Z413" s="1">
        <v>0.01033499800610227</v>
      </c>
    </row>
    <row r="414" spans="1:26">
      <c r="A414" s="11">
        <v>42970</v>
      </c>
      <c r="B414" s="1">
        <v>0.008774087045672729</v>
      </c>
      <c r="C414" s="1">
        <v>-0.006923844624846964</v>
      </c>
      <c r="D414" s="1">
        <v>-0.01126279029908916</v>
      </c>
      <c r="E414" s="1">
        <v>0.00346799691810884</v>
      </c>
      <c r="F414" s="1">
        <v>-0.01692867367318729</v>
      </c>
      <c r="G414" s="1">
        <v>0.007454943928123958</v>
      </c>
      <c r="H414" s="1">
        <v>0.003518576538139362</v>
      </c>
      <c r="I414" s="1">
        <v>-0.008767574091017805</v>
      </c>
      <c r="J414" s="1">
        <v>-0.008412618212193523</v>
      </c>
      <c r="K414" s="1">
        <v>-0.00155398113974603</v>
      </c>
      <c r="L414" s="1">
        <v>0.00120147888974298</v>
      </c>
      <c r="M414" s="1">
        <v>-0.03200443798720831</v>
      </c>
      <c r="N414" s="1">
        <v>-0.005463328748789076</v>
      </c>
      <c r="O414" s="1">
        <v>-0.01241491449308274</v>
      </c>
      <c r="P414" s="1">
        <v>-0.006014864800862108</v>
      </c>
      <c r="Q414" s="1">
        <v>0.003340549431850359</v>
      </c>
      <c r="R414" s="1">
        <v>-0.006826690567436455</v>
      </c>
      <c r="S414" s="1">
        <v>0.01899887598665018</v>
      </c>
      <c r="T414" s="1">
        <v>-0.009615622388609801</v>
      </c>
      <c r="U414" s="1">
        <v>-0.001579664264980796</v>
      </c>
      <c r="V414" s="1">
        <v>-0.001414808934693479</v>
      </c>
      <c r="W414" s="1">
        <v>-0.005543379773264245</v>
      </c>
      <c r="X414" s="1">
        <v>-0.001456442559322424</v>
      </c>
      <c r="Y414" s="1">
        <v>-0.001447920288374593</v>
      </c>
      <c r="Z414" s="1">
        <v>-0.001363322449624893</v>
      </c>
    </row>
    <row r="415" spans="1:26">
      <c r="A415" s="11">
        <v>42971</v>
      </c>
      <c r="B415" s="1">
        <v>-0.005218999393330814</v>
      </c>
      <c r="C415" s="1">
        <v>0.002730066354154959</v>
      </c>
      <c r="D415" s="1">
        <v>0.0009761551450464534</v>
      </c>
      <c r="E415" s="1">
        <v>0.005184154020920539</v>
      </c>
      <c r="F415" s="1">
        <v>-0.01254591562578466</v>
      </c>
      <c r="G415" s="1">
        <v>-0.003027155576283969</v>
      </c>
      <c r="H415" s="1">
        <v>-0.03155557106950646</v>
      </c>
      <c r="I415" s="1">
        <v>-0.00867322610305199</v>
      </c>
      <c r="J415" s="1">
        <v>0.02916229675216764</v>
      </c>
      <c r="K415" s="1">
        <v>0.0007781091397427442</v>
      </c>
      <c r="L415" s="1">
        <v>-0.001636260479057405</v>
      </c>
      <c r="M415" s="1">
        <v>-0.01952827777194011</v>
      </c>
      <c r="N415" s="1">
        <v>-0.00172699293323364</v>
      </c>
      <c r="O415" s="1">
        <v>-0.003628767885576423</v>
      </c>
      <c r="P415" s="1">
        <v>-0.0004121088470377954</v>
      </c>
      <c r="Q415" s="1">
        <v>-0.003329427315323819</v>
      </c>
      <c r="R415" s="1">
        <v>-0.002968765467214807</v>
      </c>
      <c r="S415" s="1">
        <v>-0.003651098695946597</v>
      </c>
      <c r="T415" s="1">
        <v>-0.000625394518970368</v>
      </c>
      <c r="U415" s="1">
        <v>-0.006329030556004089</v>
      </c>
      <c r="V415" s="1">
        <v>-0.03985103469027418</v>
      </c>
      <c r="W415" s="1">
        <v>0.0008537121610936449</v>
      </c>
      <c r="X415" s="1">
        <v>-0.001041776022981833</v>
      </c>
      <c r="Y415" s="1">
        <v>0.0006215477371518396</v>
      </c>
      <c r="Z415" s="1">
        <v>0.01024312838229635</v>
      </c>
    </row>
    <row r="416" spans="1:26">
      <c r="A416" s="11">
        <v>42972</v>
      </c>
      <c r="B416" s="1">
        <v>0.0007497932411193453</v>
      </c>
      <c r="C416" s="1">
        <v>-0.01193774171723805</v>
      </c>
      <c r="D416" s="1">
        <v>0</v>
      </c>
      <c r="E416" s="1">
        <v>0.00343818738797208</v>
      </c>
      <c r="F416" s="1">
        <v>0.001494762024128127</v>
      </c>
      <c r="G416" s="1">
        <v>0.003036347071252221</v>
      </c>
      <c r="H416" s="1">
        <v>-0.02057928179866075</v>
      </c>
      <c r="I416" s="1">
        <v>0.003464948091484121</v>
      </c>
      <c r="J416" s="1">
        <v>-0.00515197348122709</v>
      </c>
      <c r="K416" s="1">
        <v>0.006219247468094657</v>
      </c>
      <c r="L416" s="1">
        <v>0.004042738244394828</v>
      </c>
      <c r="M416" s="1">
        <v>0.0388484566716536</v>
      </c>
      <c r="N416" s="1">
        <v>0.00754758872099659</v>
      </c>
      <c r="O416" s="1">
        <v>0.001040385768730001</v>
      </c>
      <c r="P416" s="1">
        <v>0.001788426439810253</v>
      </c>
      <c r="Q416" s="1">
        <v>0.006310052749995299</v>
      </c>
      <c r="R416" s="1">
        <v>0.002977605278941864</v>
      </c>
      <c r="S416" s="1">
        <v>-0.003908631985312994</v>
      </c>
      <c r="T416" s="1">
        <v>0.01072831763903825</v>
      </c>
      <c r="U416" s="1">
        <v>0.008227272314097256</v>
      </c>
      <c r="V416" s="1">
        <v>0.0147571881836206</v>
      </c>
      <c r="W416" s="1">
        <v>0.007160386247219375</v>
      </c>
      <c r="X416" s="1">
        <v>0.01022109891932876</v>
      </c>
      <c r="Y416" s="1">
        <v>0.007659122588352885</v>
      </c>
      <c r="Z416" s="1">
        <v>0.00721060538218854</v>
      </c>
    </row>
    <row r="417" spans="1:26">
      <c r="A417" s="11">
        <v>42975</v>
      </c>
      <c r="B417" s="1">
        <v>-0.01772365087079697</v>
      </c>
      <c r="C417" s="1">
        <v>0.005468610051375666</v>
      </c>
      <c r="D417" s="1">
        <v>0.002113753284782582</v>
      </c>
      <c r="E417" s="1">
        <v>0.003597659283609334</v>
      </c>
      <c r="F417" s="1">
        <v>0.003482680120831638</v>
      </c>
      <c r="G417" s="1">
        <v>0.006727171122567821</v>
      </c>
      <c r="H417" s="1">
        <v>-0.01284050408476922</v>
      </c>
      <c r="I417" s="1">
        <v>0.001035767157857137</v>
      </c>
      <c r="J417" s="1">
        <v>-0.006732297309085866</v>
      </c>
      <c r="K417" s="1">
        <v>0.0002575261367703252</v>
      </c>
      <c r="L417" s="1">
        <v>-0.003155785978358527</v>
      </c>
      <c r="M417" s="1">
        <v>-0.01765388955939617</v>
      </c>
      <c r="N417" s="1">
        <v>-0.00234067863164944</v>
      </c>
      <c r="O417" s="1">
        <v>0.006236977765604612</v>
      </c>
      <c r="P417" s="1">
        <v>0.0001374497438573208</v>
      </c>
      <c r="Q417" s="1">
        <v>-0.0007378147138140667</v>
      </c>
      <c r="R417" s="1">
        <v>0.006093095873863863</v>
      </c>
      <c r="S417" s="1">
        <v>0.002109204297506384</v>
      </c>
      <c r="T417" s="1">
        <v>-0.0007076343773987359</v>
      </c>
      <c r="U417" s="1">
        <v>-0.001316415645499114</v>
      </c>
      <c r="V417" s="1">
        <v>-0.0103616932746583</v>
      </c>
      <c r="W417" s="1">
        <v>0.006827997403686448</v>
      </c>
      <c r="X417" s="1">
        <v>-0.007020512619385411</v>
      </c>
      <c r="Y417" s="1">
        <v>-0.001437976421336029</v>
      </c>
      <c r="Z417" s="1">
        <v>-0.00939573701601959</v>
      </c>
    </row>
    <row r="418" spans="1:26">
      <c r="A418" s="11">
        <v>42976</v>
      </c>
      <c r="B418" s="1">
        <v>-0.01219810976690416</v>
      </c>
      <c r="C418" s="1">
        <v>0.01395579502062949</v>
      </c>
      <c r="D418" s="1">
        <v>-0.003731515304753574</v>
      </c>
      <c r="E418" s="1">
        <v>0.004779863561175768</v>
      </c>
      <c r="F418" s="1">
        <v>-0.004462182001526038</v>
      </c>
      <c r="G418" s="1">
        <v>-0.001336560600193493</v>
      </c>
      <c r="H418" s="1">
        <v>0.001379560983457928</v>
      </c>
      <c r="I418" s="1">
        <v>-0.0006035096941986451</v>
      </c>
      <c r="J418" s="1">
        <v>0.001564105837146501</v>
      </c>
      <c r="K418" s="1">
        <v>-0.002317138507205052</v>
      </c>
      <c r="L418" s="1">
        <v>-0.005458651056661878</v>
      </c>
      <c r="M418" s="1">
        <v>-0.00560385545917641</v>
      </c>
      <c r="N418" s="1">
        <v>-0.001877214041181352</v>
      </c>
      <c r="O418" s="1">
        <v>-0.00568183052842508</v>
      </c>
      <c r="P418" s="1">
        <v>0.003020598846018574</v>
      </c>
      <c r="Q418" s="1">
        <v>-0.004060319100280707</v>
      </c>
      <c r="R418" s="1">
        <v>0.01180071554926942</v>
      </c>
      <c r="S418" s="1">
        <v>0.006216065147961691</v>
      </c>
      <c r="T418" s="1">
        <v>-0.01705409200726105</v>
      </c>
      <c r="U418" s="1">
        <v>-0.002371994516000786</v>
      </c>
      <c r="V418" s="1">
        <v>0.002020221675183675</v>
      </c>
      <c r="W418" s="1">
        <v>0.01171304217767166</v>
      </c>
      <c r="X418" s="1">
        <v>0.001455373288918871</v>
      </c>
      <c r="Y418" s="1">
        <v>-0.00205724689296849</v>
      </c>
      <c r="Z418" s="1">
        <v>-0.01287277437628054</v>
      </c>
    </row>
    <row r="419" spans="1:26">
      <c r="A419" s="11">
        <v>42977</v>
      </c>
      <c r="B419" s="1">
        <v>-0.01286325122818399</v>
      </c>
      <c r="C419" s="1">
        <v>-0.0001247692789119181</v>
      </c>
      <c r="D419" s="1">
        <v>0.003755048322921395</v>
      </c>
      <c r="E419" s="1">
        <v>0.008834494474529331</v>
      </c>
      <c r="F419" s="1">
        <v>0.01643400019686547</v>
      </c>
      <c r="G419" s="1">
        <v>-0.007694840292006289</v>
      </c>
      <c r="H419" s="1">
        <v>-0.0110210753550507</v>
      </c>
      <c r="I419" s="1">
        <v>-0.003451268214681891</v>
      </c>
      <c r="J419" s="1">
        <v>-0.002081877231129847</v>
      </c>
      <c r="K419" s="1">
        <v>0.0100644343875278</v>
      </c>
      <c r="L419" s="1">
        <v>0.002305246591948196</v>
      </c>
      <c r="M419" s="1">
        <v>0.001165868975601558</v>
      </c>
      <c r="N419" s="1">
        <v>0.003761025279522379</v>
      </c>
      <c r="O419" s="1">
        <v>0.005324833353097969</v>
      </c>
      <c r="P419" s="1">
        <v>0.0131414559633396</v>
      </c>
      <c r="Q419" s="1">
        <v>-0.002594605105482817</v>
      </c>
      <c r="R419" s="1">
        <v>0.01411902584045444</v>
      </c>
      <c r="S419" s="1">
        <v>0.001800297922254668</v>
      </c>
      <c r="T419" s="1">
        <v>0.01458853770196522</v>
      </c>
      <c r="U419" s="1">
        <v>-0.004755771227043626</v>
      </c>
      <c r="V419" s="1">
        <v>-0.004216053671767028</v>
      </c>
      <c r="W419" s="1">
        <v>0.01346115394746805</v>
      </c>
      <c r="X419" s="1">
        <v>0.01681920574293927</v>
      </c>
      <c r="Y419" s="1">
        <v>-0.008039944106831842</v>
      </c>
      <c r="Z419" s="1">
        <v>0.002516512120897874</v>
      </c>
    </row>
    <row r="420" spans="1:26">
      <c r="A420" s="11">
        <v>42978</v>
      </c>
      <c r="B420" s="1">
        <v>0.01224901709576587</v>
      </c>
      <c r="C420" s="1">
        <v>-0.00332694882100748</v>
      </c>
      <c r="D420" s="1">
        <v>0.009108573204716697</v>
      </c>
      <c r="E420" s="1">
        <v>0.01852483068041311</v>
      </c>
      <c r="F420" s="1">
        <v>-0.005144484992213871</v>
      </c>
      <c r="G420" s="1">
        <v>-0.001348474932045596</v>
      </c>
      <c r="H420" s="1">
        <v>-0.08059738467292532</v>
      </c>
      <c r="I420" s="1">
        <v>0.003809497495551595</v>
      </c>
      <c r="J420" s="1">
        <v>-0.00469537762883121</v>
      </c>
      <c r="K420" s="1">
        <v>0.01149706962330921</v>
      </c>
      <c r="L420" s="1">
        <v>-0.00459957103204911</v>
      </c>
      <c r="M420" s="1">
        <v>0.01203422560995526</v>
      </c>
      <c r="N420" s="1">
        <v>-0.01014807826407971</v>
      </c>
      <c r="O420" s="1">
        <v>0.008655105245544359</v>
      </c>
      <c r="P420" s="1">
        <v>0.01026903751479935</v>
      </c>
      <c r="Q420" s="1">
        <v>-0.001486407219551622</v>
      </c>
      <c r="R420" s="1">
        <v>0.00378355995467472</v>
      </c>
      <c r="S420" s="1">
        <v>-0.002913934269395568</v>
      </c>
      <c r="T420" s="1">
        <v>0.003757110076544556</v>
      </c>
      <c r="U420" s="1">
        <v>-0.005574702305277346</v>
      </c>
      <c r="V420" s="1">
        <v>0.003865837522189608</v>
      </c>
      <c r="W420" s="1">
        <v>0.02290224588960266</v>
      </c>
      <c r="X420" s="1">
        <v>0.002449989916861073</v>
      </c>
      <c r="Y420" s="1">
        <v>-0.003116841255380476</v>
      </c>
      <c r="Z420" s="1">
        <v>-0.003651203466564223</v>
      </c>
    </row>
    <row r="421" spans="1:26">
      <c r="A421" s="11">
        <v>42979</v>
      </c>
      <c r="B421" s="1">
        <v>0.01647828600151735</v>
      </c>
      <c r="C421" s="1">
        <v>0.002795537403444071</v>
      </c>
      <c r="D421" s="1">
        <v>0.003062675783919833</v>
      </c>
      <c r="E421" s="1">
        <v>-0.009589959758226518</v>
      </c>
      <c r="F421" s="1">
        <v>0.01108106640562112</v>
      </c>
      <c r="G421" s="1">
        <v>0.0003376372025420959</v>
      </c>
      <c r="H421" s="1">
        <v>-0.0173156702555658</v>
      </c>
      <c r="I421" s="1">
        <v>0.001811448698707974</v>
      </c>
      <c r="J421" s="1">
        <v>0.01467524640847384</v>
      </c>
      <c r="K421" s="1">
        <v>0.007577946477726138</v>
      </c>
      <c r="L421" s="1">
        <v>0.008911887675427277</v>
      </c>
      <c r="M421" s="1">
        <v>0.0009589550798334567</v>
      </c>
      <c r="N421" s="1">
        <v>0.00220796342309848</v>
      </c>
      <c r="O421" s="1">
        <v>-0.002689338371036132</v>
      </c>
      <c r="P421" s="1">
        <v>-0.01110058966833216</v>
      </c>
      <c r="Q421" s="1">
        <v>-0.0003721075885684266</v>
      </c>
      <c r="R421" s="1">
        <v>-0.007085746872279697</v>
      </c>
      <c r="S421" s="1">
        <v>0.002629902377063731</v>
      </c>
      <c r="T421" s="1">
        <v>0.0128218259749977</v>
      </c>
      <c r="U421" s="1">
        <v>0.0005341180610447527</v>
      </c>
      <c r="V421" s="1">
        <v>0.03099242536888669</v>
      </c>
      <c r="W421" s="1">
        <v>-0.006092100902862496</v>
      </c>
      <c r="X421" s="1">
        <v>0.002852240225190705</v>
      </c>
      <c r="Y421" s="1">
        <v>-0.001042671964197495</v>
      </c>
      <c r="Z421" s="1">
        <v>0.01511671084344024</v>
      </c>
    </row>
    <row r="422" spans="1:26">
      <c r="A422" s="11">
        <v>42983</v>
      </c>
      <c r="B422" s="1">
        <v>-0.001519986891474479</v>
      </c>
      <c r="C422" s="1">
        <v>-0.01385586545524153</v>
      </c>
      <c r="D422" s="1">
        <v>-0.0008035548212935728</v>
      </c>
      <c r="E422" s="1">
        <v>-0.001502785695587705</v>
      </c>
      <c r="F422" s="1">
        <v>-0.009498098786198672</v>
      </c>
      <c r="G422" s="1">
        <v>-0.0003375232421388707</v>
      </c>
      <c r="H422" s="1">
        <v>0.0279731795821172</v>
      </c>
      <c r="I422" s="1">
        <v>-0.005252087671819394</v>
      </c>
      <c r="J422" s="1">
        <v>-0.006198456813600761</v>
      </c>
      <c r="K422" s="1">
        <v>0.002757452800344229</v>
      </c>
      <c r="L422" s="1">
        <v>-0.02388206808688653</v>
      </c>
      <c r="M422" s="1">
        <v>-0.02011876368586751</v>
      </c>
      <c r="N422" s="1">
        <v>-0.01054447587032892</v>
      </c>
      <c r="O422" s="1">
        <v>0.002824885745501549</v>
      </c>
      <c r="P422" s="1">
        <v>-0.004463504099781357</v>
      </c>
      <c r="Q422" s="1">
        <v>0.0003722461041686387</v>
      </c>
      <c r="R422" s="1">
        <v>-0.008654901578238561</v>
      </c>
      <c r="S422" s="1">
        <v>0.003788508188234729</v>
      </c>
      <c r="T422" s="1">
        <v>0.003958049711481726</v>
      </c>
      <c r="U422" s="1">
        <v>-0.01040561720180799</v>
      </c>
      <c r="V422" s="1">
        <v>0.0200995932693715</v>
      </c>
      <c r="W422" s="1">
        <v>0.0001080522760950053</v>
      </c>
      <c r="X422" s="1">
        <v>-0.01076577921369604</v>
      </c>
      <c r="Y422" s="1">
        <v>-0.01168587382430608</v>
      </c>
      <c r="Z422" s="1">
        <v>-0.03519838667228037</v>
      </c>
    </row>
    <row r="423" spans="1:26">
      <c r="A423" s="11">
        <v>42984</v>
      </c>
      <c r="B423" s="1">
        <v>0.01801091016942502</v>
      </c>
      <c r="C423" s="1">
        <v>-0.01004219925719141</v>
      </c>
      <c r="D423" s="1">
        <v>0.005628911827233685</v>
      </c>
      <c r="E423" s="1">
        <v>0.001003482628287866</v>
      </c>
      <c r="F423" s="1">
        <v>0.01229368170806588</v>
      </c>
      <c r="G423" s="1">
        <v>-0.006077047915552081</v>
      </c>
      <c r="H423" s="1">
        <v>0.01842695708230013</v>
      </c>
      <c r="I423" s="1">
        <v>0.005972433471194805</v>
      </c>
      <c r="J423" s="1">
        <v>0.006756656170980202</v>
      </c>
      <c r="K423" s="1">
        <v>-0.009500102808149502</v>
      </c>
      <c r="L423" s="1">
        <v>0.006702872024007656</v>
      </c>
      <c r="M423" s="1">
        <v>0.01036352262459173</v>
      </c>
      <c r="N423" s="1">
        <v>0.006362254390824162</v>
      </c>
      <c r="O423" s="1">
        <v>0.01126930081270938</v>
      </c>
      <c r="P423" s="1">
        <v>-0.002852504315742022</v>
      </c>
      <c r="Q423" s="1">
        <v>-0.002977334610213989</v>
      </c>
      <c r="R423" s="1">
        <v>-0.0007657697306403533</v>
      </c>
      <c r="S423" s="1">
        <v>0.005951832341952068</v>
      </c>
      <c r="T423" s="1">
        <v>-0.005855465624915346</v>
      </c>
      <c r="U423" s="1">
        <v>-0.01402015035491733</v>
      </c>
      <c r="V423" s="1">
        <v>0.01168253238288353</v>
      </c>
      <c r="W423" s="1">
        <v>0.0182236055084215</v>
      </c>
      <c r="X423" s="1">
        <v>0.001848175483604164</v>
      </c>
      <c r="Y423" s="1">
        <v>-0.009501624761774852</v>
      </c>
      <c r="Z423" s="1">
        <v>-0.003508233506870129</v>
      </c>
    </row>
    <row r="424" spans="1:26">
      <c r="A424" s="11">
        <v>42985</v>
      </c>
      <c r="B424" s="1">
        <v>0.01495145110935137</v>
      </c>
      <c r="C424" s="1">
        <v>0.007203057416019121</v>
      </c>
      <c r="D424" s="1">
        <v>0.004957405544194549</v>
      </c>
      <c r="E424" s="1">
        <v>0.04960752051432027</v>
      </c>
      <c r="F424" s="1">
        <v>-0.0624238661597607</v>
      </c>
      <c r="G424" s="1">
        <v>0.01766287006511957</v>
      </c>
      <c r="H424" s="1">
        <v>-0.002945019230112922</v>
      </c>
      <c r="I424" s="1">
        <v>0.0009463362459085634</v>
      </c>
      <c r="J424" s="1">
        <v>-0.004646021568046166</v>
      </c>
      <c r="K424" s="1">
        <v>-0.01034845298358</v>
      </c>
      <c r="L424" s="1">
        <v>-0.01753417865655615</v>
      </c>
      <c r="M424" s="1">
        <v>0.0104511717110114</v>
      </c>
      <c r="N424" s="1">
        <v>-0.008534649643531789</v>
      </c>
      <c r="O424" s="1">
        <v>-0.001646401978015133</v>
      </c>
      <c r="P424" s="1">
        <v>0.01280652241078561</v>
      </c>
      <c r="Q424" s="1">
        <v>0.007465706602692856</v>
      </c>
      <c r="R424" s="1">
        <v>0.02437151629554291</v>
      </c>
      <c r="S424" s="1">
        <v>0.03073753708230775</v>
      </c>
      <c r="T424" s="1">
        <v>-0.009943058232798285</v>
      </c>
      <c r="U424" s="1">
        <v>-0.02652411102778041</v>
      </c>
      <c r="V424" s="1">
        <v>0.00689436408409061</v>
      </c>
      <c r="W424" s="1">
        <v>0.006229982022970315</v>
      </c>
      <c r="X424" s="1">
        <v>-0.001639827196206478</v>
      </c>
      <c r="Y424" s="1">
        <v>-0.01513544065457628</v>
      </c>
      <c r="Z424" s="1">
        <v>-0.03003992862409</v>
      </c>
    </row>
    <row r="425" spans="1:26">
      <c r="A425" s="11">
        <v>42986</v>
      </c>
      <c r="B425" s="1">
        <v>-0.03510920870851331</v>
      </c>
      <c r="C425" s="1">
        <v>0.01045245112604953</v>
      </c>
      <c r="D425" s="1">
        <v>0.007002249362300095</v>
      </c>
      <c r="E425" s="1">
        <v>-0.003500985331891915</v>
      </c>
      <c r="F425" s="1">
        <v>-0.01010368662974315</v>
      </c>
      <c r="G425" s="1">
        <v>0.001669361655749269</v>
      </c>
      <c r="H425" s="1">
        <v>0.01118325438578394</v>
      </c>
      <c r="I425" s="1">
        <v>0.00833832222686226</v>
      </c>
      <c r="J425" s="1">
        <v>-0.008298697484979911</v>
      </c>
      <c r="K425" s="1">
        <v>-0.00127473562977698</v>
      </c>
      <c r="L425" s="1">
        <v>-0.001242600176979747</v>
      </c>
      <c r="M425" s="1">
        <v>0.01264139874347237</v>
      </c>
      <c r="N425" s="1">
        <v>-0.007970683984518501</v>
      </c>
      <c r="O425" s="1">
        <v>0.03944681333398781</v>
      </c>
      <c r="P425" s="1">
        <v>-0.004842502974085505</v>
      </c>
      <c r="Q425" s="1">
        <v>0.00444581453585835</v>
      </c>
      <c r="R425" s="1">
        <v>0.01152201672107722</v>
      </c>
      <c r="S425" s="1">
        <v>0.01880738093716161</v>
      </c>
      <c r="T425" s="1">
        <v>0.01472542616939121</v>
      </c>
      <c r="U425" s="1">
        <v>-0.0002808115889199048</v>
      </c>
      <c r="V425" s="1">
        <v>-0.01968499466862428</v>
      </c>
      <c r="W425" s="1">
        <v>0.005456873208776969</v>
      </c>
      <c r="X425" s="1">
        <v>0.01088078782657909</v>
      </c>
      <c r="Y425" s="1">
        <v>-0.001948187194105055</v>
      </c>
      <c r="Z425" s="1">
        <v>0.007500856387613553</v>
      </c>
    </row>
    <row r="426" spans="1:26">
      <c r="A426" s="11">
        <v>42989</v>
      </c>
      <c r="B426" s="1">
        <v>0.01170462352390644</v>
      </c>
      <c r="C426" s="1">
        <v>0.00758008290374379</v>
      </c>
      <c r="D426" s="1">
        <v>0.0158025500879837</v>
      </c>
      <c r="E426" s="1">
        <v>0.001597139409537096</v>
      </c>
      <c r="F426" s="1">
        <v>-0.00994504588436862</v>
      </c>
      <c r="G426" s="1">
        <v>0.01466155423547133</v>
      </c>
      <c r="H426" s="1">
        <v>-0.003964677465984834</v>
      </c>
      <c r="I426" s="1">
        <v>0.005370801599199559</v>
      </c>
      <c r="J426" s="1">
        <v>0.01046022900843768</v>
      </c>
      <c r="K426" s="1">
        <v>0.006128423002356609</v>
      </c>
      <c r="L426" s="1">
        <v>0.01549419915212691</v>
      </c>
      <c r="M426" s="1">
        <v>0.01380702150023394</v>
      </c>
      <c r="N426" s="1">
        <v>0.00417785309726626</v>
      </c>
      <c r="O426" s="1">
        <v>-0.009152071387950822</v>
      </c>
      <c r="P426" s="1">
        <v>0.0105434474067736</v>
      </c>
      <c r="Q426" s="1">
        <v>0.004426230694012823</v>
      </c>
      <c r="R426" s="1">
        <v>0.001479085287906745</v>
      </c>
      <c r="S426" s="1">
        <v>-0.02249150271633438</v>
      </c>
      <c r="T426" s="1">
        <v>0.00861987667728692</v>
      </c>
      <c r="U426" s="1">
        <v>0.004214225795568849</v>
      </c>
      <c r="V426" s="1">
        <v>0.0003492800431617038</v>
      </c>
      <c r="W426" s="1">
        <v>0.01012380142110914</v>
      </c>
      <c r="X426" s="1">
        <v>0.03960201272055186</v>
      </c>
      <c r="Y426" s="1">
        <v>0.004120642516026285</v>
      </c>
      <c r="Z426" s="1">
        <v>0.02617690875830947</v>
      </c>
    </row>
    <row r="427" spans="1:26">
      <c r="A427" s="11">
        <v>42990</v>
      </c>
      <c r="B427" s="1">
        <v>0.01911508175478871</v>
      </c>
      <c r="C427" s="1">
        <v>-4.148326769048971E-05</v>
      </c>
      <c r="D427" s="1">
        <v>-0.002022325620374077</v>
      </c>
      <c r="E427" s="1">
        <v>0.004783020542139527</v>
      </c>
      <c r="F427" s="1">
        <v>0.001850364419011541</v>
      </c>
      <c r="G427" s="1">
        <v>-0.01543532923760416</v>
      </c>
      <c r="H427" s="1">
        <v>-0.007332913335549529</v>
      </c>
      <c r="I427" s="1">
        <v>-0.005681148620225951</v>
      </c>
      <c r="J427" s="1">
        <v>0.01527101812744602</v>
      </c>
      <c r="K427" s="1">
        <v>0.01522850513207508</v>
      </c>
      <c r="L427" s="1">
        <v>0.0122510928669628</v>
      </c>
      <c r="M427" s="1">
        <v>0.006530001155356402</v>
      </c>
      <c r="N427" s="1">
        <v>0.0001601183359773994</v>
      </c>
      <c r="O427" s="1">
        <v>0.006896886464565766</v>
      </c>
      <c r="P427" s="1">
        <v>-0.00107016577357133</v>
      </c>
      <c r="Q427" s="1">
        <v>-0.01615842999846806</v>
      </c>
      <c r="R427" s="1">
        <v>0.01536185373445265</v>
      </c>
      <c r="S427" s="1">
        <v>-0.01806978434995765</v>
      </c>
      <c r="T427" s="1">
        <v>0.008143519276202715</v>
      </c>
      <c r="U427" s="1">
        <v>0.01454960027780827</v>
      </c>
      <c r="V427" s="1">
        <v>0.01047249617533219</v>
      </c>
      <c r="W427" s="1">
        <v>0.002428037832980845</v>
      </c>
      <c r="X427" s="1">
        <v>0.02383235186692545</v>
      </c>
      <c r="Y427" s="1">
        <v>0.01058312588013455</v>
      </c>
      <c r="Z427" s="1">
        <v>0.01404160389480458</v>
      </c>
    </row>
    <row r="428" spans="1:26">
      <c r="A428" s="11">
        <v>42991</v>
      </c>
      <c r="B428" s="1">
        <v>0.04491570570036352</v>
      </c>
      <c r="C428" s="1">
        <v>0.005611380001492083</v>
      </c>
      <c r="D428" s="1">
        <v>0.007170659838054982</v>
      </c>
      <c r="E428" s="1">
        <v>-0.008568805621487541</v>
      </c>
      <c r="F428" s="1">
        <v>0.001583244187472799</v>
      </c>
      <c r="G428" s="1">
        <v>-0.001334081665731235</v>
      </c>
      <c r="H428" s="1">
        <v>0.006542888814047743</v>
      </c>
      <c r="I428" s="1">
        <v>0.0009380173928767999</v>
      </c>
      <c r="J428" s="1">
        <v>-0.01026744839472027</v>
      </c>
      <c r="K428" s="1">
        <v>-0.002499818350887306</v>
      </c>
      <c r="L428" s="1">
        <v>0.002860744081230271</v>
      </c>
      <c r="M428" s="1">
        <v>0.01316055089385904</v>
      </c>
      <c r="N428" s="1">
        <v>0.0001599742904383472</v>
      </c>
      <c r="O428" s="1">
        <v>-0.0001221912928520696</v>
      </c>
      <c r="P428" s="1">
        <v>0.007097106659268437</v>
      </c>
      <c r="Q428" s="1">
        <v>-0.004105786897016572</v>
      </c>
      <c r="R428" s="1">
        <v>0.005528270149324888</v>
      </c>
      <c r="S428" s="1">
        <v>0.005588220368781371</v>
      </c>
      <c r="T428" s="1">
        <v>-0.009790249396985584</v>
      </c>
      <c r="U428" s="1">
        <v>0.007997934510306504</v>
      </c>
      <c r="V428" s="1">
        <v>0.02798424730122684</v>
      </c>
      <c r="W428" s="1">
        <v>-0.01324470510663112</v>
      </c>
      <c r="X428" s="1">
        <v>-0.001144701798551973</v>
      </c>
      <c r="Y428" s="1">
        <v>0.009831288887136136</v>
      </c>
      <c r="Z428" s="1">
        <v>-0.006461949352779994</v>
      </c>
    </row>
    <row r="429" spans="1:26">
      <c r="A429" s="11">
        <v>42992</v>
      </c>
      <c r="B429" s="1">
        <v>-0.002833945361770729</v>
      </c>
      <c r="C429" s="1">
        <v>0.01364020347822903</v>
      </c>
      <c r="D429" s="1">
        <v>-0.004488420105005053</v>
      </c>
      <c r="E429" s="1">
        <v>0.003360832461315022</v>
      </c>
      <c r="F429" s="1">
        <v>-0.009483559446943679</v>
      </c>
      <c r="G429" s="1">
        <v>0.006680070086747314</v>
      </c>
      <c r="H429" s="1">
        <v>0.001258058694116215</v>
      </c>
      <c r="I429" s="1">
        <v>0.008520114750420804</v>
      </c>
      <c r="J429" s="1">
        <v>0.009336364164281852</v>
      </c>
      <c r="K429" s="1">
        <v>0.005012633890535634</v>
      </c>
      <c r="L429" s="1">
        <v>-0.001974947299844376</v>
      </c>
      <c r="M429" s="1">
        <v>-0.005671726526707777</v>
      </c>
      <c r="N429" s="1">
        <v>0.006952500089386637</v>
      </c>
      <c r="O429" s="1">
        <v>-0.006728276082930806</v>
      </c>
      <c r="P429" s="1">
        <v>-0.005850582849549646</v>
      </c>
      <c r="Q429" s="1">
        <v>0.008995324504546431</v>
      </c>
      <c r="R429" s="1">
        <v>0.001446559176930373</v>
      </c>
      <c r="S429" s="1">
        <v>0.01830025614500963</v>
      </c>
      <c r="T429" s="1">
        <v>-0.001095406855598169</v>
      </c>
      <c r="U429" s="1">
        <v>-0.006292682285596318</v>
      </c>
      <c r="V429" s="1">
        <v>-0.0006720164577903587</v>
      </c>
      <c r="W429" s="1">
        <v>0.001933683659195884</v>
      </c>
      <c r="X429" s="1">
        <v>-0.0108922918266956</v>
      </c>
      <c r="Y429" s="1">
        <v>-0.00148162827774545</v>
      </c>
      <c r="Z429" s="1">
        <v>-0.009059304449328565</v>
      </c>
    </row>
    <row r="430" spans="1:26">
      <c r="A430" s="11">
        <v>42993</v>
      </c>
      <c r="B430" s="1">
        <v>0.007105341874131366</v>
      </c>
      <c r="C430" s="1">
        <v>0.01537347938270028</v>
      </c>
      <c r="D430" s="1">
        <v>-0.005596955691833716</v>
      </c>
      <c r="E430" s="1">
        <v>-0.003349575100585311</v>
      </c>
      <c r="F430" s="1">
        <v>-0.01781947638852199</v>
      </c>
      <c r="G430" s="1">
        <v>0.004313058787837498</v>
      </c>
      <c r="H430" s="1">
        <v>0.02052380137755572</v>
      </c>
      <c r="I430" s="1">
        <v>0.00540673317149043</v>
      </c>
      <c r="J430" s="1">
        <v>0.0005136665607206048</v>
      </c>
      <c r="K430" s="1">
        <v>-0.007231904562080782</v>
      </c>
      <c r="L430" s="1">
        <v>0.007145304831908561</v>
      </c>
      <c r="M430" s="1">
        <v>0.006807796296261381</v>
      </c>
      <c r="N430" s="1">
        <v>0.001765864622297331</v>
      </c>
      <c r="O430" s="1">
        <v>0.001478153551489614</v>
      </c>
      <c r="P430" s="1">
        <v>0.007222317786695465</v>
      </c>
      <c r="Q430" s="1">
        <v>0.002600482765699796</v>
      </c>
      <c r="R430" s="1">
        <v>0.01011256226277224</v>
      </c>
      <c r="S430" s="1">
        <v>0.007480451535668786</v>
      </c>
      <c r="T430" s="1">
        <v>-0.01604429034082311</v>
      </c>
      <c r="U430" s="1">
        <v>0.02147564773897126</v>
      </c>
      <c r="V430" s="1">
        <v>0.008239256570779174</v>
      </c>
      <c r="W430" s="1">
        <v>-0.00552974335982459</v>
      </c>
      <c r="X430" s="1">
        <v>-0.002898001155353214</v>
      </c>
      <c r="Y430" s="1">
        <v>0.01441298626890419</v>
      </c>
      <c r="Z430" s="1">
        <v>0.01453305636447255</v>
      </c>
    </row>
    <row r="431" spans="1:26">
      <c r="A431" s="11">
        <v>42996</v>
      </c>
      <c r="B431" s="1">
        <v>-0.005173723791505269</v>
      </c>
      <c r="C431" s="1">
        <v>0.01638552369318091</v>
      </c>
      <c r="D431" s="1">
        <v>0.005471983804860026</v>
      </c>
      <c r="E431" s="1">
        <v>0.003520988752230503</v>
      </c>
      <c r="F431" s="1">
        <v>0.004874559392507916</v>
      </c>
      <c r="G431" s="1">
        <v>-0.009580481100632032</v>
      </c>
      <c r="H431" s="1">
        <v>-0.01354405673080916</v>
      </c>
      <c r="I431" s="1">
        <v>0.007394306687871444</v>
      </c>
      <c r="J431" s="1">
        <v>0.006163502528122144</v>
      </c>
      <c r="K431" s="1">
        <v>-0.006028828974940836</v>
      </c>
      <c r="L431" s="1">
        <v>0.01418858894623543</v>
      </c>
      <c r="M431" s="1">
        <v>-0.01151321813801842</v>
      </c>
      <c r="N431" s="1">
        <v>0.002724818346421687</v>
      </c>
      <c r="O431" s="1">
        <v>0.001598497540827415</v>
      </c>
      <c r="P431" s="1">
        <v>-0.001991683900893104</v>
      </c>
      <c r="Q431" s="1">
        <v>-0.01667312553424838</v>
      </c>
      <c r="R431" s="1">
        <v>0.01344432934936091</v>
      </c>
      <c r="S431" s="1">
        <v>0.007938265103673237</v>
      </c>
      <c r="T431" s="1">
        <v>-0.003753954287390227</v>
      </c>
      <c r="U431" s="1">
        <v>0.008625286848150893</v>
      </c>
      <c r="V431" s="1">
        <v>-0.01450953171213509</v>
      </c>
      <c r="W431" s="1">
        <v>0.006452316369598199</v>
      </c>
      <c r="X431" s="1">
        <v>0.01646968601064835</v>
      </c>
      <c r="Y431" s="1">
        <v>0.004805582799602304</v>
      </c>
      <c r="Z431" s="1">
        <v>0.01571207558515031</v>
      </c>
    </row>
    <row r="432" spans="1:26">
      <c r="A432" s="11">
        <v>42997</v>
      </c>
      <c r="B432" s="1">
        <v>-0.01300271818428622</v>
      </c>
      <c r="C432" s="1">
        <v>-0.00244986509713141</v>
      </c>
      <c r="D432" s="1">
        <v>-0.004509426935348504</v>
      </c>
      <c r="E432" s="1">
        <v>0.003668397597700768</v>
      </c>
      <c r="F432" s="1">
        <v>0.005119459777207958</v>
      </c>
      <c r="G432" s="1">
        <v>-0.0003333329166671506</v>
      </c>
      <c r="H432" s="1">
        <v>-0.01560246175667312</v>
      </c>
      <c r="I432" s="1">
        <v>0.02660751687367502</v>
      </c>
      <c r="J432" s="1">
        <v>-0.00510450142117691</v>
      </c>
      <c r="K432" s="1">
        <v>-0.0133940482083873</v>
      </c>
      <c r="L432" s="1">
        <v>0.01097739425750999</v>
      </c>
      <c r="M432" s="1">
        <v>-0.01016806447235219</v>
      </c>
      <c r="N432" s="1">
        <v>-0.005274704488847926</v>
      </c>
      <c r="O432" s="1">
        <v>0.003928918457870134</v>
      </c>
      <c r="P432" s="1">
        <v>0.003725199660744805</v>
      </c>
      <c r="Q432" s="1">
        <v>-0.005274761844536346</v>
      </c>
      <c r="R432" s="1">
        <v>0.0005642567940027376</v>
      </c>
      <c r="S432" s="1">
        <v>-0.0006024330838766412</v>
      </c>
      <c r="T432" s="1">
        <v>0.008949364236335189</v>
      </c>
      <c r="U432" s="1">
        <v>0.02111169666431501</v>
      </c>
      <c r="V432" s="1">
        <v>0.004400117582199714</v>
      </c>
      <c r="W432" s="1">
        <v>-0.01167542380515096</v>
      </c>
      <c r="X432" s="1">
        <v>0.005337679060414269</v>
      </c>
      <c r="Y432" s="1">
        <v>0.02599333333419751</v>
      </c>
      <c r="Z432" s="1">
        <v>0.01023671300898532</v>
      </c>
    </row>
    <row r="433" spans="1:26">
      <c r="A433" s="11">
        <v>42998</v>
      </c>
      <c r="B433" s="1">
        <v>0.0311378684026351</v>
      </c>
      <c r="C433" s="1">
        <v>0.01188318736153149</v>
      </c>
      <c r="D433" s="1">
        <v>0.004061283954742034</v>
      </c>
      <c r="E433" s="1">
        <v>0.008898831738470392</v>
      </c>
      <c r="F433" s="1">
        <v>0.004289759516942215</v>
      </c>
      <c r="G433" s="1">
        <v>-0.009009075097021757</v>
      </c>
      <c r="H433" s="1">
        <v>-0.01711731770216884</v>
      </c>
      <c r="I433" s="1">
        <v>0.007068687182080868</v>
      </c>
      <c r="J433" s="1">
        <v>0.005643700167291099</v>
      </c>
      <c r="K433" s="1">
        <v>0.01818665887867787</v>
      </c>
      <c r="L433" s="1">
        <v>0.007026027257694079</v>
      </c>
      <c r="M433" s="1">
        <v>0.01326109091060346</v>
      </c>
      <c r="N433" s="1">
        <v>-0.01623026249909831</v>
      </c>
      <c r="O433" s="1">
        <v>0.01002799224830042</v>
      </c>
      <c r="P433" s="1">
        <v>-0.006627580762866847</v>
      </c>
      <c r="Q433" s="1">
        <v>-0.007954725783353878</v>
      </c>
      <c r="R433" s="1">
        <v>-0.0008463038265806855</v>
      </c>
      <c r="S433" s="1">
        <v>-0.007463337032209805</v>
      </c>
      <c r="T433" s="1">
        <v>0.01254596881299719</v>
      </c>
      <c r="U433" s="1">
        <v>0.005757485799100071</v>
      </c>
      <c r="V433" s="1">
        <v>-0.001516467543073996</v>
      </c>
      <c r="W433" s="1">
        <v>-0.005379039816442055</v>
      </c>
      <c r="X433" s="1">
        <v>0.007204732518945267</v>
      </c>
      <c r="Y433" s="1">
        <v>0.002837166278071734</v>
      </c>
      <c r="Z433" s="1">
        <v>0.01576211734222732</v>
      </c>
    </row>
    <row r="434" spans="1:26">
      <c r="A434" s="11">
        <v>42999</v>
      </c>
      <c r="B434" s="1">
        <v>0.007201106443321947</v>
      </c>
      <c r="C434" s="1">
        <v>0.0022703883139088</v>
      </c>
      <c r="D434" s="1">
        <v>-0.01400106343777419</v>
      </c>
      <c r="E434" s="1">
        <v>-0.002520073680317592</v>
      </c>
      <c r="F434" s="1">
        <v>0.0002667307504571337</v>
      </c>
      <c r="G434" s="1">
        <v>-0.007070609866703603</v>
      </c>
      <c r="H434" s="1">
        <v>-0.01827563466452942</v>
      </c>
      <c r="I434" s="1">
        <v>0.006696218184171432</v>
      </c>
      <c r="J434" s="1">
        <v>0.008673868482653946</v>
      </c>
      <c r="K434" s="1">
        <v>0.005785835705222064</v>
      </c>
      <c r="L434" s="1">
        <v>0.004545488989510682</v>
      </c>
      <c r="M434" s="1">
        <v>0.007004596682696373</v>
      </c>
      <c r="N434" s="1">
        <v>0.004573752104035433</v>
      </c>
      <c r="O434" s="1">
        <v>-0.003026764209438149</v>
      </c>
      <c r="P434" s="1">
        <v>-0.009741470881160175</v>
      </c>
      <c r="Q434" s="1">
        <v>-0.002672674877390979</v>
      </c>
      <c r="R434" s="1">
        <v>-0.001834890639113906</v>
      </c>
      <c r="S434" s="1">
        <v>0.003549787773820645</v>
      </c>
      <c r="T434" s="1">
        <v>0.007405321473688442</v>
      </c>
      <c r="U434" s="1">
        <v>-0.005464394292976182</v>
      </c>
      <c r="V434" s="1">
        <v>-0.01569332359021292</v>
      </c>
      <c r="W434" s="1">
        <v>-0.003658687473338751</v>
      </c>
      <c r="X434" s="1">
        <v>-0.001129260763557238</v>
      </c>
      <c r="Y434" s="1">
        <v>-0.01091375430262742</v>
      </c>
      <c r="Z434" s="1">
        <v>0.005541782561035546</v>
      </c>
    </row>
    <row r="435" spans="1:26">
      <c r="A435" s="11">
        <v>43000</v>
      </c>
      <c r="B435" s="1">
        <v>0.004842961149011282</v>
      </c>
      <c r="C435" s="1">
        <v>0.00160132663026924</v>
      </c>
      <c r="D435" s="1">
        <v>0.002050903515527169</v>
      </c>
      <c r="E435" s="1">
        <v>0.0004735200851435639</v>
      </c>
      <c r="F435" s="1">
        <v>0.01681362751982785</v>
      </c>
      <c r="G435" s="1">
        <v>-0.009834133451125049</v>
      </c>
      <c r="H435" s="1">
        <v>-0.01160755386667356</v>
      </c>
      <c r="I435" s="1">
        <v>-0.008254437828479011</v>
      </c>
      <c r="J435" s="1">
        <v>0.00859829399324985</v>
      </c>
      <c r="K435" s="1">
        <v>0.004027568470472698</v>
      </c>
      <c r="L435" s="1">
        <v>-0.002104915496037418</v>
      </c>
      <c r="M435" s="1">
        <v>0.005491479152839984</v>
      </c>
      <c r="N435" s="1">
        <v>0.01609744696208115</v>
      </c>
      <c r="O435" s="1">
        <v>0.004614864178063449</v>
      </c>
      <c r="P435" s="1">
        <v>0.00269535684338118</v>
      </c>
      <c r="Q435" s="1">
        <v>-0.016462400377527</v>
      </c>
      <c r="R435" s="1">
        <v>0.01004046312537943</v>
      </c>
      <c r="S435" s="1">
        <v>-0.005398829717942588</v>
      </c>
      <c r="T435" s="1">
        <v>0.0004290872332641804</v>
      </c>
      <c r="U435" s="1">
        <v>0.00968090194857707</v>
      </c>
      <c r="V435" s="1">
        <v>0.01131482933430394</v>
      </c>
      <c r="W435" s="1">
        <v>0.002075478812112896</v>
      </c>
      <c r="X435" s="1">
        <v>0.0005653414489978914</v>
      </c>
      <c r="Y435" s="1">
        <v>0.01961633169514654</v>
      </c>
      <c r="Z435" s="1">
        <v>-0.005291142468831889</v>
      </c>
    </row>
    <row r="436" spans="1:26">
      <c r="A436" s="11">
        <v>43003</v>
      </c>
      <c r="B436" s="1">
        <v>0.0341977342630233</v>
      </c>
      <c r="C436" s="1">
        <v>-0.008305802160211595</v>
      </c>
      <c r="D436" s="1">
        <v>-0.01180901153493941</v>
      </c>
      <c r="E436" s="1">
        <v>-0.002682843470893759</v>
      </c>
      <c r="F436" s="1">
        <v>-0.004986776711332852</v>
      </c>
      <c r="G436" s="1">
        <v>0.01575351267808522</v>
      </c>
      <c r="H436" s="1">
        <v>0.0321290444341884</v>
      </c>
      <c r="I436" s="1">
        <v>0.0001616171180567338</v>
      </c>
      <c r="J436" s="1">
        <v>-0.004513538433178366</v>
      </c>
      <c r="K436" s="1">
        <v>0.005765853045127445</v>
      </c>
      <c r="L436" s="1">
        <v>-0.007486787031401598</v>
      </c>
      <c r="M436" s="1">
        <v>0.003458864122868777</v>
      </c>
      <c r="N436" s="1">
        <v>0.02080360371592782</v>
      </c>
      <c r="O436" s="1">
        <v>0.001934084589861884</v>
      </c>
      <c r="P436" s="1">
        <v>-0.0154548648491406</v>
      </c>
      <c r="Q436" s="1">
        <v>0.008563573210005559</v>
      </c>
      <c r="R436" s="1">
        <v>0.008821325621229059</v>
      </c>
      <c r="S436" s="1">
        <v>0.002339706392933572</v>
      </c>
      <c r="T436" s="1">
        <v>0.006404330333753094</v>
      </c>
      <c r="U436" s="1">
        <v>0.01373411614532793</v>
      </c>
      <c r="V436" s="1">
        <v>-0.00745902003200305</v>
      </c>
      <c r="W436" s="1">
        <v>-0.005204280272798401</v>
      </c>
      <c r="X436" s="1">
        <v>-0.0003768994167763218</v>
      </c>
      <c r="Y436" s="1">
        <v>0</v>
      </c>
      <c r="Z436" s="1">
        <v>0.00731417423292835</v>
      </c>
    </row>
    <row r="437" spans="1:26">
      <c r="A437" s="11">
        <v>43004</v>
      </c>
      <c r="B437" s="1">
        <v>0.01997361782819818</v>
      </c>
      <c r="C437" s="1">
        <v>-0.002437856959478735</v>
      </c>
      <c r="D437" s="1">
        <v>-0.003824097946051541</v>
      </c>
      <c r="E437" s="1">
        <v>-0.004114686712940352</v>
      </c>
      <c r="F437" s="1">
        <v>-0.002637701190658315</v>
      </c>
      <c r="G437" s="1">
        <v>-0.0006741111175688763</v>
      </c>
      <c r="H437" s="1">
        <v>0.001932454827904273</v>
      </c>
      <c r="I437" s="1">
        <v>-0.003958909112809716</v>
      </c>
      <c r="J437" s="1">
        <v>0.001511508765147829</v>
      </c>
      <c r="K437" s="1">
        <v>0.02043860785390628</v>
      </c>
      <c r="L437" s="1">
        <v>-0.004462865002682226</v>
      </c>
      <c r="M437" s="1">
        <v>0.01088547955252839</v>
      </c>
      <c r="N437" s="1">
        <v>0.01144340520511467</v>
      </c>
      <c r="O437" s="1">
        <v>0.009290883418824558</v>
      </c>
      <c r="P437" s="1">
        <v>0</v>
      </c>
      <c r="Q437" s="1">
        <v>0.006175100223496433</v>
      </c>
      <c r="R437" s="1">
        <v>-0.002497719857958214</v>
      </c>
      <c r="S437" s="1">
        <v>-0.0003735900670829295</v>
      </c>
      <c r="T437" s="1">
        <v>0.0003976354116637104</v>
      </c>
      <c r="U437" s="1">
        <v>-0.01022493557126869</v>
      </c>
      <c r="V437" s="1">
        <v>0.0006832040197184419</v>
      </c>
      <c r="W437" s="1">
        <v>0.001868603914082279</v>
      </c>
      <c r="X437" s="1">
        <v>0.001130906417275757</v>
      </c>
      <c r="Y437" s="1">
        <v>-0.007815984970460987</v>
      </c>
      <c r="Z437" s="1">
        <v>0.008580592952222243</v>
      </c>
    </row>
    <row r="438" spans="1:26">
      <c r="A438" s="11">
        <v>43005</v>
      </c>
      <c r="B438" s="1">
        <v>0.006527354762020376</v>
      </c>
      <c r="C438" s="1">
        <v>0.00622790438469778</v>
      </c>
      <c r="D438" s="1">
        <v>-0.000959624057138786</v>
      </c>
      <c r="E438" s="1">
        <v>0.0003176027575333418</v>
      </c>
      <c r="F438" s="1">
        <v>0.0190423617501938</v>
      </c>
      <c r="G438" s="1">
        <v>-0.01889323830128087</v>
      </c>
      <c r="H438" s="1">
        <v>0.008142296535422755</v>
      </c>
      <c r="I438" s="1">
        <v>0.0003245372585958251</v>
      </c>
      <c r="J438" s="1">
        <v>-0.0005030105169639976</v>
      </c>
      <c r="K438" s="1">
        <v>-0.01196894101873636</v>
      </c>
      <c r="L438" s="1">
        <v>0.0157954509622289</v>
      </c>
      <c r="M438" s="1">
        <v>0.002871495503450117</v>
      </c>
      <c r="N438" s="1">
        <v>-0.001704444664621718</v>
      </c>
      <c r="O438" s="1">
        <v>0.006814207058976063</v>
      </c>
      <c r="P438" s="1">
        <v>0.008053154484285452</v>
      </c>
      <c r="Q438" s="1">
        <v>-0.02493282428340859</v>
      </c>
      <c r="R438" s="1">
        <v>0.01140900185211713</v>
      </c>
      <c r="S438" s="1">
        <v>-0.01004068610978515</v>
      </c>
      <c r="T438" s="1">
        <v>-0.006531222892667388</v>
      </c>
      <c r="U438" s="1">
        <v>0.001291289902230819</v>
      </c>
      <c r="V438" s="1">
        <v>0.004779247481428328</v>
      </c>
      <c r="W438" s="1">
        <v>0.004262771396445597</v>
      </c>
      <c r="X438" s="1">
        <v>0.01562188461354919</v>
      </c>
      <c r="Y438" s="1">
        <v>0</v>
      </c>
      <c r="Z438" s="1">
        <v>0.01636125503124042</v>
      </c>
    </row>
    <row r="439" spans="1:26">
      <c r="A439" s="11">
        <v>43006</v>
      </c>
      <c r="B439" s="1">
        <v>-0.009943774172630593</v>
      </c>
      <c r="C439" s="1">
        <v>-0.003956590691969852</v>
      </c>
      <c r="D439" s="1">
        <v>-0.001921373490330502</v>
      </c>
      <c r="E439" s="1">
        <v>0.0009535118336327919</v>
      </c>
      <c r="F439" s="1">
        <v>-0.01842727007318556</v>
      </c>
      <c r="G439" s="1">
        <v>0.002406574901465008</v>
      </c>
      <c r="H439" s="1">
        <v>0</v>
      </c>
      <c r="I439" s="1">
        <v>0.007659606176777523</v>
      </c>
      <c r="J439" s="1">
        <v>0.005032636638797383</v>
      </c>
      <c r="K439" s="1">
        <v>-0.00964122145366042</v>
      </c>
      <c r="L439" s="1">
        <v>0.002100784315880677</v>
      </c>
      <c r="M439" s="1">
        <v>0.005189760087406459</v>
      </c>
      <c r="N439" s="1">
        <v>-0.003416073759362592</v>
      </c>
      <c r="O439" s="1">
        <v>-0.006649255430407508</v>
      </c>
      <c r="P439" s="1">
        <v>0.0002706110287968855</v>
      </c>
      <c r="Q439" s="1">
        <v>0.003147166633321152</v>
      </c>
      <c r="R439" s="1">
        <v>-0.004402398511627825</v>
      </c>
      <c r="S439" s="1">
        <v>0.003632659827799367</v>
      </c>
      <c r="T439" s="1">
        <v>0.02058058702761167</v>
      </c>
      <c r="U439" s="1">
        <v>0.006964009773687163</v>
      </c>
      <c r="V439" s="1">
        <v>0.0006794060343195962</v>
      </c>
      <c r="W439" s="1">
        <v>-0.01071766497770277</v>
      </c>
      <c r="X439" s="1">
        <v>-0.007042126097583257</v>
      </c>
      <c r="Y439" s="1">
        <v>-0.002019535799525407</v>
      </c>
      <c r="Z439" s="1">
        <v>0.007512622692484205</v>
      </c>
    </row>
    <row r="440" spans="1:26">
      <c r="A440" s="11">
        <v>43007</v>
      </c>
      <c r="B440" s="1">
        <v>0</v>
      </c>
      <c r="C440" s="1">
        <v>-0.000235825091853048</v>
      </c>
      <c r="D440" s="1">
        <v>0.006576930210058674</v>
      </c>
      <c r="E440" s="1">
        <v>0.01158519322615392</v>
      </c>
      <c r="F440" s="1">
        <v>0.01745108244824722</v>
      </c>
      <c r="G440" s="1">
        <v>0.002058573040946587</v>
      </c>
      <c r="H440" s="1">
        <v>-0.004888437940252843</v>
      </c>
      <c r="I440" s="1">
        <v>0.01560745004670916</v>
      </c>
      <c r="J440" s="1">
        <v>-0.0005006785631916921</v>
      </c>
      <c r="K440" s="1">
        <v>0.005741384711543729</v>
      </c>
      <c r="L440" s="1">
        <v>0.001363596799884403</v>
      </c>
      <c r="M440" s="1">
        <v>-0.00338273512742493</v>
      </c>
      <c r="N440" s="1">
        <v>-0.01199587269700086</v>
      </c>
      <c r="O440" s="1">
        <v>0.001792724844367211</v>
      </c>
      <c r="P440" s="1">
        <v>0.008393373345369382</v>
      </c>
      <c r="Q440" s="1">
        <v>0.003529192515319357</v>
      </c>
      <c r="R440" s="1">
        <v>-0.0004145013864185199</v>
      </c>
      <c r="S440" s="1">
        <v>0.005828471794252721</v>
      </c>
      <c r="T440" s="1">
        <v>0.002800914177038427</v>
      </c>
      <c r="U440" s="1">
        <v>0.003330103086427227</v>
      </c>
      <c r="V440" s="1">
        <v>0.001697445915706197</v>
      </c>
      <c r="W440" s="1">
        <v>0.01474914425805252</v>
      </c>
      <c r="X440" s="1">
        <v>0.005599195445621818</v>
      </c>
      <c r="Y440" s="1">
        <v>0.001618923296774266</v>
      </c>
      <c r="Z440" s="1">
        <v>0.00511239637572003</v>
      </c>
    </row>
    <row r="441" spans="1:26">
      <c r="A441" s="11">
        <v>43010</v>
      </c>
      <c r="B441" s="1">
        <v>-0.001746638475160767</v>
      </c>
      <c r="C441" s="1">
        <v>0.007002142873426154</v>
      </c>
      <c r="D441" s="1">
        <v>0.006533886695044622</v>
      </c>
      <c r="E441" s="1">
        <v>0.01286459895336445</v>
      </c>
      <c r="F441" s="1">
        <v>-0.01325375361926673</v>
      </c>
      <c r="G441" s="1">
        <v>-0.008558640621084357</v>
      </c>
      <c r="H441" s="1">
        <v>0.0008545161437758519</v>
      </c>
      <c r="I441" s="1">
        <v>0.01353602589309588</v>
      </c>
      <c r="J441" s="1">
        <v>0.00801597611989413</v>
      </c>
      <c r="K441" s="1">
        <v>0.00397089635592307</v>
      </c>
      <c r="L441" s="1">
        <v>0.01392522601424329</v>
      </c>
      <c r="M441" s="1">
        <v>0.0001786349398773535</v>
      </c>
      <c r="N441" s="1">
        <v>-0.008198724860894235</v>
      </c>
      <c r="O441" s="1">
        <v>0.008471407783457341</v>
      </c>
      <c r="P441" s="1">
        <v>0.001611180159901693</v>
      </c>
      <c r="Q441" s="1">
        <v>-0.003126160355147456</v>
      </c>
      <c r="R441" s="1">
        <v>0.008017718744861568</v>
      </c>
      <c r="S441" s="1">
        <v>0.001355309322530251</v>
      </c>
      <c r="T441" s="1">
        <v>0.00388225650825258</v>
      </c>
      <c r="U441" s="1">
        <v>-0.001531733913681887</v>
      </c>
      <c r="V441" s="1">
        <v>-0.00203363436457038</v>
      </c>
      <c r="W441" s="1">
        <v>0.0123678790767543</v>
      </c>
      <c r="X441" s="1">
        <v>0.01280603548364967</v>
      </c>
      <c r="Y441" s="1">
        <v>-0.002626576988585594</v>
      </c>
      <c r="Z441" s="1">
        <v>0.002119713647162458</v>
      </c>
    </row>
    <row r="442" spans="1:26">
      <c r="A442" s="11">
        <v>43011</v>
      </c>
      <c r="B442" s="1">
        <v>-0.00612509333359823</v>
      </c>
      <c r="C442" s="1">
        <v>-0.00207043477621105</v>
      </c>
      <c r="D442" s="1">
        <v>-0.008549867876637252</v>
      </c>
      <c r="E442" s="1">
        <v>-0.004181878141109152</v>
      </c>
      <c r="F442" s="1">
        <v>0.01290636795324485</v>
      </c>
      <c r="G442" s="1">
        <v>-0.006215544442665366</v>
      </c>
      <c r="H442" s="1">
        <v>-0.01429799338732607</v>
      </c>
      <c r="I442" s="1">
        <v>0.006363238559761619</v>
      </c>
      <c r="J442" s="1">
        <v>-0.001491031250457908</v>
      </c>
      <c r="K442" s="1">
        <v>0.0004945421004320938</v>
      </c>
      <c r="L442" s="1">
        <v>0.005266216786672384</v>
      </c>
      <c r="M442" s="1">
        <v>0.04500804134350478</v>
      </c>
      <c r="N442" s="1">
        <v>0.00747207372980041</v>
      </c>
      <c r="O442" s="1">
        <v>-0.001537558102469139</v>
      </c>
      <c r="P442" s="1">
        <v>-0.004691050940695329</v>
      </c>
      <c r="Q442" s="1">
        <v>-0.005488136458555171</v>
      </c>
      <c r="R442" s="1">
        <v>0.01151937939134551</v>
      </c>
      <c r="S442" s="1">
        <v>-0.006347210454064722</v>
      </c>
      <c r="T442" s="1">
        <v>0.04156561504895739</v>
      </c>
      <c r="U442" s="1">
        <v>0.009460294446768991</v>
      </c>
      <c r="V442" s="1">
        <v>-0.005264113925290248</v>
      </c>
      <c r="W442" s="1">
        <v>-0.00631771377656154</v>
      </c>
      <c r="X442" s="1">
        <v>-0.001282699357278427</v>
      </c>
      <c r="Y442" s="1">
        <v>0.00992684921146747</v>
      </c>
      <c r="Z442" s="1">
        <v>-0.0074023440898624</v>
      </c>
    </row>
    <row r="443" spans="1:26">
      <c r="A443" s="11">
        <v>43012</v>
      </c>
      <c r="B443" s="1">
        <v>-0.006601312734958009</v>
      </c>
      <c r="C443" s="1">
        <v>0.001174199718050994</v>
      </c>
      <c r="D443" s="1">
        <v>0.004471305497648626</v>
      </c>
      <c r="E443" s="1">
        <v>0.006999449241699596</v>
      </c>
      <c r="F443" s="1">
        <v>0.007571674966335262</v>
      </c>
      <c r="G443" s="1">
        <v>0.007296981387094004</v>
      </c>
      <c r="H443" s="1">
        <v>0.008010480990336077</v>
      </c>
      <c r="I443" s="1">
        <v>0.001795687559440262</v>
      </c>
      <c r="J443" s="1">
        <v>0.008462052491400751</v>
      </c>
      <c r="K443" s="1">
        <v>0.01186062341300675</v>
      </c>
      <c r="L443" s="1">
        <v>-0.01016947803273538</v>
      </c>
      <c r="M443" s="1">
        <v>-0.00222183884228111</v>
      </c>
      <c r="N443" s="1">
        <v>0.001894029779172302</v>
      </c>
      <c r="O443" s="1">
        <v>-0.01339052248225592</v>
      </c>
      <c r="P443" s="1">
        <v>0.005790418964808364</v>
      </c>
      <c r="Q443" s="1">
        <v>0.01340169633288379</v>
      </c>
      <c r="R443" s="1">
        <v>0.008134999385615238</v>
      </c>
      <c r="S443" s="1">
        <v>0.004461698982086482</v>
      </c>
      <c r="T443" s="1">
        <v>-0.0005339466221664368</v>
      </c>
      <c r="U443" s="1">
        <v>0.000506850097441891</v>
      </c>
      <c r="V443" s="1">
        <v>0.001365623716374165</v>
      </c>
      <c r="W443" s="1">
        <v>0.01670810151375934</v>
      </c>
      <c r="X443" s="1">
        <v>0.008990781565169748</v>
      </c>
      <c r="Y443" s="1">
        <v>0.001003287180247225</v>
      </c>
      <c r="Z443" s="1">
        <v>-0.005114130912329928</v>
      </c>
    </row>
    <row r="444" spans="1:26">
      <c r="A444" s="11">
        <v>43013</v>
      </c>
      <c r="B444" s="1">
        <v>0.01506424808156925</v>
      </c>
      <c r="C444" s="1">
        <v>0.0122381651853336</v>
      </c>
      <c r="D444" s="1">
        <v>-0.003020661630621313</v>
      </c>
      <c r="E444" s="1">
        <v>-0.008546832264717752</v>
      </c>
      <c r="F444" s="1">
        <v>-0.006219059862170973</v>
      </c>
      <c r="G444" s="1">
        <v>0.002414477245898272</v>
      </c>
      <c r="H444" s="1">
        <v>0.0006444658270263748</v>
      </c>
      <c r="I444" s="1">
        <v>-0.002493487570523589</v>
      </c>
      <c r="J444" s="1">
        <v>0.004442375572742741</v>
      </c>
      <c r="K444" s="1">
        <v>0.006105220638380926</v>
      </c>
      <c r="L444" s="1">
        <v>0.01346581566569371</v>
      </c>
      <c r="M444" s="1">
        <v>-0.001541547997645498</v>
      </c>
      <c r="N444" s="1">
        <v>0.005039775438946181</v>
      </c>
      <c r="O444" s="1">
        <v>0.005284236188210167</v>
      </c>
      <c r="P444" s="1">
        <v>0.017137128366709</v>
      </c>
      <c r="Q444" s="1">
        <v>0.0003891937854201277</v>
      </c>
      <c r="R444" s="1">
        <v>0.004975730236681075</v>
      </c>
      <c r="S444" s="1">
        <v>-0.0008882116078295921</v>
      </c>
      <c r="T444" s="1">
        <v>0.01531374107486738</v>
      </c>
      <c r="U444" s="1">
        <v>0.0002528450487382372</v>
      </c>
      <c r="V444" s="1">
        <v>-0.004773122467472191</v>
      </c>
      <c r="W444" s="1">
        <v>-0.0004132507941722041</v>
      </c>
      <c r="X444" s="1">
        <v>0.01200197202323627</v>
      </c>
      <c r="Y444" s="1">
        <v>-0.002605557368831168</v>
      </c>
      <c r="Z444" s="1">
        <v>0.02077507466694462</v>
      </c>
    </row>
    <row r="445" spans="1:26">
      <c r="A445" s="11">
        <v>43014</v>
      </c>
      <c r="B445" s="1">
        <v>-0.01418611262007508</v>
      </c>
      <c r="C445" s="1">
        <v>-0.001197504782806336</v>
      </c>
      <c r="D445" s="1">
        <v>0.003189266468712093</v>
      </c>
      <c r="E445" s="1">
        <v>0.01583037523447373</v>
      </c>
      <c r="F445" s="1">
        <v>-0.008865761948080086</v>
      </c>
      <c r="G445" s="1">
        <v>-0.006194241616345408</v>
      </c>
      <c r="H445" s="1">
        <v>-0.00236129262881124</v>
      </c>
      <c r="I445" s="1">
        <v>0.0009372088378223342</v>
      </c>
      <c r="J445" s="1">
        <v>0.01130216582454158</v>
      </c>
      <c r="K445" s="1">
        <v>-0.003155612047407552</v>
      </c>
      <c r="L445" s="1">
        <v>-0.001751290901272573</v>
      </c>
      <c r="M445" s="1">
        <v>0.002573115432829676</v>
      </c>
      <c r="N445" s="1">
        <v>-0.01974622116304758</v>
      </c>
      <c r="O445" s="1">
        <v>-0.001499925876678909</v>
      </c>
      <c r="P445" s="1">
        <v>0.0003953622462407047</v>
      </c>
      <c r="Q445" s="1">
        <v>0</v>
      </c>
      <c r="R445" s="1">
        <v>-0.01940318323312185</v>
      </c>
      <c r="S445" s="1">
        <v>-0.001216793416409678</v>
      </c>
      <c r="T445" s="1">
        <v>0.009397226639652256</v>
      </c>
      <c r="U445" s="1">
        <v>-0.006979805442205</v>
      </c>
      <c r="V445" s="1">
        <v>-0.02158287045402263</v>
      </c>
      <c r="W445" s="1">
        <v>-0.001137495725698878</v>
      </c>
      <c r="X445" s="1">
        <v>-0.002874827197268837</v>
      </c>
      <c r="Y445" s="1">
        <v>-0.007523377936819231</v>
      </c>
      <c r="Z445" s="1">
        <v>0.004616424095507776</v>
      </c>
    </row>
    <row r="446" spans="1:26">
      <c r="A446" s="11">
        <v>43017</v>
      </c>
      <c r="B446" s="1">
        <v>0.0150543525112834</v>
      </c>
      <c r="C446" s="1">
        <v>-0.0007347160296399258</v>
      </c>
      <c r="D446" s="1">
        <v>-0.02320763690157968</v>
      </c>
      <c r="E446" s="1">
        <v>-0.01018338906950478</v>
      </c>
      <c r="F446" s="1">
        <v>-0.005525018274055493</v>
      </c>
      <c r="G446" s="1">
        <v>-0.005193896980731583</v>
      </c>
      <c r="H446" s="1">
        <v>-0.02086927677281081</v>
      </c>
      <c r="I446" s="1">
        <v>0.003980491427672872</v>
      </c>
      <c r="J446" s="1">
        <v>-0.0004857750033070429</v>
      </c>
      <c r="K446" s="1">
        <v>-0.0114439811355258</v>
      </c>
      <c r="L446" s="1">
        <v>-0.005261897474829746</v>
      </c>
      <c r="M446" s="1">
        <v>-0.01334678317660576</v>
      </c>
      <c r="N446" s="1">
        <v>0.01630720580956435</v>
      </c>
      <c r="O446" s="1">
        <v>0.001803250683637181</v>
      </c>
      <c r="P446" s="1">
        <v>0.003815945722982494</v>
      </c>
      <c r="Q446" s="1">
        <v>0.007387250242767873</v>
      </c>
      <c r="R446" s="1">
        <v>0.0002727566558589078</v>
      </c>
      <c r="S446" s="1">
        <v>0.001921131196340964</v>
      </c>
      <c r="T446" s="1">
        <v>-0.003833274332184722</v>
      </c>
      <c r="U446" s="1">
        <v>-0.00751452007591269</v>
      </c>
      <c r="V446" s="1">
        <v>-0.01523102798736276</v>
      </c>
      <c r="W446" s="1">
        <v>0.000258875030143324</v>
      </c>
      <c r="X446" s="1">
        <v>-0.002883393842180726</v>
      </c>
      <c r="Y446" s="1">
        <v>0.0049170675928778</v>
      </c>
      <c r="Z446" s="1">
        <v>-0.0112783005089192</v>
      </c>
    </row>
    <row r="447" spans="1:26">
      <c r="A447" s="11">
        <v>43018</v>
      </c>
      <c r="B447" s="1">
        <v>-0.07393643997385535</v>
      </c>
      <c r="C447" s="1">
        <v>0.009830142851651624</v>
      </c>
      <c r="D447" s="1">
        <v>0.004230994009642997</v>
      </c>
      <c r="E447" s="1">
        <v>0.01527673899536208</v>
      </c>
      <c r="F447" s="1">
        <v>-0.002909849010270915</v>
      </c>
      <c r="G447" s="1">
        <v>0.01357481133607097</v>
      </c>
      <c r="H447" s="1">
        <v>0.01604021908637221</v>
      </c>
      <c r="I447" s="1">
        <v>-0.003031821138941737</v>
      </c>
      <c r="J447" s="1">
        <v>0</v>
      </c>
      <c r="K447" s="1">
        <v>0.02192130764622902</v>
      </c>
      <c r="L447" s="1">
        <v>0.007467738711458338</v>
      </c>
      <c r="M447" s="1">
        <v>0.006069981259887225</v>
      </c>
      <c r="N447" s="1">
        <v>0.02265212468707345</v>
      </c>
      <c r="O447" s="1">
        <v>0.001679623683053633</v>
      </c>
      <c r="P447" s="1">
        <v>0</v>
      </c>
      <c r="Q447" s="1">
        <v>0.01698182049078789</v>
      </c>
      <c r="R447" s="1">
        <v>0.001637187910370708</v>
      </c>
      <c r="S447" s="1">
        <v>-0.003788100450637155</v>
      </c>
      <c r="T447" s="1">
        <v>-0.001387452463780026</v>
      </c>
      <c r="U447" s="1">
        <v>0.005221939770125861</v>
      </c>
      <c r="V447" s="1">
        <v>0.02400009715355922</v>
      </c>
      <c r="W447" s="1">
        <v>-0.003208313192354928</v>
      </c>
      <c r="X447" s="1">
        <v>-0.01680817390621425</v>
      </c>
      <c r="Y447" s="1">
        <v>0.001835152860433897</v>
      </c>
      <c r="Z447" s="1">
        <v>0.007815704400154777</v>
      </c>
    </row>
    <row r="448" spans="1:26">
      <c r="A448" s="11">
        <v>43019</v>
      </c>
      <c r="B448" s="1">
        <v>-0.01177605615276889</v>
      </c>
      <c r="C448" s="1">
        <v>0.001954305839548365</v>
      </c>
      <c r="D448" s="1">
        <v>0.004861457552910675</v>
      </c>
      <c r="E448" s="1">
        <v>-0.000307200657767015</v>
      </c>
      <c r="F448" s="1">
        <v>-0.007164092616664619</v>
      </c>
      <c r="G448" s="1">
        <v>0.006524913332750515</v>
      </c>
      <c r="H448" s="1">
        <v>-0.01081269221249859</v>
      </c>
      <c r="I448" s="1">
        <v>-0.003742767693026727</v>
      </c>
      <c r="J448" s="1">
        <v>-0.007778703242585006</v>
      </c>
      <c r="K448" s="1">
        <v>-0.003374573275873649</v>
      </c>
      <c r="L448" s="1">
        <v>-0.002985141815058601</v>
      </c>
      <c r="M448" s="1">
        <v>0.009308650927398965</v>
      </c>
      <c r="N448" s="1">
        <v>-0.002153525568821757</v>
      </c>
      <c r="O448" s="1">
        <v>0.001077706151299651</v>
      </c>
      <c r="P448" s="1">
        <v>0.001703593062633901</v>
      </c>
      <c r="Q448" s="1">
        <v>0.002656639215598</v>
      </c>
      <c r="R448" s="1">
        <v>-0.007627430915871813</v>
      </c>
      <c r="S448" s="1">
        <v>0.007792693137156803</v>
      </c>
      <c r="T448" s="1">
        <v>0.004115538066207458</v>
      </c>
      <c r="U448" s="1">
        <v>-0.008052050942342959</v>
      </c>
      <c r="V448" s="1">
        <v>0.02690960897985573</v>
      </c>
      <c r="W448" s="1">
        <v>0.004256635440190282</v>
      </c>
      <c r="X448" s="1">
        <v>-0.008823573436220755</v>
      </c>
      <c r="Y448" s="1">
        <v>-0.005698397677842304</v>
      </c>
      <c r="Z448" s="1">
        <v>-0.009012961441515199</v>
      </c>
    </row>
    <row r="449" spans="1:26">
      <c r="A449" s="11">
        <v>43020</v>
      </c>
      <c r="B449" s="1">
        <v>-0.01310750444928621</v>
      </c>
      <c r="C449" s="1">
        <v>0.001797855725018227</v>
      </c>
      <c r="D449" s="1">
        <v>0.008385925017459606</v>
      </c>
      <c r="E449" s="1">
        <v>0.003685929302477353</v>
      </c>
      <c r="F449" s="1">
        <v>-0.03928347948651822</v>
      </c>
      <c r="G449" s="1">
        <v>0.01398825759642142</v>
      </c>
      <c r="H449" s="1">
        <v>0.01321846197351517</v>
      </c>
      <c r="I449" s="1">
        <v>0.005713603575200343</v>
      </c>
      <c r="J449" s="1">
        <v>-0.0004897576317011154</v>
      </c>
      <c r="K449" s="1">
        <v>0.0009676686987596383</v>
      </c>
      <c r="L449" s="1">
        <v>-0.008777866366748155</v>
      </c>
      <c r="M449" s="1">
        <v>0.004440788487187097</v>
      </c>
      <c r="N449" s="1">
        <v>0.007399354387986445</v>
      </c>
      <c r="O449" s="1">
        <v>-0.0001196279381239229</v>
      </c>
      <c r="P449" s="1">
        <v>0.00916010923712407</v>
      </c>
      <c r="Q449" s="1">
        <v>0.005677356642334708</v>
      </c>
      <c r="R449" s="1">
        <v>0.0009608120138488996</v>
      </c>
      <c r="S449" s="1">
        <v>0.009921743447086628</v>
      </c>
      <c r="T449" s="1">
        <v>0.001383685552148295</v>
      </c>
      <c r="U449" s="1">
        <v>-0.06101086172813641</v>
      </c>
      <c r="V449" s="1">
        <v>0.01758228074055856</v>
      </c>
      <c r="W449" s="1">
        <v>-0.0003618597261604295</v>
      </c>
      <c r="X449" s="1">
        <v>-0.006862050855485746</v>
      </c>
      <c r="Y449" s="1">
        <v>-0.01043783244295238</v>
      </c>
      <c r="Z449" s="1">
        <v>-0.01184460457828684</v>
      </c>
    </row>
    <row r="450" spans="1:26">
      <c r="A450" s="11">
        <v>43021</v>
      </c>
      <c r="B450" s="1">
        <v>0.004587773024296027</v>
      </c>
      <c r="C450" s="1">
        <v>-0.004467181837140011</v>
      </c>
      <c r="D450" s="1">
        <v>0.004637511626507385</v>
      </c>
      <c r="E450" s="1">
        <v>-0.0009180180058683263</v>
      </c>
      <c r="F450" s="1">
        <v>0.0016686516664286</v>
      </c>
      <c r="G450" s="1">
        <v>-0.01211294803911378</v>
      </c>
      <c r="H450" s="1">
        <v>0.00413159681388553</v>
      </c>
      <c r="I450" s="1">
        <v>-0.004591677792462168</v>
      </c>
      <c r="J450" s="1">
        <v>0.06421572781549512</v>
      </c>
      <c r="K450" s="1">
        <v>0.007248203014200483</v>
      </c>
      <c r="L450" s="1">
        <v>-0.001354080109450151</v>
      </c>
      <c r="M450" s="1">
        <v>0.005271203550090142</v>
      </c>
      <c r="N450" s="1">
        <v>-0.004590544764142335</v>
      </c>
      <c r="O450" s="1">
        <v>0.003949249318730308</v>
      </c>
      <c r="P450" s="1">
        <v>0.004797291923976488</v>
      </c>
      <c r="Q450" s="1">
        <v>0.001129310456377652</v>
      </c>
      <c r="R450" s="1">
        <v>-0.00329098769332925</v>
      </c>
      <c r="S450" s="1">
        <v>0.008071732504298268</v>
      </c>
      <c r="T450" s="1">
        <v>0.005917933071536874</v>
      </c>
      <c r="U450" s="1">
        <v>-0.004461738202287013</v>
      </c>
      <c r="V450" s="1">
        <v>0.01096534458652099</v>
      </c>
      <c r="W450" s="1">
        <v>-0.005015544735372357</v>
      </c>
      <c r="X450" s="1">
        <v>-0.005415609549742961</v>
      </c>
      <c r="Y450" s="1">
        <v>-0.01013448301739572</v>
      </c>
      <c r="Z450" s="1">
        <v>-0.002568290679556107</v>
      </c>
    </row>
    <row r="451" spans="1:26">
      <c r="A451" s="11">
        <v>43024</v>
      </c>
      <c r="B451" s="1">
        <v>0.02716343049437753</v>
      </c>
      <c r="C451" s="1">
        <v>-0.003796813230362073</v>
      </c>
      <c r="D451" s="1">
        <v>0.01321259959909549</v>
      </c>
      <c r="E451" s="1">
        <v>-0.02511868226449387</v>
      </c>
      <c r="F451" s="1">
        <v>0.0166623103897241</v>
      </c>
      <c r="G451" s="1">
        <v>0.003405930962546933</v>
      </c>
      <c r="H451" s="1">
        <v>0.01017732313103137</v>
      </c>
      <c r="I451" s="1">
        <v>-0.001485051908648449</v>
      </c>
      <c r="J451" s="1">
        <v>0.003684881599427259</v>
      </c>
      <c r="K451" s="1">
        <v>0.001438942041771973</v>
      </c>
      <c r="L451" s="1">
        <v>0.0206551156597663</v>
      </c>
      <c r="M451" s="1">
        <v>-0.004059460715215235</v>
      </c>
      <c r="N451" s="1">
        <v>0.004918915067243512</v>
      </c>
      <c r="O451" s="1">
        <v>0.0001188563434555423</v>
      </c>
      <c r="P451" s="1">
        <v>0.002065036132989473</v>
      </c>
      <c r="Q451" s="1">
        <v>-0.008646684532830351</v>
      </c>
      <c r="R451" s="1">
        <v>0.0002747499196438241</v>
      </c>
      <c r="S451" s="1">
        <v>-0.004575472096794431</v>
      </c>
      <c r="T451" s="1">
        <v>-0.00458719341380931</v>
      </c>
      <c r="U451" s="1">
        <v>0.01316532044031637</v>
      </c>
      <c r="V451" s="1">
        <v>-0.01150346493387022</v>
      </c>
      <c r="W451" s="1">
        <v>-0.005924518373289778</v>
      </c>
      <c r="X451" s="1">
        <v>0.001502061040775438</v>
      </c>
      <c r="Y451" s="1">
        <v>0.004805829035434916</v>
      </c>
      <c r="Z451" s="1">
        <v>0.004077517677077758</v>
      </c>
    </row>
    <row r="452" spans="1:26">
      <c r="A452" s="11">
        <v>43025</v>
      </c>
      <c r="B452" s="1">
        <v>0.0007023592237280774</v>
      </c>
      <c r="C452" s="1">
        <v>-0.004350326028109031</v>
      </c>
      <c r="D452" s="1">
        <v>0.004241920571924851</v>
      </c>
      <c r="E452" s="1">
        <v>0.008326813351088536</v>
      </c>
      <c r="F452" s="1">
        <v>-0.003824247395813329</v>
      </c>
      <c r="G452" s="1">
        <v>0.002375957215978941</v>
      </c>
      <c r="H452" s="1">
        <v>-0.01093248781058009</v>
      </c>
      <c r="I452" s="1">
        <v>0.007594715721221945</v>
      </c>
      <c r="J452" s="1">
        <v>-0.01101423811674229</v>
      </c>
      <c r="K452" s="1">
        <v>-0.0131732739573277</v>
      </c>
      <c r="L452" s="1">
        <v>-0.002248546536093521</v>
      </c>
      <c r="M452" s="1">
        <v>-0.002547477165515621</v>
      </c>
      <c r="N452" s="1">
        <v>-0.007648457068093362</v>
      </c>
      <c r="O452" s="1">
        <v>-0.004528508472367854</v>
      </c>
      <c r="P452" s="1">
        <v>-0.0007726441403785866</v>
      </c>
      <c r="Q452" s="1">
        <v>0.00303378713462954</v>
      </c>
      <c r="R452" s="1">
        <v>-0.0001372269154047423</v>
      </c>
      <c r="S452" s="1">
        <v>-0.007722060799831842</v>
      </c>
      <c r="T452" s="1">
        <v>-0.003619269065485597</v>
      </c>
      <c r="U452" s="1">
        <v>0.001658835915922197</v>
      </c>
      <c r="V452" s="1">
        <v>0.0003320626348310984</v>
      </c>
      <c r="W452" s="1">
        <v>-0.01312218459905157</v>
      </c>
      <c r="X452" s="1">
        <v>-0.00506201558744257</v>
      </c>
      <c r="Y452" s="1">
        <v>0.006446148848310518</v>
      </c>
      <c r="Z452" s="1">
        <v>-0.01709786084996434</v>
      </c>
    </row>
    <row r="453" spans="1:26">
      <c r="A453" s="11">
        <v>43026</v>
      </c>
      <c r="B453" s="1">
        <v>-0.002572229122501102</v>
      </c>
      <c r="C453" s="1">
        <v>0.005490657659561471</v>
      </c>
      <c r="D453" s="1">
        <v>-0.001251612454569839</v>
      </c>
      <c r="E453" s="1">
        <v>-0.007478762071444711</v>
      </c>
      <c r="F453" s="1">
        <v>-0.007403536197024052</v>
      </c>
      <c r="G453" s="1">
        <v>0.001693077502543217</v>
      </c>
      <c r="H453" s="1">
        <v>-0.01083627762607597</v>
      </c>
      <c r="I453" s="1">
        <v>0.0002329967173486658</v>
      </c>
      <c r="J453" s="1">
        <v>0.00788851127471335</v>
      </c>
      <c r="K453" s="1">
        <v>-0.01310708736692956</v>
      </c>
      <c r="L453" s="1">
        <v>0.003790487209954341</v>
      </c>
      <c r="M453" s="1">
        <v>0.001702558358636974</v>
      </c>
      <c r="N453" s="1">
        <v>-0.0009249475187667056</v>
      </c>
      <c r="O453" s="1">
        <v>0.0002389767993005165</v>
      </c>
      <c r="P453" s="1">
        <v>0.0002577832371692956</v>
      </c>
      <c r="Q453" s="1">
        <v>-0.00075661013241346</v>
      </c>
      <c r="R453" s="1">
        <v>-0.001374994993950218</v>
      </c>
      <c r="S453" s="1">
        <v>-0.005604916018960182</v>
      </c>
      <c r="T453" s="1">
        <v>0.00368446296740399</v>
      </c>
      <c r="U453" s="1">
        <v>-0.01435238161470942</v>
      </c>
      <c r="V453" s="1">
        <v>-0.002326299425018941</v>
      </c>
      <c r="W453" s="1">
        <v>0.002384178322221597</v>
      </c>
      <c r="X453" s="1">
        <v>0.009421893176028373</v>
      </c>
      <c r="Y453" s="1">
        <v>0.005165420808346699</v>
      </c>
      <c r="Z453" s="1">
        <v>0.003914078599623894</v>
      </c>
    </row>
    <row r="454" spans="1:26">
      <c r="A454" s="11">
        <v>43027</v>
      </c>
      <c r="B454" s="1">
        <v>-0.01172370896302566</v>
      </c>
      <c r="C454" s="1">
        <v>-0.003845537901431162</v>
      </c>
      <c r="D454" s="1">
        <v>-0.005795944665628938</v>
      </c>
      <c r="E454" s="1">
        <v>0.01522736165053917</v>
      </c>
      <c r="F454" s="1">
        <v>0.01933752441876369</v>
      </c>
      <c r="G454" s="1">
        <v>0.005747510875929063</v>
      </c>
      <c r="H454" s="1">
        <v>-0.005915949063213244</v>
      </c>
      <c r="I454" s="1">
        <v>-0.001553960651734632</v>
      </c>
      <c r="J454" s="1">
        <v>0.01104931804373521</v>
      </c>
      <c r="K454" s="1">
        <v>0.0142651405426415</v>
      </c>
      <c r="L454" s="1">
        <v>0.00122452168810816</v>
      </c>
      <c r="M454" s="1">
        <v>-0.003399401958006587</v>
      </c>
      <c r="N454" s="1">
        <v>-0.006789077503249197</v>
      </c>
      <c r="O454" s="1">
        <v>0.008857652506277125</v>
      </c>
      <c r="P454" s="1">
        <v>0.003865535826094835</v>
      </c>
      <c r="Q454" s="1">
        <v>0.01248619668257867</v>
      </c>
      <c r="R454" s="1">
        <v>0.01611543632762058</v>
      </c>
      <c r="S454" s="1">
        <v>0.002515586679970649</v>
      </c>
      <c r="T454" s="1">
        <v>0.009060554486251204</v>
      </c>
      <c r="U454" s="1">
        <v>-0.0005604609629276114</v>
      </c>
      <c r="V454" s="1">
        <v>0.006663269311326436</v>
      </c>
      <c r="W454" s="1">
        <v>0.01701695843802753</v>
      </c>
      <c r="X454" s="1">
        <v>-0.008773774402222156</v>
      </c>
      <c r="Y454" s="1">
        <v>0.01151076139600771</v>
      </c>
      <c r="Z454" s="1">
        <v>-0.002599102891350236</v>
      </c>
    </row>
    <row r="455" spans="1:26">
      <c r="A455" s="11">
        <v>43028</v>
      </c>
      <c r="B455" s="1">
        <v>-0.008830608588965227</v>
      </c>
      <c r="C455" s="1">
        <v>0.02204291767188082</v>
      </c>
      <c r="D455" s="1">
        <v>0.001891007358917784</v>
      </c>
      <c r="E455" s="1">
        <v>-0.003865538352041065</v>
      </c>
      <c r="F455" s="1">
        <v>0.008671827505794427</v>
      </c>
      <c r="G455" s="1">
        <v>-0.001680892727367711</v>
      </c>
      <c r="H455" s="1">
        <v>0.01322452100389904</v>
      </c>
      <c r="I455" s="1">
        <v>0.004902037557242833</v>
      </c>
      <c r="J455" s="1">
        <v>0.002733028406981752</v>
      </c>
      <c r="K455" s="1">
        <v>0.009214162331403708</v>
      </c>
      <c r="L455" s="1">
        <v>0.01426939944502048</v>
      </c>
      <c r="M455" s="1">
        <v>0.01262135475548032</v>
      </c>
      <c r="N455" s="1">
        <v>0.009787046366237284</v>
      </c>
      <c r="O455" s="1">
        <v>0.001779094013528493</v>
      </c>
      <c r="P455" s="1">
        <v>0.01155152224446065</v>
      </c>
      <c r="Q455" s="1">
        <v>-0.003737227838992663</v>
      </c>
      <c r="R455" s="1">
        <v>0.01558901172500171</v>
      </c>
      <c r="S455" s="1">
        <v>-0.0005577300692738429</v>
      </c>
      <c r="T455" s="1">
        <v>0.005495714075160363</v>
      </c>
      <c r="U455" s="1">
        <v>-0.004203028566566624</v>
      </c>
      <c r="V455" s="1">
        <v>0.02200888835298764</v>
      </c>
      <c r="W455" s="1">
        <v>0.007378769235270477</v>
      </c>
      <c r="X455" s="1">
        <v>0.01205284144999519</v>
      </c>
      <c r="Y455" s="1">
        <v>0.006502610364080175</v>
      </c>
      <c r="Z455" s="1">
        <v>0.01541823567245082</v>
      </c>
    </row>
    <row r="456" spans="1:26">
      <c r="A456" s="11">
        <v>43031</v>
      </c>
      <c r="B456" s="1">
        <v>-0.02961681479429912</v>
      </c>
      <c r="C456" s="1">
        <v>-0.009178410251480584</v>
      </c>
      <c r="D456" s="1">
        <v>0.008334391676474429</v>
      </c>
      <c r="E456" s="1">
        <v>-0.01040065485363351</v>
      </c>
      <c r="F456" s="1">
        <v>-0.01800106460897855</v>
      </c>
      <c r="G456" s="1">
        <v>-0.001010183259642417</v>
      </c>
      <c r="H456" s="1">
        <v>0.01044155534862679</v>
      </c>
      <c r="I456" s="1">
        <v>0.003407062670216288</v>
      </c>
      <c r="J456" s="1">
        <v>0.004541137915210269</v>
      </c>
      <c r="K456" s="1">
        <v>-0.0002403755115498729</v>
      </c>
      <c r="L456" s="1">
        <v>-0.00170860478105439</v>
      </c>
      <c r="M456" s="1">
        <v>-0.0102747480527009</v>
      </c>
      <c r="N456" s="1">
        <v>-0.007692331089952709</v>
      </c>
      <c r="O456" s="1">
        <v>-0.001894761682501578</v>
      </c>
      <c r="P456" s="1">
        <v>0.0002536862755617708</v>
      </c>
      <c r="Q456" s="1">
        <v>0.006001670574991902</v>
      </c>
      <c r="R456" s="1">
        <v>-0.00360396663290441</v>
      </c>
      <c r="S456" s="1">
        <v>-0.001441317018378574</v>
      </c>
      <c r="T456" s="1">
        <v>-0.008006264526944307</v>
      </c>
      <c r="U456" s="1">
        <v>-0.00815960403240068</v>
      </c>
      <c r="V456" s="1">
        <v>0.0132769684740226</v>
      </c>
      <c r="W456" s="1">
        <v>0.002630816756097776</v>
      </c>
      <c r="X456" s="1">
        <v>-0.0007443941184103187</v>
      </c>
      <c r="Y456" s="1">
        <v>-0.0109021568871811</v>
      </c>
      <c r="Z456" s="1">
        <v>-0.007912755678205818</v>
      </c>
    </row>
    <row r="457" spans="1:26">
      <c r="A457" s="11">
        <v>43032</v>
      </c>
      <c r="B457" s="1">
        <v>-0.003970373043340136</v>
      </c>
      <c r="C457" s="1">
        <v>0.01402849895539826</v>
      </c>
      <c r="D457" s="1">
        <v>0.003587110973041208</v>
      </c>
      <c r="E457" s="1">
        <v>-0.001568677340771374</v>
      </c>
      <c r="F457" s="1">
        <v>-0.00136810551389055</v>
      </c>
      <c r="G457" s="1">
        <v>-0.00269612501182015</v>
      </c>
      <c r="H457" s="1">
        <v>-0.006889103939002883</v>
      </c>
      <c r="I457" s="1">
        <v>0.01103446844521105</v>
      </c>
      <c r="J457" s="1">
        <v>-0.007685411446604395</v>
      </c>
      <c r="K457" s="1">
        <v>0.00841115476841181</v>
      </c>
      <c r="L457" s="1">
        <v>0.01590527664598462</v>
      </c>
      <c r="M457" s="1">
        <v>0.0006809528033309142</v>
      </c>
      <c r="N457" s="1">
        <v>-0.005736488021424235</v>
      </c>
      <c r="O457" s="1">
        <v>0.002491739535070536</v>
      </c>
      <c r="P457" s="1">
        <v>0.0003808054066278821</v>
      </c>
      <c r="Q457" s="1">
        <v>-0.005592969153493166</v>
      </c>
      <c r="R457" s="1">
        <v>-0.05720007886405676</v>
      </c>
      <c r="S457" s="1">
        <v>-0.02174331731162549</v>
      </c>
      <c r="T457" s="1">
        <v>0.006027192011976767</v>
      </c>
      <c r="U457" s="1">
        <v>-0.01106401296186144</v>
      </c>
      <c r="V457" s="1">
        <v>0.005593084568460638</v>
      </c>
      <c r="W457" s="1">
        <v>5.141773335659572E-05</v>
      </c>
      <c r="X457" s="1">
        <v>0.01340799779921786</v>
      </c>
      <c r="Y457" s="1">
        <v>-0.001020994229204097</v>
      </c>
      <c r="Z457" s="1">
        <v>-0.0008624764116454964</v>
      </c>
    </row>
    <row r="458" spans="1:26">
      <c r="A458" s="11">
        <v>43033</v>
      </c>
      <c r="B458" s="1">
        <v>-0.0156950370847051</v>
      </c>
      <c r="C458" s="1">
        <v>-0.02849611260127438</v>
      </c>
      <c r="D458" s="1">
        <v>0.000466303868851714</v>
      </c>
      <c r="E458" s="1">
        <v>0.005499038053646599</v>
      </c>
      <c r="F458" s="1">
        <v>0.009041030444759013</v>
      </c>
      <c r="G458" s="1">
        <v>-0.007097147108633184</v>
      </c>
      <c r="H458" s="1">
        <v>0.001734052733343816</v>
      </c>
      <c r="I458" s="1">
        <v>-0.003511004327618639</v>
      </c>
      <c r="J458" s="1">
        <v>-0.0127564844579996</v>
      </c>
      <c r="K458" s="1">
        <v>-0.01811211986888461</v>
      </c>
      <c r="L458" s="1">
        <v>0.0009907611664374816</v>
      </c>
      <c r="M458" s="1">
        <v>-0.02789154471317334</v>
      </c>
      <c r="N458" s="1">
        <v>-0.005301432251077931</v>
      </c>
      <c r="O458" s="1">
        <v>-0.000236783287044573</v>
      </c>
      <c r="P458" s="1">
        <v>-0.002916659086438345</v>
      </c>
      <c r="Q458" s="1">
        <v>-0.00487434372540807</v>
      </c>
      <c r="R458" s="1">
        <v>-0.002131448234914068</v>
      </c>
      <c r="S458" s="1">
        <v>-0.0005231215978256376</v>
      </c>
      <c r="T458" s="1">
        <v>0.00933405274540533</v>
      </c>
      <c r="U458" s="1">
        <v>-0.03929995817025855</v>
      </c>
      <c r="V458" s="1">
        <v>-0.01604964647011298</v>
      </c>
      <c r="W458" s="1">
        <v>0.02721475527785144</v>
      </c>
      <c r="X458" s="1">
        <v>-0.01304679332723757</v>
      </c>
      <c r="Y458" s="1">
        <v>-0.006129897665318129</v>
      </c>
      <c r="Z458" s="1">
        <v>-0.007767137036947092</v>
      </c>
    </row>
    <row r="459" spans="1:26">
      <c r="A459" s="11">
        <v>43034</v>
      </c>
      <c r="B459" s="1">
        <v>0.002024789279696515</v>
      </c>
      <c r="C459" s="1">
        <v>0.003289145216552436</v>
      </c>
      <c r="D459" s="1">
        <v>0.008542960045966108</v>
      </c>
      <c r="E459" s="1">
        <v>-0.04765640535432403</v>
      </c>
      <c r="F459" s="1">
        <v>-0.01520484641531328</v>
      </c>
      <c r="G459" s="1">
        <v>0.003744178500144857</v>
      </c>
      <c r="H459" s="1">
        <v>0.02834891025823594</v>
      </c>
      <c r="I459" s="1">
        <v>0.01210198642296878</v>
      </c>
      <c r="J459" s="1">
        <v>-0.006921788400287898</v>
      </c>
      <c r="K459" s="1">
        <v>0.023543426910966</v>
      </c>
      <c r="L459" s="1">
        <v>0.007127430382162903</v>
      </c>
      <c r="M459" s="1">
        <v>-0.03586381774074809</v>
      </c>
      <c r="N459" s="1">
        <v>0.03135285022728285</v>
      </c>
      <c r="O459" s="1">
        <v>-0.03681750937049888</v>
      </c>
      <c r="P459" s="1">
        <v>0.001653322361689025</v>
      </c>
      <c r="Q459" s="1">
        <v>-0.002637524860538254</v>
      </c>
      <c r="R459" s="1">
        <v>0.02634169026740496</v>
      </c>
      <c r="S459" s="1">
        <v>-0.02757146001763922</v>
      </c>
      <c r="T459" s="1">
        <v>0.01008813254135354</v>
      </c>
      <c r="U459" s="1">
        <v>0.005673239854178114</v>
      </c>
      <c r="V459" s="1">
        <v>0.001453286422696154</v>
      </c>
      <c r="W459" s="1">
        <v>0.003505662088796546</v>
      </c>
      <c r="X459" s="1">
        <v>0.0009307609153703655</v>
      </c>
      <c r="Y459" s="1">
        <v>0.005139806993012419</v>
      </c>
      <c r="Z459" s="1">
        <v>0.02043960291593594</v>
      </c>
    </row>
    <row r="460" spans="1:26">
      <c r="A460" s="11">
        <v>43035</v>
      </c>
      <c r="B460" s="1">
        <v>0.02904776580212665</v>
      </c>
      <c r="C460" s="1">
        <v>-0.01083823987674815</v>
      </c>
      <c r="D460" s="1">
        <v>0.01155102234756189</v>
      </c>
      <c r="E460" s="1">
        <v>-0.01657103063563381</v>
      </c>
      <c r="F460" s="1">
        <v>0.01433684062798712</v>
      </c>
      <c r="G460" s="1">
        <v>0.008816671999655634</v>
      </c>
      <c r="H460" s="1">
        <v>0.01283682883323434</v>
      </c>
      <c r="I460" s="1">
        <v>0.008400002862682276</v>
      </c>
      <c r="J460" s="1">
        <v>-0.0009294142499320923</v>
      </c>
      <c r="K460" s="1">
        <v>0.005691133329045917</v>
      </c>
      <c r="L460" s="1">
        <v>0.00029468130070609</v>
      </c>
      <c r="M460" s="1">
        <v>-0.01814549469514326</v>
      </c>
      <c r="N460" s="1">
        <v>-0.01322407874878129</v>
      </c>
      <c r="O460" s="1">
        <v>-0.004425089966425766</v>
      </c>
      <c r="P460" s="1">
        <v>0.06411940176402053</v>
      </c>
      <c r="Q460" s="1">
        <v>-0.001133576969318151</v>
      </c>
      <c r="R460" s="1">
        <v>-0.00291273846822182</v>
      </c>
      <c r="S460" s="1">
        <v>0.0131724428248805</v>
      </c>
      <c r="T460" s="1">
        <v>0.001992433631629043</v>
      </c>
      <c r="U460" s="1">
        <v>0.00861057045081326</v>
      </c>
      <c r="V460" s="1">
        <v>-0.02822096693169007</v>
      </c>
      <c r="W460" s="1">
        <v>-0.03967639366821885</v>
      </c>
      <c r="X460" s="1">
        <v>-0.01357866951736963</v>
      </c>
      <c r="Y460" s="1">
        <v>-0.0004093843647933193</v>
      </c>
      <c r="Z460" s="1">
        <v>0.00383546374619903</v>
      </c>
    </row>
    <row r="461" spans="1:26">
      <c r="A461" s="11">
        <v>43038</v>
      </c>
      <c r="B461" s="1">
        <v>0.001717928070058106</v>
      </c>
      <c r="C461" s="1">
        <v>0.01087909915168872</v>
      </c>
      <c r="D461" s="1">
        <v>-0.01690024911604582</v>
      </c>
      <c r="E461" s="1">
        <v>0.01501505601523823</v>
      </c>
      <c r="F461" s="1">
        <v>-0.007882587813323183</v>
      </c>
      <c r="G461" s="1">
        <v>-0.009412109112242439</v>
      </c>
      <c r="H461" s="1">
        <v>-0.03677546695694212</v>
      </c>
      <c r="I461" s="1">
        <v>-0.007129515450397972</v>
      </c>
      <c r="J461" s="1">
        <v>-0.005116020255056752</v>
      </c>
      <c r="K461" s="1">
        <v>-0.006366184256423546</v>
      </c>
      <c r="L461" s="1">
        <v>-0.003537310444108099</v>
      </c>
      <c r="M461" s="1">
        <v>0.01145804081898838</v>
      </c>
      <c r="N461" s="1">
        <v>-0.01340107298819226</v>
      </c>
      <c r="O461" s="1">
        <v>-0.004690981907036762</v>
      </c>
      <c r="P461" s="1">
        <v>0.0009541060093762876</v>
      </c>
      <c r="Q461" s="1">
        <v>-0.0005710919405047532</v>
      </c>
      <c r="R461" s="1">
        <v>-0.01975826053651131</v>
      </c>
      <c r="S461" s="1">
        <v>0.008941756138967527</v>
      </c>
      <c r="T461" s="1">
        <v>-0.007651963879613866</v>
      </c>
      <c r="U461" s="1">
        <v>-0.01265828276845082</v>
      </c>
      <c r="V461" s="1">
        <v>-0.01178260100613271</v>
      </c>
      <c r="W461" s="1">
        <v>-0.002078933809403827</v>
      </c>
      <c r="X461" s="1">
        <v>-0.0081087571608216</v>
      </c>
      <c r="Y461" s="1">
        <v>-0.02128069654854403</v>
      </c>
      <c r="Z461" s="1">
        <v>-0.006580508644819183</v>
      </c>
    </row>
    <row r="462" spans="1:26">
      <c r="A462" s="11">
        <v>43039</v>
      </c>
      <c r="B462" s="1">
        <v>0.01372244384384702</v>
      </c>
      <c r="C462" s="1">
        <v>-0.004898859805530842</v>
      </c>
      <c r="D462" s="1">
        <v>-0.001548323246216898</v>
      </c>
      <c r="E462" s="1">
        <v>0.01347800744294481</v>
      </c>
      <c r="F462" s="1">
        <v>-0.01287644947837241</v>
      </c>
      <c r="G462" s="1">
        <v>0.003732574740720862</v>
      </c>
      <c r="H462" s="1">
        <v>0.02178595373405634</v>
      </c>
      <c r="I462" s="1">
        <v>0.004384444815035637</v>
      </c>
      <c r="J462" s="1">
        <v>0.007479894088168182</v>
      </c>
      <c r="K462" s="1">
        <v>-0.01779789070918614</v>
      </c>
      <c r="L462" s="1">
        <v>-0.007888836982744674</v>
      </c>
      <c r="M462" s="1">
        <v>-0.01589634693188147</v>
      </c>
      <c r="N462" s="1">
        <v>0.002654083767754001</v>
      </c>
      <c r="O462" s="1">
        <v>0.003845059774066906</v>
      </c>
      <c r="P462" s="1">
        <v>-0.008463557358360352</v>
      </c>
      <c r="Q462" s="1">
        <v>0.004571828067190475</v>
      </c>
      <c r="R462" s="1">
        <v>0.01816904424665711</v>
      </c>
      <c r="S462" s="1">
        <v>-0.007185368841945761</v>
      </c>
      <c r="T462" s="1">
        <v>0.002282575857379898</v>
      </c>
      <c r="U462" s="1">
        <v>0.003279985441507316</v>
      </c>
      <c r="V462" s="1">
        <v>-0.008564096728316706</v>
      </c>
      <c r="W462" s="1">
        <v>0.009426127628047842</v>
      </c>
      <c r="X462" s="1">
        <v>0.00266184612869802</v>
      </c>
      <c r="Y462" s="1">
        <v>0.0008361414006294865</v>
      </c>
      <c r="Z462" s="1">
        <v>-0.007264830749535878</v>
      </c>
    </row>
    <row r="463" spans="1:26">
      <c r="A463" s="11">
        <v>43040</v>
      </c>
      <c r="B463" s="1">
        <v>0.02078807792644399</v>
      </c>
      <c r="C463" s="1">
        <v>0.002015652490353848</v>
      </c>
      <c r="D463" s="1">
        <v>-0.004188238921035592</v>
      </c>
      <c r="E463" s="1">
        <v>0.00810907248266779</v>
      </c>
      <c r="F463" s="1">
        <v>0.001387706802842947</v>
      </c>
      <c r="G463" s="1">
        <v>0.004394797662279126</v>
      </c>
      <c r="H463" s="1">
        <v>0.003377542980822712</v>
      </c>
      <c r="I463" s="1">
        <v>0.01046026620801954</v>
      </c>
      <c r="J463" s="1">
        <v>-0.003712421414285849</v>
      </c>
      <c r="K463" s="1">
        <v>-0.00459027469291573</v>
      </c>
      <c r="L463" s="1">
        <v>0.00308137884188775</v>
      </c>
      <c r="M463" s="1">
        <v>0.002413740733584469</v>
      </c>
      <c r="N463" s="1">
        <v>0.007474476098540572</v>
      </c>
      <c r="O463" s="1">
        <v>0.01841049832119301</v>
      </c>
      <c r="P463" s="1">
        <v>0</v>
      </c>
      <c r="Q463" s="1">
        <v>0.007963544242008291</v>
      </c>
      <c r="R463" s="1">
        <v>-0.01045565972153506</v>
      </c>
      <c r="S463" s="1">
        <v>-0.003522974353413089</v>
      </c>
      <c r="T463" s="1">
        <v>0.001569514312402598</v>
      </c>
      <c r="U463" s="1">
        <v>-0.002971702707646351</v>
      </c>
      <c r="V463" s="1">
        <v>-0.003048441026638593</v>
      </c>
      <c r="W463" s="1">
        <v>0.001857082962024359</v>
      </c>
      <c r="X463" s="1">
        <v>0.01251399885631033</v>
      </c>
      <c r="Y463" s="1">
        <v>-0.000835442852272883</v>
      </c>
      <c r="Z463" s="1">
        <v>-0.005165867015236802</v>
      </c>
    </row>
    <row r="464" spans="1:26">
      <c r="A464" s="11">
        <v>43041</v>
      </c>
      <c r="B464" s="1">
        <v>-0.01302424093685739</v>
      </c>
      <c r="C464" s="1">
        <v>0.01597689281091208</v>
      </c>
      <c r="D464" s="1">
        <v>-0.002025119544161957</v>
      </c>
      <c r="E464" s="1">
        <v>0.001126237796101659</v>
      </c>
      <c r="F464" s="1">
        <v>-0.0257763231345739</v>
      </c>
      <c r="G464" s="1">
        <v>0.001010348015488161</v>
      </c>
      <c r="H464" s="1">
        <v>-0.01430640320921639</v>
      </c>
      <c r="I464" s="1">
        <v>0.001266156172141431</v>
      </c>
      <c r="J464" s="1">
        <v>-0.001397096019710053</v>
      </c>
      <c r="K464" s="1">
        <v>-0.01334968826459793</v>
      </c>
      <c r="L464" s="1">
        <v>0.00663892051885262</v>
      </c>
      <c r="M464" s="1">
        <v>0</v>
      </c>
      <c r="N464" s="1">
        <v>-0.01236500025747922</v>
      </c>
      <c r="O464" s="1">
        <v>0.01504510246553581</v>
      </c>
      <c r="P464" s="1">
        <v>0.01045947494341548</v>
      </c>
      <c r="Q464" s="1">
        <v>0.01354414997895081</v>
      </c>
      <c r="R464" s="1">
        <v>0.01380651064969873</v>
      </c>
      <c r="S464" s="1">
        <v>0.00876483265036998</v>
      </c>
      <c r="T464" s="1">
        <v>-0.009248155260510371</v>
      </c>
      <c r="U464" s="1">
        <v>-0.01132674180312865</v>
      </c>
      <c r="V464" s="1">
        <v>0.01579979885155836</v>
      </c>
      <c r="W464" s="1">
        <v>-0.01498497073196936</v>
      </c>
      <c r="X464" s="1">
        <v>0.01647928084314043</v>
      </c>
      <c r="Y464" s="1">
        <v>-0.007735467116730232</v>
      </c>
      <c r="Z464" s="1">
        <v>0.01363055654110878</v>
      </c>
    </row>
    <row r="465" spans="1:26">
      <c r="A465" s="11">
        <v>43042</v>
      </c>
      <c r="B465" s="1">
        <v>0.02567182931660317</v>
      </c>
      <c r="C465" s="1">
        <v>-0.003350609521014514</v>
      </c>
      <c r="D465" s="1">
        <v>0.01295461536421927</v>
      </c>
      <c r="E465" s="1">
        <v>-0.0001610954830040257</v>
      </c>
      <c r="F465" s="1">
        <v>0.01507821226583772</v>
      </c>
      <c r="G465" s="1">
        <v>-0.005043953031752424</v>
      </c>
      <c r="H465" s="1">
        <v>-0.007897747405040234</v>
      </c>
      <c r="I465" s="1">
        <v>0.00438848034557493</v>
      </c>
      <c r="J465" s="1">
        <v>0.001399050627773457</v>
      </c>
      <c r="K465" s="1">
        <v>0.0007381062761271373</v>
      </c>
      <c r="L465" s="1">
        <v>-0.00177193085573335</v>
      </c>
      <c r="M465" s="1">
        <v>0.002778366971303958</v>
      </c>
      <c r="N465" s="1">
        <v>0.0001566508663584099</v>
      </c>
      <c r="O465" s="1">
        <v>-0.01530015655851602</v>
      </c>
      <c r="P465" s="1">
        <v>0.001070766303133075</v>
      </c>
      <c r="Q465" s="1">
        <v>0.01447597124939692</v>
      </c>
      <c r="R465" s="1">
        <v>-0.008894003694920993</v>
      </c>
      <c r="S465" s="1">
        <v>0.003072124787612429</v>
      </c>
      <c r="T465" s="1">
        <v>0.01275150816178883</v>
      </c>
      <c r="U465" s="1">
        <v>0.003919175331257074</v>
      </c>
      <c r="V465" s="1">
        <v>-0.007191732281378482</v>
      </c>
      <c r="W465" s="1">
        <v>0.0127037889945194</v>
      </c>
      <c r="X465" s="1">
        <v>0.004974567276847308</v>
      </c>
      <c r="Y465" s="1">
        <v>-0.0008430491667053008</v>
      </c>
      <c r="Z465" s="1">
        <v>-0.0008539004916122694</v>
      </c>
    </row>
    <row r="466" spans="1:26">
      <c r="A466" s="11">
        <v>43045</v>
      </c>
      <c r="B466" s="1">
        <v>0.06994180924513782</v>
      </c>
      <c r="C466" s="1">
        <v>0.008863256142561449</v>
      </c>
      <c r="D466" s="1">
        <v>-0.008320439734995855</v>
      </c>
      <c r="E466" s="1">
        <v>-0.008678805043817683</v>
      </c>
      <c r="F466" s="1">
        <v>-0.003923637600461438</v>
      </c>
      <c r="G466" s="1">
        <v>0.004393311197632865</v>
      </c>
      <c r="H466" s="1">
        <v>-0.0225900933574501</v>
      </c>
      <c r="I466" s="1">
        <v>0.002073752868156031</v>
      </c>
      <c r="J466" s="1">
        <v>-0.001397096019710053</v>
      </c>
      <c r="K466" s="1">
        <v>0.01007845483977698</v>
      </c>
      <c r="L466" s="1">
        <v>-0.006212149285700685</v>
      </c>
      <c r="M466" s="1">
        <v>0.007018827829648355</v>
      </c>
      <c r="N466" s="1">
        <v>-0.007197478304617921</v>
      </c>
      <c r="O466" s="1">
        <v>0.003034798234883063</v>
      </c>
      <c r="P466" s="1">
        <v>0.003922209527653653</v>
      </c>
      <c r="Q466" s="1">
        <v>-0.004390330645735352</v>
      </c>
      <c r="R466" s="1">
        <v>-0.009955375518163612</v>
      </c>
      <c r="S466" s="1">
        <v>0.001674743439807669</v>
      </c>
      <c r="T466" s="1">
        <v>-0.007982478522104652</v>
      </c>
      <c r="U466" s="1">
        <v>-0.0132131652379458</v>
      </c>
      <c r="V466" s="1">
        <v>-0.00117914635474492</v>
      </c>
      <c r="W466" s="1">
        <v>-0.0009292377650494954</v>
      </c>
      <c r="X466" s="1">
        <v>-0.002200163519548548</v>
      </c>
      <c r="Y466" s="1">
        <v>-0.0398566737363274</v>
      </c>
      <c r="Z466" s="1">
        <v>-0.007690809737911253</v>
      </c>
    </row>
    <row r="467" spans="1:26">
      <c r="A467" s="11">
        <v>43046</v>
      </c>
      <c r="B467" s="1">
        <v>-0.01202468081934105</v>
      </c>
      <c r="C467" s="1">
        <v>0.007801079661817534</v>
      </c>
      <c r="D467" s="1">
        <v>-0.0006214594998236178</v>
      </c>
      <c r="E467" s="1">
        <v>0.003729051038372067</v>
      </c>
      <c r="F467" s="1">
        <v>0.0239167857651772</v>
      </c>
      <c r="G467" s="1">
        <v>0.007738769537324774</v>
      </c>
      <c r="H467" s="1">
        <v>0.01760932830200868</v>
      </c>
      <c r="I467" s="1">
        <v>0.002956300030149128</v>
      </c>
      <c r="J467" s="1">
        <v>-0.00279888880461443</v>
      </c>
      <c r="K467" s="1">
        <v>-0.002433632462152335</v>
      </c>
      <c r="L467" s="1">
        <v>-0.02014300653547307</v>
      </c>
      <c r="M467" s="1">
        <v>-0.01192236687461445</v>
      </c>
      <c r="N467" s="1">
        <v>0.01355401368800169</v>
      </c>
      <c r="O467" s="1">
        <v>-0.002057056151828163</v>
      </c>
      <c r="P467" s="1">
        <v>-0.002367869833904468</v>
      </c>
      <c r="Q467" s="1">
        <v>0.009555290489812407</v>
      </c>
      <c r="R467" s="1">
        <v>-0.00184109492441431</v>
      </c>
      <c r="S467" s="1">
        <v>0.01036659517254468</v>
      </c>
      <c r="T467" s="1">
        <v>0.0001778083919390383</v>
      </c>
      <c r="U467" s="1">
        <v>0.006390937082086934</v>
      </c>
      <c r="V467" s="1">
        <v>-0.02361310534526739</v>
      </c>
      <c r="W467" s="1">
        <v>-0.001653478839471201</v>
      </c>
      <c r="X467" s="1">
        <v>-0.002755843236343591</v>
      </c>
      <c r="Y467" s="1">
        <v>0.0008785153807167045</v>
      </c>
      <c r="Z467" s="1">
        <v>-0.03379949276637917</v>
      </c>
    </row>
    <row r="468" spans="1:26">
      <c r="A468" s="11">
        <v>43047</v>
      </c>
      <c r="B468" s="1">
        <v>-0.01504739054433657</v>
      </c>
      <c r="C468" s="1">
        <v>-0.002104235763442985</v>
      </c>
      <c r="D468" s="1">
        <v>0.01072759534469481</v>
      </c>
      <c r="E468" s="1">
        <v>0.01082190373992242</v>
      </c>
      <c r="F468" s="1">
        <v>-0.004946351504261703</v>
      </c>
      <c r="G468" s="1">
        <v>0</v>
      </c>
      <c r="H468" s="1">
        <v>0.02011668649020604</v>
      </c>
      <c r="I468" s="1">
        <v>-0.007884565813780831</v>
      </c>
      <c r="J468" s="1">
        <v>0.001871183297290857</v>
      </c>
      <c r="K468" s="1">
        <v>0.0002439569477625803</v>
      </c>
      <c r="L468" s="1">
        <v>-0.01124016737707489</v>
      </c>
      <c r="M468" s="1">
        <v>0.002598924448659723</v>
      </c>
      <c r="N468" s="1">
        <v>0.004353704440446027</v>
      </c>
      <c r="O468" s="1">
        <v>-0.0003640789545577006</v>
      </c>
      <c r="P468" s="1">
        <v>0.003441162189707692</v>
      </c>
      <c r="Q468" s="1">
        <v>0.001820195550375159</v>
      </c>
      <c r="R468" s="1">
        <v>0.0005677544815221314</v>
      </c>
      <c r="S468" s="1">
        <v>0.008038422212810481</v>
      </c>
      <c r="T468" s="1">
        <v>0.003806840490474972</v>
      </c>
      <c r="U468" s="1">
        <v>0.0111886520921316</v>
      </c>
      <c r="V468" s="1">
        <v>0.008291749175143304</v>
      </c>
      <c r="W468" s="1">
        <v>0.003364161156263146</v>
      </c>
      <c r="X468" s="1">
        <v>0.01050127177835103</v>
      </c>
      <c r="Y468" s="1">
        <v>-0.002413695352037948</v>
      </c>
      <c r="Z468" s="1">
        <v>-0.007575962054061414</v>
      </c>
    </row>
    <row r="469" spans="1:26">
      <c r="A469" s="11">
        <v>43048</v>
      </c>
      <c r="B469" s="1">
        <v>0.01640093898456207</v>
      </c>
      <c r="C469" s="1">
        <v>-0.005489471789195788</v>
      </c>
      <c r="D469" s="1">
        <v>0.00584517400632345</v>
      </c>
      <c r="E469" s="1">
        <v>-0.009427756648095809</v>
      </c>
      <c r="F469" s="1">
        <v>0.009665731603552219</v>
      </c>
      <c r="G469" s="1">
        <v>-0.004674421305024157</v>
      </c>
      <c r="H469" s="1">
        <v>-0.03223042702361167</v>
      </c>
      <c r="I469" s="1">
        <v>-0.02495537297061556</v>
      </c>
      <c r="J469" s="1">
        <v>-0.00373483128407659</v>
      </c>
      <c r="K469" s="1">
        <v>-0.06073165163574679</v>
      </c>
      <c r="L469" s="1">
        <v>-0.0001029764128778199</v>
      </c>
      <c r="M469" s="1">
        <v>-0.01018312384489028</v>
      </c>
      <c r="N469" s="1">
        <v>-0.001238458606527715</v>
      </c>
      <c r="O469" s="1">
        <v>0.006065593164246375</v>
      </c>
      <c r="P469" s="1">
        <v>-0.00555787890378312</v>
      </c>
      <c r="Q469" s="1">
        <v>0</v>
      </c>
      <c r="R469" s="1">
        <v>-0.01559875881430872</v>
      </c>
      <c r="S469" s="1">
        <v>-0.008536923258156803</v>
      </c>
      <c r="T469" s="1">
        <v>-0.02144057521714038</v>
      </c>
      <c r="U469" s="1">
        <v>0.01674608160075985</v>
      </c>
      <c r="V469" s="1">
        <v>0.02621235835833402</v>
      </c>
      <c r="W469" s="1">
        <v>-0.01016199260831574</v>
      </c>
      <c r="X469" s="1">
        <v>-0.008204081207634051</v>
      </c>
      <c r="Y469" s="1">
        <v>-0.008578882409090216</v>
      </c>
      <c r="Z469" s="1">
        <v>-0.0127974068394564</v>
      </c>
    </row>
    <row r="470" spans="1:26">
      <c r="A470" s="11">
        <v>43049</v>
      </c>
      <c r="B470" s="1">
        <v>-0.02453575340508363</v>
      </c>
      <c r="C470" s="1">
        <v>-0.007042108873294928</v>
      </c>
      <c r="D470" s="1">
        <v>-0.02064529355608336</v>
      </c>
      <c r="E470" s="1">
        <v>-0.01822848988349357</v>
      </c>
      <c r="F470" s="1">
        <v>0.007932105966670377</v>
      </c>
      <c r="G470" s="1">
        <v>-0.01341840338029654</v>
      </c>
      <c r="H470" s="1">
        <v>0.0390004590762687</v>
      </c>
      <c r="I470" s="1">
        <v>0.007236301270957313</v>
      </c>
      <c r="J470" s="1">
        <v>-0.005154621919833402</v>
      </c>
      <c r="K470" s="1">
        <v>-0.04102836509103558</v>
      </c>
      <c r="L470" s="1">
        <v>-0.001229037604072114</v>
      </c>
      <c r="M470" s="1">
        <v>0.000561246303252716</v>
      </c>
      <c r="N470" s="1">
        <v>0.007905360875342327</v>
      </c>
      <c r="O470" s="1">
        <v>0.002652549223239653</v>
      </c>
      <c r="P470" s="1">
        <v>-0.002616526992182289</v>
      </c>
      <c r="Q470" s="1">
        <v>-0.01162812290343995</v>
      </c>
      <c r="R470" s="1">
        <v>0.002449656791552624</v>
      </c>
      <c r="S470" s="1">
        <v>0.0007094638777387363</v>
      </c>
      <c r="T470" s="1">
        <v>0.006278455228411195</v>
      </c>
      <c r="U470" s="1">
        <v>0.006470666837860017</v>
      </c>
      <c r="V470" s="1">
        <v>0.02504178023682213</v>
      </c>
      <c r="W470" s="1">
        <v>-0.0297567407816024</v>
      </c>
      <c r="X470" s="1">
        <v>-0.002389751797669759</v>
      </c>
      <c r="Y470" s="1">
        <v>-0.004215845148196951</v>
      </c>
      <c r="Z470" s="1">
        <v>-0.0009094859974970726</v>
      </c>
    </row>
    <row r="471" spans="1:26">
      <c r="A471" s="11">
        <v>43052</v>
      </c>
      <c r="B471" s="1">
        <v>-0.01450293303929295</v>
      </c>
      <c r="C471" s="1">
        <v>0.0060187299162624</v>
      </c>
      <c r="D471" s="1">
        <v>0.005777568459365279</v>
      </c>
      <c r="E471" s="1">
        <v>0.00213569512234546</v>
      </c>
      <c r="F471" s="1">
        <v>0.01085482930092896</v>
      </c>
      <c r="G471" s="1">
        <v>0.007480634118830709</v>
      </c>
      <c r="H471" s="1">
        <v>-0.003163343123712026</v>
      </c>
      <c r="I471" s="1">
        <v>-0.002419682269564571</v>
      </c>
      <c r="J471" s="1">
        <v>-0.002826330013811384</v>
      </c>
      <c r="K471" s="1">
        <v>-0.02518276507400741</v>
      </c>
      <c r="L471" s="1">
        <v>0.003589425151715009</v>
      </c>
      <c r="M471" s="1">
        <v>-0.004487051538041964</v>
      </c>
      <c r="N471" s="1">
        <v>0.01261171692290497</v>
      </c>
      <c r="O471" s="1">
        <v>-0.001803487321827668</v>
      </c>
      <c r="P471" s="1">
        <v>0.0007154430359992414</v>
      </c>
      <c r="Q471" s="1">
        <v>0.00441196385826359</v>
      </c>
      <c r="R471" s="1">
        <v>-0.000289178833538517</v>
      </c>
      <c r="S471" s="1">
        <v>0.008178782491961689</v>
      </c>
      <c r="T471" s="1">
        <v>0.0006418435366584152</v>
      </c>
      <c r="U471" s="1">
        <v>-0.001461238485414795</v>
      </c>
      <c r="V471" s="1">
        <v>-0.01628680724191689</v>
      </c>
      <c r="W471" s="1">
        <v>0.01090384590344473</v>
      </c>
      <c r="X471" s="1">
        <v>-0.01050313324073882</v>
      </c>
      <c r="Y471" s="1">
        <v>-0.002896492199977896</v>
      </c>
      <c r="Z471" s="1">
        <v>0.03414498682210598</v>
      </c>
    </row>
    <row r="472" spans="1:26">
      <c r="A472" s="11">
        <v>43053</v>
      </c>
      <c r="B472" s="1">
        <v>-0.03701983038370726</v>
      </c>
      <c r="C472" s="1">
        <v>-0.002515020106432564</v>
      </c>
      <c r="D472" s="1">
        <v>0.000776426375128203</v>
      </c>
      <c r="E472" s="1">
        <v>0.004263233441296865</v>
      </c>
      <c r="F472" s="1">
        <v>-0.01046969078573057</v>
      </c>
      <c r="G472" s="1">
        <v>0.01079973193757389</v>
      </c>
      <c r="H472" s="1">
        <v>0.01142424038057954</v>
      </c>
      <c r="I472" s="1">
        <v>0.007353410287815665</v>
      </c>
      <c r="J472" s="1">
        <v>0.008974891018041165</v>
      </c>
      <c r="K472" s="1">
        <v>-0.00305542860285013</v>
      </c>
      <c r="L472" s="1">
        <v>-0.006029278571978991</v>
      </c>
      <c r="M472" s="1">
        <v>0.009389655502989536</v>
      </c>
      <c r="N472" s="1">
        <v>-0.001670495162793162</v>
      </c>
      <c r="O472" s="1">
        <v>0.007228576497220418</v>
      </c>
      <c r="P472" s="1">
        <v>0.001429863086411132</v>
      </c>
      <c r="Q472" s="1">
        <v>0.009516817619007467</v>
      </c>
      <c r="R472" s="1">
        <v>-0.009376416264967657</v>
      </c>
      <c r="S472" s="1">
        <v>-0.001547494020811446</v>
      </c>
      <c r="T472" s="1">
        <v>-0.001487997116038975</v>
      </c>
      <c r="U472" s="1">
        <v>-0.01316929600715977</v>
      </c>
      <c r="V472" s="1">
        <v>0.0051855361952442</v>
      </c>
      <c r="W472" s="1">
        <v>0.004622410743637673</v>
      </c>
      <c r="X472" s="1">
        <v>-0.002420687869460481</v>
      </c>
      <c r="Y472" s="1">
        <v>-0.01184387347262528</v>
      </c>
      <c r="Z472" s="1">
        <v>0.02694956823162453</v>
      </c>
    </row>
    <row r="473" spans="1:26">
      <c r="A473" s="11">
        <v>43054</v>
      </c>
      <c r="B473" s="1">
        <v>-0.02029617219201485</v>
      </c>
      <c r="C473" s="1">
        <v>0.004202207799937296</v>
      </c>
      <c r="D473" s="1">
        <v>-0.00062070016972815</v>
      </c>
      <c r="E473" s="1">
        <v>-0.002938920153683022</v>
      </c>
      <c r="F473" s="1">
        <v>0.008681239836292987</v>
      </c>
      <c r="G473" s="1">
        <v>-0.01118501088754698</v>
      </c>
      <c r="H473" s="1">
        <v>-0.02907352107526218</v>
      </c>
      <c r="I473" s="1">
        <v>-0.004590759313588433</v>
      </c>
      <c r="J473" s="1">
        <v>0</v>
      </c>
      <c r="K473" s="1">
        <v>-0.004458232808131846</v>
      </c>
      <c r="L473" s="1">
        <v>0.009458684358600866</v>
      </c>
      <c r="M473" s="1">
        <v>0.01637206562913174</v>
      </c>
      <c r="N473" s="1">
        <v>-0.007150475595471883</v>
      </c>
      <c r="O473" s="1">
        <v>-0.005501570031482883</v>
      </c>
      <c r="P473" s="1">
        <v>-0.007772463707790056</v>
      </c>
      <c r="Q473" s="1">
        <v>-0.01232757891600667</v>
      </c>
      <c r="R473" s="1">
        <v>-0.006989737739649282</v>
      </c>
      <c r="S473" s="1">
        <v>-0.01347887959072758</v>
      </c>
      <c r="T473" s="1">
        <v>-0.008146365980605363</v>
      </c>
      <c r="U473" s="1">
        <v>0.002668800023089224</v>
      </c>
      <c r="V473" s="1">
        <v>-0.09868515511944176</v>
      </c>
      <c r="W473" s="1">
        <v>-0.003015288861992982</v>
      </c>
      <c r="X473" s="1">
        <v>-0.02053385368546867</v>
      </c>
      <c r="Y473" s="1">
        <v>-0.002487105099101772</v>
      </c>
      <c r="Z473" s="1">
        <v>0.0002148573535416531</v>
      </c>
    </row>
    <row r="474" spans="1:26">
      <c r="A474" s="11">
        <v>43055</v>
      </c>
      <c r="B474" s="1">
        <v>-0.01316110902174894</v>
      </c>
      <c r="C474" s="1">
        <v>0.003195587990748594</v>
      </c>
      <c r="D474" s="1">
        <v>0.008848233468640831</v>
      </c>
      <c r="E474" s="1">
        <v>0.01309979561741836</v>
      </c>
      <c r="F474" s="1">
        <v>-0.002958581939829119</v>
      </c>
      <c r="G474" s="1">
        <v>-0.01090280499567986</v>
      </c>
      <c r="H474" s="1">
        <v>0.04093030358754057</v>
      </c>
      <c r="I474" s="1">
        <v>0.01769123862218347</v>
      </c>
      <c r="J474" s="1">
        <v>0.009831374416170879</v>
      </c>
      <c r="K474" s="1">
        <v>0.01147504089887819</v>
      </c>
      <c r="L474" s="1">
        <v>0.00285149602514867</v>
      </c>
      <c r="M474" s="1">
        <v>0.01171539070717875</v>
      </c>
      <c r="N474" s="1">
        <v>0.009500522938315381</v>
      </c>
      <c r="O474" s="1">
        <v>-0.002766744723178616</v>
      </c>
      <c r="P474" s="1">
        <v>0.002651054898928473</v>
      </c>
      <c r="Q474" s="1">
        <v>0.002936679451407409</v>
      </c>
      <c r="R474" s="1">
        <v>0.02214372400715159</v>
      </c>
      <c r="S474" s="1">
        <v>0.01723380509367156</v>
      </c>
      <c r="T474" s="1">
        <v>0.007581869577550693</v>
      </c>
      <c r="U474" s="1">
        <v>0.02099984216784034</v>
      </c>
      <c r="V474" s="1">
        <v>0.01735567288307949</v>
      </c>
      <c r="W474" s="1">
        <v>0.0111405221101315</v>
      </c>
      <c r="X474" s="1">
        <v>0.008195152059772504</v>
      </c>
      <c r="Y474" s="1">
        <v>0.01496214163174758</v>
      </c>
      <c r="Z474" s="1">
        <v>-0.008387155112290268</v>
      </c>
    </row>
    <row r="475" spans="1:26">
      <c r="A475" s="11">
        <v>43056</v>
      </c>
      <c r="B475" s="1">
        <v>0.017040892020461</v>
      </c>
      <c r="C475" s="1">
        <v>-0.005460527210586985</v>
      </c>
      <c r="D475" s="1">
        <v>-0.01707961366813338</v>
      </c>
      <c r="E475" s="1">
        <v>-0.008889338838889871</v>
      </c>
      <c r="F475" s="1">
        <v>-0.0245478330951644</v>
      </c>
      <c r="G475" s="1">
        <v>-0.001033716823511055</v>
      </c>
      <c r="H475" s="1">
        <v>0.02897393104705515</v>
      </c>
      <c r="I475" s="1">
        <v>0.008617245305835297</v>
      </c>
      <c r="J475" s="1">
        <v>0.008344980035515093</v>
      </c>
      <c r="K475" s="1">
        <v>0.006917529187775884</v>
      </c>
      <c r="L475" s="1">
        <v>-0.003351387491635216</v>
      </c>
      <c r="M475" s="1">
        <v>-0.01013206004322631</v>
      </c>
      <c r="N475" s="1">
        <v>0.008196348683994881</v>
      </c>
      <c r="O475" s="1">
        <v>-0.006754575258066109</v>
      </c>
      <c r="P475" s="1">
        <v>-0.009615266913933884</v>
      </c>
      <c r="Q475" s="1">
        <v>-0.00878470486253069</v>
      </c>
      <c r="R475" s="1">
        <v>-0.04318502192439821</v>
      </c>
      <c r="S475" s="1">
        <v>-0.008517951912234478</v>
      </c>
      <c r="T475" s="1">
        <v>-0.002705867645670601</v>
      </c>
      <c r="U475" s="1">
        <v>-0.0002897214553545524</v>
      </c>
      <c r="V475" s="1">
        <v>0.055172881061756</v>
      </c>
      <c r="W475" s="1">
        <v>-0.002308567373735637</v>
      </c>
      <c r="X475" s="1">
        <v>0.001323046698748165</v>
      </c>
      <c r="Y475" s="1">
        <v>0.01451907886150505</v>
      </c>
      <c r="Z475" s="1">
        <v>0.004120951339832812</v>
      </c>
    </row>
    <row r="476" spans="1:26">
      <c r="A476" s="11">
        <v>43059</v>
      </c>
      <c r="B476" s="1">
        <v>-0.00267070748207443</v>
      </c>
      <c r="C476" s="1">
        <v>0.009036883819692143</v>
      </c>
      <c r="D476" s="1">
        <v>0</v>
      </c>
      <c r="E476" s="1">
        <v>-0.008480234899923111</v>
      </c>
      <c r="F476" s="1">
        <v>-0.009126252634306109</v>
      </c>
      <c r="G476" s="1">
        <v>0.004138121457809341</v>
      </c>
      <c r="H476" s="1">
        <v>0.004223854479971756</v>
      </c>
      <c r="I476" s="1">
        <v>0.008470646273707416</v>
      </c>
      <c r="J476" s="1">
        <v>0.01701183745556656</v>
      </c>
      <c r="K476" s="1">
        <v>-0.009068175691548608</v>
      </c>
      <c r="L476" s="1">
        <v>0.008865026207645954</v>
      </c>
      <c r="M476" s="1">
        <v>-0.001096846144627239</v>
      </c>
      <c r="N476" s="1">
        <v>-0.008882921348116413</v>
      </c>
      <c r="O476" s="1">
        <v>0.007043018074734952</v>
      </c>
      <c r="P476" s="1">
        <v>0.001577798568796585</v>
      </c>
      <c r="Q476" s="1">
        <v>0.0003692071519312279</v>
      </c>
      <c r="R476" s="1">
        <v>0.01514457734445429</v>
      </c>
      <c r="S476" s="1">
        <v>-0.003492570100797177</v>
      </c>
      <c r="T476" s="1">
        <v>0.00183440930523826</v>
      </c>
      <c r="U476" s="1">
        <v>0.003766928110698453</v>
      </c>
      <c r="V476" s="1">
        <v>-0.004472034490028753</v>
      </c>
      <c r="W476" s="1">
        <v>0.004364640506841155</v>
      </c>
      <c r="X476" s="1">
        <v>0.009628227413433388</v>
      </c>
      <c r="Y476" s="1">
        <v>0.01717294016674842</v>
      </c>
      <c r="Z476" s="1">
        <v>0.01727845957543517</v>
      </c>
    </row>
    <row r="477" spans="1:26">
      <c r="A477" s="11">
        <v>43060</v>
      </c>
      <c r="B477" s="1">
        <v>0.009008599202465772</v>
      </c>
      <c r="C477" s="1">
        <v>0.008917771286263587</v>
      </c>
      <c r="D477" s="1">
        <v>0.00579217786259667</v>
      </c>
      <c r="E477" s="1">
        <v>0.007236795161181586</v>
      </c>
      <c r="F477" s="1">
        <v>0.01646657784738559</v>
      </c>
      <c r="G477" s="1">
        <v>-0.001030352021068937</v>
      </c>
      <c r="H477" s="1">
        <v>-0.08191481675638979</v>
      </c>
      <c r="I477" s="1">
        <v>0.01687072412553969</v>
      </c>
      <c r="J477" s="1">
        <v>0.01537047058304042</v>
      </c>
      <c r="K477" s="1">
        <v>-0.001664180370436807</v>
      </c>
      <c r="L477" s="1">
        <v>-0.0008081325290657526</v>
      </c>
      <c r="M477" s="1">
        <v>0.01427254112732923</v>
      </c>
      <c r="N477" s="1">
        <v>-0.002734155441297514</v>
      </c>
      <c r="O477" s="1">
        <v>0.006270367370997176</v>
      </c>
      <c r="P477" s="1">
        <v>0.01441926288013629</v>
      </c>
      <c r="Q477" s="1">
        <v>0.004798575266834026</v>
      </c>
      <c r="R477" s="1">
        <v>-0.0001474428290135776</v>
      </c>
      <c r="S477" s="1">
        <v>0.0009946183521878371</v>
      </c>
      <c r="T477" s="1">
        <v>0.00629412007663821</v>
      </c>
      <c r="U477" s="1">
        <v>-0.008949375032248574</v>
      </c>
      <c r="V477" s="1">
        <v>-0.01088461735098967</v>
      </c>
      <c r="W477" s="1">
        <v>0.01010485707386266</v>
      </c>
      <c r="X477" s="1">
        <v>0.003926599469607828</v>
      </c>
      <c r="Y477" s="1">
        <v>-0.0004330207561282773</v>
      </c>
      <c r="Z477" s="1">
        <v>-0.004458481194760222</v>
      </c>
    </row>
    <row r="478" spans="1:26">
      <c r="A478" s="11">
        <v>43061</v>
      </c>
      <c r="B478" s="1">
        <v>0.002413241012928502</v>
      </c>
      <c r="C478" s="1">
        <v>-0.006891655260834684</v>
      </c>
      <c r="D478" s="1">
        <v>-0.003268453800441495</v>
      </c>
      <c r="E478" s="1">
        <v>-0.001632971443515707</v>
      </c>
      <c r="F478" s="1">
        <v>-0.0002743421487616526</v>
      </c>
      <c r="G478" s="1">
        <v>0.002062233682764258</v>
      </c>
      <c r="H478" s="1">
        <v>0.02028783265351874</v>
      </c>
      <c r="I478" s="1">
        <v>0.0432377545269047</v>
      </c>
      <c r="J478" s="1">
        <v>-0.04986631555681653</v>
      </c>
      <c r="K478" s="1">
        <v>0.02194451022805266</v>
      </c>
      <c r="L478" s="1">
        <v>-0.002931606365306538</v>
      </c>
      <c r="M478" s="1">
        <v>-0.006133775314793533</v>
      </c>
      <c r="N478" s="1">
        <v>-0.002437035986909253</v>
      </c>
      <c r="O478" s="1">
        <v>-0.009586201110955428</v>
      </c>
      <c r="P478" s="1">
        <v>-0.007286384609509255</v>
      </c>
      <c r="Q478" s="1">
        <v>-0.006612665278293184</v>
      </c>
      <c r="R478" s="1">
        <v>0.00265943913166633</v>
      </c>
      <c r="S478" s="1">
        <v>-0.0001421552864387943</v>
      </c>
      <c r="T478" s="1">
        <v>0.001102048260604116</v>
      </c>
      <c r="U478" s="1">
        <v>0.01573025606889633</v>
      </c>
      <c r="V478" s="1">
        <v>0.004192061201731656</v>
      </c>
      <c r="W478" s="1">
        <v>-0.00093299455095186</v>
      </c>
      <c r="X478" s="1">
        <v>-0.002980062047968191</v>
      </c>
      <c r="Y478" s="1">
        <v>0.0199219811447986</v>
      </c>
      <c r="Z478" s="1">
        <v>-0.0115165155115291</v>
      </c>
    </row>
    <row r="479" spans="1:26">
      <c r="A479" s="11">
        <v>43063</v>
      </c>
      <c r="B479" s="1">
        <v>-0.009629031519626463</v>
      </c>
      <c r="C479" s="1">
        <v>0.002753316101884007</v>
      </c>
      <c r="D479" s="1">
        <v>0.001249060970737847</v>
      </c>
      <c r="E479" s="1">
        <v>0.004743131297219039</v>
      </c>
      <c r="F479" s="1">
        <v>-0.01483132811360077</v>
      </c>
      <c r="G479" s="1">
        <v>-0.004116064193579572</v>
      </c>
      <c r="H479" s="1">
        <v>-0.01560849906299899</v>
      </c>
      <c r="I479" s="1">
        <v>0.001721049390348339</v>
      </c>
      <c r="J479" s="1">
        <v>-0.004686025460265641</v>
      </c>
      <c r="K479" s="1">
        <v>0.003261751921616707</v>
      </c>
      <c r="L479" s="1">
        <v>-0.003243777869122111</v>
      </c>
      <c r="M479" s="1">
        <v>0.0009075264447095943</v>
      </c>
      <c r="N479" s="1">
        <v>-0.0001526239580479372</v>
      </c>
      <c r="O479" s="1">
        <v>-0.003751047054400769</v>
      </c>
      <c r="P479" s="1">
        <v>0.001804883360078335</v>
      </c>
      <c r="Q479" s="1">
        <v>0</v>
      </c>
      <c r="R479" s="1">
        <v>-0.01370314668862205</v>
      </c>
      <c r="S479" s="1">
        <v>0.007099407525767543</v>
      </c>
      <c r="T479" s="1">
        <v>0.008884877249473622</v>
      </c>
      <c r="U479" s="1">
        <v>-0.001721014389443498</v>
      </c>
      <c r="V479" s="1">
        <v>-0.02800499420209301</v>
      </c>
      <c r="W479" s="1">
        <v>0.00394286289236323</v>
      </c>
      <c r="X479" s="1">
        <v>-0.004296805666959003</v>
      </c>
      <c r="Y479" s="1">
        <v>-0.001910934408407505</v>
      </c>
      <c r="Z479" s="1">
        <v>0</v>
      </c>
    </row>
    <row r="480" spans="1:26">
      <c r="A480" s="11">
        <v>43066</v>
      </c>
      <c r="B480" s="1">
        <v>-0.03111368635408396</v>
      </c>
      <c r="C480" s="1">
        <v>-0.001128232082307501</v>
      </c>
      <c r="D480" s="1">
        <v>0.009669502027097598</v>
      </c>
      <c r="E480" s="1">
        <v>0.002930138168755869</v>
      </c>
      <c r="F480" s="1">
        <v>-0.008921056866906363</v>
      </c>
      <c r="G480" s="1">
        <v>0.01756798329950304</v>
      </c>
      <c r="H480" s="1">
        <v>0.01607282591030956</v>
      </c>
      <c r="I480" s="1">
        <v>0.02247437634400207</v>
      </c>
      <c r="J480" s="1">
        <v>0.0004704357459253128</v>
      </c>
      <c r="K480" s="1">
        <v>0.004876627026016767</v>
      </c>
      <c r="L480" s="1">
        <v>-0.003966657547125552</v>
      </c>
      <c r="M480" s="1">
        <v>-0.009793237563252344</v>
      </c>
      <c r="N480" s="1">
        <v>-0.006261780537978101</v>
      </c>
      <c r="O480" s="1">
        <v>0.001943407011256504</v>
      </c>
      <c r="P480" s="1">
        <v>0.007326240906492698</v>
      </c>
      <c r="Q480" s="1">
        <v>0.002218988127566712</v>
      </c>
      <c r="R480" s="1">
        <v>-0.0005974820391252411</v>
      </c>
      <c r="S480" s="1">
        <v>0.01005678554501666</v>
      </c>
      <c r="T480" s="1">
        <v>-0.009694706166218481</v>
      </c>
      <c r="U480" s="1">
        <v>-0.003734329710163187</v>
      </c>
      <c r="V480" s="1">
        <v>-0.000715601775765573</v>
      </c>
      <c r="W480" s="1">
        <v>0.002118546805562449</v>
      </c>
      <c r="X480" s="1">
        <v>0.003377354694140022</v>
      </c>
      <c r="Y480" s="1">
        <v>0.01382705604828538</v>
      </c>
      <c r="Z480" s="1">
        <v>0.001510497796919363</v>
      </c>
    </row>
    <row r="481" spans="1:26">
      <c r="A481" s="11">
        <v>43067</v>
      </c>
      <c r="B481" s="1">
        <v>0.01028620883285947</v>
      </c>
      <c r="C481" s="1">
        <v>0.009074636108719725</v>
      </c>
      <c r="D481" s="1">
        <v>0.02023476303370053</v>
      </c>
      <c r="E481" s="1">
        <v>0.01477051924586648</v>
      </c>
      <c r="F481" s="1">
        <v>0.01969058084808917</v>
      </c>
      <c r="G481" s="1">
        <v>0.001353906657301396</v>
      </c>
      <c r="H481" s="1">
        <v>0.003420590254131106</v>
      </c>
      <c r="I481" s="1">
        <v>0.004100366904399744</v>
      </c>
      <c r="J481" s="1">
        <v>0.01929468796928635</v>
      </c>
      <c r="K481" s="1">
        <v>0.03585861417129332</v>
      </c>
      <c r="L481" s="1">
        <v>0.03502514468421225</v>
      </c>
      <c r="M481" s="1">
        <v>0.02875468826439098</v>
      </c>
      <c r="N481" s="1">
        <v>0.02043969120177591</v>
      </c>
      <c r="O481" s="1">
        <v>0.01357553882946094</v>
      </c>
      <c r="P481" s="1">
        <v>0.01204263205215339</v>
      </c>
      <c r="Q481" s="1">
        <v>0.0036899073760992</v>
      </c>
      <c r="R481" s="1">
        <v>0.02436471144147467</v>
      </c>
      <c r="S481" s="1">
        <v>-0.02558944903719951</v>
      </c>
      <c r="T481" s="1">
        <v>0.01878469991769949</v>
      </c>
      <c r="U481" s="1">
        <v>0.02133797573196783</v>
      </c>
      <c r="V481" s="1">
        <v>0.01396808790745219</v>
      </c>
      <c r="W481" s="1">
        <v>0.01227356356770026</v>
      </c>
      <c r="X481" s="1">
        <v>0.01570661435915177</v>
      </c>
      <c r="Y481" s="1">
        <v>0.0243390494441289</v>
      </c>
      <c r="Z481" s="1">
        <v>0.0359754805960284</v>
      </c>
    </row>
    <row r="482" spans="1:26">
      <c r="A482" s="11">
        <v>43068</v>
      </c>
      <c r="B482" s="1">
        <v>0.0116713377897284</v>
      </c>
      <c r="C482" s="1">
        <v>0.004888031966234108</v>
      </c>
      <c r="D482" s="1">
        <v>-0.01317196213793848</v>
      </c>
      <c r="E482" s="1">
        <v>0.006077962310189644</v>
      </c>
      <c r="F482" s="1">
        <v>0.02593121725928027</v>
      </c>
      <c r="G482" s="1">
        <v>0.003042652463046025</v>
      </c>
      <c r="H482" s="1">
        <v>0.04367301619571129</v>
      </c>
      <c r="I482" s="1">
        <v>-0.006292763037913152</v>
      </c>
      <c r="J482" s="1">
        <v>-0.01061878871139799</v>
      </c>
      <c r="K482" s="1">
        <v>-0.008589282778447282</v>
      </c>
      <c r="L482" s="1">
        <v>0.02338163333174981</v>
      </c>
      <c r="M482" s="1">
        <v>0.0482463865112075</v>
      </c>
      <c r="N482" s="1">
        <v>0.01460846937665949</v>
      </c>
      <c r="O482" s="1">
        <v>-0.0002394577436690692</v>
      </c>
      <c r="P482" s="1">
        <v>-0.01814326151476076</v>
      </c>
      <c r="Q482" s="1">
        <v>-0.001102735185065318</v>
      </c>
      <c r="R482" s="1">
        <v>0.007004600384189485</v>
      </c>
      <c r="S482" s="1">
        <v>0.003962714903884335</v>
      </c>
      <c r="T482" s="1">
        <v>-0.009005477819249097</v>
      </c>
      <c r="U482" s="1">
        <v>0.0299261062839149</v>
      </c>
      <c r="V482" s="1">
        <v>0.08936804967038525</v>
      </c>
      <c r="W482" s="1">
        <v>-0.01874707892313465</v>
      </c>
      <c r="X482" s="1">
        <v>0.009572803077073866</v>
      </c>
      <c r="Y482" s="1">
        <v>0.0221224907078208</v>
      </c>
      <c r="Z482" s="1">
        <v>0.02911219188537983</v>
      </c>
    </row>
    <row r="483" spans="1:26">
      <c r="A483" s="11">
        <v>43069</v>
      </c>
      <c r="B483" s="1">
        <v>0.0267549054314371</v>
      </c>
      <c r="C483" s="1">
        <v>0.02784991745160181</v>
      </c>
      <c r="D483" s="1">
        <v>0.007843913097642874</v>
      </c>
      <c r="E483" s="1">
        <v>0.004610330763855863</v>
      </c>
      <c r="F483" s="1">
        <v>0.009410888898362835</v>
      </c>
      <c r="G483" s="1">
        <v>0.01145957874394266</v>
      </c>
      <c r="H483" s="1">
        <v>0.006327496987963643</v>
      </c>
      <c r="I483" s="1">
        <v>0.009565958919202089</v>
      </c>
      <c r="J483" s="1">
        <v>0.0009331356996045148</v>
      </c>
      <c r="K483" s="1">
        <v>-0.01181388431120056</v>
      </c>
      <c r="L483" s="1">
        <v>0.007616302928904473</v>
      </c>
      <c r="M483" s="1">
        <v>0.03040061667800376</v>
      </c>
      <c r="N483" s="1">
        <v>0.006828155072085229</v>
      </c>
      <c r="O483" s="1">
        <v>0.003947727702025006</v>
      </c>
      <c r="P483" s="1">
        <v>0.009959412299715975</v>
      </c>
      <c r="Q483" s="1">
        <v>0.01324957223700873</v>
      </c>
      <c r="R483" s="1">
        <v>0.01912727272727266</v>
      </c>
      <c r="S483" s="1">
        <v>0.0136023328923407</v>
      </c>
      <c r="T483" s="1">
        <v>0.01385923192214955</v>
      </c>
      <c r="U483" s="1">
        <v>-0.002741168862517518</v>
      </c>
      <c r="V483" s="1">
        <v>-0.02885833801244631</v>
      </c>
      <c r="W483" s="1">
        <v>0.0007267942850632814</v>
      </c>
      <c r="X483" s="1">
        <v>0.01586451776980535</v>
      </c>
      <c r="Y483" s="1">
        <v>0.0198393546086495</v>
      </c>
      <c r="Z483" s="1">
        <v>0.001212523042866787</v>
      </c>
    </row>
    <row r="484" spans="1:26">
      <c r="A484" s="11">
        <v>43070</v>
      </c>
      <c r="B484" s="1">
        <v>0.05713633251173489</v>
      </c>
      <c r="C484" s="1">
        <v>-0.01958069691186271</v>
      </c>
      <c r="D484" s="1">
        <v>-0.0006105403258435116</v>
      </c>
      <c r="E484" s="1">
        <v>0.000791497257280227</v>
      </c>
      <c r="F484" s="1">
        <v>0.02370804036577434</v>
      </c>
      <c r="G484" s="1">
        <v>-0.01599498699928259</v>
      </c>
      <c r="H484" s="1">
        <v>-0.001622659244642888</v>
      </c>
      <c r="I484" s="1">
        <v>0.000534016454468933</v>
      </c>
      <c r="J484" s="1">
        <v>-0.001864470985801447</v>
      </c>
      <c r="K484" s="1">
        <v>-0.005845279935066783</v>
      </c>
      <c r="L484" s="1">
        <v>0.00258324908326224</v>
      </c>
      <c r="M484" s="1">
        <v>-0.01236186834727393</v>
      </c>
      <c r="N484" s="1">
        <v>0.01105686966904207</v>
      </c>
      <c r="O484" s="1">
        <v>0.01346378980843532</v>
      </c>
      <c r="P484" s="1">
        <v>0.001068954614357187</v>
      </c>
      <c r="Q484" s="1">
        <v>-0.007264916461639404</v>
      </c>
      <c r="R484" s="1">
        <v>-0.009668910715754819</v>
      </c>
      <c r="S484" s="1">
        <v>-0.004927222092033445</v>
      </c>
      <c r="T484" s="1">
        <v>-0.01089068978685381</v>
      </c>
      <c r="U484" s="1">
        <v>0.003298971538340245</v>
      </c>
      <c r="V484" s="1">
        <v>-0.006511116467496691</v>
      </c>
      <c r="W484" s="1">
        <v>-0.002905065755064773</v>
      </c>
      <c r="X484" s="1">
        <v>-0.0147190032402561</v>
      </c>
      <c r="Y484" s="1">
        <v>0.0070741713969944</v>
      </c>
      <c r="Z484" s="1">
        <v>0.01069607574049836</v>
      </c>
    </row>
    <row r="485" spans="1:26">
      <c r="A485" s="11">
        <v>43073</v>
      </c>
      <c r="B485" s="1">
        <v>-0.02284039936569104</v>
      </c>
      <c r="C485" s="1">
        <v>0.02428312856574255</v>
      </c>
      <c r="D485" s="1">
        <v>-0.01893429045096839</v>
      </c>
      <c r="E485" s="1">
        <v>-0.01217588400023595</v>
      </c>
      <c r="F485" s="1">
        <v>0.04918025394537939</v>
      </c>
      <c r="G485" s="1">
        <v>-0.005756535507383531</v>
      </c>
      <c r="H485" s="1">
        <v>0.02234859985022175</v>
      </c>
      <c r="I485" s="1">
        <v>0.00686941980430622</v>
      </c>
      <c r="J485" s="1">
        <v>-0.01541378805983784</v>
      </c>
      <c r="K485" s="1">
        <v>0.0002675411174892783</v>
      </c>
      <c r="L485" s="1">
        <v>0.02061210146786308</v>
      </c>
      <c r="M485" s="1">
        <v>0.03521363174357162</v>
      </c>
      <c r="N485" s="1">
        <v>0.0218722248637051</v>
      </c>
      <c r="O485" s="1">
        <v>0.01069828078485768</v>
      </c>
      <c r="P485" s="1">
        <v>-0.03774013164477907</v>
      </c>
      <c r="Q485" s="1">
        <v>-0.01097638202430451</v>
      </c>
      <c r="R485" s="1">
        <v>0.008901815658291401</v>
      </c>
      <c r="S485" s="1">
        <v>-0.009901787861407274</v>
      </c>
      <c r="T485" s="1">
        <v>0.03001983903127847</v>
      </c>
      <c r="U485" s="1">
        <v>0.02109537264840422</v>
      </c>
      <c r="V485" s="1">
        <v>0.05125180357420112</v>
      </c>
      <c r="W485" s="1">
        <v>-0.05291379828615705</v>
      </c>
      <c r="X485" s="1">
        <v>0.005283401017505351</v>
      </c>
      <c r="Y485" s="1">
        <v>0.009170605549169597</v>
      </c>
      <c r="Z485" s="1">
        <v>0.03314693738218866</v>
      </c>
    </row>
    <row r="486" spans="1:26">
      <c r="A486" s="11">
        <v>43074</v>
      </c>
      <c r="B486" s="1">
        <v>-0.02453163751648013</v>
      </c>
      <c r="C486" s="1">
        <v>-0.008741922566309457</v>
      </c>
      <c r="D486" s="1">
        <v>-0.003579402110086338</v>
      </c>
      <c r="E486" s="1">
        <v>-0.00720356041402459</v>
      </c>
      <c r="F486" s="1">
        <v>-0.0198411667452808</v>
      </c>
      <c r="G486" s="1">
        <v>-0.01532708571675301</v>
      </c>
      <c r="H486" s="1">
        <v>-0.009737729526130057</v>
      </c>
      <c r="I486" s="1">
        <v>-0.001987033023390095</v>
      </c>
      <c r="J486" s="1">
        <v>-0.0004743761989952633</v>
      </c>
      <c r="K486" s="1">
        <v>-0.008015045178141333</v>
      </c>
      <c r="L486" s="1">
        <v>-0.01150012787124988</v>
      </c>
      <c r="M486" s="1">
        <v>-0.004997504492707083</v>
      </c>
      <c r="N486" s="1">
        <v>0.001427112163618238</v>
      </c>
      <c r="O486" s="1">
        <v>-0.01116675520949784</v>
      </c>
      <c r="P486" s="1">
        <v>0.006289977086453291</v>
      </c>
      <c r="Q486" s="1">
        <v>-0.008509250294007398</v>
      </c>
      <c r="R486" s="1">
        <v>-0.001423346938627001</v>
      </c>
      <c r="S486" s="1">
        <v>0.005143371426135523</v>
      </c>
      <c r="T486" s="1">
        <v>-0.003391155541815793</v>
      </c>
      <c r="U486" s="1">
        <v>-0.01931814465515203</v>
      </c>
      <c r="V486" s="1">
        <v>-0.005754368598637871</v>
      </c>
      <c r="W486" s="1">
        <v>0.002307231706018875</v>
      </c>
      <c r="X486" s="1">
        <v>-0.02120367069080098</v>
      </c>
      <c r="Y486" s="1">
        <v>-0.01546809492143653</v>
      </c>
      <c r="Z486" s="1">
        <v>-0.01662168019630672</v>
      </c>
    </row>
    <row r="487" spans="1:26">
      <c r="A487" s="11">
        <v>43075</v>
      </c>
      <c r="B487" s="1">
        <v>-0.03748483731864316</v>
      </c>
      <c r="C487" s="1">
        <v>0.0099078700113302</v>
      </c>
      <c r="D487" s="1">
        <v>-0.004686197897379452</v>
      </c>
      <c r="E487" s="1">
        <v>-0.01693018124091561</v>
      </c>
      <c r="F487" s="1">
        <v>-0.02252023806274828</v>
      </c>
      <c r="G487" s="1">
        <v>0.003458655348385964</v>
      </c>
      <c r="H487" s="1">
        <v>0.007224880644576048</v>
      </c>
      <c r="I487" s="1">
        <v>-0.008097434090806765</v>
      </c>
      <c r="J487" s="1">
        <v>-0.002373068337414574</v>
      </c>
      <c r="K487" s="1">
        <v>0.002962878244557654</v>
      </c>
      <c r="L487" s="1">
        <v>-0.007472753555274325</v>
      </c>
      <c r="M487" s="1">
        <v>-0.007711541604029204</v>
      </c>
      <c r="N487" s="1">
        <v>0.0210885103287406</v>
      </c>
      <c r="O487" s="1">
        <v>-0.00717548443050664</v>
      </c>
      <c r="P487" s="1">
        <v>0.01458477235868094</v>
      </c>
      <c r="Q487" s="1">
        <v>0.00746280210018746</v>
      </c>
      <c r="R487" s="1">
        <v>-0.0007125170313324602</v>
      </c>
      <c r="S487" s="1">
        <v>0.003553740253003701</v>
      </c>
      <c r="T487" s="1">
        <v>-0.01075109427468168</v>
      </c>
      <c r="U487" s="1">
        <v>-0.01203844904477458</v>
      </c>
      <c r="V487" s="1">
        <v>-0.02379405559770431</v>
      </c>
      <c r="W487" s="1">
        <v>0.007783222904920395</v>
      </c>
      <c r="X487" s="1">
        <v>-0.001666121248583452</v>
      </c>
      <c r="Y487" s="1">
        <v>-0.004712953699598788</v>
      </c>
      <c r="Z487" s="1">
        <v>-0.01886799726813793</v>
      </c>
    </row>
    <row r="488" spans="1:26">
      <c r="A488" s="11">
        <v>43076</v>
      </c>
      <c r="B488" s="1">
        <v>0.001478544472995891</v>
      </c>
      <c r="C488" s="1">
        <v>0.01329627807554323</v>
      </c>
      <c r="D488" s="1">
        <v>-0.00313865742987951</v>
      </c>
      <c r="E488" s="1">
        <v>0.01426950289438289</v>
      </c>
      <c r="F488" s="1">
        <v>-0.01915582726492215</v>
      </c>
      <c r="G488" s="1">
        <v>-0.005170357470658304</v>
      </c>
      <c r="H488" s="1">
        <v>-0.01813165402764882</v>
      </c>
      <c r="I488" s="1">
        <v>0.0111076408280224</v>
      </c>
      <c r="J488" s="1">
        <v>-0.002378342439293246</v>
      </c>
      <c r="K488" s="1">
        <v>0.00322208824432324</v>
      </c>
      <c r="L488" s="1">
        <v>-0.002954333392503172</v>
      </c>
      <c r="M488" s="1">
        <v>0.03108616623366345</v>
      </c>
      <c r="N488" s="1">
        <v>-0.002232747985494221</v>
      </c>
      <c r="O488" s="1">
        <v>-0.007938555822387672</v>
      </c>
      <c r="P488" s="1">
        <v>-0.003502942750241655</v>
      </c>
      <c r="Q488" s="1">
        <v>0.001111184405076404</v>
      </c>
      <c r="R488" s="1">
        <v>0.01568769137047044</v>
      </c>
      <c r="S488" s="1">
        <v>-0.01633635260007338</v>
      </c>
      <c r="T488" s="1">
        <v>0.01316111475866544</v>
      </c>
      <c r="U488" s="1">
        <v>0.00166159222478246</v>
      </c>
      <c r="V488" s="1">
        <v>0.006093503049777294</v>
      </c>
      <c r="W488" s="1">
        <v>0.009571912726407783</v>
      </c>
      <c r="X488" s="1">
        <v>0.01613498422781112</v>
      </c>
      <c r="Y488" s="1">
        <v>-0.005130378117874312</v>
      </c>
      <c r="Z488" s="1">
        <v>0.01101789819053423</v>
      </c>
    </row>
    <row r="489" spans="1:26">
      <c r="A489" s="11">
        <v>43077</v>
      </c>
      <c r="B489" s="1">
        <v>0.001723288700089087</v>
      </c>
      <c r="C489" s="1">
        <v>0.01393756872308005</v>
      </c>
      <c r="D489" s="1">
        <v>0.008343968656984169</v>
      </c>
      <c r="E489" s="1">
        <v>0.009378967956387596</v>
      </c>
      <c r="F489" s="1">
        <v>0.001583283518676648</v>
      </c>
      <c r="G489" s="1">
        <v>0.001732581252655852</v>
      </c>
      <c r="H489" s="1">
        <v>-0.006695961654067384</v>
      </c>
      <c r="I489" s="1">
        <v>0.003110417227901285</v>
      </c>
      <c r="J489" s="1">
        <v>0.004768396505430372</v>
      </c>
      <c r="K489" s="1">
        <v>0.001338054267078448</v>
      </c>
      <c r="L489" s="1">
        <v>0.012521686010321</v>
      </c>
      <c r="M489" s="1">
        <v>0.004919072201619912</v>
      </c>
      <c r="N489" s="1">
        <v>0.0005594872831091724</v>
      </c>
      <c r="O489" s="1">
        <v>0.004777176205100764</v>
      </c>
      <c r="P489" s="1">
        <v>0.0202450073865319</v>
      </c>
      <c r="Q489" s="1">
        <v>0.004069539710536585</v>
      </c>
      <c r="R489" s="1">
        <v>0.01053074293552614</v>
      </c>
      <c r="S489" s="1">
        <v>0.01199974666708892</v>
      </c>
      <c r="T489" s="1">
        <v>0.005855294314924153</v>
      </c>
      <c r="U489" s="1">
        <v>0.01548214515095614</v>
      </c>
      <c r="V489" s="1">
        <v>0.004583128061089292</v>
      </c>
      <c r="W489" s="1">
        <v>0.01255164696080091</v>
      </c>
      <c r="X489" s="1">
        <v>0.0009123436582254563</v>
      </c>
      <c r="Y489" s="1">
        <v>0.01328862048473045</v>
      </c>
      <c r="Z489" s="1">
        <v>0.009114408548529962</v>
      </c>
    </row>
    <row r="490" spans="1:26">
      <c r="A490" s="11">
        <v>43080</v>
      </c>
      <c r="B490" s="1">
        <v>-0.01253096618753102</v>
      </c>
      <c r="C490" s="1">
        <v>-0.009583680089247371</v>
      </c>
      <c r="D490" s="1">
        <v>0.00140482382021867</v>
      </c>
      <c r="E490" s="1">
        <v>0.009612358278120903</v>
      </c>
      <c r="F490" s="1">
        <v>0.01291191267580416</v>
      </c>
      <c r="G490" s="1">
        <v>-0.002075415883950105</v>
      </c>
      <c r="H490" s="1">
        <v>-0.008172055772470377</v>
      </c>
      <c r="I490" s="1">
        <v>-0.001649235052340603</v>
      </c>
      <c r="J490" s="1">
        <v>0.01091613900992461</v>
      </c>
      <c r="K490" s="1">
        <v>0.008019208626259822</v>
      </c>
      <c r="L490" s="1">
        <v>-0.002926443335799944</v>
      </c>
      <c r="M490" s="1">
        <v>-0.0001579204282153857</v>
      </c>
      <c r="N490" s="1">
        <v>0.001537499385860119</v>
      </c>
      <c r="O490" s="1">
        <v>-0.002377231648087119</v>
      </c>
      <c r="P490" s="1">
        <v>0.01271362168650869</v>
      </c>
      <c r="Q490" s="1">
        <v>0.001473750050686284</v>
      </c>
      <c r="R490" s="1">
        <v>-0.003195981243195756</v>
      </c>
      <c r="S490" s="1">
        <v>0.003983986452193111</v>
      </c>
      <c r="T490" s="1">
        <v>-0.002666139944017321</v>
      </c>
      <c r="U490" s="1">
        <v>0.004628537110556996</v>
      </c>
      <c r="V490" s="1">
        <v>0.006354918240021989</v>
      </c>
      <c r="W490" s="1">
        <v>0.008140193017442288</v>
      </c>
      <c r="X490" s="1">
        <v>-0.003829363931652008</v>
      </c>
      <c r="Y490" s="1">
        <v>0.01467968338812575</v>
      </c>
      <c r="Z490" s="1">
        <v>-0.01943834169076197</v>
      </c>
    </row>
    <row r="491" spans="1:26">
      <c r="A491" s="11">
        <v>43081</v>
      </c>
      <c r="B491" s="1">
        <v>-0.01169433025290523</v>
      </c>
      <c r="C491" s="1">
        <v>0.02394399184748708</v>
      </c>
      <c r="D491" s="1">
        <v>0.002650327906207339</v>
      </c>
      <c r="E491" s="1">
        <v>0.004125822434138726</v>
      </c>
      <c r="F491" s="1">
        <v>0.02783545116935215</v>
      </c>
      <c r="G491" s="1">
        <v>-0.0162913070318258</v>
      </c>
      <c r="H491" s="1">
        <v>0.02492249788728773</v>
      </c>
      <c r="I491" s="1">
        <v>-0.001718235124280487</v>
      </c>
      <c r="J491" s="1">
        <v>-0.008553264876806188</v>
      </c>
      <c r="K491" s="1">
        <v>0.01432013592468495</v>
      </c>
      <c r="L491" s="1">
        <v>0.01164538992994246</v>
      </c>
      <c r="M491" s="1">
        <v>0.001737129089089295</v>
      </c>
      <c r="N491" s="1">
        <v>0.0009771296874196977</v>
      </c>
      <c r="O491" s="1">
        <v>0.008578342799226091</v>
      </c>
      <c r="P491" s="1">
        <v>0.004106869903019783</v>
      </c>
      <c r="Q491" s="1">
        <v>-0.02906563894878278</v>
      </c>
      <c r="R491" s="1">
        <v>0.002369830596046896</v>
      </c>
      <c r="S491" s="1">
        <v>0.009729078087570509</v>
      </c>
      <c r="T491" s="1">
        <v>-0.001814852511140774</v>
      </c>
      <c r="U491" s="1">
        <v>0.03252050767145986</v>
      </c>
      <c r="V491" s="1">
        <v>-0.01198170865935289</v>
      </c>
      <c r="W491" s="1">
        <v>0</v>
      </c>
      <c r="X491" s="1">
        <v>-0.001098118067931031</v>
      </c>
      <c r="Y491" s="1">
        <v>0.02604139186565235</v>
      </c>
      <c r="Z491" s="1">
        <v>0.01041232974858408</v>
      </c>
    </row>
    <row r="492" spans="1:26">
      <c r="A492" s="11">
        <v>43082</v>
      </c>
      <c r="B492" s="1">
        <v>0.002013842195202287</v>
      </c>
      <c r="C492" s="1">
        <v>0.006553127571334638</v>
      </c>
      <c r="D492" s="1">
        <v>0.006375854343660503</v>
      </c>
      <c r="E492" s="1">
        <v>0.003002482697880504</v>
      </c>
      <c r="F492" s="1">
        <v>-0.02353833254471371</v>
      </c>
      <c r="G492" s="1">
        <v>0.0007047540362175031</v>
      </c>
      <c r="H492" s="1">
        <v>-0.01145456156687219</v>
      </c>
      <c r="I492" s="1">
        <v>0.005824717703174498</v>
      </c>
      <c r="J492" s="1">
        <v>-0.006196685965282223</v>
      </c>
      <c r="K492" s="1">
        <v>-0.01542464278911826</v>
      </c>
      <c r="L492" s="1">
        <v>-0.0125411215713096</v>
      </c>
      <c r="M492" s="1">
        <v>-0.004571798974259411</v>
      </c>
      <c r="N492" s="1">
        <v>0.008365748306522258</v>
      </c>
      <c r="O492" s="1">
        <v>-0.01476635253135539</v>
      </c>
      <c r="P492" s="1">
        <v>-0.002687859478647914</v>
      </c>
      <c r="Q492" s="1">
        <v>0.001515730049158837</v>
      </c>
      <c r="R492" s="1">
        <v>-0.008626602935985717</v>
      </c>
      <c r="S492" s="1">
        <v>0.00396770277797831</v>
      </c>
      <c r="T492" s="1">
        <v>-0.003856968379438497</v>
      </c>
      <c r="U492" s="1">
        <v>-0.001574928373272</v>
      </c>
      <c r="V492" s="1">
        <v>0.02704055038794295</v>
      </c>
      <c r="W492" s="1">
        <v>0.01044917210462781</v>
      </c>
      <c r="X492" s="1">
        <v>0.0009163047509237465</v>
      </c>
      <c r="Y492" s="1">
        <v>-0.005639700993349428</v>
      </c>
      <c r="Z492" s="1">
        <v>-0.01387247446418316</v>
      </c>
    </row>
    <row r="493" spans="1:26">
      <c r="A493" s="11">
        <v>43083</v>
      </c>
      <c r="B493" s="1">
        <v>-0.009547475496594737</v>
      </c>
      <c r="C493" s="1">
        <v>0.006990192443437904</v>
      </c>
      <c r="D493" s="1">
        <v>0.0009267633127088004</v>
      </c>
      <c r="E493" s="1">
        <v>-0.02111224638401077</v>
      </c>
      <c r="F493" s="1">
        <v>0.0139968475616874</v>
      </c>
      <c r="G493" s="1">
        <v>0.007746660420934859</v>
      </c>
      <c r="H493" s="1">
        <v>-0.01280767110800241</v>
      </c>
      <c r="I493" s="1">
        <v>-0.01651843281240217</v>
      </c>
      <c r="J493" s="1">
        <v>-0.005275681839097324</v>
      </c>
      <c r="K493" s="1">
        <v>-0.0066388216947042</v>
      </c>
      <c r="L493" s="1">
        <v>-0.008055932944143418</v>
      </c>
      <c r="M493" s="1">
        <v>0.01124473579913809</v>
      </c>
      <c r="N493" s="1">
        <v>-0.007328367292985583</v>
      </c>
      <c r="O493" s="1">
        <v>-0.004556729067347498</v>
      </c>
      <c r="P493" s="1">
        <v>-0.00773281004669657</v>
      </c>
      <c r="Q493" s="1">
        <v>0.001892106202225907</v>
      </c>
      <c r="R493" s="1">
        <v>-0.01255380598936595</v>
      </c>
      <c r="S493" s="1">
        <v>-0.00724498141945884</v>
      </c>
      <c r="T493" s="1">
        <v>-0.01287486371796731</v>
      </c>
      <c r="U493" s="1">
        <v>-0.00788632542671297</v>
      </c>
      <c r="V493" s="1">
        <v>-0.01164871441758542</v>
      </c>
      <c r="W493" s="1">
        <v>-0.01568051622098288</v>
      </c>
      <c r="X493" s="1">
        <v>-0.004029194580063122</v>
      </c>
      <c r="Y493" s="1">
        <v>-0.01039935576058038</v>
      </c>
      <c r="Z493" s="1">
        <v>-0.01085197900236468</v>
      </c>
    </row>
    <row r="494" spans="1:26">
      <c r="A494" s="11">
        <v>43084</v>
      </c>
      <c r="B494" s="1">
        <v>0.00126814637788808</v>
      </c>
      <c r="C494" s="1">
        <v>0.0002042019843115916</v>
      </c>
      <c r="D494" s="1">
        <v>0.008490310932553591</v>
      </c>
      <c r="E494" s="1">
        <v>0.004506450687117303</v>
      </c>
      <c r="F494" s="1">
        <v>0.01508173535064916</v>
      </c>
      <c r="G494" s="1">
        <v>0.00628899042130393</v>
      </c>
      <c r="H494" s="1">
        <v>0.02121131172060342</v>
      </c>
      <c r="I494" s="1">
        <v>0.009569177985642385</v>
      </c>
      <c r="J494" s="1">
        <v>0.008678793613281943</v>
      </c>
      <c r="K494" s="1">
        <v>0.002961645886464304</v>
      </c>
      <c r="L494" s="1">
        <v>0.01414087670472508</v>
      </c>
      <c r="M494" s="1">
        <v>0.01331244429524769</v>
      </c>
      <c r="N494" s="1">
        <v>-0.001671783336879562</v>
      </c>
      <c r="O494" s="1">
        <v>0.001084445037296655</v>
      </c>
      <c r="P494" s="1">
        <v>0.02550478874594431</v>
      </c>
      <c r="Q494" s="1">
        <v>0.001132718471785532</v>
      </c>
      <c r="R494" s="1">
        <v>-0.0008666864965384269</v>
      </c>
      <c r="S494" s="1">
        <v>0.002558971761810191</v>
      </c>
      <c r="T494" s="1">
        <v>0.008970306093461167</v>
      </c>
      <c r="U494" s="1">
        <v>0.01324856319184953</v>
      </c>
      <c r="V494" s="1">
        <v>0.0108169098306099</v>
      </c>
      <c r="W494" s="1">
        <v>0.02097510961404492</v>
      </c>
      <c r="X494" s="1">
        <v>0.01544682757085458</v>
      </c>
      <c r="Y494" s="1">
        <v>0.006304947905233949</v>
      </c>
      <c r="Z494" s="1">
        <v>0.01605016323611452</v>
      </c>
    </row>
    <row r="495" spans="1:26">
      <c r="A495" s="11">
        <v>43087</v>
      </c>
      <c r="B495" s="1">
        <v>0.01140117384636419</v>
      </c>
      <c r="C495" s="1">
        <v>0.007484642766330651</v>
      </c>
      <c r="D495" s="1">
        <v>0.001837026774584638</v>
      </c>
      <c r="E495" s="1">
        <v>-0.0001602946799565963</v>
      </c>
      <c r="F495" s="1">
        <v>-0.004280998582683715</v>
      </c>
      <c r="G495" s="1">
        <v>-0.01180541179237848</v>
      </c>
      <c r="H495" s="1">
        <v>0.00141153677021566</v>
      </c>
      <c r="I495" s="1">
        <v>0.0210114362332865</v>
      </c>
      <c r="J495" s="1">
        <v>0.01768651785129971</v>
      </c>
      <c r="K495" s="1">
        <v>0.006709665908579687</v>
      </c>
      <c r="L495" s="1">
        <v>0.007725832354201545</v>
      </c>
      <c r="M495" s="1">
        <v>0.01545593502184195</v>
      </c>
      <c r="N495" s="1">
        <v>0.01367405730894644</v>
      </c>
      <c r="O495" s="1">
        <v>-0.007339630962455601</v>
      </c>
      <c r="P495" s="1">
        <v>-0.005411877583375246</v>
      </c>
      <c r="Q495" s="1">
        <v>-0.01999243990983246</v>
      </c>
      <c r="R495" s="1">
        <v>0.02082113249671114</v>
      </c>
      <c r="S495" s="1">
        <v>0.002505075483302255</v>
      </c>
      <c r="T495" s="1">
        <v>0.0107222559405864</v>
      </c>
      <c r="U495" s="1">
        <v>0.005753085696187377</v>
      </c>
      <c r="V495" s="1">
        <v>0.02347876983847508</v>
      </c>
      <c r="W495" s="1">
        <v>0.006761201951720697</v>
      </c>
      <c r="X495" s="1">
        <v>0.01756602392580731</v>
      </c>
      <c r="Y495" s="1">
        <v>0.01101227708542507</v>
      </c>
      <c r="Z495" s="1">
        <v>0.01939637138949224</v>
      </c>
    </row>
    <row r="496" spans="1:26">
      <c r="A496" s="11">
        <v>43088</v>
      </c>
      <c r="B496" s="1">
        <v>0.008266691946922977</v>
      </c>
      <c r="C496" s="1">
        <v>0.003747933013861449</v>
      </c>
      <c r="D496" s="1">
        <v>0.005042023683679675</v>
      </c>
      <c r="E496" s="1">
        <v>-0.01346144727855525</v>
      </c>
      <c r="F496" s="1">
        <v>-0.01011641478111736</v>
      </c>
      <c r="G496" s="1">
        <v>-0.01581169581953612</v>
      </c>
      <c r="H496" s="1">
        <v>-0.01772091114394303</v>
      </c>
      <c r="I496" s="1">
        <v>0.002856488542223312</v>
      </c>
      <c r="J496" s="1">
        <v>0.00610627653441953</v>
      </c>
      <c r="K496" s="1">
        <v>-0.001333443384806898</v>
      </c>
      <c r="L496" s="1">
        <v>-0.004207018859416434</v>
      </c>
      <c r="M496" s="1">
        <v>0.003348532507612578</v>
      </c>
      <c r="N496" s="1">
        <v>0.01720572821412247</v>
      </c>
      <c r="O496" s="1">
        <v>0.0002424947656292087</v>
      </c>
      <c r="P496" s="1">
        <v>-0.00636705810178495</v>
      </c>
      <c r="Q496" s="1">
        <v>-0.02617405262485473</v>
      </c>
      <c r="R496" s="1">
        <v>0.004249284689830102</v>
      </c>
      <c r="S496" s="1">
        <v>-0.01829448660320876</v>
      </c>
      <c r="T496" s="1">
        <v>0.00911446450618536</v>
      </c>
      <c r="U496" s="1">
        <v>-0.01066065617616763</v>
      </c>
      <c r="V496" s="1">
        <v>-0.0003120148421508206</v>
      </c>
      <c r="W496" s="1">
        <v>0.001653052964785795</v>
      </c>
      <c r="X496" s="1">
        <v>0.002847323249764333</v>
      </c>
      <c r="Y496" s="1">
        <v>-0.007887376149140923</v>
      </c>
      <c r="Z496" s="1">
        <v>-0.001765478545809995</v>
      </c>
    </row>
    <row r="497" spans="1:26">
      <c r="A497" s="11">
        <v>43089</v>
      </c>
      <c r="B497" s="1">
        <v>0.02509299158344724</v>
      </c>
      <c r="C497" s="1">
        <v>0.002186821028645092</v>
      </c>
      <c r="D497" s="1">
        <v>-0.007449141427567363</v>
      </c>
      <c r="E497" s="1">
        <v>-0.005847986106974568</v>
      </c>
      <c r="F497" s="1">
        <v>0.006132000474208477</v>
      </c>
      <c r="G497" s="1">
        <v>0.0003570317622139108</v>
      </c>
      <c r="H497" s="1">
        <v>-0.00922469362988787</v>
      </c>
      <c r="I497" s="1">
        <v>-0.0007122565525412572</v>
      </c>
      <c r="J497" s="1">
        <v>0.00186718700912536</v>
      </c>
      <c r="K497" s="1">
        <v>0.005072179143790212</v>
      </c>
      <c r="L497" s="1">
        <v>-0.003474198636235548</v>
      </c>
      <c r="M497" s="1">
        <v>0.002578908231493093</v>
      </c>
      <c r="N497" s="1">
        <v>-0.008738263411471103</v>
      </c>
      <c r="O497" s="1">
        <v>-0.004847330511716152</v>
      </c>
      <c r="P497" s="1">
        <v>-0.003611696082981619</v>
      </c>
      <c r="Q497" s="1">
        <v>-0.01343852348734242</v>
      </c>
      <c r="R497" s="1">
        <v>0.005782838471121821</v>
      </c>
      <c r="S497" s="1">
        <v>-0.01469644624717503</v>
      </c>
      <c r="T497" s="1">
        <v>0.005997071228515782</v>
      </c>
      <c r="U497" s="1">
        <v>0.01314081275331724</v>
      </c>
      <c r="V497" s="1">
        <v>0.006556268725490755</v>
      </c>
      <c r="W497" s="1">
        <v>-0.008252027461406186</v>
      </c>
      <c r="X497" s="1">
        <v>0.01153502037333531</v>
      </c>
      <c r="Y497" s="1">
        <v>-0.001135625970817955</v>
      </c>
      <c r="Z497" s="1">
        <v>-0.003144245395435785</v>
      </c>
    </row>
    <row r="498" spans="1:26">
      <c r="A498" s="11">
        <v>43090</v>
      </c>
      <c r="B498" s="1">
        <v>0.04968486819078244</v>
      </c>
      <c r="C498" s="1">
        <v>-0.009634168404240362</v>
      </c>
      <c r="D498" s="1">
        <v>-0.01164055333377534</v>
      </c>
      <c r="E498" s="1">
        <v>0.004901945657637574</v>
      </c>
      <c r="F498" s="1">
        <v>0.03631299721681724</v>
      </c>
      <c r="G498" s="1">
        <v>-0.008922078213566165</v>
      </c>
      <c r="H498" s="1">
        <v>0.007034576733094822</v>
      </c>
      <c r="I498" s="1">
        <v>0.009652497934546256</v>
      </c>
      <c r="J498" s="1">
        <v>-0.009785679994843366</v>
      </c>
      <c r="K498" s="1">
        <v>0.009296219376862203</v>
      </c>
      <c r="L498" s="1">
        <v>0.01592241012215156</v>
      </c>
      <c r="M498" s="1">
        <v>-0.0009076942348288375</v>
      </c>
      <c r="N498" s="1">
        <v>-0.009090987242529436</v>
      </c>
      <c r="O498" s="1">
        <v>-0.01717031868285845</v>
      </c>
      <c r="P498" s="1">
        <v>-0.0002337848488285221</v>
      </c>
      <c r="Q498" s="1">
        <v>-0.01201951583806993</v>
      </c>
      <c r="R498" s="1">
        <v>-0.001121750172714653</v>
      </c>
      <c r="S498" s="1">
        <v>-0.006970123989885724</v>
      </c>
      <c r="T498" s="1">
        <v>-0.006781852048479031</v>
      </c>
      <c r="U498" s="1">
        <v>0.008560476766505287</v>
      </c>
      <c r="V498" s="1">
        <v>0.01147650384073562</v>
      </c>
      <c r="W498" s="1">
        <v>-0.006032703448917043</v>
      </c>
      <c r="X498" s="1">
        <v>0.003158117152251894</v>
      </c>
      <c r="Y498" s="1">
        <v>0.004547901810708854</v>
      </c>
      <c r="Z498" s="1">
        <v>0.01439033513897447</v>
      </c>
    </row>
    <row r="499" spans="1:26">
      <c r="A499" s="11">
        <v>43091</v>
      </c>
      <c r="B499" s="1">
        <v>-0.009235732286185239</v>
      </c>
      <c r="C499" s="1">
        <v>0.0002371623272472423</v>
      </c>
      <c r="D499" s="1">
        <v>0.002944685068646535</v>
      </c>
      <c r="E499" s="1">
        <v>-0.008780494961730723</v>
      </c>
      <c r="F499" s="1">
        <v>-0.0007352524556899498</v>
      </c>
      <c r="G499" s="1">
        <v>0.01080298497056242</v>
      </c>
      <c r="H499" s="1">
        <v>0.002055091668443421</v>
      </c>
      <c r="I499" s="1">
        <v>0.01071438670743174</v>
      </c>
      <c r="J499" s="1">
        <v>0.0004709714934727494</v>
      </c>
      <c r="K499" s="1">
        <v>0.002894549216847064</v>
      </c>
      <c r="L499" s="1">
        <v>-0.003524111587965173</v>
      </c>
      <c r="M499" s="1">
        <v>-0.0009086483477169782</v>
      </c>
      <c r="N499" s="1">
        <v>0.002779705957448142</v>
      </c>
      <c r="O499" s="1">
        <v>-0.0002475451950232355</v>
      </c>
      <c r="P499" s="1">
        <v>0.0001171638498360661</v>
      </c>
      <c r="Q499" s="1">
        <v>0.0251419524669676</v>
      </c>
      <c r="R499" s="1">
        <v>-0.003229025839929567</v>
      </c>
      <c r="S499" s="1">
        <v>0.01104439797300705</v>
      </c>
      <c r="T499" s="1">
        <v>0.003790582096412587</v>
      </c>
      <c r="U499" s="1">
        <v>0.001542851077594998</v>
      </c>
      <c r="V499" s="1">
        <v>0.002606332013616042</v>
      </c>
      <c r="W499" s="1">
        <v>-0.003714869289062062</v>
      </c>
      <c r="X499" s="1">
        <v>-0.007345179092038689</v>
      </c>
      <c r="Y499" s="1">
        <v>0.003395309714953054</v>
      </c>
      <c r="Z499" s="1">
        <v>-0.00252641377377838</v>
      </c>
    </row>
    <row r="500" spans="1:26">
      <c r="A500" s="11">
        <v>43095</v>
      </c>
      <c r="B500" s="1">
        <v>0.01048727829492324</v>
      </c>
      <c r="C500" s="1">
        <v>0.0008811448458885263</v>
      </c>
      <c r="D500" s="1">
        <v>0.004634969760463292</v>
      </c>
      <c r="E500" s="1">
        <v>0.004921416876512597</v>
      </c>
      <c r="F500" s="1">
        <v>0.0009806139578261153</v>
      </c>
      <c r="G500" s="1">
        <v>-0.001424986061069444</v>
      </c>
      <c r="H500" s="1">
        <v>-0.00984197303047385</v>
      </c>
      <c r="I500" s="1">
        <v>0.00774514535007631</v>
      </c>
      <c r="J500" s="1">
        <v>-0.00141133892746248</v>
      </c>
      <c r="K500" s="1">
        <v>-0.00551025020817153</v>
      </c>
      <c r="L500" s="1">
        <v>-0.00400193961731099</v>
      </c>
      <c r="M500" s="1">
        <v>0.0001517950788463285</v>
      </c>
      <c r="N500" s="1">
        <v>-0.0008312480873648997</v>
      </c>
      <c r="O500" s="1">
        <v>0.0006196718438205018</v>
      </c>
      <c r="P500" s="1">
        <v>-0.001286503612568102</v>
      </c>
      <c r="Q500" s="1">
        <v>-0.008702506864382453</v>
      </c>
      <c r="R500" s="1">
        <v>0.002112838340251333</v>
      </c>
      <c r="S500" s="1">
        <v>0.01000151449964193</v>
      </c>
      <c r="T500" s="1">
        <v>-0.004115251239239504</v>
      </c>
      <c r="U500" s="1">
        <v>0.003081970045671012</v>
      </c>
      <c r="V500" s="1">
        <v>0.006576138218256311</v>
      </c>
      <c r="W500" s="1">
        <v>-0.0004198740263021694</v>
      </c>
      <c r="X500" s="1">
        <v>0.002114199965242536</v>
      </c>
      <c r="Y500" s="1">
        <v>0.0005644912751121556</v>
      </c>
      <c r="Z500" s="1">
        <v>-0.009156398661525733</v>
      </c>
    </row>
    <row r="501" spans="1:26">
      <c r="A501" s="11">
        <v>43096</v>
      </c>
      <c r="B501" s="1">
        <v>-0.01083964644576674</v>
      </c>
      <c r="C501" s="1">
        <v>0.0008803691131820113</v>
      </c>
      <c r="D501" s="1">
        <v>-0.003691098318664654</v>
      </c>
      <c r="E501" s="1">
        <v>0.00685584729015476</v>
      </c>
      <c r="F501" s="1">
        <v>-0.01004390159645274</v>
      </c>
      <c r="G501" s="1">
        <v>0.004280970299090248</v>
      </c>
      <c r="H501" s="1">
        <v>0.006004988358650598</v>
      </c>
      <c r="I501" s="1">
        <v>-0.001071181660932785</v>
      </c>
      <c r="J501" s="1">
        <v>0.001883958581356593</v>
      </c>
      <c r="K501" s="1">
        <v>0.0005277917908150798</v>
      </c>
      <c r="L501" s="1">
        <v>0.001869118340388498</v>
      </c>
      <c r="M501" s="1">
        <v>-0.000303349750797155</v>
      </c>
      <c r="N501" s="1">
        <v>0.004855515050979031</v>
      </c>
      <c r="O501" s="1">
        <v>0.0117660368696455</v>
      </c>
      <c r="P501" s="1">
        <v>0.003629880443855482</v>
      </c>
      <c r="Q501" s="1">
        <v>0.007182529655305858</v>
      </c>
      <c r="R501" s="1">
        <v>-0.004357259973790217</v>
      </c>
      <c r="S501" s="1">
        <v>0.006008585488649798</v>
      </c>
      <c r="T501" s="1">
        <v>-0.002892784102411228</v>
      </c>
      <c r="U501" s="1">
        <v>-0.004352494691597597</v>
      </c>
      <c r="V501" s="1">
        <v>-0.01033133546642262</v>
      </c>
      <c r="W501" s="1">
        <v>0.004360444947986819</v>
      </c>
      <c r="X501" s="1">
        <v>0.001582152065919828</v>
      </c>
      <c r="Y501" s="1">
        <v>0.001127303845484651</v>
      </c>
      <c r="Z501" s="1">
        <v>-0.002949406771205032</v>
      </c>
    </row>
    <row r="502" spans="1:26">
      <c r="A502" s="11">
        <v>43097</v>
      </c>
      <c r="B502" s="1">
        <v>-0.0004662638403881703</v>
      </c>
      <c r="C502" s="1">
        <v>0.002469364754941861</v>
      </c>
      <c r="D502" s="1">
        <v>0.001852420386180054</v>
      </c>
      <c r="E502" s="1">
        <v>0.001459131020967286</v>
      </c>
      <c r="F502" s="1">
        <v>-0.002969674082797802</v>
      </c>
      <c r="G502" s="1">
        <v>0.007460202781851555</v>
      </c>
      <c r="H502" s="1">
        <v>-0.002470117045081155</v>
      </c>
      <c r="I502" s="1">
        <v>-0.001772518252867505</v>
      </c>
      <c r="J502" s="1">
        <v>-0.005641490532370175</v>
      </c>
      <c r="K502" s="1">
        <v>0.006856520490222007</v>
      </c>
      <c r="L502" s="1">
        <v>0.005315926284121586</v>
      </c>
      <c r="M502" s="1">
        <v>-0.001364613346916399</v>
      </c>
      <c r="N502" s="1">
        <v>-0.01601553118365462</v>
      </c>
      <c r="O502" s="1">
        <v>0.003427618290445578</v>
      </c>
      <c r="P502" s="1">
        <v>0.0001165845915687136</v>
      </c>
      <c r="Q502" s="1">
        <v>0.01267882899272399</v>
      </c>
      <c r="R502" s="1">
        <v>0.008469998851837746</v>
      </c>
      <c r="S502" s="1">
        <v>-0.0001910022632987118</v>
      </c>
      <c r="T502" s="1">
        <v>0.00699655068597127</v>
      </c>
      <c r="U502" s="1">
        <v>0.007457032820160192</v>
      </c>
      <c r="V502" s="1">
        <v>-0.004912655544611511</v>
      </c>
      <c r="W502" s="1">
        <v>0</v>
      </c>
      <c r="X502" s="1">
        <v>0.0005264155085502598</v>
      </c>
      <c r="Y502" s="1">
        <v>0.002815028345683146</v>
      </c>
      <c r="Z502" s="1">
        <v>0.01242365640328114</v>
      </c>
    </row>
    <row r="503" spans="1:26">
      <c r="A503" s="11">
        <v>43098</v>
      </c>
      <c r="B503" s="1">
        <v>-0.01516210002641605</v>
      </c>
      <c r="C503" s="1">
        <v>-0.004859136057538516</v>
      </c>
      <c r="D503" s="1">
        <v>-0.00400591965309538</v>
      </c>
      <c r="E503" s="1">
        <v>-0.007932507612205986</v>
      </c>
      <c r="F503" s="1">
        <v>-0.005956846039690156</v>
      </c>
      <c r="G503" s="1">
        <v>0</v>
      </c>
      <c r="H503" s="1">
        <v>-0.007222149729146365</v>
      </c>
      <c r="I503" s="1">
        <v>-0.007545729501634124</v>
      </c>
      <c r="J503" s="1">
        <v>-0.006619649866280053</v>
      </c>
      <c r="K503" s="1">
        <v>-0.001833603262225814</v>
      </c>
      <c r="L503" s="1">
        <v>-0.007885621189793635</v>
      </c>
      <c r="M503" s="1">
        <v>-0.006375924343573036</v>
      </c>
      <c r="N503" s="1">
        <v>0.00196423943763091</v>
      </c>
      <c r="O503" s="1">
        <v>-0.007075882420073731</v>
      </c>
      <c r="P503" s="1">
        <v>-0.002100030968737121</v>
      </c>
      <c r="Q503" s="1">
        <v>0.004303189790406003</v>
      </c>
      <c r="R503" s="1">
        <v>-0.005039624312914714</v>
      </c>
      <c r="S503" s="1">
        <v>-0.001146961270979241</v>
      </c>
      <c r="T503" s="1">
        <v>-0.007335350356462156</v>
      </c>
      <c r="U503" s="1">
        <v>-0.007656801053580464</v>
      </c>
      <c r="V503" s="1">
        <v>0.006634117745405232</v>
      </c>
      <c r="W503" s="1">
        <v>-0.006747870996180017</v>
      </c>
      <c r="X503" s="1">
        <v>-0.007192883715666953</v>
      </c>
      <c r="Y503" s="1">
        <v>-0.00935758697139244</v>
      </c>
      <c r="Z503" s="1">
        <v>-0.009933835819804782</v>
      </c>
    </row>
    <row r="504" spans="1:26">
      <c r="A504" s="11">
        <v>43102</v>
      </c>
      <c r="B504" s="1">
        <v>0.0492658506785133</v>
      </c>
      <c r="C504" s="1">
        <v>0.006544325811414398</v>
      </c>
      <c r="D504" s="1">
        <v>0.0391394517776289</v>
      </c>
      <c r="E504" s="1">
        <v>0.00048958026132917</v>
      </c>
      <c r="F504" s="1">
        <v>0.02952989109305548</v>
      </c>
      <c r="G504" s="1">
        <v>-0.01198882948161961</v>
      </c>
      <c r="H504" s="1">
        <v>-0.01496602969229077</v>
      </c>
      <c r="I504" s="1">
        <v>0.009583675081494825</v>
      </c>
      <c r="J504" s="1">
        <v>0.01475510368905231</v>
      </c>
      <c r="K504" s="1">
        <v>0.003149059552475464</v>
      </c>
      <c r="L504" s="1">
        <v>0.009444441342427279</v>
      </c>
      <c r="M504" s="1">
        <v>0.01283393643487774</v>
      </c>
      <c r="N504" s="1">
        <v>-0.009382121843903635</v>
      </c>
      <c r="O504" s="1">
        <v>-0.01216356870235624</v>
      </c>
      <c r="P504" s="1">
        <v>0.004793275127512375</v>
      </c>
      <c r="Q504" s="1">
        <v>-0.0120758723125074</v>
      </c>
      <c r="R504" s="1">
        <v>0.02729370433843537</v>
      </c>
      <c r="S504" s="1">
        <v>-0.01282346594313077</v>
      </c>
      <c r="T504" s="1">
        <v>0.008926085977149389</v>
      </c>
      <c r="U504" s="1">
        <v>-0.008745049109369241</v>
      </c>
      <c r="V504" s="1">
        <v>0.03647502361221422</v>
      </c>
      <c r="W504" s="1">
        <v>0.01632626354366296</v>
      </c>
      <c r="X504" s="1">
        <v>0.01254634083691952</v>
      </c>
      <c r="Y504" s="1">
        <v>0.01133561651010084</v>
      </c>
      <c r="Z504" s="1">
        <v>-0.002557430624276824</v>
      </c>
    </row>
    <row r="505" spans="1:26">
      <c r="A505" s="11">
        <v>43103</v>
      </c>
      <c r="B505" s="1">
        <v>0.02325057745108006</v>
      </c>
      <c r="C505" s="1">
        <v>0.00323422068712409</v>
      </c>
      <c r="D505" s="1">
        <v>0.01607864639703682</v>
      </c>
      <c r="E505" s="1">
        <v>0.0008156819016844619</v>
      </c>
      <c r="F505" s="1">
        <v>-0.01607009054574915</v>
      </c>
      <c r="G505" s="1">
        <v>-0.002141160922589314</v>
      </c>
      <c r="H505" s="1">
        <v>-0.01413789395047149</v>
      </c>
      <c r="I505" s="1">
        <v>0.004556977424505781</v>
      </c>
      <c r="J505" s="1">
        <v>0.002345067487115493</v>
      </c>
      <c r="K505" s="1">
        <v>0.01909467557873556</v>
      </c>
      <c r="L505" s="1">
        <v>0.00101929241746368</v>
      </c>
      <c r="M505" s="1">
        <v>-0.02081739753420853</v>
      </c>
      <c r="N505" s="1">
        <v>-0.003675686833000125</v>
      </c>
      <c r="O505" s="1">
        <v>0.01305939009462498</v>
      </c>
      <c r="P505" s="1">
        <v>0.004653858810027778</v>
      </c>
      <c r="Q505" s="1">
        <v>-0.006309463277131999</v>
      </c>
      <c r="R505" s="1">
        <v>0.0121883641007412</v>
      </c>
      <c r="S505" s="1">
        <v>0.002181425187230746</v>
      </c>
      <c r="T505" s="1">
        <v>0.00401262762679222</v>
      </c>
      <c r="U505" s="1">
        <v>-0.02309253378800014</v>
      </c>
      <c r="V505" s="1">
        <v>-0.006802107054387108</v>
      </c>
      <c r="W505" s="1">
        <v>0.01834388529058772</v>
      </c>
      <c r="X505" s="1">
        <v>0.005758972912697224</v>
      </c>
      <c r="Y505" s="1">
        <v>-0.02054935376745248</v>
      </c>
      <c r="Z505" s="1">
        <v>-0.001183684243994065</v>
      </c>
    </row>
    <row r="506" spans="1:26">
      <c r="A506" s="11">
        <v>43104</v>
      </c>
      <c r="B506" s="1">
        <v>0.03331110198784248</v>
      </c>
      <c r="C506" s="1">
        <v>-0.003794463870009035</v>
      </c>
      <c r="D506" s="1">
        <v>0.002344833149348524</v>
      </c>
      <c r="E506" s="1">
        <v>0.01295913962646011</v>
      </c>
      <c r="F506" s="1">
        <v>0.006434102977141753</v>
      </c>
      <c r="G506" s="1">
        <v>0.001072833387956384</v>
      </c>
      <c r="H506" s="1">
        <v>0.008347763082982462</v>
      </c>
      <c r="I506" s="1">
        <v>0.005732838674842089</v>
      </c>
      <c r="J506" s="1">
        <v>0.007487009456204063</v>
      </c>
      <c r="K506" s="1">
        <v>0.02284423843617001</v>
      </c>
      <c r="L506" s="1">
        <v>0.0143256156028142</v>
      </c>
      <c r="M506" s="1">
        <v>-0.003235472653381866</v>
      </c>
      <c r="N506" s="1">
        <v>-0.003972615815275859</v>
      </c>
      <c r="O506" s="1">
        <v>0.0104362386283936</v>
      </c>
      <c r="P506" s="1">
        <v>0.008801332729047262</v>
      </c>
      <c r="Q506" s="1">
        <v>-0.004364966144632332</v>
      </c>
      <c r="R506" s="1">
        <v>0.01271814708351293</v>
      </c>
      <c r="S506" s="1">
        <v>-0.01770092094472897</v>
      </c>
      <c r="T506" s="1">
        <v>-0.005441105073979324</v>
      </c>
      <c r="U506" s="1">
        <v>0.009295570278433418</v>
      </c>
      <c r="V506" s="1">
        <v>-0.01965156181437944</v>
      </c>
      <c r="W506" s="1">
        <v>0.01251759650822937</v>
      </c>
      <c r="X506" s="1">
        <v>-0.0008672000443407102</v>
      </c>
      <c r="Y506" s="1">
        <v>0.003242526837470061</v>
      </c>
      <c r="Z506" s="1">
        <v>0.004147208624477594</v>
      </c>
    </row>
    <row r="507" spans="1:26">
      <c r="A507" s="11">
        <v>43105</v>
      </c>
      <c r="B507" s="1">
        <v>-0.009607367387959975</v>
      </c>
      <c r="C507" s="1">
        <v>0.04102192563853091</v>
      </c>
      <c r="D507" s="1">
        <v>0.01125533552203839</v>
      </c>
      <c r="E507" s="1">
        <v>0.002267167195604936</v>
      </c>
      <c r="F507" s="1">
        <v>0.009097765969866556</v>
      </c>
      <c r="G507" s="1">
        <v>-0.004287530732950184</v>
      </c>
      <c r="H507" s="1">
        <v>0.003820789193473839</v>
      </c>
      <c r="I507" s="1">
        <v>0.004259662936763497</v>
      </c>
      <c r="J507" s="1">
        <v>0.01021871159367671</v>
      </c>
      <c r="K507" s="1">
        <v>-0.03588477887315389</v>
      </c>
      <c r="L507" s="1">
        <v>-0.006419957196770687</v>
      </c>
      <c r="M507" s="1">
        <v>-0.005873247381298574</v>
      </c>
      <c r="N507" s="1">
        <v>0.002849018458918717</v>
      </c>
      <c r="O507" s="1">
        <v>0.006925807076092916</v>
      </c>
      <c r="P507" s="1">
        <v>0.01239816891884638</v>
      </c>
      <c r="Q507" s="1">
        <v>-0.0119569367969885</v>
      </c>
      <c r="R507" s="1">
        <v>0.003339954728137862</v>
      </c>
      <c r="S507" s="1">
        <v>-0.005859196319166426</v>
      </c>
      <c r="T507" s="1">
        <v>0.02072092198855624</v>
      </c>
      <c r="U507" s="1">
        <v>0.003684648283852843</v>
      </c>
      <c r="V507" s="1">
        <v>0.01063048345181716</v>
      </c>
      <c r="W507" s="1">
        <v>0.01713753302023058</v>
      </c>
      <c r="X507" s="1">
        <v>0.01597776701053366</v>
      </c>
      <c r="Y507" s="1">
        <v>-0.002281534386626705</v>
      </c>
      <c r="Z507" s="1">
        <v>0.0003933645328018098</v>
      </c>
    </row>
    <row r="508" spans="1:26">
      <c r="A508" s="11">
        <v>43108</v>
      </c>
      <c r="B508" s="1">
        <v>-0.01013133926921472</v>
      </c>
      <c r="C508" s="1">
        <v>0.004241445305719793</v>
      </c>
      <c r="D508" s="1">
        <v>0.001445914368539247</v>
      </c>
      <c r="E508" s="1">
        <v>0.0003231123066631536</v>
      </c>
      <c r="F508" s="1">
        <v>-0.01364555382967403</v>
      </c>
      <c r="G508" s="1">
        <v>0.006100030623196639</v>
      </c>
      <c r="H508" s="1">
        <v>0.007189613357043045</v>
      </c>
      <c r="I508" s="1">
        <v>0.004927681654146587</v>
      </c>
      <c r="J508" s="1">
        <v>0.004137502730550136</v>
      </c>
      <c r="K508" s="1">
        <v>0.01353505970500501</v>
      </c>
      <c r="L508" s="1">
        <v>0.001476849891562049</v>
      </c>
      <c r="M508" s="1">
        <v>-0.004975140577025194</v>
      </c>
      <c r="N508" s="1">
        <v>-0.001278359378664384</v>
      </c>
      <c r="O508" s="1">
        <v>-0.01061904702120442</v>
      </c>
      <c r="P508" s="1">
        <v>0.001020417629105985</v>
      </c>
      <c r="Q508" s="1">
        <v>0.008471001825623992</v>
      </c>
      <c r="R508" s="1">
        <v>-0.003195524047945653</v>
      </c>
      <c r="S508" s="1">
        <v>0.007974027072465972</v>
      </c>
      <c r="T508" s="1">
        <v>0.005549924137263185</v>
      </c>
      <c r="U508" s="1">
        <v>0.002883777875374527</v>
      </c>
      <c r="V508" s="1">
        <v>0.009466518714429162</v>
      </c>
      <c r="W508" s="1">
        <v>0.001630355845200882</v>
      </c>
      <c r="X508" s="1">
        <v>-0.002564161575414947</v>
      </c>
      <c r="Y508" s="1">
        <v>-0.001714975729161128</v>
      </c>
      <c r="Z508" s="1">
        <v>-0.004914579434521338</v>
      </c>
    </row>
    <row r="509" spans="1:26">
      <c r="A509" s="11">
        <v>43109</v>
      </c>
      <c r="B509" s="1">
        <v>-0.02983473362315614</v>
      </c>
      <c r="C509" s="1">
        <v>0.02669685687322798</v>
      </c>
      <c r="D509" s="1">
        <v>0.001442876165687057</v>
      </c>
      <c r="E509" s="1">
        <v>-0.0009692763637235702</v>
      </c>
      <c r="F509" s="1">
        <v>0.003211488832246534</v>
      </c>
      <c r="G509" s="1">
        <v>-0.009985839971545674</v>
      </c>
      <c r="H509" s="1">
        <v>0.0004229430185009875</v>
      </c>
      <c r="I509" s="1">
        <v>0.02786929500961466</v>
      </c>
      <c r="J509" s="1">
        <v>-0.001373445391099848</v>
      </c>
      <c r="K509" s="1">
        <v>-0.004879811224901776</v>
      </c>
      <c r="L509" s="1">
        <v>0.005069163000885224</v>
      </c>
      <c r="M509" s="1">
        <v>-0.02531241587698863</v>
      </c>
      <c r="N509" s="1">
        <v>-0.01052494789083014</v>
      </c>
      <c r="O509" s="1">
        <v>0</v>
      </c>
      <c r="P509" s="1">
        <v>-0.0006794273557405583</v>
      </c>
      <c r="Q509" s="1">
        <v>-0.01199998340391228</v>
      </c>
      <c r="R509" s="1">
        <v>-0.0004010097046448502</v>
      </c>
      <c r="S509" s="1">
        <v>-0.01169388665067372</v>
      </c>
      <c r="T509" s="1">
        <v>0.0004953330937025324</v>
      </c>
      <c r="U509" s="1">
        <v>-0.002606860676012568</v>
      </c>
      <c r="V509" s="1">
        <v>0.0291754389304224</v>
      </c>
      <c r="W509" s="1">
        <v>0.01667334661305131</v>
      </c>
      <c r="X509" s="1">
        <v>0.001713725412674894</v>
      </c>
      <c r="Y509" s="1">
        <v>-0.003667957322633364</v>
      </c>
      <c r="Z509" s="1">
        <v>0.02350850540290939</v>
      </c>
    </row>
    <row r="510" spans="1:26">
      <c r="A510" s="11">
        <v>43110</v>
      </c>
      <c r="B510" s="1">
        <v>-0.01256946668622927</v>
      </c>
      <c r="C510" s="1">
        <v>0.005747184232708813</v>
      </c>
      <c r="D510" s="1">
        <v>-0.0136926680510403</v>
      </c>
      <c r="E510" s="1">
        <v>0.002587076196902016</v>
      </c>
      <c r="F510" s="1">
        <v>0.01181968457876104</v>
      </c>
      <c r="G510" s="1">
        <v>-0.01801146440323131</v>
      </c>
      <c r="H510" s="1">
        <v>-0.0312893934378895</v>
      </c>
      <c r="I510" s="1">
        <v>-0.003985475665685634</v>
      </c>
      <c r="J510" s="1">
        <v>0.01100433130328637</v>
      </c>
      <c r="K510" s="1">
        <v>0.007999839373537876</v>
      </c>
      <c r="L510" s="1">
        <v>0.01100425779114622</v>
      </c>
      <c r="M510" s="1">
        <v>0.00929777872541826</v>
      </c>
      <c r="N510" s="1">
        <v>0.0103490955103327</v>
      </c>
      <c r="O510" s="1">
        <v>-0.0101232823665276</v>
      </c>
      <c r="P510" s="1">
        <v>-0.004534109293457322</v>
      </c>
      <c r="Q510" s="1">
        <v>-0.02307691125868239</v>
      </c>
      <c r="R510" s="1">
        <v>-0.009621372688097041</v>
      </c>
      <c r="S510" s="1">
        <v>-0.02505588315528295</v>
      </c>
      <c r="T510" s="1">
        <v>-0.01103265316219137</v>
      </c>
      <c r="U510" s="1">
        <v>-0.02320627703695133</v>
      </c>
      <c r="V510" s="1">
        <v>0.02299686642459919</v>
      </c>
      <c r="W510" s="1">
        <v>0.0009221302307820256</v>
      </c>
      <c r="X510" s="1">
        <v>-0.0008554297912648501</v>
      </c>
      <c r="Y510" s="1">
        <v>0.001550169491885578</v>
      </c>
      <c r="Z510" s="1">
        <v>0.01042259039483806</v>
      </c>
    </row>
    <row r="511" spans="1:26">
      <c r="A511" s="11">
        <v>43111</v>
      </c>
      <c r="B511" s="1">
        <v>0.04569178257768991</v>
      </c>
      <c r="C511" s="1">
        <v>0.02454260709580813</v>
      </c>
      <c r="D511" s="1">
        <v>0.0004385157317117194</v>
      </c>
      <c r="E511" s="1">
        <v>0.007418210204558573</v>
      </c>
      <c r="F511" s="1">
        <v>0.0367486579140841</v>
      </c>
      <c r="G511" s="1">
        <v>0.00623625770767311</v>
      </c>
      <c r="H511" s="1">
        <v>-0.001528263445628619</v>
      </c>
      <c r="I511" s="1">
        <v>0.01527803760478452</v>
      </c>
      <c r="J511" s="1">
        <v>0.01632671405567909</v>
      </c>
      <c r="K511" s="1">
        <v>0.01280081901103203</v>
      </c>
      <c r="L511" s="1">
        <v>0.005351341524373332</v>
      </c>
      <c r="M511" s="1">
        <v>0.02985998659427347</v>
      </c>
      <c r="N511" s="1">
        <v>0</v>
      </c>
      <c r="O511" s="1">
        <v>-0.001724729443660644</v>
      </c>
      <c r="P511" s="1">
        <v>0.002960366563399708</v>
      </c>
      <c r="Q511" s="1">
        <v>0</v>
      </c>
      <c r="R511" s="1">
        <v>0.01970029642062077</v>
      </c>
      <c r="S511" s="1">
        <v>5.098508403045265E-05</v>
      </c>
      <c r="T511" s="1">
        <v>0.01389687910440784</v>
      </c>
      <c r="U511" s="1">
        <v>-0.003823307100059736</v>
      </c>
      <c r="V511" s="1">
        <v>0.04623216707962596</v>
      </c>
      <c r="W511" s="1">
        <v>0.01148847096117356</v>
      </c>
      <c r="X511" s="1">
        <v>0.01181491915275279</v>
      </c>
      <c r="Y511" s="1">
        <v>0.008125351591875996</v>
      </c>
      <c r="Z511" s="1">
        <v>0.01451781965614485</v>
      </c>
    </row>
    <row r="512" spans="1:26">
      <c r="A512" s="11">
        <v>43112</v>
      </c>
      <c r="B512" s="1">
        <v>0.02521734146254628</v>
      </c>
      <c r="C512" s="1">
        <v>0.02465542860070702</v>
      </c>
      <c r="D512" s="1">
        <v>-0.001753037562754467</v>
      </c>
      <c r="E512" s="1">
        <v>0.005442661092356582</v>
      </c>
      <c r="F512" s="1">
        <v>-0.00375572720731443</v>
      </c>
      <c r="G512" s="1">
        <v>-0.002187486573053232</v>
      </c>
      <c r="H512" s="1">
        <v>-0.005245846360444562</v>
      </c>
      <c r="I512" s="1">
        <v>0.01098759190047427</v>
      </c>
      <c r="J512" s="1">
        <v>0.02275710454158619</v>
      </c>
      <c r="K512" s="1">
        <v>0.006066924815192332</v>
      </c>
      <c r="L512" s="1">
        <v>0.01651037399167254</v>
      </c>
      <c r="M512" s="1">
        <v>0.008019966665097966</v>
      </c>
      <c r="N512" s="1">
        <v>-0.00967399390122714</v>
      </c>
      <c r="O512" s="1">
        <v>0.008886559061735078</v>
      </c>
      <c r="P512" s="1">
        <v>0.01725711876763092</v>
      </c>
      <c r="Q512" s="1">
        <v>-0.002486800373119658</v>
      </c>
      <c r="R512" s="1">
        <v>0.01098312012247527</v>
      </c>
      <c r="S512" s="1">
        <v>-0.01310394251219471</v>
      </c>
      <c r="T512" s="1">
        <v>0.01758518049081448</v>
      </c>
      <c r="U512" s="1">
        <v>0.01151337545884079</v>
      </c>
      <c r="V512" s="1">
        <v>0.03783776805280614</v>
      </c>
      <c r="W512" s="1">
        <v>0.007236877976762868</v>
      </c>
      <c r="X512" s="1">
        <v>0.01793900732287379</v>
      </c>
      <c r="Y512" s="1">
        <v>-0.004797461987851581</v>
      </c>
      <c r="Z512" s="1">
        <v>0.003200512748734452</v>
      </c>
    </row>
    <row r="513" spans="1:26">
      <c r="A513" s="11">
        <v>43116</v>
      </c>
      <c r="B513" s="1">
        <v>-0.01887172129887105</v>
      </c>
      <c r="C513" s="1">
        <v>-0.003122947731962533</v>
      </c>
      <c r="D513" s="1">
        <v>-0.009803632480156144</v>
      </c>
      <c r="E513" s="1">
        <v>-0.04601185862123158</v>
      </c>
      <c r="F513" s="1">
        <v>-0.01460927141945978</v>
      </c>
      <c r="G513" s="1">
        <v>0.005480705402111097</v>
      </c>
      <c r="H513" s="1">
        <v>0.02043552464229026</v>
      </c>
      <c r="I513" s="1">
        <v>-0.01039583827479829</v>
      </c>
      <c r="J513" s="1">
        <v>-0.001745045851085369</v>
      </c>
      <c r="K513" s="1">
        <v>0.009296575327650158</v>
      </c>
      <c r="L513" s="1">
        <v>-0.003550062790226183</v>
      </c>
      <c r="M513" s="1">
        <v>0.001683041082210179</v>
      </c>
      <c r="N513" s="1">
        <v>-0.009912470546631358</v>
      </c>
      <c r="O513" s="1">
        <v>-0.005872261063209372</v>
      </c>
      <c r="P513" s="1">
        <v>-0.0139505381709808</v>
      </c>
      <c r="Q513" s="1">
        <v>-0.00166182480156063</v>
      </c>
      <c r="R513" s="1">
        <v>-0.005628621262942057</v>
      </c>
      <c r="S513" s="1">
        <v>0.00103341363241638</v>
      </c>
      <c r="T513" s="1">
        <v>-0.020723774567599</v>
      </c>
      <c r="U513" s="1">
        <v>-0.004878175513263527</v>
      </c>
      <c r="V513" s="1">
        <v>-0.02395831080659105</v>
      </c>
      <c r="W513" s="1">
        <v>-0.01027767142458902</v>
      </c>
      <c r="X513" s="1">
        <v>-0.02277656188620858</v>
      </c>
      <c r="Y513" s="1">
        <v>-0.00385656482208252</v>
      </c>
      <c r="Z513" s="1">
        <v>-0.007131924412230539</v>
      </c>
    </row>
    <row r="514" spans="1:26">
      <c r="A514" s="11">
        <v>43117</v>
      </c>
      <c r="B514" s="1">
        <v>0.005618956002438003</v>
      </c>
      <c r="C514" s="1">
        <v>0.04729069113180473</v>
      </c>
      <c r="D514" s="1">
        <v>0.007831932965016941</v>
      </c>
      <c r="E514" s="1">
        <v>0.03220941565007274</v>
      </c>
      <c r="F514" s="1">
        <v>-0.003347670990141105</v>
      </c>
      <c r="G514" s="1">
        <v>0.0130813646178134</v>
      </c>
      <c r="H514" s="1">
        <v>0.01119687731470398</v>
      </c>
      <c r="I514" s="1">
        <v>-0.000656520300024499</v>
      </c>
      <c r="J514" s="1">
        <v>0.0253496531103663</v>
      </c>
      <c r="K514" s="1">
        <v>-0.01593240218399217</v>
      </c>
      <c r="L514" s="1">
        <v>0.006413015687600998</v>
      </c>
      <c r="M514" s="1">
        <v>0.009164597572027366</v>
      </c>
      <c r="N514" s="1">
        <v>0.01784689502060588</v>
      </c>
      <c r="O514" s="1">
        <v>0.003323038128786537</v>
      </c>
      <c r="P514" s="1">
        <v>0.02026045894957718</v>
      </c>
      <c r="Q514" s="1">
        <v>0.004993878461375001</v>
      </c>
      <c r="R514" s="1">
        <v>0.007503311714521566</v>
      </c>
      <c r="S514" s="1">
        <v>0.01001293188062724</v>
      </c>
      <c r="T514" s="1">
        <v>0.007242863345387152</v>
      </c>
      <c r="U514" s="1">
        <v>0.00354017483311031</v>
      </c>
      <c r="V514" s="1">
        <v>0.0248132595506465</v>
      </c>
      <c r="W514" s="1">
        <v>0.01668176916594311</v>
      </c>
      <c r="X514" s="1">
        <v>0.006634840608282788</v>
      </c>
      <c r="Y514" s="1">
        <v>0.001161354325431851</v>
      </c>
      <c r="Z514" s="1">
        <v>0.00793939570840041</v>
      </c>
    </row>
    <row r="515" spans="1:26">
      <c r="A515" s="11">
        <v>43118</v>
      </c>
      <c r="B515" s="1">
        <v>0.003653924498221439</v>
      </c>
      <c r="C515" s="1">
        <v>-0.03091087272735238</v>
      </c>
      <c r="D515" s="1">
        <v>0.01466292423428395</v>
      </c>
      <c r="E515" s="1">
        <v>-0.0003232370624491887</v>
      </c>
      <c r="F515" s="1">
        <v>0.00407907167293553</v>
      </c>
      <c r="G515" s="1">
        <v>-0.001793304853121791</v>
      </c>
      <c r="H515" s="1">
        <v>-0.01511934299231632</v>
      </c>
      <c r="I515" s="1">
        <v>0.002807247219983822</v>
      </c>
      <c r="J515" s="1">
        <v>-0.007246337751371401</v>
      </c>
      <c r="K515" s="1">
        <v>-0.006071411642804114</v>
      </c>
      <c r="L515" s="1">
        <v>0.002389599016110244</v>
      </c>
      <c r="M515" s="1">
        <v>-0.01528688089798091</v>
      </c>
      <c r="N515" s="1">
        <v>-0.00171069159487236</v>
      </c>
      <c r="O515" s="1">
        <v>0.0003675830070886121</v>
      </c>
      <c r="P515" s="1">
        <v>-0.0004441605208717059</v>
      </c>
      <c r="Q515" s="1">
        <v>-0.007039384495671097</v>
      </c>
      <c r="R515" s="1">
        <v>-0.001829105394459463</v>
      </c>
      <c r="S515" s="1">
        <v>-0.01246905944727117</v>
      </c>
      <c r="T515" s="1">
        <v>0.008947464038846498</v>
      </c>
      <c r="U515" s="1">
        <v>0.008141159853564783</v>
      </c>
      <c r="V515" s="1">
        <v>0.0140588304922431</v>
      </c>
      <c r="W515" s="1">
        <v>0.004397734114995</v>
      </c>
      <c r="X515" s="1">
        <v>-0.006083875529441896</v>
      </c>
      <c r="Y515" s="1">
        <v>-0.003286883192697654</v>
      </c>
      <c r="Z515" s="1">
        <v>-0.008627048662297132</v>
      </c>
    </row>
    <row r="516" spans="1:26">
      <c r="A516" s="11">
        <v>43119</v>
      </c>
      <c r="B516" s="1">
        <v>-0.008611678785276022</v>
      </c>
      <c r="C516" s="1">
        <v>-0.007143487212827426</v>
      </c>
      <c r="D516" s="1">
        <v>0.01170538622489703</v>
      </c>
      <c r="E516" s="1">
        <v>0.007278135711585421</v>
      </c>
      <c r="F516" s="1">
        <v>0.01553184787227679</v>
      </c>
      <c r="G516" s="1">
        <v>-0.00107811167290317</v>
      </c>
      <c r="H516" s="1">
        <v>0.02464903487121628</v>
      </c>
      <c r="I516" s="1">
        <v>0.01441319655898621</v>
      </c>
      <c r="J516" s="1">
        <v>0.01760449566641431</v>
      </c>
      <c r="K516" s="1">
        <v>-0.009926017703304257</v>
      </c>
      <c r="L516" s="1">
        <v>-0.002207526993691866</v>
      </c>
      <c r="M516" s="1">
        <v>-0.0001533927218273501</v>
      </c>
      <c r="N516" s="1">
        <v>0.01556468419323642</v>
      </c>
      <c r="O516" s="1">
        <v>0.006375800110050678</v>
      </c>
      <c r="P516" s="1">
        <v>-0.001109690244750716</v>
      </c>
      <c r="Q516" s="1">
        <v>-0.001667850729205944</v>
      </c>
      <c r="R516" s="1">
        <v>0.01452881884739021</v>
      </c>
      <c r="S516" s="1">
        <v>0.001603928695342871</v>
      </c>
      <c r="T516" s="1">
        <v>9.273171783275025E-05</v>
      </c>
      <c r="U516" s="1">
        <v>0.001614910045624196</v>
      </c>
      <c r="V516" s="1">
        <v>0.002567241184888047</v>
      </c>
      <c r="W516" s="1">
        <v>0.005178672553785901</v>
      </c>
      <c r="X516" s="1">
        <v>0.001530229711566689</v>
      </c>
      <c r="Y516" s="1">
        <v>0.006983231477309948</v>
      </c>
      <c r="Z516" s="1">
        <v>0.01645865545179048</v>
      </c>
    </row>
    <row r="517" spans="1:26">
      <c r="A517" s="11">
        <v>43122</v>
      </c>
      <c r="B517" s="1">
        <v>0.03496180401361015</v>
      </c>
      <c r="C517" s="1">
        <v>0.0007993156416874481</v>
      </c>
      <c r="D517" s="1">
        <v>0.002713563131260699</v>
      </c>
      <c r="E517" s="1">
        <v>0.01605628805452075</v>
      </c>
      <c r="F517" s="1">
        <v>0.009176421879844687</v>
      </c>
      <c r="G517" s="1">
        <v>-0.0003596396656366796</v>
      </c>
      <c r="H517" s="1">
        <v>0.005486484993411977</v>
      </c>
      <c r="I517" s="1">
        <v>0.0003523861372591863</v>
      </c>
      <c r="J517" s="1">
        <v>0.006328929909831693</v>
      </c>
      <c r="K517" s="1">
        <v>0.007711938053596823</v>
      </c>
      <c r="L517" s="1">
        <v>0.01168060741600208</v>
      </c>
      <c r="M517" s="1">
        <v>-0.002460047713440772</v>
      </c>
      <c r="N517" s="1">
        <v>0.002250119261116845</v>
      </c>
      <c r="O517" s="1">
        <v>0.007675146961071411</v>
      </c>
      <c r="P517" s="1">
        <v>0.01788867117299908</v>
      </c>
      <c r="Q517" s="1">
        <v>0.0004175271802162595</v>
      </c>
      <c r="R517" s="1">
        <v>0.001677047544667909</v>
      </c>
      <c r="S517" s="1">
        <v>0.001136561735874952</v>
      </c>
      <c r="T517" s="1">
        <v>-0.008403219411050822</v>
      </c>
      <c r="U517" s="1">
        <v>0.01773734655256454</v>
      </c>
      <c r="V517" s="1">
        <v>0.006146040717119883</v>
      </c>
      <c r="W517" s="1">
        <v>0.008477470583938329</v>
      </c>
      <c r="X517" s="1">
        <v>0.003225614611590766</v>
      </c>
      <c r="Y517" s="1">
        <v>0.02985971635850859</v>
      </c>
      <c r="Z517" s="1">
        <v>0.008003030658173982</v>
      </c>
    </row>
    <row r="518" spans="1:26">
      <c r="A518" s="11">
        <v>43123</v>
      </c>
      <c r="B518" s="1">
        <v>0.002308366306892573</v>
      </c>
      <c r="C518" s="1">
        <v>-0.00713020769777073</v>
      </c>
      <c r="D518" s="1">
        <v>-0.0085466183417926</v>
      </c>
      <c r="E518" s="1">
        <v>0.002370564837332667</v>
      </c>
      <c r="F518" s="1">
        <v>-0.01049205808032572</v>
      </c>
      <c r="G518" s="1">
        <v>0.01043526264165462</v>
      </c>
      <c r="H518" s="1">
        <v>-0.001679072197919962</v>
      </c>
      <c r="I518" s="1">
        <v>-0.01009506609985489</v>
      </c>
      <c r="J518" s="1">
        <v>-0.001677540435509051</v>
      </c>
      <c r="K518" s="1">
        <v>0.0323982153406015</v>
      </c>
      <c r="L518" s="1">
        <v>-0.001049689463375358</v>
      </c>
      <c r="M518" s="1">
        <v>0.005702058173481461</v>
      </c>
      <c r="N518" s="1">
        <v>0.002384652538348631</v>
      </c>
      <c r="O518" s="1">
        <v>0.003023009539355082</v>
      </c>
      <c r="P518" s="1">
        <v>0.003165668624478757</v>
      </c>
      <c r="Q518" s="1">
        <v>0.009186095249845483</v>
      </c>
      <c r="R518" s="1">
        <v>-0.003606280671453077</v>
      </c>
      <c r="S518" s="1">
        <v>0.02224194467645502</v>
      </c>
      <c r="T518" s="1">
        <v>0.004752615670909011</v>
      </c>
      <c r="U518" s="1">
        <v>-0.01795588042639051</v>
      </c>
      <c r="V518" s="1">
        <v>-0.005853995091504971</v>
      </c>
      <c r="W518" s="1">
        <v>-0.003576085610637381</v>
      </c>
      <c r="X518" s="1">
        <v>0.0001692199047262921</v>
      </c>
      <c r="Y518" s="1">
        <v>-0.004302609582159</v>
      </c>
      <c r="Z518" s="1">
        <v>0.0001843369668610428</v>
      </c>
    </row>
    <row r="519" spans="1:26">
      <c r="A519" s="11">
        <v>43124</v>
      </c>
      <c r="B519" s="1">
        <v>0.007326441016229923</v>
      </c>
      <c r="C519" s="1">
        <v>-0.002681853371086396</v>
      </c>
      <c r="D519" s="1">
        <v>0.007758257116208922</v>
      </c>
      <c r="E519" s="1">
        <v>0.005202613015036661</v>
      </c>
      <c r="F519" s="1">
        <v>0.01295934310757008</v>
      </c>
      <c r="G519" s="1">
        <v>0.002136762122463498</v>
      </c>
      <c r="H519" s="1">
        <v>-0.009879991474541105</v>
      </c>
      <c r="I519" s="1">
        <v>0.005573548704493225</v>
      </c>
      <c r="J519" s="1">
        <v>-0.006299586072105123</v>
      </c>
      <c r="K519" s="1">
        <v>0.00321238897583731</v>
      </c>
      <c r="L519" s="1">
        <v>0.0127834952263437</v>
      </c>
      <c r="M519" s="1">
        <v>-0.04673616623311305</v>
      </c>
      <c r="N519" s="1">
        <v>0.001539500993255949</v>
      </c>
      <c r="O519" s="1">
        <v>0.005544540186517732</v>
      </c>
      <c r="P519" s="1">
        <v>-0.0008706730343431834</v>
      </c>
      <c r="Q519" s="1">
        <v>0.0004133446363745463</v>
      </c>
      <c r="R519" s="1">
        <v>0.01202154107052578</v>
      </c>
      <c r="S519" s="1">
        <v>-0.01600281167032325</v>
      </c>
      <c r="T519" s="1">
        <v>0.0003960231160331507</v>
      </c>
      <c r="U519" s="1">
        <v>-0.004571418186197107</v>
      </c>
      <c r="V519" s="1">
        <v>-0.01574482514812103</v>
      </c>
      <c r="W519" s="1">
        <v>0.003588919895433307</v>
      </c>
      <c r="X519" s="1">
        <v>0.01032151629324374</v>
      </c>
      <c r="Y519" s="1">
        <v>0.0185986530857678</v>
      </c>
      <c r="Z519" s="1">
        <v>-0.007937563159753691</v>
      </c>
    </row>
    <row r="520" spans="1:26">
      <c r="A520" s="11">
        <v>43125</v>
      </c>
      <c r="B520" s="1">
        <v>-0.01392328750641658</v>
      </c>
      <c r="C520" s="1">
        <v>0.02515761241258274</v>
      </c>
      <c r="D520" s="1">
        <v>0.01297413828986649</v>
      </c>
      <c r="E520" s="1">
        <v>-0.003764120355725264</v>
      </c>
      <c r="F520" s="1">
        <v>-0.01977206349784699</v>
      </c>
      <c r="G520" s="1">
        <v>0.008528736433175421</v>
      </c>
      <c r="H520" s="1">
        <v>0.00764317217613919</v>
      </c>
      <c r="I520" s="1">
        <v>-0.002771430143978626</v>
      </c>
      <c r="J520" s="1">
        <v>-0.0143703840897621</v>
      </c>
      <c r="K520" s="1">
        <v>0.004679498889486489</v>
      </c>
      <c r="L520" s="1">
        <v>0.0002591752297063099</v>
      </c>
      <c r="M520" s="1">
        <v>-0.03247059641491779</v>
      </c>
      <c r="N520" s="1">
        <v>-0.0230574242524888</v>
      </c>
      <c r="O520" s="1">
        <v>0.001798072029632447</v>
      </c>
      <c r="P520" s="1">
        <v>0.005554252423371375</v>
      </c>
      <c r="Q520" s="1">
        <v>0.009926112085309136</v>
      </c>
      <c r="R520" s="1">
        <v>-0.01366696043732352</v>
      </c>
      <c r="S520" s="1">
        <v>-0.01205631869897261</v>
      </c>
      <c r="T520" s="1">
        <v>-0.010992841781998</v>
      </c>
      <c r="U520" s="1">
        <v>0.01161526081038855</v>
      </c>
      <c r="V520" s="1">
        <v>-0.007673160962048065</v>
      </c>
      <c r="W520" s="1">
        <v>0.01188917277317891</v>
      </c>
      <c r="X520" s="1">
        <v>0.013732983659972</v>
      </c>
      <c r="Y520" s="1">
        <v>0.001291203449020673</v>
      </c>
      <c r="Z520" s="1">
        <v>-0.01339770129917051</v>
      </c>
    </row>
    <row r="521" spans="1:26">
      <c r="A521" s="11">
        <v>43126</v>
      </c>
      <c r="B521" s="1">
        <v>0.01327705487854058</v>
      </c>
      <c r="C521" s="1">
        <v>0.0003207795025910176</v>
      </c>
      <c r="D521" s="1">
        <v>0.01703030578658038</v>
      </c>
      <c r="E521" s="1">
        <v>0.01149256097284801</v>
      </c>
      <c r="F521" s="1">
        <v>0.01566216969096956</v>
      </c>
      <c r="G521" s="1">
        <v>0.00281892890124058</v>
      </c>
      <c r="H521" s="1">
        <v>-0.002528472180335695</v>
      </c>
      <c r="I521" s="1">
        <v>0.01395361339837975</v>
      </c>
      <c r="J521" s="1">
        <v>0.02530030255185367</v>
      </c>
      <c r="K521" s="1">
        <v>0.01569012120660118</v>
      </c>
      <c r="L521" s="1">
        <v>0.005358792226790809</v>
      </c>
      <c r="M521" s="1">
        <v>0.01046694110329893</v>
      </c>
      <c r="N521" s="1">
        <v>0.01587738897869406</v>
      </c>
      <c r="O521" s="1">
        <v>0.02572698756743996</v>
      </c>
      <c r="P521" s="1">
        <v>0.01873703915071578</v>
      </c>
      <c r="Q521" s="1">
        <v>0.003275700793704095</v>
      </c>
      <c r="R521" s="1">
        <v>0.01929512579755643</v>
      </c>
      <c r="S521" s="1">
        <v>0.001453938716929892</v>
      </c>
      <c r="T521" s="1">
        <v>-0.002307534682956081</v>
      </c>
      <c r="U521" s="1">
        <v>0.009880106122159393</v>
      </c>
      <c r="V521" s="1">
        <v>0.00851868784416876</v>
      </c>
      <c r="W521" s="1">
        <v>0.008720300117876389</v>
      </c>
      <c r="X521" s="1">
        <v>0.005452173221409229</v>
      </c>
      <c r="Y521" s="1">
        <v>0.007920328202891236</v>
      </c>
      <c r="Z521" s="1">
        <v>0.01886039644966941</v>
      </c>
    </row>
    <row r="522" spans="1:26">
      <c r="A522" s="11">
        <v>43129</v>
      </c>
      <c r="B522" s="1">
        <v>-0.0297422452668431</v>
      </c>
      <c r="C522" s="1">
        <v>-0.006992560712568263</v>
      </c>
      <c r="D522" s="1">
        <v>-0.002906121026525654</v>
      </c>
      <c r="E522" s="1">
        <v>0.002801681446896964</v>
      </c>
      <c r="F522" s="1">
        <v>-0.01915882565281457</v>
      </c>
      <c r="G522" s="1">
        <v>-0.02565025639294594</v>
      </c>
      <c r="H522" s="1">
        <v>-0.008238475007514734</v>
      </c>
      <c r="I522" s="1">
        <v>-0.0134699714561074</v>
      </c>
      <c r="J522" s="1">
        <v>-0.00418262589594931</v>
      </c>
      <c r="K522" s="1">
        <v>-0.02341302727871364</v>
      </c>
      <c r="L522" s="1">
        <v>-0.001031484450514042</v>
      </c>
      <c r="M522" s="1">
        <v>-0.007563430074216226</v>
      </c>
      <c r="N522" s="1">
        <v>-0.01675562575910883</v>
      </c>
      <c r="O522" s="1">
        <v>-0.01178263470540941</v>
      </c>
      <c r="P522" s="1">
        <v>-0.001488355680264619</v>
      </c>
      <c r="Q522" s="1">
        <v>-0.01142829409936386</v>
      </c>
      <c r="R522" s="1">
        <v>0.003684655031723105</v>
      </c>
      <c r="S522" s="1">
        <v>-0.001606916904119737</v>
      </c>
      <c r="T522" s="1">
        <v>-0.006821318422162825</v>
      </c>
      <c r="U522" s="1">
        <v>-0.01480695346356531</v>
      </c>
      <c r="V522" s="1">
        <v>-0.001949201944579593</v>
      </c>
      <c r="W522" s="1">
        <v>-0.004413402887430862</v>
      </c>
      <c r="X522" s="1">
        <v>0.005915059749602047</v>
      </c>
      <c r="Y522" s="1">
        <v>-0.01078211010118924</v>
      </c>
      <c r="Z522" s="1">
        <v>0.003147064294855895</v>
      </c>
    </row>
    <row r="523" spans="1:26">
      <c r="A523" s="11">
        <v>43130</v>
      </c>
      <c r="B523" s="1">
        <v>-0.04458704255442902</v>
      </c>
      <c r="C523" s="1">
        <v>-0.009125138964368729</v>
      </c>
      <c r="D523" s="1">
        <v>-0.004164102110379209</v>
      </c>
      <c r="E523" s="1">
        <v>-0.007294887851503784</v>
      </c>
      <c r="F523" s="1">
        <v>0.008575510482120574</v>
      </c>
      <c r="G523" s="1">
        <v>0.003246089379738359</v>
      </c>
      <c r="H523" s="1">
        <v>-0.01171412731425459</v>
      </c>
      <c r="I523" s="1">
        <v>-0.003960096790785905</v>
      </c>
      <c r="J523" s="1">
        <v>-0.01553934027552339</v>
      </c>
      <c r="K523" s="1">
        <v>-0.01532403783134284</v>
      </c>
      <c r="L523" s="1">
        <v>-0.009380509871513065</v>
      </c>
      <c r="M523" s="1">
        <v>-0.008780624309001839</v>
      </c>
      <c r="N523" s="1">
        <v>-0.0001434187475115589</v>
      </c>
      <c r="O523" s="1">
        <v>-0.007054970922873993</v>
      </c>
      <c r="P523" s="1">
        <v>-0.01256384270558142</v>
      </c>
      <c r="Q523" s="1">
        <v>0.009496282251406418</v>
      </c>
      <c r="R523" s="1">
        <v>-0.04126574889622436</v>
      </c>
      <c r="S523" s="1">
        <v>0.005505302105998755</v>
      </c>
      <c r="T523" s="1">
        <v>0.001354647903295314</v>
      </c>
      <c r="U523" s="1">
        <v>0.004831043362343967</v>
      </c>
      <c r="V523" s="1">
        <v>-0.02213556642963266</v>
      </c>
      <c r="W523" s="1">
        <v>-0.0191491733833975</v>
      </c>
      <c r="X523" s="1">
        <v>-0.01698807063037755</v>
      </c>
      <c r="Y523" s="1">
        <v>-0.004248903848071084</v>
      </c>
      <c r="Z523" s="1">
        <v>-0.00479790449242723</v>
      </c>
    </row>
    <row r="524" spans="1:26">
      <c r="A524" s="11">
        <v>43131</v>
      </c>
      <c r="B524" s="1">
        <v>0.006731061701381158</v>
      </c>
      <c r="C524" s="1">
        <v>0.04933217155449166</v>
      </c>
      <c r="D524" s="1">
        <v>0.0039024326368855</v>
      </c>
      <c r="E524" s="1">
        <v>-0.02126355999807694</v>
      </c>
      <c r="F524" s="1">
        <v>0.00448765889241054</v>
      </c>
      <c r="G524" s="1">
        <v>0.01294020951434161</v>
      </c>
      <c r="H524" s="1">
        <v>0.003232343899135959</v>
      </c>
      <c r="I524" s="1">
        <v>-0.0124026928255434</v>
      </c>
      <c r="J524" s="1">
        <v>-0.005119658530887028</v>
      </c>
      <c r="K524" s="1">
        <v>-0.01782106252683069</v>
      </c>
      <c r="L524" s="1">
        <v>0.00486496982844753</v>
      </c>
      <c r="M524" s="1">
        <v>0.01621252860984046</v>
      </c>
      <c r="N524" s="1">
        <v>0.00744741103981772</v>
      </c>
      <c r="O524" s="1">
        <v>-0.002627211911061633</v>
      </c>
      <c r="P524" s="1">
        <v>0.02447740848111124</v>
      </c>
      <c r="Q524" s="1">
        <v>0.009407054659815506</v>
      </c>
      <c r="R524" s="1">
        <v>-0.01557927410369009</v>
      </c>
      <c r="S524" s="1">
        <v>0.01115656616346805</v>
      </c>
      <c r="T524" s="1">
        <v>-0.01008643874305182</v>
      </c>
      <c r="U524" s="1">
        <v>0.0002666779158939647</v>
      </c>
      <c r="V524" s="1">
        <v>0.001598100832288507</v>
      </c>
      <c r="W524" s="1">
        <v>0.04421799592648989</v>
      </c>
      <c r="X524" s="1">
        <v>-0.02509112720423734</v>
      </c>
      <c r="Y524" s="1">
        <v>0.00315405688037762</v>
      </c>
      <c r="Z524" s="1">
        <v>0.001854308934415405</v>
      </c>
    </row>
    <row r="525" spans="1:26">
      <c r="A525" s="11">
        <v>43132</v>
      </c>
      <c r="B525" s="1">
        <v>-0.004012081597090766</v>
      </c>
      <c r="C525" s="1">
        <v>0.007252387438484664</v>
      </c>
      <c r="D525" s="1">
        <v>-0.02887644407819756</v>
      </c>
      <c r="E525" s="1">
        <v>0.003194976221254642</v>
      </c>
      <c r="F525" s="1">
        <v>-0.01504835725855591</v>
      </c>
      <c r="G525" s="1">
        <v>-0.01632376598235308</v>
      </c>
      <c r="H525" s="1">
        <v>0.004940791342830986</v>
      </c>
      <c r="I525" s="1">
        <v>0.0085924059920921</v>
      </c>
      <c r="J525" s="1">
        <v>-0.0008572247189257975</v>
      </c>
      <c r="K525" s="1">
        <v>0.0173782602327055</v>
      </c>
      <c r="L525" s="1">
        <v>0.01037438106279742</v>
      </c>
      <c r="M525" s="1">
        <v>-0.008059324456119121</v>
      </c>
      <c r="N525" s="1">
        <v>-0.005828251969085652</v>
      </c>
      <c r="O525" s="1">
        <v>0.01831879654110247</v>
      </c>
      <c r="P525" s="1">
        <v>-0.007894283188331963</v>
      </c>
      <c r="Q525" s="1">
        <v>-0.01782855235627834</v>
      </c>
      <c r="R525" s="1">
        <v>0.002145496402161884</v>
      </c>
      <c r="S525" s="1">
        <v>-0.02441733854926775</v>
      </c>
      <c r="T525" s="1">
        <v>-0.01193935127586465</v>
      </c>
      <c r="U525" s="1">
        <v>0.04566115973904328</v>
      </c>
      <c r="V525" s="1">
        <v>-0.003323776875055695</v>
      </c>
      <c r="W525" s="1">
        <v>-0.007808794333758473</v>
      </c>
      <c r="X525" s="1">
        <v>0.01994210071514058</v>
      </c>
      <c r="Y525" s="1">
        <v>0.004253617912687968</v>
      </c>
      <c r="Z525" s="1">
        <v>0.01758253869964421</v>
      </c>
    </row>
    <row r="526" spans="1:26">
      <c r="A526" s="11">
        <v>43133</v>
      </c>
      <c r="B526" s="1">
        <v>-0.0418435556712814</v>
      </c>
      <c r="C526" s="1">
        <v>-0.02249684988119482</v>
      </c>
      <c r="D526" s="1">
        <v>-0.02001456860254014</v>
      </c>
      <c r="E526" s="1">
        <v>0.01082812374348885</v>
      </c>
      <c r="F526" s="1">
        <v>-0.01862022258854823</v>
      </c>
      <c r="G526" s="1">
        <v>-0.006132948372368663</v>
      </c>
      <c r="H526" s="1">
        <v>-0.04660099613947555</v>
      </c>
      <c r="I526" s="1">
        <v>-0.0172179177570867</v>
      </c>
      <c r="J526" s="1">
        <v>-0.03519353559233307</v>
      </c>
      <c r="K526" s="1">
        <v>-0.007033646252069814</v>
      </c>
      <c r="L526" s="1">
        <v>-0.022161289545097</v>
      </c>
      <c r="M526" s="1">
        <v>-0.02652933158103421</v>
      </c>
      <c r="N526" s="1">
        <v>-0.007579426757270413</v>
      </c>
      <c r="O526" s="1">
        <v>-0.004232529115989814</v>
      </c>
      <c r="P526" s="1">
        <v>-0.02631013777089464</v>
      </c>
      <c r="Q526" s="1">
        <v>-0.01113861915731029</v>
      </c>
      <c r="R526" s="1">
        <v>-0.0283725402778694</v>
      </c>
      <c r="S526" s="1">
        <v>-0.003508671074719194</v>
      </c>
      <c r="T526" s="1">
        <v>-0.02183777464387482</v>
      </c>
      <c r="U526" s="1">
        <v>-0.02783437465986593</v>
      </c>
      <c r="V526" s="1">
        <v>-0.0269440134630865</v>
      </c>
      <c r="W526" s="1">
        <v>-0.02100223714715699</v>
      </c>
      <c r="X526" s="1">
        <v>-0.01303507201984144</v>
      </c>
      <c r="Y526" s="1">
        <v>-0.02430927786251103</v>
      </c>
      <c r="Z526" s="1">
        <v>-0.01509620581380755</v>
      </c>
    </row>
    <row r="527" spans="1:26">
      <c r="A527" s="11">
        <v>43136</v>
      </c>
      <c r="B527" s="1">
        <v>-0.04413855098707298</v>
      </c>
      <c r="C527" s="1">
        <v>-0.0574072432235776</v>
      </c>
      <c r="D527" s="1">
        <v>-0.04420115429712967</v>
      </c>
      <c r="E527" s="1">
        <v>-0.03969743047923069</v>
      </c>
      <c r="F527" s="1">
        <v>-0.04646068055081365</v>
      </c>
      <c r="G527" s="1">
        <v>-0.02323030283639727</v>
      </c>
      <c r="H527" s="1">
        <v>-0.008520194705295858</v>
      </c>
      <c r="I527" s="1">
        <v>-0.04813262580901667</v>
      </c>
      <c r="J527" s="1">
        <v>-0.05293583142475011</v>
      </c>
      <c r="K527" s="1">
        <v>-0.05084708257909454</v>
      </c>
      <c r="L527" s="1">
        <v>-0.04795254126167914</v>
      </c>
      <c r="M527" s="1">
        <v>-0.0292966324345928</v>
      </c>
      <c r="N527" s="1">
        <v>-0.04841492941798731</v>
      </c>
      <c r="O527" s="1">
        <v>-0.02562314229575324</v>
      </c>
      <c r="P527" s="1">
        <v>-0.04118543455237178</v>
      </c>
      <c r="Q527" s="1">
        <v>-0.01877354622276239</v>
      </c>
      <c r="R527" s="1">
        <v>-0.04683208623342194</v>
      </c>
      <c r="S527" s="1">
        <v>-0.02800692186325315</v>
      </c>
      <c r="T527" s="1">
        <v>-0.02455760126856488</v>
      </c>
      <c r="U527" s="1">
        <v>-0.03782507052254103</v>
      </c>
      <c r="V527" s="1">
        <v>-0.02988351697695246</v>
      </c>
      <c r="W527" s="1">
        <v>-0.04308843616823244</v>
      </c>
      <c r="X527" s="1">
        <v>-0.04063660834367</v>
      </c>
      <c r="Y527" s="1">
        <v>-0.04681011943398827</v>
      </c>
      <c r="Z527" s="1">
        <v>-0.04616789707620073</v>
      </c>
    </row>
    <row r="528" spans="1:26">
      <c r="A528" s="11">
        <v>43137</v>
      </c>
      <c r="B528" s="1">
        <v>0.00464233307785733</v>
      </c>
      <c r="C528" s="1">
        <v>0.03657860342349206</v>
      </c>
      <c r="D528" s="1">
        <v>0.01755164067281045</v>
      </c>
      <c r="E528" s="1">
        <v>-0.0009843813880273666</v>
      </c>
      <c r="F528" s="1">
        <v>0.01198976590796019</v>
      </c>
      <c r="G528" s="1">
        <v>-0.02192511351664683</v>
      </c>
      <c r="H528" s="1">
        <v>0.02080509714934342</v>
      </c>
      <c r="I528" s="1">
        <v>0.03095148974397355</v>
      </c>
      <c r="J528" s="1">
        <v>0.006575999438514391</v>
      </c>
      <c r="K528" s="1">
        <v>0.002664765123976176</v>
      </c>
      <c r="L528" s="1">
        <v>0.03042286959205653</v>
      </c>
      <c r="M528" s="1">
        <v>0.02017894896226569</v>
      </c>
      <c r="N528" s="1">
        <v>0.007419837295451703</v>
      </c>
      <c r="O528" s="1">
        <v>-0.003393014519532112</v>
      </c>
      <c r="P528" s="1">
        <v>0.03784086216616722</v>
      </c>
      <c r="Q528" s="1">
        <v>-0.01020400370405383</v>
      </c>
      <c r="R528" s="1">
        <v>0.01228315928916612</v>
      </c>
      <c r="S528" s="1">
        <v>0.002270570888245338</v>
      </c>
      <c r="T528" s="1">
        <v>0.02993133518786673</v>
      </c>
      <c r="U528" s="1">
        <v>0.00546016059140797</v>
      </c>
      <c r="V528" s="1">
        <v>0.02741277683596888</v>
      </c>
      <c r="W528" s="1">
        <v>0.005616399529519756</v>
      </c>
      <c r="X528" s="1">
        <v>0.007765614173360857</v>
      </c>
      <c r="Y528" s="1">
        <v>0.00653459180978766</v>
      </c>
      <c r="Z528" s="1">
        <v>0.01684412969756877</v>
      </c>
    </row>
    <row r="529" spans="1:26">
      <c r="A529" s="11">
        <v>43138</v>
      </c>
      <c r="B529" s="1">
        <v>-0.03818090825638831</v>
      </c>
      <c r="C529" s="1">
        <v>0.02114922986241075</v>
      </c>
      <c r="D529" s="1">
        <v>-0.01679886815202503</v>
      </c>
      <c r="E529" s="1">
        <v>0.02840745519193044</v>
      </c>
      <c r="F529" s="1">
        <v>0.01210014596469566</v>
      </c>
      <c r="G529" s="1">
        <v>0.001520203180423119</v>
      </c>
      <c r="H529" s="1">
        <v>-0.007532166067629298</v>
      </c>
      <c r="I529" s="1">
        <v>-0.002718112685387242</v>
      </c>
      <c r="J529" s="1">
        <v>-0.01026591039384595</v>
      </c>
      <c r="K529" s="1">
        <v>-0.0005314142294068347</v>
      </c>
      <c r="L529" s="1">
        <v>0.006778879996937048</v>
      </c>
      <c r="M529" s="1">
        <v>-0.00430007124026055</v>
      </c>
      <c r="N529" s="1">
        <v>0.003907956956405556</v>
      </c>
      <c r="O529" s="1">
        <v>-0.0009726874736895041</v>
      </c>
      <c r="P529" s="1">
        <v>-0.01883260292408662</v>
      </c>
      <c r="Q529" s="1">
        <v>-0.008161399247292089</v>
      </c>
      <c r="R529" s="1">
        <v>-0.01941444783229562</v>
      </c>
      <c r="S529" s="1">
        <v>-0.0002697692321610434</v>
      </c>
      <c r="T529" s="1">
        <v>-0.003753131607219906</v>
      </c>
      <c r="U529" s="1">
        <v>0.002714692779984595</v>
      </c>
      <c r="V529" s="1">
        <v>0.007426591507280422</v>
      </c>
      <c r="W529" s="1">
        <v>-0.009213142636188998</v>
      </c>
      <c r="X529" s="1">
        <v>0.01418565877588884</v>
      </c>
      <c r="Y529" s="1">
        <v>0.003540953857476881</v>
      </c>
      <c r="Z529" s="1">
        <v>0.02856031438429185</v>
      </c>
    </row>
    <row r="530" spans="1:26">
      <c r="A530" s="11">
        <v>43139</v>
      </c>
      <c r="B530" s="1">
        <v>-0.04601794591489539</v>
      </c>
      <c r="C530" s="1">
        <v>-0.04835306415909668</v>
      </c>
      <c r="D530" s="1">
        <v>-0.04561446326527241</v>
      </c>
      <c r="E530" s="1">
        <v>0.0009579667937020808</v>
      </c>
      <c r="F530" s="1">
        <v>-0.04881721113165494</v>
      </c>
      <c r="G530" s="1">
        <v>-0.0193475340488608</v>
      </c>
      <c r="H530" s="1">
        <v>0.0006701149082095625</v>
      </c>
      <c r="I530" s="1">
        <v>-0.04819130942789973</v>
      </c>
      <c r="J530" s="1">
        <v>-0.060820844559212</v>
      </c>
      <c r="K530" s="1">
        <v>-0.02792543731677577</v>
      </c>
      <c r="L530" s="1">
        <v>-0.04421023770729415</v>
      </c>
      <c r="M530" s="1">
        <v>-0.03903950219007069</v>
      </c>
      <c r="N530" s="1">
        <v>-0.04102408750970854</v>
      </c>
      <c r="O530" s="1">
        <v>-0.03468812017382894</v>
      </c>
      <c r="P530" s="1">
        <v>-0.05133353921339845</v>
      </c>
      <c r="Q530" s="1">
        <v>-0.01681583236321305</v>
      </c>
      <c r="R530" s="1">
        <v>-0.02489469236235187</v>
      </c>
      <c r="S530" s="1">
        <v>-0.02622021836049349</v>
      </c>
      <c r="T530" s="1">
        <v>-0.03923348306645047</v>
      </c>
      <c r="U530" s="1">
        <v>-0.03682634139703267</v>
      </c>
      <c r="V530" s="1">
        <v>-0.02921508971981668</v>
      </c>
      <c r="W530" s="1">
        <v>-0.04249579428112593</v>
      </c>
      <c r="X530" s="1">
        <v>-0.0409252473459123</v>
      </c>
      <c r="Y530" s="1">
        <v>-0.03862003670792202</v>
      </c>
      <c r="Z530" s="1">
        <v>-0.06127357737815586</v>
      </c>
    </row>
    <row r="531" spans="1:26">
      <c r="A531" s="11">
        <v>43140</v>
      </c>
      <c r="B531" s="1">
        <v>-0.01325180996401754</v>
      </c>
      <c r="C531" s="1">
        <v>0.00961583539473021</v>
      </c>
      <c r="D531" s="1">
        <v>0.02797315522526689</v>
      </c>
      <c r="E531" s="1">
        <v>0.0001592866353026245</v>
      </c>
      <c r="F531" s="1">
        <v>0.00995023533149797</v>
      </c>
      <c r="G531" s="1">
        <v>0.025144875577783</v>
      </c>
      <c r="H531" s="1">
        <v>0.02007535601846788</v>
      </c>
      <c r="I531" s="1">
        <v>0.008264759394883692</v>
      </c>
      <c r="J531" s="1">
        <v>0.009538537537821412</v>
      </c>
      <c r="K531" s="1">
        <v>-0.007113459521927656</v>
      </c>
      <c r="L531" s="1">
        <v>0.02002239996504396</v>
      </c>
      <c r="M531" s="1">
        <v>-0.002336818560129128</v>
      </c>
      <c r="N531" s="1">
        <v>-0.0003122691406479694</v>
      </c>
      <c r="O531" s="1">
        <v>0.01412147865071134</v>
      </c>
      <c r="P531" s="1">
        <v>0.03728971843309248</v>
      </c>
      <c r="Q531" s="1">
        <v>0.02576626760940859</v>
      </c>
      <c r="R531" s="1">
        <v>0.007763968050099379</v>
      </c>
      <c r="S531" s="1">
        <v>0.03695473432314511</v>
      </c>
      <c r="T531" s="1">
        <v>0.02891777519606675</v>
      </c>
      <c r="U531" s="1">
        <v>0.01349463303454068</v>
      </c>
      <c r="V531" s="1">
        <v>0.01884416804788014</v>
      </c>
      <c r="W531" s="1">
        <v>0.007296275480285219</v>
      </c>
      <c r="X531" s="1">
        <v>0.01386339864246455</v>
      </c>
      <c r="Y531" s="1">
        <v>0.01712929131979579</v>
      </c>
      <c r="Z531" s="1">
        <v>0.01833932431416474</v>
      </c>
    </row>
    <row r="532" spans="1:26">
      <c r="A532" s="11">
        <v>43143</v>
      </c>
      <c r="B532" s="1">
        <v>0.02363672383118698</v>
      </c>
      <c r="C532" s="1">
        <v>0.03295991023292899</v>
      </c>
      <c r="D532" s="1">
        <v>0.01072969005886248</v>
      </c>
      <c r="E532" s="1">
        <v>0.007336657870723462</v>
      </c>
      <c r="F532" s="1">
        <v>-0.0007776895346888191</v>
      </c>
      <c r="G532" s="1">
        <v>0.008679363149603381</v>
      </c>
      <c r="H532" s="1">
        <v>0.01268335510810692</v>
      </c>
      <c r="I532" s="1">
        <v>0.02762567234062074</v>
      </c>
      <c r="J532" s="1">
        <v>0.01491797012530371</v>
      </c>
      <c r="K532" s="1">
        <v>0.03086220457457478</v>
      </c>
      <c r="L532" s="1">
        <v>0.01544889427239449</v>
      </c>
      <c r="M532" s="1">
        <v>0.02360365978515699</v>
      </c>
      <c r="N532" s="1">
        <v>0.02061540770199222</v>
      </c>
      <c r="O532" s="1">
        <v>0.007584125667885022</v>
      </c>
      <c r="P532" s="1">
        <v>0.01077344208923425</v>
      </c>
      <c r="Q532" s="1">
        <v>0.0008663050362807123</v>
      </c>
      <c r="R532" s="1">
        <v>0.0147208306803519</v>
      </c>
      <c r="S532" s="1">
        <v>0.003526163514077529</v>
      </c>
      <c r="T532" s="1">
        <v>0.01210974383215113</v>
      </c>
      <c r="U532" s="1">
        <v>0.008876507546549117</v>
      </c>
      <c r="V532" s="1">
        <v>-0.007867365822773031</v>
      </c>
      <c r="W532" s="1">
        <v>0.02163042572826757</v>
      </c>
      <c r="X532" s="1">
        <v>0.0220213291870115</v>
      </c>
      <c r="Y532" s="1">
        <v>0.004611051161164115</v>
      </c>
      <c r="Z532" s="1">
        <v>0.008133603421041746</v>
      </c>
    </row>
    <row r="533" spans="1:26">
      <c r="A533" s="11">
        <v>43144</v>
      </c>
      <c r="B533" s="1">
        <v>-0.01075804768148736</v>
      </c>
      <c r="C533" s="1">
        <v>-0.001861420863892849</v>
      </c>
      <c r="D533" s="1">
        <v>-0.005692448514069581</v>
      </c>
      <c r="E533" s="1">
        <v>0.01124120272535012</v>
      </c>
      <c r="F533" s="1">
        <v>0.01089779845446692</v>
      </c>
      <c r="G533" s="1">
        <v>0.00149614390029118</v>
      </c>
      <c r="H533" s="1">
        <v>0.00734198068490155</v>
      </c>
      <c r="I533" s="1">
        <v>0.01312717769751104</v>
      </c>
      <c r="J533" s="1">
        <v>0.008329140618410946</v>
      </c>
      <c r="K533" s="1">
        <v>-0.000534951025891961</v>
      </c>
      <c r="L533" s="1">
        <v>0.006174887288328712</v>
      </c>
      <c r="M533" s="1">
        <v>0.006160887710709995</v>
      </c>
      <c r="N533" s="1">
        <v>0.004437829246074276</v>
      </c>
      <c r="O533" s="1">
        <v>0.002961596727620863</v>
      </c>
      <c r="P533" s="1">
        <v>0.00785367970833506</v>
      </c>
      <c r="Q533" s="1">
        <v>0.0008653381070935495</v>
      </c>
      <c r="R533" s="1">
        <v>-0.001465608118372153</v>
      </c>
      <c r="S533" s="1">
        <v>0.007347887456260471</v>
      </c>
      <c r="T533" s="1">
        <v>0.005127496164462952</v>
      </c>
      <c r="U533" s="1">
        <v>0.006323903451133761</v>
      </c>
      <c r="V533" s="1">
        <v>0.02782406340530041</v>
      </c>
      <c r="W533" s="1">
        <v>-0.004938484816065736</v>
      </c>
      <c r="X533" s="1">
        <v>0</v>
      </c>
      <c r="Y533" s="1">
        <v>-0.0005986994044001603</v>
      </c>
      <c r="Z533" s="1">
        <v>-0.001920819199149215</v>
      </c>
    </row>
    <row r="534" spans="1:26">
      <c r="A534" s="11">
        <v>43145</v>
      </c>
      <c r="B534" s="1">
        <v>0.01326247645842171</v>
      </c>
      <c r="C534" s="1">
        <v>0.004924697188324112</v>
      </c>
      <c r="D534" s="1">
        <v>0.02166145590095869</v>
      </c>
      <c r="E534" s="1">
        <v>0.02317193579131516</v>
      </c>
      <c r="F534" s="1">
        <v>0.01206362322380716</v>
      </c>
      <c r="G534" s="1">
        <v>-0.01139947123101803</v>
      </c>
      <c r="H534" s="1">
        <v>0.006644817400569547</v>
      </c>
      <c r="I534" s="1">
        <v>0.01227527673252005</v>
      </c>
      <c r="J534" s="1">
        <v>0.03449951692475084</v>
      </c>
      <c r="K534" s="1">
        <v>0.003210192830122027</v>
      </c>
      <c r="L534" s="1">
        <v>0.02312569542449983</v>
      </c>
      <c r="M534" s="1">
        <v>0.009971834090538145</v>
      </c>
      <c r="N534" s="1">
        <v>-0.007008103537772703</v>
      </c>
      <c r="O534" s="1">
        <v>0.01205699126650561</v>
      </c>
      <c r="P534" s="1">
        <v>0.01565818916676798</v>
      </c>
      <c r="Q534" s="1">
        <v>-0.01686123917039273</v>
      </c>
      <c r="R534" s="1">
        <v>0.01438229441545968</v>
      </c>
      <c r="S534" s="1">
        <v>-0.01279131565712854</v>
      </c>
      <c r="T534" s="1">
        <v>-0.0002466619062464481</v>
      </c>
      <c r="U534" s="1">
        <v>-0.005191147662347295</v>
      </c>
      <c r="V534" s="1">
        <v>0.01989720821305108</v>
      </c>
      <c r="W534" s="1">
        <v>0.02363646668213848</v>
      </c>
      <c r="X534" s="1">
        <v>0.02171998393098451</v>
      </c>
      <c r="Y534" s="1">
        <v>-0.01138161664674775</v>
      </c>
      <c r="Z534" s="1">
        <v>0.05312987916843714</v>
      </c>
    </row>
    <row r="535" spans="1:26">
      <c r="A535" s="11">
        <v>43146</v>
      </c>
      <c r="B535" s="1">
        <v>-0.002617852114520924</v>
      </c>
      <c r="C535" s="1">
        <v>0.0336667245424862</v>
      </c>
      <c r="D535" s="1">
        <v>0.006209771458867808</v>
      </c>
      <c r="E535" s="1">
        <v>0.05554735448475889</v>
      </c>
      <c r="F535" s="1">
        <v>0.01648477944066706</v>
      </c>
      <c r="G535" s="1">
        <v>0.02176391697552216</v>
      </c>
      <c r="H535" s="1">
        <v>0.01575852409569789</v>
      </c>
      <c r="I535" s="1">
        <v>0.02161933426378693</v>
      </c>
      <c r="J535" s="1">
        <v>0.007515263418483187</v>
      </c>
      <c r="K535" s="1">
        <v>0.01812811648437096</v>
      </c>
      <c r="L535" s="1">
        <v>0.004172790977396312</v>
      </c>
      <c r="M535" s="1">
        <v>0.007795025694193436</v>
      </c>
      <c r="N535" s="1">
        <v>0.002148099389094993</v>
      </c>
      <c r="O535" s="1">
        <v>0.00218820155357391</v>
      </c>
      <c r="P535" s="1">
        <v>0.02037211509331871</v>
      </c>
      <c r="Q535" s="1">
        <v>0.02770420490219294</v>
      </c>
      <c r="R535" s="1">
        <v>-0.002025547131067729</v>
      </c>
      <c r="S535" s="1">
        <v>0.01980995357535975</v>
      </c>
      <c r="T535" s="1">
        <v>-0.01126535893433822</v>
      </c>
      <c r="U535" s="1">
        <v>0.01620422622586148</v>
      </c>
      <c r="V535" s="1">
        <v>0.009157176435400816</v>
      </c>
      <c r="W535" s="1">
        <v>0.01156919935678813</v>
      </c>
      <c r="X535" s="1">
        <v>0.01496604191541451</v>
      </c>
      <c r="Y535" s="1">
        <v>0.004645509980077511</v>
      </c>
      <c r="Z535" s="1">
        <v>0.004769761181052212</v>
      </c>
    </row>
    <row r="536" spans="1:26">
      <c r="A536" s="11">
        <v>43147</v>
      </c>
      <c r="B536" s="1">
        <v>0.0002623532161964981</v>
      </c>
      <c r="C536" s="1">
        <v>-0.003983332205471979</v>
      </c>
      <c r="D536" s="1">
        <v>-0.001656005811251582</v>
      </c>
      <c r="E536" s="1">
        <v>-0.0002900527837134126</v>
      </c>
      <c r="F536" s="1">
        <v>-0.007235854294059263</v>
      </c>
      <c r="G536" s="1">
        <v>0.0056054774521892</v>
      </c>
      <c r="H536" s="1">
        <v>-0.03207559295961016</v>
      </c>
      <c r="I536" s="1">
        <v>0.01576678432047163</v>
      </c>
      <c r="J536" s="1">
        <v>-0.002330975407451419</v>
      </c>
      <c r="K536" s="1">
        <v>0.006022490764465482</v>
      </c>
      <c r="L536" s="1">
        <v>-0.007185590299838784</v>
      </c>
      <c r="M536" s="1">
        <v>0.001546873188721376</v>
      </c>
      <c r="N536" s="1">
        <v>0.002142939437851599</v>
      </c>
      <c r="O536" s="1">
        <v>0.00388163044876344</v>
      </c>
      <c r="P536" s="1">
        <v>-0.00712254991411776</v>
      </c>
      <c r="Q536" s="1">
        <v>0.004707055764098467</v>
      </c>
      <c r="R536" s="1">
        <v>-0.002899317280244285</v>
      </c>
      <c r="S536" s="1">
        <v>-0.009082723909140555</v>
      </c>
      <c r="T536" s="1">
        <v>0.003016866735965129</v>
      </c>
      <c r="U536" s="1">
        <v>0.003783668247570482</v>
      </c>
      <c r="V536" s="1">
        <v>-0.00447125855132946</v>
      </c>
      <c r="W536" s="1">
        <v>-0.0005218945015147414</v>
      </c>
      <c r="X536" s="1">
        <v>0.01089158779720201</v>
      </c>
      <c r="Y536" s="1">
        <v>0.008242823668866528</v>
      </c>
      <c r="Z536" s="1">
        <v>0.005477289683821773</v>
      </c>
    </row>
    <row r="537" spans="1:26">
      <c r="A537" s="11">
        <v>43151</v>
      </c>
      <c r="B537" s="1">
        <v>0.004985722578181084</v>
      </c>
      <c r="C537" s="1">
        <v>-0.004760180667331748</v>
      </c>
      <c r="D537" s="1">
        <v>0.010704286506658</v>
      </c>
      <c r="E537" s="1">
        <v>-0.02334699221557834</v>
      </c>
      <c r="F537" s="1">
        <v>-0.008042309077387677</v>
      </c>
      <c r="G537" s="1">
        <v>-0.006689095680482926</v>
      </c>
      <c r="H537" s="1">
        <v>-0.001949225884177563</v>
      </c>
      <c r="I537" s="1">
        <v>-0.02756172613423113</v>
      </c>
      <c r="J537" s="1">
        <v>-0.0004674893224546617</v>
      </c>
      <c r="K537" s="1">
        <v>-0.01431531326854052</v>
      </c>
      <c r="L537" s="1">
        <v>0.0002618303848731518</v>
      </c>
      <c r="M537" s="1">
        <v>-0.009267271145227962</v>
      </c>
      <c r="N537" s="1">
        <v>-0.01940120015401314</v>
      </c>
      <c r="O537" s="1">
        <v>0.009062351408715585</v>
      </c>
      <c r="P537" s="1">
        <v>0.00782553132881314</v>
      </c>
      <c r="Q537" s="1">
        <v>-0.0195910739642261</v>
      </c>
      <c r="R537" s="1">
        <v>0.003052998552273145</v>
      </c>
      <c r="S537" s="1">
        <v>-0.01292661010192775</v>
      </c>
      <c r="T537" s="1">
        <v>-0.01399461461657292</v>
      </c>
      <c r="U537" s="1">
        <v>-0.009962510209646336</v>
      </c>
      <c r="V537" s="1">
        <v>-0.02956834216226234</v>
      </c>
      <c r="W537" s="1">
        <v>-0.01315264291678619</v>
      </c>
      <c r="X537" s="1">
        <v>-0.004475347955442022</v>
      </c>
      <c r="Y537" s="1">
        <v>-0.02452673008834083</v>
      </c>
      <c r="Z537" s="1">
        <v>-0.001815665838152181</v>
      </c>
    </row>
    <row r="538" spans="1:26">
      <c r="A538" s="11">
        <v>43152</v>
      </c>
      <c r="B538" s="1">
        <v>-0.02872075070371927</v>
      </c>
      <c r="C538" s="1">
        <v>-0.002773437299205539</v>
      </c>
      <c r="D538" s="1">
        <v>0.0001494427266317544</v>
      </c>
      <c r="E538" s="1">
        <v>-0.01217502789457636</v>
      </c>
      <c r="F538" s="1">
        <v>-0.01165430401382295</v>
      </c>
      <c r="G538" s="1">
        <v>-0.01870559072211497</v>
      </c>
      <c r="H538" s="1">
        <v>-0.06901041519595275</v>
      </c>
      <c r="I538" s="1">
        <v>-0.01626497833350538</v>
      </c>
      <c r="J538" s="1">
        <v>-0.01028505090584708</v>
      </c>
      <c r="K538" s="1">
        <v>-0.0005286353252030862</v>
      </c>
      <c r="L538" s="1">
        <v>0.00418443101669097</v>
      </c>
      <c r="M538" s="1">
        <v>0.005196733152039279</v>
      </c>
      <c r="N538" s="1">
        <v>-0.004050193272817082</v>
      </c>
      <c r="O538" s="1">
        <v>-0.008980962768122325</v>
      </c>
      <c r="P538" s="1">
        <v>-0.01326537936717787</v>
      </c>
      <c r="Q538" s="1">
        <v>-0.009556916126213011</v>
      </c>
      <c r="R538" s="1">
        <v>0.003334117902870526</v>
      </c>
      <c r="S538" s="1">
        <v>0.02383138253914874</v>
      </c>
      <c r="T538" s="1">
        <v>0.001159622766341073</v>
      </c>
      <c r="U538" s="1">
        <v>-0.01251003493783964</v>
      </c>
      <c r="V538" s="1">
        <v>0.001372243808029916</v>
      </c>
      <c r="W538" s="1">
        <v>0.009382463515503314</v>
      </c>
      <c r="X538" s="1">
        <v>-0.008991126159731744</v>
      </c>
      <c r="Y538" s="1">
        <v>-0.01962379844528361</v>
      </c>
      <c r="Z538" s="1">
        <v>0.01619052384596853</v>
      </c>
    </row>
    <row r="539" spans="1:26">
      <c r="A539" s="11">
        <v>43153</v>
      </c>
      <c r="B539" s="1">
        <v>-0.06317209634283538</v>
      </c>
      <c r="C539" s="1">
        <v>0.0100746852079121</v>
      </c>
      <c r="D539" s="1">
        <v>0.005667236716611734</v>
      </c>
      <c r="E539" s="1">
        <v>-0.008868484472279392</v>
      </c>
      <c r="F539" s="1">
        <v>-0.00538282287311731</v>
      </c>
      <c r="G539" s="1">
        <v>0.02935540829696248</v>
      </c>
      <c r="H539" s="1">
        <v>0.02470817929051883</v>
      </c>
      <c r="I539" s="1">
        <v>0.01277065127367383</v>
      </c>
      <c r="J539" s="1">
        <v>0.01039193246021042</v>
      </c>
      <c r="K539" s="1">
        <v>0.003434936652448428</v>
      </c>
      <c r="L539" s="1">
        <v>-0.001823366809134752</v>
      </c>
      <c r="M539" s="1">
        <v>-0.01223507139665947</v>
      </c>
      <c r="N539" s="1">
        <v>-0.009228889025614806</v>
      </c>
      <c r="O539" s="1">
        <v>-0.01039167164379518</v>
      </c>
      <c r="P539" s="1">
        <v>0.002623445283769676</v>
      </c>
      <c r="Q539" s="1">
        <v>0.01228066353585056</v>
      </c>
      <c r="R539" s="1">
        <v>0.01704715696914549</v>
      </c>
      <c r="S539" s="1">
        <v>0.01252886400855124</v>
      </c>
      <c r="T539" s="1">
        <v>0.004406647500357019</v>
      </c>
      <c r="U539" s="1">
        <v>0.004406474267845351</v>
      </c>
      <c r="V539" s="1">
        <v>0.0283717691300085</v>
      </c>
      <c r="W539" s="1">
        <v>-0.003146067817490938</v>
      </c>
      <c r="X539" s="1">
        <v>0</v>
      </c>
      <c r="Y539" s="1">
        <v>-0.001876615797443582</v>
      </c>
      <c r="Z539" s="1">
        <v>-0.02040829871886318</v>
      </c>
    </row>
    <row r="540" spans="1:26">
      <c r="A540" s="11">
        <v>43154</v>
      </c>
      <c r="B540" s="1">
        <v>0.03672906812315668</v>
      </c>
      <c r="C540" s="1">
        <v>0.002078980115259421</v>
      </c>
      <c r="D540" s="1">
        <v>0.01379207023837248</v>
      </c>
      <c r="E540" s="1">
        <v>0.03048232333650902</v>
      </c>
      <c r="F540" s="1">
        <v>0.01804124258957907</v>
      </c>
      <c r="G540" s="1">
        <v>0.02703719598479992</v>
      </c>
      <c r="H540" s="1">
        <v>0.003639791581617535</v>
      </c>
      <c r="I540" s="1">
        <v>0.01267069349162075</v>
      </c>
      <c r="J540" s="1">
        <v>0.03459548931163914</v>
      </c>
      <c r="K540" s="1">
        <v>0.0221169885607384</v>
      </c>
      <c r="L540" s="1">
        <v>0.02026466032691565</v>
      </c>
      <c r="M540" s="1">
        <v>0.01168870910159736</v>
      </c>
      <c r="N540" s="1">
        <v>0.01973467346678537</v>
      </c>
      <c r="O540" s="1">
        <v>0.02039087676268547</v>
      </c>
      <c r="P540" s="1">
        <v>0.02540013659445028</v>
      </c>
      <c r="Q540" s="1">
        <v>0.02253021344315487</v>
      </c>
      <c r="R540" s="1">
        <v>0.0130681352475539</v>
      </c>
      <c r="S540" s="1">
        <v>0.01315172411459575</v>
      </c>
      <c r="T540" s="1">
        <v>0.0004524437110262625</v>
      </c>
      <c r="U540" s="1">
        <v>0.006855051892602937</v>
      </c>
      <c r="V540" s="1">
        <v>0.005064763300921316</v>
      </c>
      <c r="W540" s="1">
        <v>0.01233695610748486</v>
      </c>
      <c r="X540" s="1">
        <v>-0.004032195864179799</v>
      </c>
      <c r="Y540" s="1">
        <v>0.008773687729013879</v>
      </c>
      <c r="Z540" s="1">
        <v>0.01754387731875484</v>
      </c>
    </row>
    <row r="541" spans="1:26">
      <c r="A541" s="11">
        <v>43157</v>
      </c>
      <c r="B541" s="1">
        <v>-0.004151788444153537</v>
      </c>
      <c r="C541" s="1">
        <v>0.01912203019126846</v>
      </c>
      <c r="D541" s="1">
        <v>0.01140980618184284</v>
      </c>
      <c r="E541" s="1">
        <v>0.01000744982680102</v>
      </c>
      <c r="F541" s="1">
        <v>0.002025272335929085</v>
      </c>
      <c r="G541" s="1">
        <v>0.002164059592356882</v>
      </c>
      <c r="H541" s="1">
        <v>0.00566638708101963</v>
      </c>
      <c r="I541" s="1">
        <v>0.007338609650936245</v>
      </c>
      <c r="J541" s="1">
        <v>0.06009962182052098</v>
      </c>
      <c r="K541" s="1">
        <v>-0.002060304189273277</v>
      </c>
      <c r="L541" s="1">
        <v>0.0124456819398362</v>
      </c>
      <c r="M541" s="1">
        <v>0.02603896503035119</v>
      </c>
      <c r="N541" s="1">
        <v>0.01300509239809888</v>
      </c>
      <c r="O541" s="1">
        <v>0.01340216375294201</v>
      </c>
      <c r="P541" s="1">
        <v>0.01445929855640227</v>
      </c>
      <c r="Q541" s="1">
        <v>-0.0004234732137780028</v>
      </c>
      <c r="R541" s="1">
        <v>0.003225082619551456</v>
      </c>
      <c r="S541" s="1">
        <v>0.001021942030505318</v>
      </c>
      <c r="T541" s="1">
        <v>0.01506746313339669</v>
      </c>
      <c r="U541" s="1">
        <v>0.02015235680354355</v>
      </c>
      <c r="V541" s="1">
        <v>0.01975881106781063</v>
      </c>
      <c r="W541" s="1">
        <v>0.01114703810468454</v>
      </c>
      <c r="X541" s="1">
        <v>0.02952084006600808</v>
      </c>
      <c r="Y541" s="1">
        <v>0.01656670167885044</v>
      </c>
      <c r="Z541" s="1">
        <v>0.0109555109183932</v>
      </c>
    </row>
    <row r="542" spans="1:26">
      <c r="A542" s="11">
        <v>43158</v>
      </c>
      <c r="B542" s="1">
        <v>-0.03279576420103036</v>
      </c>
      <c r="C542" s="1">
        <v>0.003191204160795102</v>
      </c>
      <c r="D542" s="1">
        <v>-0.006508221666877922</v>
      </c>
      <c r="E542" s="1">
        <v>-0.011511073927716</v>
      </c>
      <c r="F542" s="1">
        <v>-0.0737748523088545</v>
      </c>
      <c r="G542" s="1">
        <v>-0.01943165750089026</v>
      </c>
      <c r="H542" s="1">
        <v>-0.009691064830015472</v>
      </c>
      <c r="I542" s="1">
        <v>-0.02316962415645429</v>
      </c>
      <c r="J542" s="1">
        <v>0.0025576474483755</v>
      </c>
      <c r="K542" s="1">
        <v>-0.01858583316191076</v>
      </c>
      <c r="L542" s="1">
        <v>-0.01187176480534136</v>
      </c>
      <c r="M542" s="1">
        <v>-0.01714287725567998</v>
      </c>
      <c r="N542" s="1">
        <v>-0.02185533607605072</v>
      </c>
      <c r="O542" s="1">
        <v>-0.004487252639071126</v>
      </c>
      <c r="P542" s="1">
        <v>-0.01278578470616976</v>
      </c>
      <c r="Q542" s="1">
        <v>-0.01144585174008617</v>
      </c>
      <c r="R542" s="1">
        <v>-0.004472565935139783</v>
      </c>
      <c r="S542" s="1">
        <v>-0.01511163661076298</v>
      </c>
      <c r="T542" s="1">
        <v>-0.01185043347458159</v>
      </c>
      <c r="U542" s="1">
        <v>-0.01575015146441794</v>
      </c>
      <c r="V542" s="1">
        <v>-0.01729531770943782</v>
      </c>
      <c r="W542" s="1">
        <v>-0.0158359021530633</v>
      </c>
      <c r="X542" s="1">
        <v>-0.01278046593107296</v>
      </c>
      <c r="Y542" s="1">
        <v>-0.0213896295401107</v>
      </c>
      <c r="Z542" s="1">
        <v>-0.009770750729212629</v>
      </c>
    </row>
    <row r="543" spans="1:26">
      <c r="A543" s="11">
        <v>43159</v>
      </c>
      <c r="B543" s="1">
        <v>-0.0186783508451881</v>
      </c>
      <c r="C543" s="1">
        <v>-0.006664209866113713</v>
      </c>
      <c r="D543" s="1">
        <v>-0.01310235132616899</v>
      </c>
      <c r="E543" s="1">
        <v>-0.0241743331166131</v>
      </c>
      <c r="F543" s="1">
        <v>-0.01227473025959103</v>
      </c>
      <c r="G543" s="1">
        <v>-0.007339456140761036</v>
      </c>
      <c r="H543" s="1">
        <v>-0.02025485392042503</v>
      </c>
      <c r="I543" s="1">
        <v>-0.01656685789357604</v>
      </c>
      <c r="J543" s="1">
        <v>-0.005527541974195804</v>
      </c>
      <c r="K543" s="1">
        <v>-0.03024727493723267</v>
      </c>
      <c r="L543" s="1">
        <v>-0.01584873720172186</v>
      </c>
      <c r="M543" s="1">
        <v>-0.01094372918785047</v>
      </c>
      <c r="N543" s="1">
        <v>-0.01640614271891594</v>
      </c>
      <c r="O543" s="1">
        <v>-0.0153004194611307</v>
      </c>
      <c r="P543" s="1">
        <v>-0.004565128630411142</v>
      </c>
      <c r="Q543" s="1">
        <v>-0.008147224243636897</v>
      </c>
      <c r="R543" s="1">
        <v>0.005054008533338372</v>
      </c>
      <c r="S543" s="1">
        <v>0.007879345885906774</v>
      </c>
      <c r="T543" s="1">
        <v>0.005432936089917018</v>
      </c>
      <c r="U543" s="1">
        <v>-0.0154597138141267</v>
      </c>
      <c r="V543" s="1">
        <v>-0.002117266116135497</v>
      </c>
      <c r="W543" s="1">
        <v>-0.009967579570842156</v>
      </c>
      <c r="X543" s="1">
        <v>-0.006638922267297565</v>
      </c>
      <c r="Y543" s="1">
        <v>-0.006244464093856039</v>
      </c>
      <c r="Z543" s="1">
        <v>-0.01381402440997481</v>
      </c>
    </row>
    <row r="544" spans="1:26">
      <c r="A544" s="11">
        <v>43160</v>
      </c>
      <c r="B544" s="1">
        <v>0.003513782082844585</v>
      </c>
      <c r="C544" s="1">
        <v>-0.03456555261600269</v>
      </c>
      <c r="D544" s="1">
        <v>-0.01951823262069763</v>
      </c>
      <c r="E544" s="1">
        <v>-0.007703917514800152</v>
      </c>
      <c r="F544" s="1">
        <v>0.009113342042317729</v>
      </c>
      <c r="G544" s="1">
        <v>-0.01219958701536894</v>
      </c>
      <c r="H544" s="1">
        <v>-0.01788598738655212</v>
      </c>
      <c r="I544" s="1">
        <v>-0.02523791235867689</v>
      </c>
      <c r="J544" s="1">
        <v>-0.001709980924080368</v>
      </c>
      <c r="K544" s="1">
        <v>-0.02630857033547218</v>
      </c>
      <c r="L544" s="1">
        <v>-0.01792202315222813</v>
      </c>
      <c r="M544" s="1">
        <v>0.002938948377722461</v>
      </c>
      <c r="N544" s="1">
        <v>-0.008260523108436724</v>
      </c>
      <c r="O544" s="1">
        <v>-0.01445428658069559</v>
      </c>
      <c r="P544" s="1">
        <v>-0.009810736668748099</v>
      </c>
      <c r="Q544" s="1">
        <v>0.001729179888935173</v>
      </c>
      <c r="R544" s="1">
        <v>-0.03561913442345988</v>
      </c>
      <c r="S544" s="1">
        <v>0.008588419436178052</v>
      </c>
      <c r="T544" s="1">
        <v>-0.01262511857303406</v>
      </c>
      <c r="U544" s="1">
        <v>-0.008264320966058669</v>
      </c>
      <c r="V544" s="1">
        <v>-0.01697413198345299</v>
      </c>
      <c r="W544" s="1">
        <v>-0.01615695883748358</v>
      </c>
      <c r="X544" s="1">
        <v>-0.02690075517133805</v>
      </c>
      <c r="Y544" s="1">
        <v>0.004608316391071732</v>
      </c>
      <c r="Z544" s="1">
        <v>-0.01073325383720136</v>
      </c>
    </row>
    <row r="545" spans="1:26">
      <c r="A545" s="11">
        <v>43161</v>
      </c>
      <c r="B545" s="1">
        <v>0.01488191151741147</v>
      </c>
      <c r="C545" s="1">
        <v>-0.01435541467998458</v>
      </c>
      <c r="D545" s="1">
        <v>-0.0004523261871564044</v>
      </c>
      <c r="E545" s="1">
        <v>0.007306978049393287</v>
      </c>
      <c r="F545" s="1">
        <v>-0.001368157651808533</v>
      </c>
      <c r="G545" s="1">
        <v>-0.001122608736559005</v>
      </c>
      <c r="H545" s="1">
        <v>-0.006149954599798724</v>
      </c>
      <c r="I545" s="1">
        <v>-0.02232008898403648</v>
      </c>
      <c r="J545" s="1">
        <v>0.009421889017625418</v>
      </c>
      <c r="K545" s="1">
        <v>0.01030612263217701</v>
      </c>
      <c r="L545" s="1">
        <v>-0.0009700894027974138</v>
      </c>
      <c r="M545" s="1">
        <v>-0.003447250742198871</v>
      </c>
      <c r="N545" s="1">
        <v>0.001921884290545961</v>
      </c>
      <c r="O545" s="1">
        <v>0.009777661148006711</v>
      </c>
      <c r="P545" s="1">
        <v>0.002154137524392086</v>
      </c>
      <c r="Q545" s="1">
        <v>0</v>
      </c>
      <c r="R545" s="1">
        <v>-0.02679615759459775</v>
      </c>
      <c r="S545" s="1">
        <v>-0.005660010799062865</v>
      </c>
      <c r="T545" s="1">
        <v>-0.01581287532830089</v>
      </c>
      <c r="U545" s="1">
        <v>0.009722277479085495</v>
      </c>
      <c r="V545" s="1">
        <v>0.01375996687943415</v>
      </c>
      <c r="W545" s="1">
        <v>0.005993987354496966</v>
      </c>
      <c r="X545" s="1">
        <v>-0.009958791845697701</v>
      </c>
      <c r="Y545" s="1">
        <v>0.006255449491488818</v>
      </c>
      <c r="Z545" s="1">
        <v>0.007907430382716019</v>
      </c>
    </row>
    <row r="546" spans="1:26">
      <c r="A546" s="11">
        <v>43164</v>
      </c>
      <c r="B546" s="1">
        <v>0.01236362133048119</v>
      </c>
      <c r="C546" s="1">
        <v>0.02344270117164049</v>
      </c>
      <c r="D546" s="1">
        <v>0.00859987091503811</v>
      </c>
      <c r="E546" s="1">
        <v>0.00982337288695212</v>
      </c>
      <c r="F546" s="1">
        <v>0.007947245045891949</v>
      </c>
      <c r="G546" s="1">
        <v>0.01723463801265335</v>
      </c>
      <c r="H546" s="1">
        <v>0.03569805064908582</v>
      </c>
      <c r="I546" s="1">
        <v>0.02759161367388518</v>
      </c>
      <c r="J546" s="1">
        <v>0.005091203248699605</v>
      </c>
      <c r="K546" s="1">
        <v>0.0179215122754719</v>
      </c>
      <c r="L546" s="1">
        <v>0.01535531632288123</v>
      </c>
      <c r="M546" s="1">
        <v>0.00985956290584622</v>
      </c>
      <c r="N546" s="1">
        <v>0.02525980887868107</v>
      </c>
      <c r="O546" s="1">
        <v>0.008593226160865441</v>
      </c>
      <c r="P546" s="1">
        <v>0.006340385428998729</v>
      </c>
      <c r="Q546" s="1">
        <v>0.01553737887728035</v>
      </c>
      <c r="R546" s="1">
        <v>0.0241105259790888</v>
      </c>
      <c r="S546" s="1">
        <v>0.01205148353191432</v>
      </c>
      <c r="T546" s="1">
        <v>0.007328807334363585</v>
      </c>
      <c r="U546" s="1">
        <v>0.009628475190801788</v>
      </c>
      <c r="V546" s="1">
        <v>-0.0001333273243359079</v>
      </c>
      <c r="W546" s="1">
        <v>0.001550148871673818</v>
      </c>
      <c r="X546" s="1">
        <v>0.01248713425283388</v>
      </c>
      <c r="Y546" s="1">
        <v>0.009324306757184875</v>
      </c>
      <c r="Z546" s="1">
        <v>0.01642015095887728</v>
      </c>
    </row>
    <row r="547" spans="1:26">
      <c r="A547" s="11">
        <v>43165</v>
      </c>
      <c r="B547" s="1">
        <v>0.004259930731609352</v>
      </c>
      <c r="C547" s="1">
        <v>-0.01085751338444718</v>
      </c>
      <c r="D547" s="1">
        <v>0.002393858325414389</v>
      </c>
      <c r="E547" s="1">
        <v>-0.02020369121991583</v>
      </c>
      <c r="F547" s="1">
        <v>0.002447104206320994</v>
      </c>
      <c r="G547" s="1">
        <v>-0.01399618625494081</v>
      </c>
      <c r="H547" s="1">
        <v>0.008730909805434672</v>
      </c>
      <c r="I547" s="1">
        <v>0.006157004267175248</v>
      </c>
      <c r="J547" s="1">
        <v>0.01097510040300653</v>
      </c>
      <c r="K547" s="1">
        <v>0.01272958752647435</v>
      </c>
      <c r="L547" s="1">
        <v>0.0008690803012045833</v>
      </c>
      <c r="M547" s="1">
        <v>-8.580161217719429E-05</v>
      </c>
      <c r="N547" s="1">
        <v>0.009979695007538369</v>
      </c>
      <c r="O547" s="1">
        <v>0.002520366979589905</v>
      </c>
      <c r="P547" s="1">
        <v>-0.003417347753754685</v>
      </c>
      <c r="Q547" s="1">
        <v>-0.01359987744150837</v>
      </c>
      <c r="R547" s="1">
        <v>0.01598609295477948</v>
      </c>
      <c r="S547" s="1">
        <v>0.004104173282606816</v>
      </c>
      <c r="T547" s="1">
        <v>0.0201732059497548</v>
      </c>
      <c r="U547" s="1">
        <v>0.00463207905648777</v>
      </c>
      <c r="V547" s="1">
        <v>-0.04458324320251994</v>
      </c>
      <c r="W547" s="1">
        <v>0.01625050188296817</v>
      </c>
      <c r="X547" s="1">
        <v>0.003597165325089247</v>
      </c>
      <c r="Y547" s="1">
        <v>0.00369512935172267</v>
      </c>
      <c r="Z547" s="1">
        <v>0.01489869100561103</v>
      </c>
    </row>
    <row r="548" spans="1:26">
      <c r="A548" s="11">
        <v>43166</v>
      </c>
      <c r="B548" s="1">
        <v>-0.02007911331271095</v>
      </c>
      <c r="C548" s="1">
        <v>-0.005388070189025429</v>
      </c>
      <c r="D548" s="1">
        <v>0.0001489606254385656</v>
      </c>
      <c r="E548" s="1">
        <v>0.009622561303737287</v>
      </c>
      <c r="F548" s="1">
        <v>-0.02034182255519057</v>
      </c>
      <c r="G548" s="1">
        <v>-0.00224157311752482</v>
      </c>
      <c r="H548" s="1">
        <v>-0.01867868404769379</v>
      </c>
      <c r="I548" s="1">
        <v>-0.003848462888653703</v>
      </c>
      <c r="J548" s="1">
        <v>0.00375830311504477</v>
      </c>
      <c r="K548" s="1">
        <v>-0.008557949047300339</v>
      </c>
      <c r="L548" s="1">
        <v>-0.00373404159377233</v>
      </c>
      <c r="M548" s="1">
        <v>-0.0116738277868057</v>
      </c>
      <c r="N548" s="1">
        <v>-0.01080759055728275</v>
      </c>
      <c r="O548" s="1">
        <v>0.003112329236939271</v>
      </c>
      <c r="P548" s="1">
        <v>0.005786309698808889</v>
      </c>
      <c r="Q548" s="1">
        <v>-0.01120201321942615</v>
      </c>
      <c r="R548" s="1">
        <v>-0.01201572156765462</v>
      </c>
      <c r="S548" s="1">
        <v>-0.000757304181794316</v>
      </c>
      <c r="T548" s="1">
        <v>0.0168811641297093</v>
      </c>
      <c r="U548" s="1">
        <v>0.00108501143467743</v>
      </c>
      <c r="V548" s="1">
        <v>-0.005014750021253289</v>
      </c>
      <c r="W548" s="1">
        <v>0.009708688761386641</v>
      </c>
      <c r="X548" s="1">
        <v>-0.001194911001253463</v>
      </c>
      <c r="Y548" s="1">
        <v>-0.001022400302889137</v>
      </c>
      <c r="Z548" s="1">
        <v>0.006897852203667121</v>
      </c>
    </row>
    <row r="549" spans="1:26">
      <c r="A549" s="11">
        <v>43167</v>
      </c>
      <c r="B549" s="1">
        <v>0.009235334563746145</v>
      </c>
      <c r="C549" s="1">
        <v>0.004869729792664312</v>
      </c>
      <c r="D549" s="1">
        <v>0.01193651079127278</v>
      </c>
      <c r="E549" s="1">
        <v>0.009833777224312445</v>
      </c>
      <c r="F549" s="1">
        <v>0.02104073227628378</v>
      </c>
      <c r="G549" s="1">
        <v>0.01422720914187336</v>
      </c>
      <c r="H549" s="1">
        <v>0.001392712311909072</v>
      </c>
      <c r="I549" s="1">
        <v>0.02001270808003119</v>
      </c>
      <c r="J549" s="1">
        <v>-0.003744231159414801</v>
      </c>
      <c r="K549" s="1">
        <v>0.01510644517981952</v>
      </c>
      <c r="L549" s="1">
        <v>8.70160525410224E-05</v>
      </c>
      <c r="M549" s="1">
        <v>0.01389597490917893</v>
      </c>
      <c r="N549" s="1">
        <v>0.02122699800667704</v>
      </c>
      <c r="O549" s="1">
        <v>0.007637162854073454</v>
      </c>
      <c r="P549" s="1">
        <v>0.006072947965559683</v>
      </c>
      <c r="Q549" s="1">
        <v>0.005664678573075843</v>
      </c>
      <c r="R549" s="1">
        <v>-0.0131747950683786</v>
      </c>
      <c r="S549" s="1">
        <v>0.009090907090676614</v>
      </c>
      <c r="T549" s="1">
        <v>-0.008459971904456243</v>
      </c>
      <c r="U549" s="1">
        <v>0.005418803589157806</v>
      </c>
      <c r="V549" s="1">
        <v>-0.02351938864201653</v>
      </c>
      <c r="W549" s="1">
        <v>-0.002168063720875524</v>
      </c>
      <c r="X549" s="1">
        <v>0.009056537702986756</v>
      </c>
      <c r="Y549" s="1">
        <v>0.003481078052945952</v>
      </c>
      <c r="Z549" s="1">
        <v>-0.01457932390631744</v>
      </c>
    </row>
    <row r="550" spans="1:26">
      <c r="A550" s="11">
        <v>43168</v>
      </c>
      <c r="B550" s="1">
        <v>0.01000839747549831</v>
      </c>
      <c r="C550" s="1">
        <v>0.01660312526299168</v>
      </c>
      <c r="D550" s="1">
        <v>0.01577742886459244</v>
      </c>
      <c r="E550" s="1">
        <v>0.01752805356802667</v>
      </c>
      <c r="F550" s="1">
        <v>0.006778771129783756</v>
      </c>
      <c r="G550" s="1">
        <v>0.001476488432214262</v>
      </c>
      <c r="H550" s="1">
        <v>0.01089485943366153</v>
      </c>
      <c r="I550" s="1">
        <v>0.04265478635149011</v>
      </c>
      <c r="J550" s="1">
        <v>0.02922787010525152</v>
      </c>
      <c r="K550" s="1">
        <v>0.02418291937681105</v>
      </c>
      <c r="L550" s="1">
        <v>0.0287608121815881</v>
      </c>
      <c r="M550" s="1">
        <v>0.02278564529115812</v>
      </c>
      <c r="N550" s="1">
        <v>0.00336229114065012</v>
      </c>
      <c r="O550" s="1">
        <v>0.01693484194684625</v>
      </c>
      <c r="P550" s="1">
        <v>0.02234488419108338</v>
      </c>
      <c r="Q550" s="1">
        <v>-0.005198995763656455</v>
      </c>
      <c r="R550" s="1">
        <v>0.01335068764208502</v>
      </c>
      <c r="S550" s="1">
        <v>0.0007505052882603724</v>
      </c>
      <c r="T550" s="1">
        <v>0.04157307899963603</v>
      </c>
      <c r="U550" s="1">
        <v>-0.001617022009452462</v>
      </c>
      <c r="V550" s="1">
        <v>0.01060929866119698</v>
      </c>
      <c r="W550" s="1">
        <v>0.0292396249153366</v>
      </c>
      <c r="X550" s="1">
        <v>0.0232090227084667</v>
      </c>
      <c r="Y550" s="1">
        <v>0</v>
      </c>
      <c r="Z550" s="1">
        <v>0.01675561495960309</v>
      </c>
    </row>
    <row r="551" spans="1:26">
      <c r="A551" s="11">
        <v>43171</v>
      </c>
      <c r="B551" s="1">
        <v>0.002548174544208415</v>
      </c>
      <c r="C551" s="1">
        <v>-0.02913814805719916</v>
      </c>
      <c r="D551" s="1">
        <v>-0.005661034496833639</v>
      </c>
      <c r="E551" s="1">
        <v>-0.006919972348348513</v>
      </c>
      <c r="F551" s="1">
        <v>-0.004578583085761534</v>
      </c>
      <c r="G551" s="1">
        <v>0.01105787910464029</v>
      </c>
      <c r="H551" s="1">
        <v>-0.0004583567579038439</v>
      </c>
      <c r="I551" s="1">
        <v>-0.02322387918353563</v>
      </c>
      <c r="J551" s="1">
        <v>-0.03326568597540869</v>
      </c>
      <c r="K551" s="1">
        <v>0.004151321569234812</v>
      </c>
      <c r="L551" s="1">
        <v>-0.003219001777476027</v>
      </c>
      <c r="M551" s="1">
        <v>0.001005126861368888</v>
      </c>
      <c r="N551" s="1">
        <v>0.001828172965635311</v>
      </c>
      <c r="O551" s="1">
        <v>-0.01117944002006865</v>
      </c>
      <c r="P551" s="1">
        <v>0.002382072069621932</v>
      </c>
      <c r="Q551" s="1">
        <v>0.007839577641306938</v>
      </c>
      <c r="R551" s="1">
        <v>-0.01925538251918957</v>
      </c>
      <c r="S551" s="1">
        <v>-0.002750515258616248</v>
      </c>
      <c r="T551" s="1">
        <v>-0.01403266321197827</v>
      </c>
      <c r="U551" s="1">
        <v>0.008367193750129065</v>
      </c>
      <c r="V551" s="1">
        <v>0.002553375586514361</v>
      </c>
      <c r="W551" s="1">
        <v>-0.001835915475733918</v>
      </c>
      <c r="X551" s="1">
        <v>-0.02317912676336553</v>
      </c>
      <c r="Y551" s="1">
        <v>-0.004285142956992227</v>
      </c>
      <c r="Z551" s="1">
        <v>-0.008064379415388512</v>
      </c>
    </row>
    <row r="552" spans="1:26">
      <c r="A552" s="11">
        <v>43172</v>
      </c>
      <c r="B552" s="1">
        <v>0.001411754580260105</v>
      </c>
      <c r="C552" s="1">
        <v>-0.01603750212474264</v>
      </c>
      <c r="D552" s="1">
        <v>-0.005985792159792003</v>
      </c>
      <c r="E552" s="1">
        <v>-0.01141566677234362</v>
      </c>
      <c r="F552" s="1">
        <v>-0.01433962453536031</v>
      </c>
      <c r="G552" s="1">
        <v>-0.004374561512112574</v>
      </c>
      <c r="H552" s="1">
        <v>0.008029130493549586</v>
      </c>
      <c r="I552" s="1">
        <v>-0.01652141014399888</v>
      </c>
      <c r="J552" s="1">
        <v>-0.002997154895889032</v>
      </c>
      <c r="K552" s="1">
        <v>0.004651338187617426</v>
      </c>
      <c r="L552" s="1">
        <v>-0.01198384120671436</v>
      </c>
      <c r="M552" s="1">
        <v>0.009538332135695216</v>
      </c>
      <c r="N552" s="1">
        <v>0.005473296782160908</v>
      </c>
      <c r="O552" s="1">
        <v>-0.003415465219899438</v>
      </c>
      <c r="P552" s="1">
        <v>-0.02438738740981994</v>
      </c>
      <c r="Q552" s="1">
        <v>0</v>
      </c>
      <c r="R552" s="1">
        <v>-0.005314739047503236</v>
      </c>
      <c r="S552" s="1">
        <v>-5.05783022578532E-05</v>
      </c>
      <c r="T552" s="1">
        <v>-0.003564399396858042</v>
      </c>
      <c r="U552" s="1">
        <v>0.0008029161955604991</v>
      </c>
      <c r="V552" s="1">
        <v>0.00707521871983241</v>
      </c>
      <c r="W552" s="1">
        <v>-0.01089700006452654</v>
      </c>
      <c r="X552" s="1">
        <v>-0.001694859751172673</v>
      </c>
      <c r="Y552" s="1">
        <v>-0.00307397996436809</v>
      </c>
      <c r="Z552" s="1">
        <v>-0.01466942284147998</v>
      </c>
    </row>
    <row r="553" spans="1:26">
      <c r="A553" s="11">
        <v>43173</v>
      </c>
      <c r="B553" s="1">
        <v>0.005358518967459869</v>
      </c>
      <c r="C553" s="1">
        <v>-0.02483232628427212</v>
      </c>
      <c r="D553" s="1">
        <v>-0.01189598376268397</v>
      </c>
      <c r="E553" s="1">
        <v>-0.0007499486095663421</v>
      </c>
      <c r="F553" s="1">
        <v>-0.01125453569541912</v>
      </c>
      <c r="G553" s="1">
        <v>-0.009520579593118472</v>
      </c>
      <c r="H553" s="1">
        <v>0.00591702589168186</v>
      </c>
      <c r="I553" s="1">
        <v>-0.006880486453928469</v>
      </c>
      <c r="J553" s="1">
        <v>-0.005927059958840242</v>
      </c>
      <c r="K553" s="1">
        <v>-0.04269554969324296</v>
      </c>
      <c r="L553" s="1">
        <v>-0.01118288605607753</v>
      </c>
      <c r="M553" s="1">
        <v>-0.01176887502202928</v>
      </c>
      <c r="N553" s="1">
        <v>-0.02460632740404189</v>
      </c>
      <c r="O553" s="1">
        <v>-0.01004499782261903</v>
      </c>
      <c r="P553" s="1">
        <v>-0.005931692641529263</v>
      </c>
      <c r="Q553" s="1">
        <v>0.007346271788206682</v>
      </c>
      <c r="R553" s="1">
        <v>-0.01528597393862929</v>
      </c>
      <c r="S553" s="1">
        <v>-0.0141336907859807</v>
      </c>
      <c r="T553" s="1">
        <v>-0.01148001632976581</v>
      </c>
      <c r="U553" s="1">
        <v>-0.009628125267080678</v>
      </c>
      <c r="V553" s="1">
        <v>-0.007306395605265914</v>
      </c>
      <c r="W553" s="1">
        <v>-0.006931798245056409</v>
      </c>
      <c r="X553" s="1">
        <v>0.003225635163548235</v>
      </c>
      <c r="Y553" s="1">
        <v>-0.004110651944540744</v>
      </c>
      <c r="Z553" s="1">
        <v>-0.01739921283583556</v>
      </c>
    </row>
    <row r="554" spans="1:26">
      <c r="A554" s="11">
        <v>43174</v>
      </c>
      <c r="B554" s="1">
        <v>-0.008695828114255288</v>
      </c>
      <c r="C554" s="1">
        <v>-0.0008478254199423274</v>
      </c>
      <c r="D554" s="1">
        <v>0.004607582130963683</v>
      </c>
      <c r="E554" s="1">
        <v>-0.005703183083729968</v>
      </c>
      <c r="F554" s="1">
        <v>0.003609278684978845</v>
      </c>
      <c r="G554" s="1">
        <v>-0.004805683810589434</v>
      </c>
      <c r="H554" s="1">
        <v>-0.02013582815573955</v>
      </c>
      <c r="I554" s="1">
        <v>-0.003807842033306308</v>
      </c>
      <c r="J554" s="1">
        <v>0</v>
      </c>
      <c r="K554" s="1">
        <v>-0.004567574310361477</v>
      </c>
      <c r="L554" s="1">
        <v>0.002522803415703212</v>
      </c>
      <c r="M554" s="1">
        <v>0.005367440479703278</v>
      </c>
      <c r="N554" s="1">
        <v>-0.0001568387429948803</v>
      </c>
      <c r="O554" s="1">
        <v>0.001074274131453778</v>
      </c>
      <c r="P554" s="1">
        <v>0.003516207213288824</v>
      </c>
      <c r="Q554" s="1">
        <v>0.003431870377965218</v>
      </c>
      <c r="R554" s="1">
        <v>0.007083297391934806</v>
      </c>
      <c r="S554" s="1">
        <v>0.002877347069601743</v>
      </c>
      <c r="T554" s="1">
        <v>0.003056090638422049</v>
      </c>
      <c r="U554" s="1">
        <v>0.0002697548056089794</v>
      </c>
      <c r="V554" s="1">
        <v>-0.0002830888264785392</v>
      </c>
      <c r="W554" s="1">
        <v>-0.004731633427453974</v>
      </c>
      <c r="X554" s="1">
        <v>-0.001522985390735254</v>
      </c>
      <c r="Y554" s="1">
        <v>-0.00330279932734634</v>
      </c>
      <c r="Z554" s="1">
        <v>-0.0005476656119134393</v>
      </c>
    </row>
    <row r="555" spans="1:26">
      <c r="A555" s="11">
        <v>43175</v>
      </c>
      <c r="B555" s="1">
        <v>0.02263720976190253</v>
      </c>
      <c r="C555" s="1">
        <v>0.001484736187728597</v>
      </c>
      <c r="D555" s="1">
        <v>0.004438637661726474</v>
      </c>
      <c r="E555" s="1">
        <v>0.005282927494681733</v>
      </c>
      <c r="F555" s="1">
        <v>-0.008852169769697382</v>
      </c>
      <c r="G555" s="1">
        <v>0.008543511663271497</v>
      </c>
      <c r="H555" s="1">
        <v>0.006234434718487503</v>
      </c>
      <c r="I555" s="1">
        <v>0.0268173255719244</v>
      </c>
      <c r="J555" s="1">
        <v>0.001277602390947763</v>
      </c>
      <c r="K555" s="1">
        <v>-0.002445954191463651</v>
      </c>
      <c r="L555" s="1">
        <v>0.001735778554629697</v>
      </c>
      <c r="M555" s="1">
        <v>0.0160161411544153</v>
      </c>
      <c r="N555" s="1">
        <v>-0.009716300149571588</v>
      </c>
      <c r="O555" s="1">
        <v>0.00560478738548631</v>
      </c>
      <c r="P555" s="1">
        <v>0.00445970084626679</v>
      </c>
      <c r="Q555" s="1">
        <v>0.001710173710363749</v>
      </c>
      <c r="R555" s="1">
        <v>0.0137685175529354</v>
      </c>
      <c r="S555" s="1">
        <v>0.0145517511061295</v>
      </c>
      <c r="T555" s="1">
        <v>-0.003021798895223471</v>
      </c>
      <c r="U555" s="1">
        <v>-0.001079659238565567</v>
      </c>
      <c r="V555" s="1">
        <v>0.005096835400801858</v>
      </c>
      <c r="W555" s="1">
        <v>-0.009460920963132891</v>
      </c>
      <c r="X555" s="1">
        <v>-0.002881457665665055</v>
      </c>
      <c r="Y555" s="1">
        <v>0.005591627599859539</v>
      </c>
      <c r="Z555" s="1">
        <v>0.01406353821681083</v>
      </c>
    </row>
    <row r="556" spans="1:26">
      <c r="A556" s="11">
        <v>43178</v>
      </c>
      <c r="B556" s="1">
        <v>-0.01577195771982831</v>
      </c>
      <c r="C556" s="1">
        <v>0.003903574958416645</v>
      </c>
      <c r="D556" s="1">
        <v>-0.01664475520342956</v>
      </c>
      <c r="E556" s="1">
        <v>-0.0079576757138764</v>
      </c>
      <c r="F556" s="1">
        <v>-0.01479200679565307</v>
      </c>
      <c r="G556" s="1">
        <v>-0.007366399568537241</v>
      </c>
      <c r="H556" s="1">
        <v>0.0004586722343500327</v>
      </c>
      <c r="I556" s="1">
        <v>-0.02654393054047743</v>
      </c>
      <c r="J556" s="1">
        <v>-0.01318610107005092</v>
      </c>
      <c r="K556" s="1">
        <v>-0.007902061447952469</v>
      </c>
      <c r="L556" s="1">
        <v>-0.007883202712942516</v>
      </c>
      <c r="M556" s="1">
        <v>-0.004926255678727287</v>
      </c>
      <c r="N556" s="1">
        <v>-0.01123589121821011</v>
      </c>
      <c r="O556" s="1">
        <v>0.001066827938213777</v>
      </c>
      <c r="P556" s="1">
        <v>-0.01807614687980408</v>
      </c>
      <c r="Q556" s="1">
        <v>-0.008109081818322927</v>
      </c>
      <c r="R556" s="1">
        <v>-0.02347266988804986</v>
      </c>
      <c r="S556" s="1">
        <v>-0.006515066301834849</v>
      </c>
      <c r="T556" s="1">
        <v>-0.009046081777115411</v>
      </c>
      <c r="U556" s="1">
        <v>-0.01135131541421519</v>
      </c>
      <c r="V556" s="1">
        <v>-0.009156186952734791</v>
      </c>
      <c r="W556" s="1">
        <v>0.006082158146945682</v>
      </c>
      <c r="X556" s="1">
        <v>0.001869864387143094</v>
      </c>
      <c r="Y556" s="1">
        <v>-0.005148495006098486</v>
      </c>
      <c r="Z556" s="1">
        <v>-0.009545658286206904</v>
      </c>
    </row>
    <row r="557" spans="1:26">
      <c r="A557" s="11">
        <v>43179</v>
      </c>
      <c r="B557" s="1">
        <v>0.01967982430901016</v>
      </c>
      <c r="C557" s="1">
        <v>0.01769348548822225</v>
      </c>
      <c r="D557" s="1">
        <v>0.002246976498235798</v>
      </c>
      <c r="E557" s="1">
        <v>0.00544869370262302</v>
      </c>
      <c r="F557" s="1">
        <v>-0.02067991432777905</v>
      </c>
      <c r="G557" s="1">
        <v>-0.005195009939244377</v>
      </c>
      <c r="H557" s="1">
        <v>-0.01100905559345067</v>
      </c>
      <c r="I557" s="1">
        <v>0.002883631824407429</v>
      </c>
      <c r="J557" s="1">
        <v>0.003448648818419775</v>
      </c>
      <c r="K557" s="1">
        <v>-0.01538057542092364</v>
      </c>
      <c r="L557" s="1">
        <v>0.0009604376001657311</v>
      </c>
      <c r="M557" s="1">
        <v>0.001485017203214589</v>
      </c>
      <c r="N557" s="1">
        <v>-0.01536472489194385</v>
      </c>
      <c r="O557" s="1">
        <v>0.006041446012439833</v>
      </c>
      <c r="P557" s="1">
        <v>0.002583548032677685</v>
      </c>
      <c r="Q557" s="1">
        <v>-0.002581817180919876</v>
      </c>
      <c r="R557" s="1">
        <v>0.002116372182293214</v>
      </c>
      <c r="S557" s="1">
        <v>0.006658973285506686</v>
      </c>
      <c r="T557" s="1">
        <v>0.001430762820248344</v>
      </c>
      <c r="U557" s="1">
        <v>-0.00656104900361254</v>
      </c>
      <c r="V557" s="1">
        <v>0.01734438708667496</v>
      </c>
      <c r="W557" s="1">
        <v>0.01417002630203412</v>
      </c>
      <c r="X557" s="1">
        <v>0.003053918692939916</v>
      </c>
      <c r="Y557" s="1">
        <v>-0.01283380051194749</v>
      </c>
      <c r="Z557" s="1">
        <v>-0.0034554849605406</v>
      </c>
    </row>
    <row r="558" spans="1:26">
      <c r="A558" s="11">
        <v>43180</v>
      </c>
      <c r="B558" s="1">
        <v>0.05045466449680291</v>
      </c>
      <c r="C558" s="1">
        <v>-0.001569920052430063</v>
      </c>
      <c r="D558" s="1">
        <v>-0.0067257512825738</v>
      </c>
      <c r="E558" s="1">
        <v>-0.004967896025188878</v>
      </c>
      <c r="F558" s="1">
        <v>-0.002314244332601634</v>
      </c>
      <c r="G558" s="1">
        <v>0.001119388832707235</v>
      </c>
      <c r="H558" s="1">
        <v>-0.02203157627916519</v>
      </c>
      <c r="I558" s="1">
        <v>-0.01212576383657626</v>
      </c>
      <c r="J558" s="1">
        <v>0</v>
      </c>
      <c r="K558" s="1">
        <v>0.0133895585212509</v>
      </c>
      <c r="L558" s="1">
        <v>0.0008722645205465618</v>
      </c>
      <c r="M558" s="1">
        <v>-0.0479484572566099</v>
      </c>
      <c r="N558" s="1">
        <v>-0.02470752681495381</v>
      </c>
      <c r="O558" s="1">
        <v>-0.005180491922967878</v>
      </c>
      <c r="P558" s="1">
        <v>-0.006979275494335968</v>
      </c>
      <c r="Q558" s="1">
        <v>0.004745529618247257</v>
      </c>
      <c r="R558" s="1">
        <v>0.00799560824413259</v>
      </c>
      <c r="S558" s="1">
        <v>0.002474716240705055</v>
      </c>
      <c r="T558" s="1">
        <v>-0.001675366257075872</v>
      </c>
      <c r="U558" s="1">
        <v>-0.009356121597126954</v>
      </c>
      <c r="V558" s="1">
        <v>-0.01984337348824916</v>
      </c>
      <c r="W558" s="1">
        <v>-0.008196714158175022</v>
      </c>
      <c r="X558" s="1">
        <v>0.003044751129412493</v>
      </c>
      <c r="Y558" s="1">
        <v>-0.008596832069840854</v>
      </c>
      <c r="Z558" s="1">
        <v>0.00547456733921714</v>
      </c>
    </row>
    <row r="559" spans="1:26">
      <c r="A559" s="11">
        <v>43181</v>
      </c>
      <c r="B559" s="1">
        <v>-0.02152236706919863</v>
      </c>
      <c r="C559" s="1">
        <v>-0.05188352943289465</v>
      </c>
      <c r="D559" s="1">
        <v>-0.01369192335480662</v>
      </c>
      <c r="E559" s="1">
        <v>-0.03252642392496552</v>
      </c>
      <c r="F559" s="1">
        <v>-0.03653236533172044</v>
      </c>
      <c r="G559" s="1">
        <v>-0.004098527898609539</v>
      </c>
      <c r="H559" s="1">
        <v>-0.001660109785335373</v>
      </c>
      <c r="I559" s="1">
        <v>-0.04093645155733472</v>
      </c>
      <c r="J559" s="1">
        <v>-0.03479392776775969</v>
      </c>
      <c r="K559" s="1">
        <v>-0.02284640478732114</v>
      </c>
      <c r="L559" s="1">
        <v>-0.0417465357765181</v>
      </c>
      <c r="M559" s="1">
        <v>-0.01349966489617682</v>
      </c>
      <c r="N559" s="1">
        <v>0.006500037996171715</v>
      </c>
      <c r="O559" s="1">
        <v>-0.02438159030870279</v>
      </c>
      <c r="P559" s="1">
        <v>-0.02908750509759761</v>
      </c>
      <c r="Q559" s="1">
        <v>0.00429346758955429</v>
      </c>
      <c r="R559" s="1">
        <v>-0.03741415694237604</v>
      </c>
      <c r="S559" s="1">
        <v>-0.01425556802623096</v>
      </c>
      <c r="T559" s="1">
        <v>-0.02993326352961923</v>
      </c>
      <c r="U559" s="1">
        <v>-0.01749981847721249</v>
      </c>
      <c r="V559" s="1">
        <v>-0.01782190770126046</v>
      </c>
      <c r="W559" s="1">
        <v>-0.02643704794363855</v>
      </c>
      <c r="X559" s="1">
        <v>-0.02951083937471788</v>
      </c>
      <c r="Y559" s="1">
        <v>-0.008460553830425099</v>
      </c>
      <c r="Z559" s="1">
        <v>-0.03684203395539021</v>
      </c>
    </row>
    <row r="560" spans="1:26">
      <c r="A560" s="11">
        <v>43182</v>
      </c>
      <c r="B560" s="1">
        <v>-0.007242419926582144</v>
      </c>
      <c r="C560" s="1">
        <v>0.00434887772055359</v>
      </c>
      <c r="D560" s="1">
        <v>-0.01922223064872686</v>
      </c>
      <c r="E560" s="1">
        <v>-0.02955423825601622</v>
      </c>
      <c r="F560" s="1">
        <v>-0.001805248532368187</v>
      </c>
      <c r="G560" s="1">
        <v>-0.008604333397683628</v>
      </c>
      <c r="H560" s="1">
        <v>0.004038213935954937</v>
      </c>
      <c r="I560" s="1">
        <v>-0.02361775497557117</v>
      </c>
      <c r="J560" s="1">
        <v>-0.027592125520147</v>
      </c>
      <c r="K560" s="1">
        <v>-0.032957618376803</v>
      </c>
      <c r="L560" s="1">
        <v>-0.02673918040720835</v>
      </c>
      <c r="M560" s="1">
        <v>-0.00491195532020372</v>
      </c>
      <c r="N560" s="1">
        <v>-0.01854633894621194</v>
      </c>
      <c r="O560" s="1">
        <v>-0.02292872557314363</v>
      </c>
      <c r="P560" s="1">
        <v>-0.02906789733430604</v>
      </c>
      <c r="Q560" s="1">
        <v>-0.01410877223877349</v>
      </c>
      <c r="R560" s="1">
        <v>-0.02145515120825403</v>
      </c>
      <c r="S560" s="1">
        <v>-0.01349064094291996</v>
      </c>
      <c r="T560" s="1">
        <v>-0.01190549035419564</v>
      </c>
      <c r="U560" s="1">
        <v>-0.01894260689425487</v>
      </c>
      <c r="V560" s="1">
        <v>-0.01466073073921825</v>
      </c>
      <c r="W560" s="1">
        <v>-0.01292627779777877</v>
      </c>
      <c r="X560" s="1">
        <v>-0.01025215359219733</v>
      </c>
      <c r="Y560" s="1">
        <v>-0.0125853904698402</v>
      </c>
      <c r="Z560" s="1">
        <v>-0.03467097794403995</v>
      </c>
    </row>
    <row r="561" spans="1:26">
      <c r="A561" s="11">
        <v>43185</v>
      </c>
      <c r="B561" s="1">
        <v>0.007295255228418007</v>
      </c>
      <c r="C561" s="1">
        <v>0.02482885151956671</v>
      </c>
      <c r="D561" s="1">
        <v>0.01866534498997674</v>
      </c>
      <c r="E561" s="1">
        <v>0.02159216180861079</v>
      </c>
      <c r="F561" s="1">
        <v>0.01115445364178735</v>
      </c>
      <c r="G561" s="1">
        <v>0.01283012301328879</v>
      </c>
      <c r="H561" s="1">
        <v>0.004731272244887785</v>
      </c>
      <c r="I561" s="1">
        <v>0.03608092090724635</v>
      </c>
      <c r="J561" s="1">
        <v>0.01601815266950224</v>
      </c>
      <c r="K561" s="1">
        <v>0.01776858310077722</v>
      </c>
      <c r="L561" s="1">
        <v>0.03083819752426309</v>
      </c>
      <c r="M561" s="1">
        <v>0.01533832444941341</v>
      </c>
      <c r="N561" s="1">
        <v>0.00556779308099431</v>
      </c>
      <c r="O561" s="1">
        <v>0.01924487494689497</v>
      </c>
      <c r="P561" s="1">
        <v>0.07570539353835226</v>
      </c>
      <c r="Q561" s="1">
        <v>0.01431067834005573</v>
      </c>
      <c r="R561" s="1">
        <v>0.03304742158522256</v>
      </c>
      <c r="S561" s="1">
        <v>0.01844045976148645</v>
      </c>
      <c r="T561" s="1">
        <v>0.0167602883739324</v>
      </c>
      <c r="U561" s="1">
        <v>-0.0002881330205940502</v>
      </c>
      <c r="V561" s="1">
        <v>0.03535655346279687</v>
      </c>
      <c r="W561" s="1">
        <v>0.02457842941857469</v>
      </c>
      <c r="X561" s="1">
        <v>0.02352512093429127</v>
      </c>
      <c r="Y561" s="1">
        <v>0.01685042940400283</v>
      </c>
      <c r="Z561" s="1">
        <v>0.03923442711273895</v>
      </c>
    </row>
    <row r="562" spans="1:26">
      <c r="A562" s="11">
        <v>43186</v>
      </c>
      <c r="B562" s="1">
        <v>0.005364848043595938</v>
      </c>
      <c r="C562" s="1">
        <v>-0.02386242577499997</v>
      </c>
      <c r="D562" s="1">
        <v>-0.009466770365310295</v>
      </c>
      <c r="E562" s="1">
        <v>-0.01561538598755874</v>
      </c>
      <c r="F562" s="1">
        <v>-0.016398398873263</v>
      </c>
      <c r="G562" s="1">
        <v>0.009314371376929254</v>
      </c>
      <c r="H562" s="1">
        <v>0.005180510876903632</v>
      </c>
      <c r="I562" s="1">
        <v>-0.007695346266908154</v>
      </c>
      <c r="J562" s="1">
        <v>-0.01936926207497447</v>
      </c>
      <c r="K562" s="1">
        <v>-0.01774464402182618</v>
      </c>
      <c r="L562" s="1">
        <v>-0.01939988384041613</v>
      </c>
      <c r="M562" s="1">
        <v>-0.01562781293042115</v>
      </c>
      <c r="N562" s="1">
        <v>0.01879205409042806</v>
      </c>
      <c r="O562" s="1">
        <v>-0.008527130290880924</v>
      </c>
      <c r="P562" s="1">
        <v>-0.04595843301925573</v>
      </c>
      <c r="Q562" s="1">
        <v>0.01710173710363749</v>
      </c>
      <c r="R562" s="1">
        <v>-0.017532821546697</v>
      </c>
      <c r="S562" s="1">
        <v>0.007578679183031678</v>
      </c>
      <c r="T562" s="1">
        <v>-0.01065996389774537</v>
      </c>
      <c r="U562" s="1">
        <v>0.006053266358166942</v>
      </c>
      <c r="V562" s="1">
        <v>-0.02518491251851818</v>
      </c>
      <c r="W562" s="1">
        <v>-0.01459364121543727</v>
      </c>
      <c r="X562" s="1">
        <v>-0.01457961610781333</v>
      </c>
      <c r="Y562" s="1">
        <v>0.00509918837551715</v>
      </c>
      <c r="Z562" s="1">
        <v>-0.02291483473463585</v>
      </c>
    </row>
    <row r="563" spans="1:26">
      <c r="A563" s="11">
        <v>43187</v>
      </c>
      <c r="B563" s="1">
        <v>-0.003468221206034072</v>
      </c>
      <c r="C563" s="1">
        <v>-0.003425510527093945</v>
      </c>
      <c r="D563" s="1">
        <v>-0.01572405072504424</v>
      </c>
      <c r="E563" s="1">
        <v>0.002563778810047879</v>
      </c>
      <c r="F563" s="1">
        <v>0.008790704880712319</v>
      </c>
      <c r="G563" s="1">
        <v>-0.00516807130849406</v>
      </c>
      <c r="H563" s="1">
        <v>0.01686552870398206</v>
      </c>
      <c r="I563" s="1">
        <v>-0.0005281577734167486</v>
      </c>
      <c r="J563" s="1">
        <v>-0.003674824090233231</v>
      </c>
      <c r="K563" s="1">
        <v>-0.0008743290516872726</v>
      </c>
      <c r="L563" s="1">
        <v>-0.001571818027298444</v>
      </c>
      <c r="M563" s="1">
        <v>-0.007761393132752925</v>
      </c>
      <c r="N563" s="1">
        <v>0.02849174906798169</v>
      </c>
      <c r="O563" s="1">
        <v>0.006143298992866031</v>
      </c>
      <c r="P563" s="1">
        <v>-0.0008941324185223198</v>
      </c>
      <c r="Q563" s="1">
        <v>-0.002943062377084638</v>
      </c>
      <c r="R563" s="1">
        <v>0.00970552024674709</v>
      </c>
      <c r="S563" s="1">
        <v>0.02029300948528978</v>
      </c>
      <c r="T563" s="1">
        <v>-0.01399996346703414</v>
      </c>
      <c r="U563" s="1">
        <v>0.01891129758455357</v>
      </c>
      <c r="V563" s="1">
        <v>0.009779632886972367</v>
      </c>
      <c r="W563" s="1">
        <v>-0.003387553998281834</v>
      </c>
      <c r="X563" s="1">
        <v>0.002611082082679239</v>
      </c>
      <c r="Y563" s="1">
        <v>0.01458395627053277</v>
      </c>
      <c r="Z563" s="1">
        <v>0.002883325159561911</v>
      </c>
    </row>
    <row r="564" spans="1:26">
      <c r="A564" s="11">
        <v>43188</v>
      </c>
      <c r="B564" s="1">
        <v>0.03025431375445486</v>
      </c>
      <c r="C564" s="1">
        <v>0.02456105412728116</v>
      </c>
      <c r="D564" s="1">
        <v>0.01863757013543688</v>
      </c>
      <c r="E564" s="1">
        <v>0.01086775899552905</v>
      </c>
      <c r="F564" s="1">
        <v>0.02674271198007849</v>
      </c>
      <c r="G564" s="1">
        <v>0.01669778514503006</v>
      </c>
      <c r="H564" s="1">
        <v>-0.002303721606262465</v>
      </c>
      <c r="I564" s="1">
        <v>0.02535042048184488</v>
      </c>
      <c r="J564" s="1">
        <v>0.01060392476754091</v>
      </c>
      <c r="K564" s="1">
        <v>0.02770538282903656</v>
      </c>
      <c r="L564" s="1">
        <v>0.01824098137347407</v>
      </c>
      <c r="M564" s="1">
        <v>0.01831106766845925</v>
      </c>
      <c r="N564" s="1">
        <v>-0.002082136843382099</v>
      </c>
      <c r="O564" s="1">
        <v>0.008547847763134664</v>
      </c>
      <c r="P564" s="1">
        <v>0.02103138101448998</v>
      </c>
      <c r="Q564" s="1">
        <v>0.008010788781596112</v>
      </c>
      <c r="R564" s="1">
        <v>0.02589124357015993</v>
      </c>
      <c r="S564" s="1">
        <v>-0.008559265675564975</v>
      </c>
      <c r="T564" s="1">
        <v>0.01783256726724369</v>
      </c>
      <c r="U564" s="1">
        <v>0.002530805768706124</v>
      </c>
      <c r="V564" s="1">
        <v>0.003613590843912329</v>
      </c>
      <c r="W564" s="1">
        <v>0.002622082244369439</v>
      </c>
      <c r="X564" s="1">
        <v>0.02378454449835532</v>
      </c>
      <c r="Y564" s="1">
        <v>-0.003749787214279432</v>
      </c>
      <c r="Z564" s="1">
        <v>0.01073406128127075</v>
      </c>
    </row>
    <row r="565" spans="1:26">
      <c r="A565" s="11">
        <v>43192</v>
      </c>
      <c r="B565" s="1">
        <v>-0.01507310587627742</v>
      </c>
      <c r="C565" s="1">
        <v>-0.01659152189733348</v>
      </c>
      <c r="D565" s="1">
        <v>-0.02475386142702396</v>
      </c>
      <c r="E565" s="1">
        <v>-0.01976297612482192</v>
      </c>
      <c r="F565" s="1">
        <v>-0.01902253815997923</v>
      </c>
      <c r="G565" s="1">
        <v>-0.01532871062590768</v>
      </c>
      <c r="H565" s="1">
        <v>-0.02447458471602093</v>
      </c>
      <c r="I565" s="1">
        <v>-0.02253458141519216</v>
      </c>
      <c r="J565" s="1">
        <v>-0.03558409058587853</v>
      </c>
      <c r="K565" s="1">
        <v>-0.03717399348595052</v>
      </c>
      <c r="L565" s="1">
        <v>-0.01927821122594353</v>
      </c>
      <c r="M565" s="1">
        <v>-0.05132664835105516</v>
      </c>
      <c r="N565" s="1">
        <v>-0.02904355536670056</v>
      </c>
      <c r="O565" s="1">
        <v>-0.01961480994622244</v>
      </c>
      <c r="P565" s="1">
        <v>-0.03013014111099932</v>
      </c>
      <c r="Q565" s="1">
        <v>-0.002509784403203819</v>
      </c>
      <c r="R565" s="1">
        <v>-0.02659810484546554</v>
      </c>
      <c r="S565" s="1">
        <v>-0.004890817795487057</v>
      </c>
      <c r="T565" s="1">
        <v>-0.02611460098221352</v>
      </c>
      <c r="U565" s="1">
        <v>-0.01542785952644321</v>
      </c>
      <c r="V565" s="1">
        <v>-0.006481281632010893</v>
      </c>
      <c r="W565" s="1">
        <v>-0.01608049056739347</v>
      </c>
      <c r="X565" s="1">
        <v>-0.0223840558953976</v>
      </c>
      <c r="Y565" s="1">
        <v>-0.01380150120430057</v>
      </c>
      <c r="Z565" s="1">
        <v>-0.02579150463223379</v>
      </c>
    </row>
    <row r="566" spans="1:26">
      <c r="A566" s="11">
        <v>43193</v>
      </c>
      <c r="B566" s="1">
        <v>0.002638637326263238</v>
      </c>
      <c r="C566" s="1">
        <v>0.02598926705797977</v>
      </c>
      <c r="D566" s="1">
        <v>0.00930135372391816</v>
      </c>
      <c r="E566" s="1">
        <v>0.01241964682598651</v>
      </c>
      <c r="F566" s="1">
        <v>0.004200423500943629</v>
      </c>
      <c r="G566" s="1">
        <v>0.003706634425165056</v>
      </c>
      <c r="H566" s="1">
        <v>0.0007103748294359225</v>
      </c>
      <c r="I566" s="1">
        <v>0.008035822837410445</v>
      </c>
      <c r="J566" s="1">
        <v>0.00851461241649587</v>
      </c>
      <c r="K566" s="1">
        <v>0.01473600974702971</v>
      </c>
      <c r="L566" s="1">
        <v>0.01372310503895946</v>
      </c>
      <c r="M566" s="1">
        <v>0.02999636697350527</v>
      </c>
      <c r="N566" s="1">
        <v>0.03553119086436407</v>
      </c>
      <c r="O566" s="1">
        <v>0.003581662900669969</v>
      </c>
      <c r="P566" s="1">
        <v>0.0134428144653187</v>
      </c>
      <c r="Q566" s="1">
        <v>0.007128211676290963</v>
      </c>
      <c r="R566" s="1">
        <v>0.02018311086443325</v>
      </c>
      <c r="S566" s="1">
        <v>0.006068219452562529</v>
      </c>
      <c r="T566" s="1">
        <v>0.02917165641685004</v>
      </c>
      <c r="U566" s="1">
        <v>0.007692706724545584</v>
      </c>
      <c r="V566" s="1">
        <v>0.007973204139441803</v>
      </c>
      <c r="W566" s="1">
        <v>0.01742625655920471</v>
      </c>
      <c r="X566" s="1">
        <v>0.009193106544752805</v>
      </c>
      <c r="Y566" s="1">
        <v>0.007209331039896627</v>
      </c>
      <c r="Z566" s="1">
        <v>0.01109579970640984</v>
      </c>
    </row>
    <row r="567" spans="1:26">
      <c r="A567" s="11">
        <v>43194</v>
      </c>
      <c r="B567" s="1">
        <v>0.004999965744618695</v>
      </c>
      <c r="C567" s="1">
        <v>-0.010216984004501</v>
      </c>
      <c r="D567" s="1">
        <v>0.006091875856897744</v>
      </c>
      <c r="E567" s="1">
        <v>0.003345406032341902</v>
      </c>
      <c r="F567" s="1">
        <v>0.02509689285420991</v>
      </c>
      <c r="G567" s="1">
        <v>0.004431191396288003</v>
      </c>
      <c r="H567" s="1">
        <v>0.02246922191342637</v>
      </c>
      <c r="I567" s="1">
        <v>-0.02920800918336319</v>
      </c>
      <c r="J567" s="1">
        <v>0.01031880027031251</v>
      </c>
      <c r="K567" s="1">
        <v>0.01655586250950414</v>
      </c>
      <c r="L567" s="1">
        <v>0.0151829967542374</v>
      </c>
      <c r="M567" s="1">
        <v>0.006967807711884877</v>
      </c>
      <c r="N567" s="1">
        <v>0.01101190309076072</v>
      </c>
      <c r="O567" s="1">
        <v>0.008860735564414579</v>
      </c>
      <c r="P567" s="1">
        <v>0.02920543024445443</v>
      </c>
      <c r="Q567" s="1">
        <v>0.007077133296279792</v>
      </c>
      <c r="R567" s="1">
        <v>0.02465429757664261</v>
      </c>
      <c r="S567" s="1">
        <v>0.01704680308752815</v>
      </c>
      <c r="T567" s="1">
        <v>0.008752607220428033</v>
      </c>
      <c r="U567" s="1">
        <v>0.0144187664501072</v>
      </c>
      <c r="V567" s="1">
        <v>0.03351095676034666</v>
      </c>
      <c r="W567" s="1">
        <v>0.01277373986183994</v>
      </c>
      <c r="X567" s="1">
        <v>0.001719012909830786</v>
      </c>
      <c r="Y567" s="1">
        <v>0.009052645873206089</v>
      </c>
      <c r="Z567" s="1">
        <v>0.01752010136169813</v>
      </c>
    </row>
    <row r="568" spans="1:26">
      <c r="A568" s="11">
        <v>43195</v>
      </c>
      <c r="B568" s="1">
        <v>0.01466359897877711</v>
      </c>
      <c r="C568" s="1">
        <v>0.02736387909957738</v>
      </c>
      <c r="D568" s="1">
        <v>0.01723342674141226</v>
      </c>
      <c r="E568" s="1">
        <v>-0.004314368653268397</v>
      </c>
      <c r="F568" s="1">
        <v>0.008452525566257973</v>
      </c>
      <c r="G568" s="1">
        <v>0.003309024693055163</v>
      </c>
      <c r="H568" s="1">
        <v>0.005783041840517811</v>
      </c>
      <c r="I568" s="1">
        <v>0.01864419174333287</v>
      </c>
      <c r="J568" s="1">
        <v>0.0004644218775460285</v>
      </c>
      <c r="K568" s="1">
        <v>-0.01142874309099562</v>
      </c>
      <c r="L568" s="1">
        <v>0.01313036916236454</v>
      </c>
      <c r="M568" s="1">
        <v>0.008871680942147631</v>
      </c>
      <c r="N568" s="1">
        <v>0.01878471248954261</v>
      </c>
      <c r="O568" s="1">
        <v>0.001951330034217769</v>
      </c>
      <c r="P568" s="1">
        <v>0.0005415674625404154</v>
      </c>
      <c r="Q568" s="1">
        <v>0.009921797029838419</v>
      </c>
      <c r="R568" s="1">
        <v>0.01500067851906328</v>
      </c>
      <c r="S568" s="1">
        <v>-0.01313461773013802</v>
      </c>
      <c r="T568" s="1">
        <v>0.0009081366716101602</v>
      </c>
      <c r="U568" s="1">
        <v>0.007246623356593984</v>
      </c>
      <c r="V568" s="1">
        <v>0.008071136846209415</v>
      </c>
      <c r="W568" s="1">
        <v>0.0121342854457207</v>
      </c>
      <c r="X568" s="1">
        <v>0.02230597335357976</v>
      </c>
      <c r="Y568" s="1">
        <v>0.00646777413476185</v>
      </c>
      <c r="Z568" s="1">
        <v>0.000757077121093408</v>
      </c>
    </row>
    <row r="569" spans="1:26">
      <c r="A569" s="11">
        <v>43196</v>
      </c>
      <c r="B569" s="1">
        <v>-0.01058067282255626</v>
      </c>
      <c r="C569" s="1">
        <v>-0.03055903539362381</v>
      </c>
      <c r="D569" s="1">
        <v>-0.02487807966132838</v>
      </c>
      <c r="E569" s="1">
        <v>-0.02294987547928939</v>
      </c>
      <c r="F569" s="1">
        <v>-0.01387289699145022</v>
      </c>
      <c r="G569" s="1">
        <v>-0.01465730413598565</v>
      </c>
      <c r="H569" s="1">
        <v>0.005749132183594741</v>
      </c>
      <c r="I569" s="1">
        <v>-0.0393154888103584</v>
      </c>
      <c r="J569" s="1">
        <v>-0.03573072844432079</v>
      </c>
      <c r="K569" s="1">
        <v>-0.02774583527746399</v>
      </c>
      <c r="L569" s="1">
        <v>-0.0249370556083347</v>
      </c>
      <c r="M569" s="1">
        <v>-0.02761161727029871</v>
      </c>
      <c r="N569" s="1">
        <v>-0.01069102076635797</v>
      </c>
      <c r="O569" s="1">
        <v>-0.01728774634664509</v>
      </c>
      <c r="P569" s="1">
        <v>-0.02327326699349996</v>
      </c>
      <c r="Q569" s="1">
        <v>-0.007368164563376411</v>
      </c>
      <c r="R569" s="1">
        <v>-0.03043645775943049</v>
      </c>
      <c r="S569" s="1">
        <v>-0.01032944469529051</v>
      </c>
      <c r="T569" s="1">
        <v>-0.02799762016338969</v>
      </c>
      <c r="U569" s="1">
        <v>-0.01411194120950066</v>
      </c>
      <c r="V569" s="1">
        <v>-0.002070702517523504</v>
      </c>
      <c r="W569" s="1">
        <v>-0.02973649383975441</v>
      </c>
      <c r="X569" s="1">
        <v>-0.02870074677671219</v>
      </c>
      <c r="Y569" s="1">
        <v>-0.01575432077783978</v>
      </c>
      <c r="Z569" s="1">
        <v>-0.02741527951302569</v>
      </c>
    </row>
    <row r="570" spans="1:26">
      <c r="A570" s="11">
        <v>43199</v>
      </c>
      <c r="B570" s="1">
        <v>0.002868941640059353</v>
      </c>
      <c r="C570" s="1">
        <v>-0.01116135856914802</v>
      </c>
      <c r="D570" s="1">
        <v>0.01408665443019874</v>
      </c>
      <c r="E570" s="1">
        <v>-0.006570262552761386</v>
      </c>
      <c r="F570" s="1">
        <v>-0.004982333744586231</v>
      </c>
      <c r="G570" s="1">
        <v>0.008925001412385614</v>
      </c>
      <c r="H570" s="1">
        <v>-0.01074745381906017</v>
      </c>
      <c r="I570" s="1">
        <v>-0.01671344770083283</v>
      </c>
      <c r="J570" s="1">
        <v>0.005293628526526373</v>
      </c>
      <c r="K570" s="1">
        <v>-0.01129612061661256</v>
      </c>
      <c r="L570" s="1">
        <v>0.01200825769243363</v>
      </c>
      <c r="M570" s="1">
        <v>-0.007958225870698055</v>
      </c>
      <c r="N570" s="1">
        <v>-0.009397018023143411</v>
      </c>
      <c r="O570" s="1">
        <v>0.00342311237015025</v>
      </c>
      <c r="P570" s="1">
        <v>0.005984280971872424</v>
      </c>
      <c r="Q570" s="1">
        <v>-0.004123913110042454</v>
      </c>
      <c r="R570" s="1">
        <v>-0.01101679403961486</v>
      </c>
      <c r="S570" s="1">
        <v>0.002709602450599924</v>
      </c>
      <c r="T570" s="1">
        <v>0.008840823244040452</v>
      </c>
      <c r="U570" s="1">
        <v>0.005776716726082043</v>
      </c>
      <c r="V570" s="1">
        <v>-0.01120479415564068</v>
      </c>
      <c r="W570" s="1">
        <v>0.01941036295541876</v>
      </c>
      <c r="X570" s="1">
        <v>-0.002592064884188061</v>
      </c>
      <c r="Y570" s="1">
        <v>0.0006396233995944467</v>
      </c>
      <c r="Z570" s="1">
        <v>0.003693761425516806</v>
      </c>
    </row>
    <row r="571" spans="1:26">
      <c r="A571" s="11">
        <v>43200</v>
      </c>
      <c r="B571" s="1">
        <v>0.02158685685966866</v>
      </c>
      <c r="C571" s="1">
        <v>0.03829680010197611</v>
      </c>
      <c r="D571" s="1">
        <v>0.02176281461932006</v>
      </c>
      <c r="E571" s="1">
        <v>0.01207003244094684</v>
      </c>
      <c r="F571" s="1">
        <v>-0.002651153515113691</v>
      </c>
      <c r="G571" s="1">
        <v>-0.001105733721112334</v>
      </c>
      <c r="H571" s="1">
        <v>-0.007457591187639223</v>
      </c>
      <c r="I571" s="1">
        <v>0.03532443760232584</v>
      </c>
      <c r="J571" s="1">
        <v>0.04116809973219882</v>
      </c>
      <c r="K571" s="1">
        <v>0.01383055078924111</v>
      </c>
      <c r="L571" s="1">
        <v>0.01911228242504115</v>
      </c>
      <c r="M571" s="1">
        <v>-0.01312679301430431</v>
      </c>
      <c r="N571" s="1">
        <v>0.01533626648478648</v>
      </c>
      <c r="O571" s="1">
        <v>0.01352045684916647</v>
      </c>
      <c r="P571" s="1">
        <v>0.02324559363979972</v>
      </c>
      <c r="Q571" s="1">
        <v>-0.001656042910239575</v>
      </c>
      <c r="R571" s="1">
        <v>0.03372500965834124</v>
      </c>
      <c r="S571" s="1">
        <v>0.003152858261246339</v>
      </c>
      <c r="T571" s="1">
        <v>-0.002441399711294423</v>
      </c>
      <c r="U571" s="1">
        <v>0.01819726851400705</v>
      </c>
      <c r="V571" s="1">
        <v>0.0183267383478336</v>
      </c>
      <c r="W571" s="1">
        <v>0.02691480267945279</v>
      </c>
      <c r="X571" s="1">
        <v>0.01143460477737923</v>
      </c>
      <c r="Y571" s="1">
        <v>0.02877247475</v>
      </c>
      <c r="Z571" s="1">
        <v>0.01491368481115662</v>
      </c>
    </row>
    <row r="572" spans="1:26">
      <c r="A572" s="11">
        <v>43201</v>
      </c>
      <c r="B572" s="1">
        <v>0.009164757063585549</v>
      </c>
      <c r="C572" s="1">
        <v>-0.02230971678143789</v>
      </c>
      <c r="D572" s="1">
        <v>-0.01903316610656081</v>
      </c>
      <c r="E572" s="1">
        <v>-0.01682713011355086</v>
      </c>
      <c r="F572" s="1">
        <v>-0.008860064141501978</v>
      </c>
      <c r="G572" s="1">
        <v>-0.009962890741021524</v>
      </c>
      <c r="H572" s="1">
        <v>0.005869850751189842</v>
      </c>
      <c r="I572" s="1">
        <v>-0.02432238567334033</v>
      </c>
      <c r="J572" s="1">
        <v>-0.007356760227418491</v>
      </c>
      <c r="K572" s="1">
        <v>0.01720033759832185</v>
      </c>
      <c r="L572" s="1">
        <v>-0.01679852839716123</v>
      </c>
      <c r="M572" s="1">
        <v>-0.01163848662958356</v>
      </c>
      <c r="N572" s="1">
        <v>-0.005917493205644386</v>
      </c>
      <c r="O572" s="1">
        <v>-0.006364441931364317</v>
      </c>
      <c r="P572" s="1">
        <v>-0.01098164394289303</v>
      </c>
      <c r="Q572" s="1">
        <v>-0.005392133758627793</v>
      </c>
      <c r="R572" s="1">
        <v>-0.01048130386846846</v>
      </c>
      <c r="S572" s="1">
        <v>-0.008830466659178859</v>
      </c>
      <c r="T572" s="1">
        <v>0.001185005764385627</v>
      </c>
      <c r="U572" s="1">
        <v>-0.01563809546131745</v>
      </c>
      <c r="V572" s="1">
        <v>0.0004122159306536588</v>
      </c>
      <c r="W572" s="1">
        <v>-0.01115316333205985</v>
      </c>
      <c r="X572" s="1">
        <v>0.00445343378055485</v>
      </c>
      <c r="Y572" s="1">
        <v>-0.01429492877490035</v>
      </c>
      <c r="Z572" s="1">
        <v>-0.004961730242430962</v>
      </c>
    </row>
    <row r="573" spans="1:26">
      <c r="A573" s="11">
        <v>43202</v>
      </c>
      <c r="B573" s="1">
        <v>-0.006559074814834975</v>
      </c>
      <c r="C573" s="1">
        <v>0.03091397548542307</v>
      </c>
      <c r="D573" s="1">
        <v>0.01278096972286069</v>
      </c>
      <c r="E573" s="1">
        <v>-0.02226648182616908</v>
      </c>
      <c r="F573" s="1">
        <v>-0.01281267911527273</v>
      </c>
      <c r="G573" s="1">
        <v>-0.01118170262194385</v>
      </c>
      <c r="H573" s="1">
        <v>-0.003968468448111939</v>
      </c>
      <c r="I573" s="1">
        <v>0.04050942430675142</v>
      </c>
      <c r="J573" s="1">
        <v>0.01621141711959484</v>
      </c>
      <c r="K573" s="1">
        <v>-0.002624117114337521</v>
      </c>
      <c r="L573" s="1">
        <v>0.02486028113192496</v>
      </c>
      <c r="M573" s="1">
        <v>0.02691581844511393</v>
      </c>
      <c r="N573" s="1">
        <v>-0.006892106262405995</v>
      </c>
      <c r="O573" s="1">
        <v>0.009853710096993984</v>
      </c>
      <c r="P573" s="1">
        <v>0.01872395443260366</v>
      </c>
      <c r="Q573" s="1">
        <v>-0.01918269330349043</v>
      </c>
      <c r="R573" s="1">
        <v>0.01715640382825345</v>
      </c>
      <c r="S573" s="1">
        <v>-0.0119284551024138</v>
      </c>
      <c r="T573" s="1">
        <v>-0.005094717168340313</v>
      </c>
      <c r="U573" s="1">
        <v>-0.002553056393250208</v>
      </c>
      <c r="V573" s="1">
        <v>-0.005355798285728186</v>
      </c>
      <c r="W573" s="1">
        <v>0.00253779522086961</v>
      </c>
      <c r="X573" s="1">
        <v>0.006991717463457725</v>
      </c>
      <c r="Y573" s="1">
        <v>0.003362803720772023</v>
      </c>
      <c r="Z573" s="1">
        <v>0.03816606844956594</v>
      </c>
    </row>
    <row r="574" spans="1:26">
      <c r="A574" s="11">
        <v>43203</v>
      </c>
      <c r="B574" s="1">
        <v>0.03148797678753068</v>
      </c>
      <c r="C574" s="1">
        <v>-0.02429793129599955</v>
      </c>
      <c r="D574" s="1">
        <v>-0.0007601774373343639</v>
      </c>
      <c r="E574" s="1">
        <v>-0.003229339711276369</v>
      </c>
      <c r="F574" s="1">
        <v>-0.003320267526606746</v>
      </c>
      <c r="G574" s="1">
        <v>0.005276790443517587</v>
      </c>
      <c r="H574" s="1">
        <v>-0.005155468646685368</v>
      </c>
      <c r="I574" s="1">
        <v>-0.001863228059802102</v>
      </c>
      <c r="J574" s="1">
        <v>-0.007748188606419459</v>
      </c>
      <c r="K574" s="1">
        <v>-0.003799740385594497</v>
      </c>
      <c r="L574" s="1">
        <v>-0.02707994089227639</v>
      </c>
      <c r="M574" s="1">
        <v>0.002366301776096424</v>
      </c>
      <c r="N574" s="1">
        <v>0.008674779738514271</v>
      </c>
      <c r="O574" s="1">
        <v>-0.0002438191629073883</v>
      </c>
      <c r="P574" s="1">
        <v>-0.005342979867311581</v>
      </c>
      <c r="Q574" s="1">
        <v>0.0012757007955293</v>
      </c>
      <c r="R574" s="1">
        <v>-0.004546762616364775</v>
      </c>
      <c r="S574" s="1">
        <v>0.004941055891307444</v>
      </c>
      <c r="T574" s="1">
        <v>-0.003155299080210616</v>
      </c>
      <c r="U574" s="1">
        <v>-0.0005688122988718458</v>
      </c>
      <c r="V574" s="1">
        <v>-0.0125639301150382</v>
      </c>
      <c r="W574" s="1">
        <v>0.00478114531843099</v>
      </c>
      <c r="X574" s="1">
        <v>-0.008975217350075448</v>
      </c>
      <c r="Y574" s="1">
        <v>-0.001675546086526314</v>
      </c>
      <c r="Z574" s="1">
        <v>-0.0236468318693307</v>
      </c>
    </row>
    <row r="575" spans="1:26">
      <c r="A575" s="11">
        <v>43206</v>
      </c>
      <c r="B575" s="1">
        <v>0.004185371380268199</v>
      </c>
      <c r="C575" s="1">
        <v>0.007562174090938401</v>
      </c>
      <c r="D575" s="1">
        <v>0.008673082029129864</v>
      </c>
      <c r="E575" s="1">
        <v>-0.07791974893917497</v>
      </c>
      <c r="F575" s="1">
        <v>0.01544516535347062</v>
      </c>
      <c r="G575" s="1">
        <v>0.01499814094272534</v>
      </c>
      <c r="H575" s="1">
        <v>0.008480757638510417</v>
      </c>
      <c r="I575" s="1">
        <v>-0.00666767693814263</v>
      </c>
      <c r="J575" s="1">
        <v>0.003674824090233342</v>
      </c>
      <c r="K575" s="1">
        <v>0.01819235782406126</v>
      </c>
      <c r="L575" s="1">
        <v>-0.000815760080284833</v>
      </c>
      <c r="M575" s="1">
        <v>-0.003268665281457417</v>
      </c>
      <c r="N575" s="1">
        <v>0.004691331243556363</v>
      </c>
      <c r="O575" s="1">
        <v>0.02000742721267623</v>
      </c>
      <c r="P575" s="1">
        <v>0.01171038164587701</v>
      </c>
      <c r="Q575" s="1">
        <v>0.01443717841871051</v>
      </c>
      <c r="R575" s="1">
        <v>0.02431124820904929</v>
      </c>
      <c r="S575" s="1">
        <v>-0.0009627142003568734</v>
      </c>
      <c r="T575" s="1">
        <v>0.006434564023928058</v>
      </c>
      <c r="U575" s="1">
        <v>0.01422865759148095</v>
      </c>
      <c r="V575" s="1">
        <v>0.006711350118570714</v>
      </c>
      <c r="W575" s="1">
        <v>0.007278084851932265</v>
      </c>
      <c r="X575" s="1">
        <v>0.01555012430530911</v>
      </c>
      <c r="Y575" s="1">
        <v>0.01531650204291957</v>
      </c>
      <c r="Z575" s="1">
        <v>0.008704111679587845</v>
      </c>
    </row>
    <row r="576" spans="1:26">
      <c r="A576" s="11">
        <v>43207</v>
      </c>
      <c r="B576" s="1">
        <v>0.01372874652902079</v>
      </c>
      <c r="C576" s="1">
        <v>0.01491987694047769</v>
      </c>
      <c r="D576" s="1">
        <v>0.008598770766002906</v>
      </c>
      <c r="E576" s="1">
        <v>-0.03143491010936417</v>
      </c>
      <c r="F576" s="1">
        <v>-0.007754213377775265</v>
      </c>
      <c r="G576" s="1">
        <v>0.003694130151015607</v>
      </c>
      <c r="H576" s="1">
        <v>-0.006540641452338014</v>
      </c>
      <c r="I576" s="1">
        <v>0.001140948385607743</v>
      </c>
      <c r="J576" s="1">
        <v>0.009153246871584919</v>
      </c>
      <c r="K576" s="1">
        <v>-0.01181560943612514</v>
      </c>
      <c r="L576" s="1">
        <v>0</v>
      </c>
      <c r="M576" s="1">
        <v>-0.01129521740694517</v>
      </c>
      <c r="N576" s="1">
        <v>-0.004202505231338916</v>
      </c>
      <c r="O576" s="1">
        <v>0.005022561450955143</v>
      </c>
      <c r="P576" s="1">
        <v>0.02017622232155292</v>
      </c>
      <c r="Q576" s="1">
        <v>0.01046503813715938</v>
      </c>
      <c r="R576" s="1">
        <v>0.003164542706179052</v>
      </c>
      <c r="S576" s="1">
        <v>0.007508900858458567</v>
      </c>
      <c r="T576" s="1">
        <v>0.02709373451977815</v>
      </c>
      <c r="U576" s="1">
        <v>-0.007856185658119963</v>
      </c>
      <c r="V576" s="1">
        <v>0.006249936729918693</v>
      </c>
      <c r="W576" s="1">
        <v>0.01074530874997981</v>
      </c>
      <c r="X576" s="1">
        <v>0.008581503387613099</v>
      </c>
      <c r="Y576" s="1">
        <v>0.009505847108144394</v>
      </c>
      <c r="Z576" s="1">
        <v>-0.02607403678738474</v>
      </c>
    </row>
    <row r="577" spans="1:26">
      <c r="A577" s="11">
        <v>43208</v>
      </c>
      <c r="B577" s="1">
        <v>0.03603362981670921</v>
      </c>
      <c r="C577" s="1">
        <v>0.01271093489605168</v>
      </c>
      <c r="D577" s="1">
        <v>0.005384309407552967</v>
      </c>
      <c r="E577" s="1">
        <v>-0.001527291134434838</v>
      </c>
      <c r="F577" s="1">
        <v>0</v>
      </c>
      <c r="G577" s="1">
        <v>-0.00110401584184272</v>
      </c>
      <c r="H577" s="1">
        <v>-0.01622409730136942</v>
      </c>
      <c r="I577" s="1">
        <v>0.004157198940746065</v>
      </c>
      <c r="J577" s="1">
        <v>-0.0009071272086499382</v>
      </c>
      <c r="K577" s="1">
        <v>0.004374537639248111</v>
      </c>
      <c r="L577" s="1">
        <v>-0.008075344044582988</v>
      </c>
      <c r="M577" s="1">
        <v>0.02856072076535154</v>
      </c>
      <c r="N577" s="1">
        <v>-0.03876193101268721</v>
      </c>
      <c r="O577" s="1">
        <v>-0.001427504472843899</v>
      </c>
      <c r="P577" s="1">
        <v>0.003851393683683257</v>
      </c>
      <c r="Q577" s="1">
        <v>-0.007871095471103984</v>
      </c>
      <c r="R577" s="1">
        <v>0.01634625412984203</v>
      </c>
      <c r="S577" s="1">
        <v>-0.003273162984923972</v>
      </c>
      <c r="T577" s="1">
        <v>0.006174131610880762</v>
      </c>
      <c r="U577" s="1">
        <v>-0.004242281660320035</v>
      </c>
      <c r="V577" s="1">
        <v>0.001104289606773667</v>
      </c>
      <c r="W577" s="1">
        <v>0.00595706826460618</v>
      </c>
      <c r="X577" s="1">
        <v>0.06756780405264129</v>
      </c>
      <c r="Y577" s="1">
        <v>-0.004707891366942829</v>
      </c>
      <c r="Z577" s="1">
        <v>0.003081876276616269</v>
      </c>
    </row>
    <row r="578" spans="1:26">
      <c r="A578" s="11">
        <v>43209</v>
      </c>
      <c r="B578" s="1">
        <v>-0.01890743957263041</v>
      </c>
      <c r="C578" s="1">
        <v>-0.001055769347758306</v>
      </c>
      <c r="D578" s="1">
        <v>-0.003570467954989831</v>
      </c>
      <c r="E578" s="1">
        <v>-0.01319353072998319</v>
      </c>
      <c r="F578" s="1">
        <v>0.006312075336823986</v>
      </c>
      <c r="G578" s="1">
        <v>-0.005895434847906333</v>
      </c>
      <c r="H578" s="1">
        <v>-0.01362264090877741</v>
      </c>
      <c r="I578" s="1">
        <v>-0.01115029613716834</v>
      </c>
      <c r="J578" s="1">
        <v>-0.01679534350263112</v>
      </c>
      <c r="K578" s="1">
        <v>-0.01248539897952139</v>
      </c>
      <c r="L578" s="1">
        <v>0.02195360430233584</v>
      </c>
      <c r="M578" s="1">
        <v>-0.0182728837950058</v>
      </c>
      <c r="N578" s="1">
        <v>-0.06048791781630558</v>
      </c>
      <c r="O578" s="1">
        <v>-0.006673848580461383</v>
      </c>
      <c r="P578" s="1">
        <v>-0.003421517262365725</v>
      </c>
      <c r="Q578" s="1">
        <v>0.002087575526798391</v>
      </c>
      <c r="R578" s="1">
        <v>-0.01749459241583973</v>
      </c>
      <c r="S578" s="1">
        <v>-0.02086704248764459</v>
      </c>
      <c r="T578" s="1">
        <v>-0.01169889692594472</v>
      </c>
      <c r="U578" s="1">
        <v>-0.01107647518766774</v>
      </c>
      <c r="V578" s="1">
        <v>-0.02137024325121561</v>
      </c>
      <c r="W578" s="1">
        <v>-0.0115702951983061</v>
      </c>
      <c r="X578" s="1">
        <v>0.02328460419788803</v>
      </c>
      <c r="Y578" s="1">
        <v>-0.003907736323216726</v>
      </c>
      <c r="Z578" s="1">
        <v>0.02169742890181414</v>
      </c>
    </row>
    <row r="579" spans="1:26">
      <c r="A579" s="11">
        <v>43210</v>
      </c>
      <c r="B579" s="1">
        <v>-0.007898417452416817</v>
      </c>
      <c r="C579" s="1">
        <v>-0.005783120763584115</v>
      </c>
      <c r="D579" s="1">
        <v>0.001045153467803317</v>
      </c>
      <c r="E579" s="1">
        <v>-0.008525230113582749</v>
      </c>
      <c r="F579" s="1">
        <v>-0.008064730242834051</v>
      </c>
      <c r="G579" s="1">
        <v>-0.01111926755145531</v>
      </c>
      <c r="H579" s="1">
        <v>-0.02205058796751758</v>
      </c>
      <c r="I579" s="1">
        <v>-0.007697284552590333</v>
      </c>
      <c r="J579" s="1">
        <v>-0.006002020573651956</v>
      </c>
      <c r="K579" s="1">
        <v>0.007644974564356755</v>
      </c>
      <c r="L579" s="1">
        <v>-0.002237672472498842</v>
      </c>
      <c r="M579" s="1">
        <v>-0.0005472671237135573</v>
      </c>
      <c r="N579" s="1">
        <v>-0.009518911470382752</v>
      </c>
      <c r="O579" s="1">
        <v>-0.00539882972768424</v>
      </c>
      <c r="P579" s="1">
        <v>-0.01154962779864244</v>
      </c>
      <c r="Q579" s="1">
        <v>-0.010416551257033</v>
      </c>
      <c r="R579" s="1">
        <v>-0.006604871446837635</v>
      </c>
      <c r="S579" s="1">
        <v>-0.005366859475815389</v>
      </c>
      <c r="T579" s="1">
        <v>-0.009591517003679328</v>
      </c>
      <c r="U579" s="1">
        <v>-0.004307619973547006</v>
      </c>
      <c r="V579" s="1">
        <v>-0.009298566765611138</v>
      </c>
      <c r="W579" s="1">
        <v>-0.005069462225655408</v>
      </c>
      <c r="X579" s="1">
        <v>0.001680024132604929</v>
      </c>
      <c r="Y579" s="1">
        <v>-0.01094361145201839</v>
      </c>
      <c r="Z579" s="1">
        <v>0.01108808397487082</v>
      </c>
    </row>
    <row r="580" spans="1:26">
      <c r="A580" s="11">
        <v>43213</v>
      </c>
      <c r="B580" s="1">
        <v>0.001929866104226186</v>
      </c>
      <c r="C580" s="1">
        <v>0.0005018779493797254</v>
      </c>
      <c r="D580" s="1">
        <v>0.001938991437030246</v>
      </c>
      <c r="E580" s="1">
        <v>-0.005276396505369041</v>
      </c>
      <c r="F580" s="1">
        <v>0.01987369546741791</v>
      </c>
      <c r="G580" s="1">
        <v>-0.02773617475546974</v>
      </c>
      <c r="H580" s="1">
        <v>0.01189312845375645</v>
      </c>
      <c r="I580" s="1">
        <v>-0.006260355720083211</v>
      </c>
      <c r="J580" s="1">
        <v>-0.006967060784340173</v>
      </c>
      <c r="K580" s="1">
        <v>-0.003501818073404439</v>
      </c>
      <c r="L580" s="1">
        <v>-0.004844554370266985</v>
      </c>
      <c r="M580" s="1">
        <v>0.003833901937422501</v>
      </c>
      <c r="N580" s="1">
        <v>-0.01153239504936465</v>
      </c>
      <c r="O580" s="1">
        <v>0.006996195362281687</v>
      </c>
      <c r="P580" s="1">
        <v>0.003684513881539564</v>
      </c>
      <c r="Q580" s="1">
        <v>0.005052646833009655</v>
      </c>
      <c r="R580" s="1">
        <v>0.003324279736561131</v>
      </c>
      <c r="S580" s="1">
        <v>0.0007262224250010885</v>
      </c>
      <c r="T580" s="1">
        <v>-0.01192690742816371</v>
      </c>
      <c r="U580" s="1">
        <v>0.006345821672981256</v>
      </c>
      <c r="V580" s="1">
        <v>0.008959146515773453</v>
      </c>
      <c r="W580" s="1">
        <v>0.002130946792513244</v>
      </c>
      <c r="X580" s="1">
        <v>-0.01341671035187819</v>
      </c>
      <c r="Y580" s="1">
        <v>0.01586627347894831</v>
      </c>
      <c r="Z580" s="1">
        <v>0.008550225789920152</v>
      </c>
    </row>
    <row r="581" spans="1:26">
      <c r="A581" s="11">
        <v>43214</v>
      </c>
      <c r="B581" s="1">
        <v>-0.02143015011864347</v>
      </c>
      <c r="C581" s="1">
        <v>-0.02886316118921706</v>
      </c>
      <c r="D581" s="1">
        <v>-0.01533215496490226</v>
      </c>
      <c r="E581" s="1">
        <v>0.01335954867558264</v>
      </c>
      <c r="F581" s="1">
        <v>-0.01535312443346704</v>
      </c>
      <c r="G581" s="1">
        <v>-0.02235916023457152</v>
      </c>
      <c r="H581" s="1">
        <v>0.005876324576437719</v>
      </c>
      <c r="I581" s="1">
        <v>-0.05430040304396344</v>
      </c>
      <c r="J581" s="1">
        <v>-0.008418913520339522</v>
      </c>
      <c r="K581" s="1">
        <v>-0.0257683678115006</v>
      </c>
      <c r="L581" s="1">
        <v>-0.004687505907934875</v>
      </c>
      <c r="M581" s="1">
        <v>-0.020007206295929</v>
      </c>
      <c r="N581" s="1">
        <v>-0.02245001484118603</v>
      </c>
      <c r="O581" s="1">
        <v>-0.01090089337652955</v>
      </c>
      <c r="P581" s="1">
        <v>-0.02338759340750596</v>
      </c>
      <c r="Q581" s="1">
        <v>0.002513885695285323</v>
      </c>
      <c r="R581" s="1">
        <v>-0.06468791933287554</v>
      </c>
      <c r="S581" s="1">
        <v>0.004510245598312368</v>
      </c>
      <c r="T581" s="1">
        <v>-0.048051265010009</v>
      </c>
      <c r="U581" s="1">
        <v>0.003152418068526286</v>
      </c>
      <c r="V581" s="1">
        <v>-0.005919591654056533</v>
      </c>
      <c r="W581" s="1">
        <v>-0.01469861898114377</v>
      </c>
      <c r="X581" s="1">
        <v>-0.006799583214440741</v>
      </c>
      <c r="Y581" s="1">
        <v>0.02075589076530115</v>
      </c>
      <c r="Z581" s="1">
        <v>0.01529636675970547</v>
      </c>
    </row>
    <row r="582" spans="1:26">
      <c r="A582" s="11">
        <v>43215</v>
      </c>
      <c r="B582" s="1">
        <v>0.008858305207371187</v>
      </c>
      <c r="C582" s="1">
        <v>0.04193753121821886</v>
      </c>
      <c r="D582" s="1">
        <v>0.005593329532761482</v>
      </c>
      <c r="E582" s="1">
        <v>0.003489402127014207</v>
      </c>
      <c r="F582" s="1">
        <v>0.02728661899433371</v>
      </c>
      <c r="G582" s="1">
        <v>-0.01735028741781941</v>
      </c>
      <c r="H582" s="1">
        <v>0.01046772217738123</v>
      </c>
      <c r="I582" s="1">
        <v>-0.0007964573636307648</v>
      </c>
      <c r="J582" s="1">
        <v>0.005188392214422466</v>
      </c>
      <c r="K582" s="1">
        <v>0.01562947852547469</v>
      </c>
      <c r="L582" s="1">
        <v>-0.003803979574428129</v>
      </c>
      <c r="M582" s="1">
        <v>-0.0009278445337197461</v>
      </c>
      <c r="N582" s="1">
        <v>0.009764991249156196</v>
      </c>
      <c r="O582" s="1">
        <v>0.000484530524417881</v>
      </c>
      <c r="P582" s="1">
        <v>-0.008698461685893277</v>
      </c>
      <c r="Q582" s="1">
        <v>-0.0008357907552296595</v>
      </c>
      <c r="R582" s="1">
        <v>-0.0003080755966500259</v>
      </c>
      <c r="S582" s="1">
        <v>-0.0002578780807638292</v>
      </c>
      <c r="T582" s="1">
        <v>0.009862052772878993</v>
      </c>
      <c r="U582" s="1">
        <v>0.005714190675311759</v>
      </c>
      <c r="V582" s="1">
        <v>0.008648761263503335</v>
      </c>
      <c r="W582" s="1">
        <v>0.006098325229605628</v>
      </c>
      <c r="X582" s="1">
        <v>-0.01260278861636999</v>
      </c>
      <c r="Y582" s="1">
        <v>0.008657602881015469</v>
      </c>
      <c r="Z582" s="1">
        <v>0.003086157581930982</v>
      </c>
    </row>
    <row r="583" spans="1:26">
      <c r="A583" s="11">
        <v>43216</v>
      </c>
      <c r="B583" s="1">
        <v>-0.002927034574517373</v>
      </c>
      <c r="C583" s="1">
        <v>-0.0002040044351214743</v>
      </c>
      <c r="D583" s="1">
        <v>0.05216479167755828</v>
      </c>
      <c r="E583" s="1">
        <v>0.005409551297790083</v>
      </c>
      <c r="F583" s="1">
        <v>-0.02714535162070186</v>
      </c>
      <c r="G583" s="1">
        <v>0.007624424785756867</v>
      </c>
      <c r="H583" s="1">
        <v>0.005300033748234956</v>
      </c>
      <c r="I583" s="1">
        <v>-0.01210142815942072</v>
      </c>
      <c r="J583" s="1">
        <v>0.007977977636908662</v>
      </c>
      <c r="K583" s="1">
        <v>0.0162769325014267</v>
      </c>
      <c r="L583" s="1">
        <v>0.00100023530360005</v>
      </c>
      <c r="M583" s="1">
        <v>-0.009846013186646019</v>
      </c>
      <c r="N583" s="1">
        <v>-0.0191618643704371</v>
      </c>
      <c r="O583" s="1">
        <v>0.0006052905119469099</v>
      </c>
      <c r="P583" s="1">
        <v>0.02112417497263452</v>
      </c>
      <c r="Q583" s="1">
        <v>0.01547448585195865</v>
      </c>
      <c r="R583" s="1">
        <v>-0.009861457167100296</v>
      </c>
      <c r="S583" s="1">
        <v>0.03154216024872225</v>
      </c>
      <c r="T583" s="1">
        <v>-0.003890090225233123</v>
      </c>
      <c r="U583" s="1">
        <v>-0.0596589696324753</v>
      </c>
      <c r="V583" s="1">
        <v>0.0104021414100266</v>
      </c>
      <c r="W583" s="1">
        <v>-0.002937374502835044</v>
      </c>
      <c r="X583" s="1">
        <v>0.002521068508636093</v>
      </c>
      <c r="Y583" s="1">
        <v>-0.006786646736757551</v>
      </c>
      <c r="Z583" s="1">
        <v>-0.003438420147306998</v>
      </c>
    </row>
    <row r="584" spans="1:26">
      <c r="A584" s="11">
        <v>43217</v>
      </c>
      <c r="B584" s="1">
        <v>-0.0171234662819868</v>
      </c>
      <c r="C584" s="1">
        <v>-0.005571898348807225</v>
      </c>
      <c r="D584" s="1">
        <v>0.003143422377254845</v>
      </c>
      <c r="E584" s="1">
        <v>0.004419950199930689</v>
      </c>
      <c r="F584" s="1">
        <v>-0.04560455759665538</v>
      </c>
      <c r="G584" s="1">
        <v>0.0143371060796551</v>
      </c>
      <c r="H584" s="1">
        <v>0.008386701282377285</v>
      </c>
      <c r="I584" s="1">
        <v>0.00902211501185346</v>
      </c>
      <c r="J584" s="1">
        <v>0.006051957464893176</v>
      </c>
      <c r="K584" s="1">
        <v>0.003785754113286854</v>
      </c>
      <c r="L584" s="1">
        <v>-0.006357931279657336</v>
      </c>
      <c r="M584" s="1">
        <v>0.004315233703151344</v>
      </c>
      <c r="N584" s="1">
        <v>0.0248307114638211</v>
      </c>
      <c r="O584" s="1">
        <v>-0.002782461781052459</v>
      </c>
      <c r="P584" s="1">
        <v>0.01655000481291857</v>
      </c>
      <c r="Q584" s="1">
        <v>0.01764574427231103</v>
      </c>
      <c r="R584" s="1">
        <v>0.002334207229426566</v>
      </c>
      <c r="S584" s="1">
        <v>0.013161947524023</v>
      </c>
      <c r="T584" s="1">
        <v>0.0104238858445147</v>
      </c>
      <c r="U584" s="1">
        <v>-0.001812433667136348</v>
      </c>
      <c r="V584" s="1">
        <v>0.01349452592924139</v>
      </c>
      <c r="W584" s="1">
        <v>-0.004676563095263875</v>
      </c>
      <c r="X584" s="1">
        <v>-0.01100295340902246</v>
      </c>
      <c r="Y584" s="1">
        <v>0.03637457425087165</v>
      </c>
      <c r="Z584" s="1">
        <v>0.009624020612178708</v>
      </c>
    </row>
    <row r="585" spans="1:26">
      <c r="A585" s="11">
        <v>43220</v>
      </c>
      <c r="B585" s="1">
        <v>0.0191636473565544</v>
      </c>
      <c r="C585" s="1">
        <v>-0.02147402424281852</v>
      </c>
      <c r="D585" s="1">
        <v>-0.01011238464404252</v>
      </c>
      <c r="E585" s="1">
        <v>-0.00267818627582106</v>
      </c>
      <c r="F585" s="1">
        <v>-0.01320316541608657</v>
      </c>
      <c r="G585" s="1">
        <v>-0.005496974499483387</v>
      </c>
      <c r="H585" s="1">
        <v>-0.03089337582391971</v>
      </c>
      <c r="I585" s="1">
        <v>-0.01621094423516545</v>
      </c>
      <c r="J585" s="1">
        <v>-0.005553049751806705</v>
      </c>
      <c r="K585" s="1">
        <v>-0.01740630839675983</v>
      </c>
      <c r="L585" s="1">
        <v>-0.005667198744413904</v>
      </c>
      <c r="M585" s="1">
        <v>-0.01307666843404964</v>
      </c>
      <c r="N585" s="1">
        <v>-0.0003559488909841146</v>
      </c>
      <c r="O585" s="1">
        <v>-0.01128216075637534</v>
      </c>
      <c r="P585" s="1">
        <v>-0.0240030994902195</v>
      </c>
      <c r="Q585" s="1">
        <v>-0.004895843401236055</v>
      </c>
      <c r="R585" s="1">
        <v>-0.01148844752281164</v>
      </c>
      <c r="S585" s="1">
        <v>-0.003309708788021948</v>
      </c>
      <c r="T585" s="1">
        <v>-0.01993943431962619</v>
      </c>
      <c r="U585" s="1">
        <v>-0.01029115442563477</v>
      </c>
      <c r="V585" s="1">
        <v>-0.003431681202959336</v>
      </c>
      <c r="W585" s="1">
        <v>-0.01169876133438097</v>
      </c>
      <c r="X585" s="1">
        <v>-0.01239671827527478</v>
      </c>
      <c r="Y585" s="1">
        <v>-0.04304817097587343</v>
      </c>
      <c r="Z585" s="1">
        <v>-0.01528762335272504</v>
      </c>
    </row>
    <row r="586" spans="1:26">
      <c r="A586" s="11">
        <v>43221</v>
      </c>
      <c r="B586" s="1">
        <v>-0.01220981186720194</v>
      </c>
      <c r="C586" s="1">
        <v>-0.01205171823966611</v>
      </c>
      <c r="D586" s="1">
        <v>0.009352308476380022</v>
      </c>
      <c r="E586" s="1">
        <v>0.01074220826065742</v>
      </c>
      <c r="F586" s="1">
        <v>0.02134407660152382</v>
      </c>
      <c r="G586" s="1">
        <v>0.004342758507744904</v>
      </c>
      <c r="H586" s="1">
        <v>0.004168809074190705</v>
      </c>
      <c r="I586" s="1">
        <v>0.0002954951525435678</v>
      </c>
      <c r="J586" s="1">
        <v>0.01535626480624908</v>
      </c>
      <c r="K586" s="1">
        <v>0.06111585381901952</v>
      </c>
      <c r="L586" s="1">
        <v>0</v>
      </c>
      <c r="M586" s="1">
        <v>0.002082199282931629</v>
      </c>
      <c r="N586" s="1">
        <v>-0.001425902163852077</v>
      </c>
      <c r="O586" s="1">
        <v>-0.0001228569318164618</v>
      </c>
      <c r="P586" s="1">
        <v>0.01582527868820427</v>
      </c>
      <c r="Q586" s="1">
        <v>0.00533006936344127</v>
      </c>
      <c r="R586" s="1">
        <v>-0.001414141215403952</v>
      </c>
      <c r="S586" s="1">
        <v>0.01348030152304802</v>
      </c>
      <c r="T586" s="1">
        <v>0.01675465734416415</v>
      </c>
      <c r="U586" s="1">
        <v>-0.004892417325833676</v>
      </c>
      <c r="V586" s="1">
        <v>-0.02107421696039824</v>
      </c>
      <c r="W586" s="1">
        <v>0.001759024288268796</v>
      </c>
      <c r="X586" s="1">
        <v>-0.0006437488037926986</v>
      </c>
      <c r="Y586" s="1">
        <v>-0.01073935440887319</v>
      </c>
      <c r="Z586" s="1">
        <v>0.005479657138914407</v>
      </c>
    </row>
    <row r="587" spans="1:26">
      <c r="A587" s="11">
        <v>43222</v>
      </c>
      <c r="B587" s="1">
        <v>0.01508081169622799</v>
      </c>
      <c r="C587" s="1">
        <v>-0.0162345834503772</v>
      </c>
      <c r="D587" s="1">
        <v>0.003991009629721098</v>
      </c>
      <c r="E587" s="1">
        <v>-0.02258508795664771</v>
      </c>
      <c r="F587" s="1">
        <v>-0.02370547208791551</v>
      </c>
      <c r="G587" s="1">
        <v>0.0007862220532637298</v>
      </c>
      <c r="H587" s="1">
        <v>-0.02441997854751443</v>
      </c>
      <c r="I587" s="1">
        <v>-0.004579998388453133</v>
      </c>
      <c r="J587" s="1">
        <v>-0.01237424334353965</v>
      </c>
      <c r="K587" s="1">
        <v>-0.01752890177362321</v>
      </c>
      <c r="L587" s="1">
        <v>-0.007906073196923047</v>
      </c>
      <c r="M587" s="1">
        <v>-0.01378929937028206</v>
      </c>
      <c r="N587" s="1">
        <v>-0.006068016765155004</v>
      </c>
      <c r="O587" s="1">
        <v>-0.02049325292113235</v>
      </c>
      <c r="P587" s="1">
        <v>-0.01568430747109595</v>
      </c>
      <c r="Q587" s="1">
        <v>0.03507325698785979</v>
      </c>
      <c r="R587" s="1">
        <v>-0.02217675100644723</v>
      </c>
      <c r="S587" s="1">
        <v>0.0009288301801475551</v>
      </c>
      <c r="T587" s="1">
        <v>-0.007195878601556238</v>
      </c>
      <c r="U587" s="1">
        <v>-0.01475121504210131</v>
      </c>
      <c r="V587" s="1">
        <v>0.005346490503275625</v>
      </c>
      <c r="W587" s="1">
        <v>-0.008921812587912581</v>
      </c>
      <c r="X587" s="1">
        <v>0.005475110157668883</v>
      </c>
      <c r="Y587" s="1">
        <v>-0.02191770677989402</v>
      </c>
      <c r="Z587" s="1">
        <v>0.002542873215563235</v>
      </c>
    </row>
    <row r="588" spans="1:26">
      <c r="A588" s="11">
        <v>43223</v>
      </c>
      <c r="B588" s="1">
        <v>-0.06137378941740657</v>
      </c>
      <c r="C588" s="1">
        <v>0.0200497873236356</v>
      </c>
      <c r="D588" s="1">
        <v>-0.009512648778753463</v>
      </c>
      <c r="E588" s="1">
        <v>-0.000970365246484306</v>
      </c>
      <c r="F588" s="1">
        <v>-0.009265207226841987</v>
      </c>
      <c r="G588" s="1">
        <v>-0.003142128856058801</v>
      </c>
      <c r="H588" s="1">
        <v>0.01126417471650565</v>
      </c>
      <c r="I588" s="1">
        <v>0.01573267888265062</v>
      </c>
      <c r="J588" s="1">
        <v>-0.01067287529185523</v>
      </c>
      <c r="K588" s="1">
        <v>0.002265137327834399</v>
      </c>
      <c r="L588" s="1">
        <v>-0.006301046670673882</v>
      </c>
      <c r="M588" s="1">
        <v>0.0005746606745118399</v>
      </c>
      <c r="N588" s="1">
        <v>0.01203090541169627</v>
      </c>
      <c r="O588" s="1">
        <v>0.01014772800288455</v>
      </c>
      <c r="P588" s="1">
        <v>0.00598914023498609</v>
      </c>
      <c r="Q588" s="1">
        <v>0.00748631611890449</v>
      </c>
      <c r="R588" s="1">
        <v>0.007559799507704357</v>
      </c>
      <c r="S588" s="1">
        <v>0.005960468215190806</v>
      </c>
      <c r="T588" s="1">
        <v>-0.002371295217204805</v>
      </c>
      <c r="U588" s="1">
        <v>-0.003743158573309646</v>
      </c>
      <c r="V588" s="1">
        <v>-0.004198584612425726</v>
      </c>
      <c r="W588" s="1">
        <v>-0.002489935948080113</v>
      </c>
      <c r="X588" s="1">
        <v>0.002082054219382234</v>
      </c>
      <c r="Y588" s="1">
        <v>0.001885004342306207</v>
      </c>
      <c r="Z588" s="1">
        <v>-0.01340800258835018</v>
      </c>
    </row>
    <row r="589" spans="1:26">
      <c r="A589" s="11">
        <v>43224</v>
      </c>
      <c r="B589" s="1">
        <v>0.02464954522551621</v>
      </c>
      <c r="C589" s="1">
        <v>0.01130968521401843</v>
      </c>
      <c r="D589" s="1">
        <v>0.008887686752803603</v>
      </c>
      <c r="E589" s="1">
        <v>-0.002332648452314179</v>
      </c>
      <c r="F589" s="1">
        <v>0.03063548379662073</v>
      </c>
      <c r="G589" s="1">
        <v>0.03979493490925012</v>
      </c>
      <c r="H589" s="1">
        <v>0.01534659823153151</v>
      </c>
      <c r="I589" s="1">
        <v>0.003141413947631344</v>
      </c>
      <c r="J589" s="1">
        <v>0.01688551192690269</v>
      </c>
      <c r="K589" s="1">
        <v>0.02430061960612173</v>
      </c>
      <c r="L589" s="1">
        <v>0.0110966417180749</v>
      </c>
      <c r="M589" s="1">
        <v>0.01033672674156882</v>
      </c>
      <c r="N589" s="1">
        <v>-0.001774455472576486</v>
      </c>
      <c r="O589" s="1">
        <v>0.006449475729510379</v>
      </c>
      <c r="P589" s="1">
        <v>0.01158678371248745</v>
      </c>
      <c r="Q589" s="1">
        <v>-0.00625724702735031</v>
      </c>
      <c r="R589" s="1">
        <v>0.01851889927778383</v>
      </c>
      <c r="S589" s="1">
        <v>0.007187473260888089</v>
      </c>
      <c r="T589" s="1">
        <v>0.01966244582768994</v>
      </c>
      <c r="U589" s="1">
        <v>0.00626199032763175</v>
      </c>
      <c r="V589" s="1">
        <v>-0.001405224133795735</v>
      </c>
      <c r="W589" s="1">
        <v>0.008400635716490523</v>
      </c>
      <c r="X589" s="1">
        <v>0.006872324642100303</v>
      </c>
      <c r="Y589" s="1">
        <v>0.007315851226839198</v>
      </c>
      <c r="Z589" s="1">
        <v>0.0185488067288595</v>
      </c>
    </row>
    <row r="590" spans="1:26">
      <c r="A590" s="11">
        <v>43227</v>
      </c>
      <c r="B590" s="1">
        <v>-0.0005064127985178191</v>
      </c>
      <c r="C590" s="1">
        <v>0.01794098192457327</v>
      </c>
      <c r="D590" s="1">
        <v>-0.0007106957848644901</v>
      </c>
      <c r="E590" s="1">
        <v>-0.0001950184243479924</v>
      </c>
      <c r="F590" s="1">
        <v>0.01345386943621407</v>
      </c>
      <c r="G590" s="1">
        <v>0.009094381611019164</v>
      </c>
      <c r="H590" s="1">
        <v>0.0002433450294589967</v>
      </c>
      <c r="I590" s="1">
        <v>0.02126779464363304</v>
      </c>
      <c r="J590" s="1">
        <v>0.005073875576319997</v>
      </c>
      <c r="K590" s="1">
        <v>0.01103465409276949</v>
      </c>
      <c r="L590" s="1">
        <v>0.008669464998217524</v>
      </c>
      <c r="M590" s="1">
        <v>-0.01477812450684435</v>
      </c>
      <c r="N590" s="1">
        <v>-0.009775768848448219</v>
      </c>
      <c r="O590" s="1">
        <v>0.001355316856995747</v>
      </c>
      <c r="P590" s="1">
        <v>0.01113912273056328</v>
      </c>
      <c r="Q590" s="1">
        <v>0.002754844137478063</v>
      </c>
      <c r="R590" s="1">
        <v>0.01097181155062454</v>
      </c>
      <c r="S590" s="1">
        <v>0.01248842273300554</v>
      </c>
      <c r="T590" s="1">
        <v>0.002966594462592509</v>
      </c>
      <c r="U590" s="1">
        <v>-0.003111300310119192</v>
      </c>
      <c r="V590" s="1">
        <v>-0.0242086406115527</v>
      </c>
      <c r="W590" s="1">
        <v>-0.005188808384872901</v>
      </c>
      <c r="X590" s="1">
        <v>0.01396846986505929</v>
      </c>
      <c r="Y590" s="1">
        <v>-0.009545548985620433</v>
      </c>
      <c r="Z590" s="1">
        <v>0.0009016748875276814</v>
      </c>
    </row>
    <row r="591" spans="1:26">
      <c r="A591" s="11">
        <v>43228</v>
      </c>
      <c r="B591" s="1">
        <v>0.01646816852462485</v>
      </c>
      <c r="C591" s="1">
        <v>-0.006051119161256446</v>
      </c>
      <c r="D591" s="1">
        <v>-0.01251215954821905</v>
      </c>
      <c r="E591" s="1">
        <v>-0.01539331526462639</v>
      </c>
      <c r="F591" s="1">
        <v>-0.05557256829975299</v>
      </c>
      <c r="G591" s="1">
        <v>-0.003004078402867094</v>
      </c>
      <c r="H591" s="1">
        <v>0.006580859602372646</v>
      </c>
      <c r="I591" s="1">
        <v>0.01319334274798378</v>
      </c>
      <c r="J591" s="1">
        <v>0.007801526582733143</v>
      </c>
      <c r="K591" s="1">
        <v>-0.009822498152711523</v>
      </c>
      <c r="L591" s="1">
        <v>0.01481193597592734</v>
      </c>
      <c r="M591" s="1">
        <v>0.006346138957125991</v>
      </c>
      <c r="N591" s="1">
        <v>-0.007898286363147156</v>
      </c>
      <c r="O591" s="1">
        <v>-0.001230692741525652</v>
      </c>
      <c r="P591" s="1">
        <v>-0.004261093414963502</v>
      </c>
      <c r="Q591" s="1">
        <v>-0.01491347609544824</v>
      </c>
      <c r="R591" s="1">
        <v>-0.003875869248346042</v>
      </c>
      <c r="S591" s="1">
        <v>0.0002383689361629138</v>
      </c>
      <c r="T591" s="1">
        <v>-0.001875027270366925</v>
      </c>
      <c r="U591" s="1">
        <v>-0.01061192935924637</v>
      </c>
      <c r="V591" s="1">
        <v>0.00129829433812878</v>
      </c>
      <c r="W591" s="1">
        <v>-0.004354319169585064</v>
      </c>
      <c r="X591" s="1">
        <v>0.0159672748500872</v>
      </c>
      <c r="Y591" s="1">
        <v>-0.0148751968057883</v>
      </c>
      <c r="Z591" s="1">
        <v>0.007926525859161204</v>
      </c>
    </row>
    <row r="592" spans="1:26">
      <c r="A592" s="11">
        <v>43229</v>
      </c>
      <c r="B592" s="1">
        <v>0.02816589679361337</v>
      </c>
      <c r="C592" s="1">
        <v>0.01811630405209996</v>
      </c>
      <c r="D592" s="1">
        <v>-0.001871606896584832</v>
      </c>
      <c r="E592" s="1">
        <v>0.01108225097577176</v>
      </c>
      <c r="F592" s="1">
        <v>0.004576998605696936</v>
      </c>
      <c r="G592" s="1">
        <v>-0.01054581685366796</v>
      </c>
      <c r="H592" s="1">
        <v>0.001452921675108909</v>
      </c>
      <c r="I592" s="1">
        <v>0.0217497403083915</v>
      </c>
      <c r="J592" s="1">
        <v>0.02823340166620669</v>
      </c>
      <c r="K592" s="1">
        <v>-0.0005513700323396264</v>
      </c>
      <c r="L592" s="1">
        <v>0.02180373622756937</v>
      </c>
      <c r="M592" s="1">
        <v>-0.01471433304170411</v>
      </c>
      <c r="N592" s="1">
        <v>0.01176071291929115</v>
      </c>
      <c r="O592" s="1">
        <v>0.001109052883693673</v>
      </c>
      <c r="P592" s="1">
        <v>0.01179436400053557</v>
      </c>
      <c r="Q592" s="1">
        <v>-0.01792861823614611</v>
      </c>
      <c r="R592" s="1">
        <v>-0.003112942837763866</v>
      </c>
      <c r="S592" s="1">
        <v>0.007188997023203303</v>
      </c>
      <c r="T592" s="1">
        <v>0.00759359030956186</v>
      </c>
      <c r="U592" s="1">
        <v>-0.009463671205202195</v>
      </c>
      <c r="V592" s="1">
        <v>0.007346528797341545</v>
      </c>
      <c r="W592" s="1">
        <v>0.002979316870515003</v>
      </c>
      <c r="X592" s="1">
        <v>0.004160288338274531</v>
      </c>
      <c r="Y592" s="1">
        <v>-0.01361096880758617</v>
      </c>
      <c r="Z592" s="1">
        <v>0.02377112906169332</v>
      </c>
    </row>
    <row r="593" spans="1:26">
      <c r="A593" s="11">
        <v>43230</v>
      </c>
      <c r="B593" s="1">
        <v>0.009454257207275329</v>
      </c>
      <c r="C593" s="1">
        <v>0.003734054028854628</v>
      </c>
      <c r="D593" s="1">
        <v>0.0184646235983621</v>
      </c>
      <c r="E593" s="1">
        <v>0.001174593823469072</v>
      </c>
      <c r="F593" s="1">
        <v>0.02700918114594852</v>
      </c>
      <c r="G593" s="1">
        <v>0.01408419832434604</v>
      </c>
      <c r="H593" s="1">
        <v>-0.004110534957459167</v>
      </c>
      <c r="I593" s="1">
        <v>0.009988977050606085</v>
      </c>
      <c r="J593" s="1">
        <v>0.007528917474383334</v>
      </c>
      <c r="K593" s="1">
        <v>0.01240693491158118</v>
      </c>
      <c r="L593" s="1">
        <v>0.007759820856475974</v>
      </c>
      <c r="M593" s="1">
        <v>0.007369972103290712</v>
      </c>
      <c r="N593" s="1">
        <v>0.002145702723259646</v>
      </c>
      <c r="O593" s="1">
        <v>0.006399830352986413</v>
      </c>
      <c r="P593" s="1">
        <v>0.01000615667226668</v>
      </c>
      <c r="Q593" s="1">
        <v>0.01054780080770867</v>
      </c>
      <c r="R593" s="1">
        <v>-0.004527620668046239</v>
      </c>
      <c r="S593" s="1">
        <v>0.001465745313855793</v>
      </c>
      <c r="T593" s="1">
        <v>-0.0009451986470332407</v>
      </c>
      <c r="U593" s="1">
        <v>0.0152866269498817</v>
      </c>
      <c r="V593" s="1">
        <v>0.004433054642029699</v>
      </c>
      <c r="W593" s="1">
        <v>0.02458218876674434</v>
      </c>
      <c r="X593" s="1">
        <v>0.007211966339580878</v>
      </c>
      <c r="Y593" s="1">
        <v>0.01767956789936109</v>
      </c>
      <c r="Z593" s="1">
        <v>0.008729027954039292</v>
      </c>
    </row>
    <row r="594" spans="1:26">
      <c r="A594" s="11">
        <v>43231</v>
      </c>
      <c r="B594" s="1">
        <v>-0.005523476428351048</v>
      </c>
      <c r="C594" s="1">
        <v>-0.004679301034418826</v>
      </c>
      <c r="D594" s="1">
        <v>-0.001133011716741961</v>
      </c>
      <c r="E594" s="1">
        <v>0.01388065718712106</v>
      </c>
      <c r="F594" s="1">
        <v>0.01077327955892615</v>
      </c>
      <c r="G594" s="1">
        <v>0.001501521250273807</v>
      </c>
      <c r="H594" s="1">
        <v>-0.01238143821438664</v>
      </c>
      <c r="I594" s="1">
        <v>0.004842975870501309</v>
      </c>
      <c r="J594" s="1">
        <v>-0.001758318546285276</v>
      </c>
      <c r="K594" s="1">
        <v>-0.01143758129117856</v>
      </c>
      <c r="L594" s="1">
        <v>-0.003762498986602414</v>
      </c>
      <c r="M594" s="1">
        <v>0.0100116613450798</v>
      </c>
      <c r="N594" s="1">
        <v>-0.01516790990751349</v>
      </c>
      <c r="O594" s="1">
        <v>-0.002445713526155968</v>
      </c>
      <c r="P594" s="1">
        <v>-0.002144901300170865</v>
      </c>
      <c r="Q594" s="1">
        <v>0.0008032539326328081</v>
      </c>
      <c r="R594" s="1">
        <v>0.0004704286014696191</v>
      </c>
      <c r="S594" s="1">
        <v>-0.001179899024015496</v>
      </c>
      <c r="T594" s="1">
        <v>0.001682260268174973</v>
      </c>
      <c r="U594" s="1">
        <v>0.01286086270451015</v>
      </c>
      <c r="V594" s="1">
        <v>0.0001423014467636374</v>
      </c>
      <c r="W594" s="1">
        <v>0.01276785066784614</v>
      </c>
      <c r="X594" s="1">
        <v>0.002285410526706722</v>
      </c>
      <c r="Y594" s="1">
        <v>0.03008503018386111</v>
      </c>
      <c r="Z594" s="1">
        <v>0.0005193170057893326</v>
      </c>
    </row>
    <row r="595" spans="1:26">
      <c r="A595" s="11">
        <v>43234</v>
      </c>
      <c r="B595" s="1">
        <v>0.02173431678886462</v>
      </c>
      <c r="C595" s="1">
        <v>0.006219452013447313</v>
      </c>
      <c r="D595" s="1">
        <v>0.009642610459170031</v>
      </c>
      <c r="E595" s="1">
        <v>0.00308531052871075</v>
      </c>
      <c r="F595" s="1">
        <v>0.007523585585584192</v>
      </c>
      <c r="G595" s="1">
        <v>-0.007121555765682963</v>
      </c>
      <c r="H595" s="1">
        <v>-0.01573248711982844</v>
      </c>
      <c r="I595" s="1">
        <v>-0.003868961387875181</v>
      </c>
      <c r="J595" s="1">
        <v>-0.006164898378257067</v>
      </c>
      <c r="K595" s="1">
        <v>0.004958444237588955</v>
      </c>
      <c r="L595" s="1">
        <v>0.0003511309447163935</v>
      </c>
      <c r="M595" s="1">
        <v>-0.004956170120433701</v>
      </c>
      <c r="N595" s="1">
        <v>-0.003079926452818627</v>
      </c>
      <c r="O595" s="1">
        <v>-0.005516641398707445</v>
      </c>
      <c r="P595" s="1">
        <v>0.003377816391977095</v>
      </c>
      <c r="Q595" s="1">
        <v>-0.003209239159185695</v>
      </c>
      <c r="R595" s="1">
        <v>-0.005038374803167378</v>
      </c>
      <c r="S595" s="1">
        <v>-0.01020787431394876</v>
      </c>
      <c r="T595" s="1">
        <v>0.00915796254126322</v>
      </c>
      <c r="U595" s="1">
        <v>-0.003097196200688823</v>
      </c>
      <c r="V595" s="1">
        <v>0.03772222531946867</v>
      </c>
      <c r="W595" s="1">
        <v>0.003971277464601242</v>
      </c>
      <c r="X595" s="1">
        <v>-0.003952423670180671</v>
      </c>
      <c r="Y595" s="1">
        <v>-0.002673821766866369</v>
      </c>
      <c r="Z595" s="1">
        <v>-0.003459565258539188</v>
      </c>
    </row>
    <row r="596" spans="1:26">
      <c r="A596" s="11">
        <v>43235</v>
      </c>
      <c r="B596" s="1">
        <v>0.004962954325354874</v>
      </c>
      <c r="C596" s="1">
        <v>-0.007167685394399825</v>
      </c>
      <c r="D596" s="1">
        <v>-0.01053378769752122</v>
      </c>
      <c r="E596" s="1">
        <v>0.005382511953063052</v>
      </c>
      <c r="F596" s="1">
        <v>-0.004044784019548331</v>
      </c>
      <c r="G596" s="1">
        <v>-0.01623250129866671</v>
      </c>
      <c r="H596" s="1">
        <v>-0.01498481629731174</v>
      </c>
      <c r="I596" s="1">
        <v>-0.008313680490534936</v>
      </c>
      <c r="J596" s="1">
        <v>-0.02348219558511666</v>
      </c>
      <c r="K596" s="1">
        <v>-0.005756664327684957</v>
      </c>
      <c r="L596" s="1">
        <v>-0.007638141697973388</v>
      </c>
      <c r="M596" s="1">
        <v>-0.009578695099693557</v>
      </c>
      <c r="N596" s="1">
        <v>-0.009087967392576113</v>
      </c>
      <c r="O596" s="1">
        <v>-0.00480794138057572</v>
      </c>
      <c r="P596" s="1">
        <v>-0.007242883280011658</v>
      </c>
      <c r="Q596" s="1">
        <v>-0.006439042932493755</v>
      </c>
      <c r="R596" s="1">
        <v>0.005221849821841706</v>
      </c>
      <c r="S596" s="1">
        <v>-0.01685456194778201</v>
      </c>
      <c r="T596" s="1">
        <v>-0.01281929273664806</v>
      </c>
      <c r="U596" s="1">
        <v>-0.003106608352165807</v>
      </c>
      <c r="V596" s="1">
        <v>0.01106804685866436</v>
      </c>
      <c r="W596" s="1">
        <v>-0.03831476048022464</v>
      </c>
      <c r="X596" s="1">
        <v>-0.002136709382807078</v>
      </c>
      <c r="Y596" s="1">
        <v>-0.01443581511215353</v>
      </c>
      <c r="Z596" s="1">
        <v>0.003818837301407196</v>
      </c>
    </row>
    <row r="597" spans="1:26">
      <c r="A597" s="11">
        <v>43236</v>
      </c>
      <c r="B597" s="1">
        <v>0.003292780630118841</v>
      </c>
      <c r="C597" s="1">
        <v>-0.003361382076787156</v>
      </c>
      <c r="D597" s="1">
        <v>0.004116635029017157</v>
      </c>
      <c r="E597" s="1">
        <v>-0.001721127789233057</v>
      </c>
      <c r="F597" s="1">
        <v>0.01686953380504996</v>
      </c>
      <c r="G597" s="1">
        <v>-0.01093770288588403</v>
      </c>
      <c r="H597" s="1">
        <v>0.001013945149180184</v>
      </c>
      <c r="I597" s="1">
        <v>0.01250591126471434</v>
      </c>
      <c r="J597" s="1">
        <v>0.008620454826427926</v>
      </c>
      <c r="K597" s="1">
        <v>0.00413528785905215</v>
      </c>
      <c r="L597" s="1">
        <v>0.002742554898326643</v>
      </c>
      <c r="M597" s="1">
        <v>0.0253384987473213</v>
      </c>
      <c r="N597" s="1">
        <v>0.006419934379594094</v>
      </c>
      <c r="O597" s="1">
        <v>-0.001362476557913883</v>
      </c>
      <c r="P597" s="1">
        <v>0.002580179938970861</v>
      </c>
      <c r="Q597" s="1">
        <v>-0.01174507179363604</v>
      </c>
      <c r="R597" s="1">
        <v>0.006140267665625698</v>
      </c>
      <c r="S597" s="1">
        <v>-0.001505402177711779</v>
      </c>
      <c r="T597" s="1">
        <v>0.003871965968538893</v>
      </c>
      <c r="U597" s="1">
        <v>0.006544264078425677</v>
      </c>
      <c r="V597" s="1">
        <v>0.02942006159131538</v>
      </c>
      <c r="W597" s="1">
        <v>0.007604931345075228</v>
      </c>
      <c r="X597" s="1">
        <v>0.003976604158862251</v>
      </c>
      <c r="Y597" s="1">
        <v>0.00146453722329265</v>
      </c>
      <c r="Z597" s="1">
        <v>0.002951889622616166</v>
      </c>
    </row>
    <row r="598" spans="1:26">
      <c r="A598" s="11">
        <v>43237</v>
      </c>
      <c r="B598" s="1">
        <v>0.03164541815418498</v>
      </c>
      <c r="C598" s="1">
        <v>0.009297039755290282</v>
      </c>
      <c r="D598" s="1">
        <v>-0.001272308744115103</v>
      </c>
      <c r="E598" s="1">
        <v>0.0101514509795364</v>
      </c>
      <c r="F598" s="1">
        <v>-0.004300921593451745</v>
      </c>
      <c r="G598" s="1">
        <v>-0.008235458969198195</v>
      </c>
      <c r="H598" s="1">
        <v>-0.006585471503505413</v>
      </c>
      <c r="I598" s="1">
        <v>-0.003664967472887803</v>
      </c>
      <c r="J598" s="1">
        <v>0.003148891811219245</v>
      </c>
      <c r="K598" s="1">
        <v>0.00247124330349302</v>
      </c>
      <c r="L598" s="1">
        <v>-0.003352814883389565</v>
      </c>
      <c r="M598" s="1">
        <v>-0.01018674232699768</v>
      </c>
      <c r="N598" s="1">
        <v>0.007654359325269589</v>
      </c>
      <c r="O598" s="1">
        <v>0.004713237586731367</v>
      </c>
      <c r="P598" s="1">
        <v>-0.009984697227362394</v>
      </c>
      <c r="Q598" s="1">
        <v>-0.001639576147588584</v>
      </c>
      <c r="R598" s="1">
        <v>0.005945393490949691</v>
      </c>
      <c r="S598" s="1">
        <v>-0.008560290877662413</v>
      </c>
      <c r="T598" s="1">
        <v>-7.885907442772844E-05</v>
      </c>
      <c r="U598" s="1">
        <v>-0.01145548601991886</v>
      </c>
      <c r="V598" s="1">
        <v>0.007975364139558128</v>
      </c>
      <c r="W598" s="1">
        <v>0.001613812910221668</v>
      </c>
      <c r="X598" s="1">
        <v>0.008986933671624397</v>
      </c>
      <c r="Y598" s="1">
        <v>-0.0002089495512203055</v>
      </c>
      <c r="Z598" s="1">
        <v>0.009348759630386061</v>
      </c>
    </row>
    <row r="599" spans="1:26">
      <c r="A599" s="11">
        <v>43238</v>
      </c>
      <c r="B599" s="1">
        <v>-0.00227228024185433</v>
      </c>
      <c r="C599" s="1">
        <v>0.02060198376301359</v>
      </c>
      <c r="D599" s="1">
        <v>-0.0007079177491203792</v>
      </c>
      <c r="E599" s="1">
        <v>-0.0005685302315213692</v>
      </c>
      <c r="F599" s="1">
        <v>0.009564944602518777</v>
      </c>
      <c r="G599" s="1">
        <v>0.001581671057854228</v>
      </c>
      <c r="H599" s="1">
        <v>-0.1236616166801723</v>
      </c>
      <c r="I599" s="1">
        <v>0.05748930969856048</v>
      </c>
      <c r="J599" s="1">
        <v>-0.007174857658560296</v>
      </c>
      <c r="K599" s="1">
        <v>-0.0153381419310118</v>
      </c>
      <c r="L599" s="1">
        <v>-0.01620037794580809</v>
      </c>
      <c r="M599" s="1">
        <v>-0.005336353742226518</v>
      </c>
      <c r="N599" s="1">
        <v>0.004521535001166477</v>
      </c>
      <c r="O599" s="1">
        <v>0.002098980087033464</v>
      </c>
      <c r="P599" s="1">
        <v>0.001871539999243055</v>
      </c>
      <c r="Q599" s="1">
        <v>0.002873485138065179</v>
      </c>
      <c r="R599" s="1">
        <v>0.01119953557001518</v>
      </c>
      <c r="S599" s="1">
        <v>-0.001226686606803917</v>
      </c>
      <c r="T599" s="1">
        <v>0.01930404650887896</v>
      </c>
      <c r="U599" s="1">
        <v>0.003758541247887992</v>
      </c>
      <c r="V599" s="1">
        <v>0.001450935913068552</v>
      </c>
      <c r="W599" s="1">
        <v>0.01862463324596675</v>
      </c>
      <c r="X599" s="1">
        <v>0.001207573515447757</v>
      </c>
      <c r="Y599" s="1">
        <v>-0.002298799712651567</v>
      </c>
      <c r="Z599" s="1">
        <v>-0.00909066401591474</v>
      </c>
    </row>
    <row r="600" spans="1:26">
      <c r="A600" s="11">
        <v>43241</v>
      </c>
      <c r="B600" s="1">
        <v>0.008426043749850676</v>
      </c>
      <c r="C600" s="1">
        <v>0.03613036157714999</v>
      </c>
      <c r="D600" s="1">
        <v>0.02124649776356891</v>
      </c>
      <c r="E600" s="1">
        <v>-0.008916658029064606</v>
      </c>
      <c r="F600" s="1">
        <v>-0.01161400222219722</v>
      </c>
      <c r="G600" s="1">
        <v>-0.004342846271147005</v>
      </c>
      <c r="H600" s="1">
        <v>-0.02298497930051813</v>
      </c>
      <c r="I600" s="1">
        <v>0.01983941171603743</v>
      </c>
      <c r="J600" s="1">
        <v>-0.002258136290102075</v>
      </c>
      <c r="K600" s="1">
        <v>-0.006119445508183774</v>
      </c>
      <c r="L600" s="1">
        <v>0.009178602446843875</v>
      </c>
      <c r="M600" s="1">
        <v>0.0005747991982230083</v>
      </c>
      <c r="N600" s="1">
        <v>0.001800589453064161</v>
      </c>
      <c r="O600" s="1">
        <v>0.003080035719544849</v>
      </c>
      <c r="P600" s="1">
        <v>0.01286827929617029</v>
      </c>
      <c r="Q600" s="1">
        <v>-0.001227688620763723</v>
      </c>
      <c r="R600" s="1">
        <v>0.01538208261060259</v>
      </c>
      <c r="S600" s="1">
        <v>0.006434270689971378</v>
      </c>
      <c r="T600" s="1">
        <v>0.008308144615031043</v>
      </c>
      <c r="U600" s="1">
        <v>0.01684876624406528</v>
      </c>
      <c r="V600" s="1">
        <v>0.0122464104774338</v>
      </c>
      <c r="W600" s="1">
        <v>0.008327815505336345</v>
      </c>
      <c r="X600" s="1">
        <v>0.0102536811515459</v>
      </c>
      <c r="Y600" s="1">
        <v>0.01445344349416744</v>
      </c>
      <c r="Z600" s="1">
        <v>0.003288850649474595</v>
      </c>
    </row>
    <row r="601" spans="1:26">
      <c r="A601" s="11">
        <v>43242</v>
      </c>
      <c r="B601" s="1">
        <v>-0.02597082277042129</v>
      </c>
      <c r="C601" s="1">
        <v>-0.02445613984645534</v>
      </c>
      <c r="D601" s="1">
        <v>-0.005270493051101499</v>
      </c>
      <c r="E601" s="1">
        <v>0.001914130683904558</v>
      </c>
      <c r="F601" s="1">
        <v>0.005256721421409205</v>
      </c>
      <c r="G601" s="1">
        <v>0.007534007660116027</v>
      </c>
      <c r="H601" s="1">
        <v>0.0235257174286454</v>
      </c>
      <c r="I601" s="1">
        <v>-0.02046352763237425</v>
      </c>
      <c r="J601" s="1">
        <v>-0.0009059492292113891</v>
      </c>
      <c r="K601" s="1">
        <v>-0.01511341103641728</v>
      </c>
      <c r="L601" s="1">
        <v>0.007668077816021635</v>
      </c>
      <c r="M601" s="1">
        <v>-0.02623503687537221</v>
      </c>
      <c r="N601" s="1">
        <v>-0.007728263689743109</v>
      </c>
      <c r="O601" s="1">
        <v>0.002947922503902412</v>
      </c>
      <c r="P601" s="1">
        <v>-0.001024296874529873</v>
      </c>
      <c r="Q601" s="1">
        <v>0</v>
      </c>
      <c r="R601" s="1">
        <v>-0.004090133621344694</v>
      </c>
      <c r="S601" s="1">
        <v>-0.003855625688777065</v>
      </c>
      <c r="T601" s="1">
        <v>-0.0379230192790706</v>
      </c>
      <c r="U601" s="1">
        <v>-0.004909482243263819</v>
      </c>
      <c r="V601" s="1">
        <v>-0.01821274536809403</v>
      </c>
      <c r="W601" s="1">
        <v>0.005213809942458791</v>
      </c>
      <c r="X601" s="1">
        <v>-0.007761168738537272</v>
      </c>
      <c r="Y601" s="1">
        <v>0.007846319573401761</v>
      </c>
      <c r="Z601" s="1">
        <v>0.01000706489415615</v>
      </c>
    </row>
    <row r="602" spans="1:26">
      <c r="A602" s="11">
        <v>43243</v>
      </c>
      <c r="B602" s="1">
        <v>-0.01298395886776249</v>
      </c>
      <c r="C602" s="1">
        <v>0.01180208437251129</v>
      </c>
      <c r="D602" s="1">
        <v>0.008784284143744214</v>
      </c>
      <c r="E602" s="1">
        <v>0.003056817425135749</v>
      </c>
      <c r="F602" s="1">
        <v>-0.01937843487527302</v>
      </c>
      <c r="G602" s="1">
        <v>0.01770954998601915</v>
      </c>
      <c r="H602" s="1">
        <v>-0.003200267130790913</v>
      </c>
      <c r="I602" s="1">
        <v>0.009607196821248554</v>
      </c>
      <c r="J602" s="1">
        <v>-0.007702319728750018</v>
      </c>
      <c r="K602" s="1">
        <v>-0.02756450202987071</v>
      </c>
      <c r="L602" s="1">
        <v>-0.00460131393328711</v>
      </c>
      <c r="M602" s="1">
        <v>-0.01042269137608276</v>
      </c>
      <c r="N602" s="1">
        <v>0.0121356991518673</v>
      </c>
      <c r="O602" s="1">
        <v>-0.0002454463759050673</v>
      </c>
      <c r="P602" s="1">
        <v>0.01189747173528466</v>
      </c>
      <c r="Q602" s="1">
        <v>0.01106522682027178</v>
      </c>
      <c r="R602" s="1">
        <v>-0.009887417476893146</v>
      </c>
      <c r="S602" s="1">
        <v>0.01254246388753621</v>
      </c>
      <c r="T602" s="1">
        <v>0.02268802780458978</v>
      </c>
      <c r="U602" s="1">
        <v>-0.003083965155305513</v>
      </c>
      <c r="V602" s="1">
        <v>-0.05697611724241924</v>
      </c>
      <c r="W602" s="1">
        <v>-0.006150536879101942</v>
      </c>
      <c r="X602" s="1">
        <v>0.002857850230224335</v>
      </c>
      <c r="Y602" s="1">
        <v>-0.004507111093063676</v>
      </c>
      <c r="Z602" s="1">
        <v>-0.009053902631084854</v>
      </c>
    </row>
    <row r="603" spans="1:26">
      <c r="A603" s="11">
        <v>43244</v>
      </c>
      <c r="B603" s="1">
        <v>-0.03077311597765886</v>
      </c>
      <c r="C603" s="1">
        <v>-0.0005845229755838677</v>
      </c>
      <c r="D603" s="1">
        <v>0.0008293106811267936</v>
      </c>
      <c r="E603" s="1">
        <v>0.003619025485972704</v>
      </c>
      <c r="F603" s="1">
        <v>-0.007842165452045413</v>
      </c>
      <c r="G603" s="1">
        <v>0.0119875044233686</v>
      </c>
      <c r="H603" s="1">
        <v>0.002334953133293904</v>
      </c>
      <c r="I603" s="1">
        <v>0.0102183399871012</v>
      </c>
      <c r="J603" s="1">
        <v>0.0009133405477395051</v>
      </c>
      <c r="K603" s="1">
        <v>0.005844291212369068</v>
      </c>
      <c r="L603" s="1">
        <v>-0.0112009252455586</v>
      </c>
      <c r="M603" s="1">
        <v>0.01768655569708533</v>
      </c>
      <c r="N603" s="1">
        <v>0.0001784172214445157</v>
      </c>
      <c r="O603" s="1">
        <v>-0.002449394222546086</v>
      </c>
      <c r="P603" s="1">
        <v>-0.003547694300578996</v>
      </c>
      <c r="Q603" s="1">
        <v>0.007296488510688537</v>
      </c>
      <c r="R603" s="1">
        <v>0.002150677094729048</v>
      </c>
      <c r="S603" s="1">
        <v>0.002274321154891012</v>
      </c>
      <c r="T603" s="1">
        <v>0.005149611273494781</v>
      </c>
      <c r="U603" s="1">
        <v>0.01391927393382342</v>
      </c>
      <c r="V603" s="1">
        <v>-0.003231936949914749</v>
      </c>
      <c r="W603" s="1">
        <v>-0.002540233220844401</v>
      </c>
      <c r="X603" s="1">
        <v>0.003449656520919664</v>
      </c>
      <c r="Y603" s="1">
        <v>0.001028865807598978</v>
      </c>
      <c r="Z603" s="1">
        <v>-0.00258536170422119</v>
      </c>
    </row>
    <row r="604" spans="1:26">
      <c r="A604" s="11">
        <v>43245</v>
      </c>
      <c r="B604" s="1">
        <v>-0.0479882353591079</v>
      </c>
      <c r="C604" s="1">
        <v>0.00303622752814503</v>
      </c>
      <c r="D604" s="1">
        <v>0.001657065525978219</v>
      </c>
      <c r="E604" s="1">
        <v>0.001518403703532956</v>
      </c>
      <c r="F604" s="1">
        <v>0.003793905066606484</v>
      </c>
      <c r="G604" s="1">
        <v>-0.007260050455484168</v>
      </c>
      <c r="H604" s="1">
        <v>0.007571558883742613</v>
      </c>
      <c r="I604" s="1">
        <v>0.005184085939245797</v>
      </c>
      <c r="J604" s="1">
        <v>-0.0004566047033445209</v>
      </c>
      <c r="K604" s="1">
        <v>0.006391792325585843</v>
      </c>
      <c r="L604" s="1">
        <v>-0.005124539288534513</v>
      </c>
      <c r="M604" s="1">
        <v>0.03222044833533633</v>
      </c>
      <c r="N604" s="1">
        <v>-0.004651702677990643</v>
      </c>
      <c r="O604" s="1">
        <v>-0.001719440372421333</v>
      </c>
      <c r="P604" s="1">
        <v>0.000508449587248716</v>
      </c>
      <c r="Q604" s="1">
        <v>0.01006046009271389</v>
      </c>
      <c r="R604" s="1">
        <v>-0.009044564910909769</v>
      </c>
      <c r="S604" s="1">
        <v>0.006517433316866716</v>
      </c>
      <c r="T604" s="1">
        <v>0.01492926599890043</v>
      </c>
      <c r="U604" s="1">
        <v>-0.008236568367475217</v>
      </c>
      <c r="V604" s="1">
        <v>0.003806305852017022</v>
      </c>
      <c r="W604" s="1">
        <v>-0.01074246838530157</v>
      </c>
      <c r="X604" s="1">
        <v>-0.005081815863464789</v>
      </c>
      <c r="Y604" s="1">
        <v>-0.002466937863291441</v>
      </c>
      <c r="Z604" s="1">
        <v>-0.01399958987816552</v>
      </c>
    </row>
    <row r="605" spans="1:26">
      <c r="A605" s="11">
        <v>43249</v>
      </c>
      <c r="B605" s="1">
        <v>-0.007128468007089883</v>
      </c>
      <c r="C605" s="1">
        <v>-0.0211336070818765</v>
      </c>
      <c r="D605" s="1">
        <v>-0.01102959292815198</v>
      </c>
      <c r="E605" s="1">
        <v>-0.009475218229726301</v>
      </c>
      <c r="F605" s="1">
        <v>-0.007558889458775364</v>
      </c>
      <c r="G605" s="1">
        <v>-0.005388775022911574</v>
      </c>
      <c r="H605" s="1">
        <v>-0.01011583840591246</v>
      </c>
      <c r="I605" s="1">
        <v>-0.02509433753855428</v>
      </c>
      <c r="J605" s="1">
        <v>-0.02784096058899288</v>
      </c>
      <c r="K605" s="1">
        <v>-0.0167434524150839</v>
      </c>
      <c r="L605" s="1">
        <v>-0.042743331629707</v>
      </c>
      <c r="M605" s="1">
        <v>-0.02591763485788523</v>
      </c>
      <c r="N605" s="1">
        <v>0.001797740858778818</v>
      </c>
      <c r="O605" s="1">
        <v>-0.02718315010087557</v>
      </c>
      <c r="P605" s="1">
        <v>-0.003558179481153778</v>
      </c>
      <c r="Q605" s="1">
        <v>-0.001195413055956829</v>
      </c>
      <c r="R605" s="1">
        <v>-0.01748159933992843</v>
      </c>
      <c r="S605" s="1">
        <v>0.006522914915384481</v>
      </c>
      <c r="T605" s="1">
        <v>-0.01091129156828707</v>
      </c>
      <c r="U605" s="1">
        <v>-0.005537226911512705</v>
      </c>
      <c r="V605" s="1">
        <v>0.006880998208525169</v>
      </c>
      <c r="W605" s="1">
        <v>-0.02190469556736474</v>
      </c>
      <c r="X605" s="1">
        <v>-0.01096817083245027</v>
      </c>
      <c r="Y605" s="1">
        <v>-0.006595555026598698</v>
      </c>
      <c r="Z605" s="1">
        <v>-0.03733551439115979</v>
      </c>
    </row>
    <row r="606" spans="1:26">
      <c r="A606" s="11">
        <v>43250</v>
      </c>
      <c r="B606" s="1">
        <v>0.04384647223813665</v>
      </c>
      <c r="C606" s="1">
        <v>0.01619958325552218</v>
      </c>
      <c r="D606" s="1">
        <v>0.001951519040194638</v>
      </c>
      <c r="E606" s="1">
        <v>0.01434868614117857</v>
      </c>
      <c r="F606" s="1">
        <v>-0.0009521491401146553</v>
      </c>
      <c r="G606" s="1">
        <v>0.01083594250212827</v>
      </c>
      <c r="H606" s="1">
        <v>0.008175024771374995</v>
      </c>
      <c r="I606" s="1">
        <v>0.0004517552195388852</v>
      </c>
      <c r="J606" s="1">
        <v>0.04037518895652514</v>
      </c>
      <c r="K606" s="1">
        <v>0.01027575443120554</v>
      </c>
      <c r="L606" s="1">
        <v>0.02284496699267535</v>
      </c>
      <c r="M606" s="1">
        <v>-0.003107465271795729</v>
      </c>
      <c r="N606" s="1">
        <v>0.01543156450754335</v>
      </c>
      <c r="O606" s="1">
        <v>0.02124205804870005</v>
      </c>
      <c r="P606" s="1">
        <v>0.009590676801957576</v>
      </c>
      <c r="Q606" s="1">
        <v>0.00957316211327397</v>
      </c>
      <c r="R606" s="1">
        <v>0.01196647768567627</v>
      </c>
      <c r="S606" s="1">
        <v>0.01134140651815141</v>
      </c>
      <c r="T606" s="1">
        <v>-0.007010765870981039</v>
      </c>
      <c r="U606" s="1">
        <v>0.007423868655093147</v>
      </c>
      <c r="V606" s="1">
        <v>0.02468569298327195</v>
      </c>
      <c r="W606" s="1">
        <v>0.009474850255907885</v>
      </c>
      <c r="X606" s="1">
        <v>0.0164065341196673</v>
      </c>
      <c r="Y606" s="1">
        <v>0.008298900697355283</v>
      </c>
      <c r="Z606" s="1">
        <v>0.01110680588936175</v>
      </c>
    </row>
    <row r="607" spans="1:26">
      <c r="A607" s="11">
        <v>43251</v>
      </c>
      <c r="B607" s="1">
        <v>-0.01744061538289265</v>
      </c>
      <c r="C607" s="1">
        <v>-0.0168346961319511</v>
      </c>
      <c r="D607" s="1">
        <v>-0.01171891235427314</v>
      </c>
      <c r="E607" s="1">
        <v>-0.007544471820066456</v>
      </c>
      <c r="F607" s="1">
        <v>-0.009529670803251289</v>
      </c>
      <c r="G607" s="1">
        <v>0.0003827367178803609</v>
      </c>
      <c r="H607" s="1">
        <v>-0.02577438504013807</v>
      </c>
      <c r="I607" s="1">
        <v>-0.03591747504366183</v>
      </c>
      <c r="J607" s="1">
        <v>-0.005865903935518557</v>
      </c>
      <c r="K607" s="1">
        <v>-0.02470175658618523</v>
      </c>
      <c r="L607" s="1">
        <v>-0.01236705810644223</v>
      </c>
      <c r="M607" s="1">
        <v>-0.004870274327131163</v>
      </c>
      <c r="N607" s="1">
        <v>-0.01502030052401282</v>
      </c>
      <c r="O607" s="1">
        <v>-0.004952958415572528</v>
      </c>
      <c r="P607" s="1">
        <v>-0.001111655307928339</v>
      </c>
      <c r="Q607" s="1">
        <v>-0.0003950338600451353</v>
      </c>
      <c r="R607" s="1">
        <v>-0.03174100799700186</v>
      </c>
      <c r="S607" s="1">
        <v>-0.001837554081795534</v>
      </c>
      <c r="T607" s="1">
        <v>-0.01557437075914403</v>
      </c>
      <c r="U607" s="1">
        <v>-0.007675975545998637</v>
      </c>
      <c r="V607" s="1">
        <v>-0.007893889712696889</v>
      </c>
      <c r="W607" s="1">
        <v>-0.01270438474973423</v>
      </c>
      <c r="X607" s="1">
        <v>-0.004932354047783249</v>
      </c>
      <c r="Y607" s="1">
        <v>-0.01913586603507544</v>
      </c>
      <c r="Z607" s="1">
        <v>-0.01296565066672439</v>
      </c>
    </row>
    <row r="608" spans="1:26">
      <c r="A608" s="11">
        <v>43252</v>
      </c>
      <c r="B608" s="1">
        <v>-0.02574984202387043</v>
      </c>
      <c r="C608" s="1">
        <v>0.01294848302155338</v>
      </c>
      <c r="D608" s="1">
        <v>0.02625646935362913</v>
      </c>
      <c r="E608" s="1">
        <v>0.009692369330801975</v>
      </c>
      <c r="F608" s="1">
        <v>0.002565443834682046</v>
      </c>
      <c r="G608" s="1">
        <v>-0.01798693867933066</v>
      </c>
      <c r="H608" s="1">
        <v>-0.01070163364430821</v>
      </c>
      <c r="I608" s="1">
        <v>0.0259518605459188</v>
      </c>
      <c r="J608" s="1">
        <v>0.02950514117261216</v>
      </c>
      <c r="K608" s="1">
        <v>0.005065504753090977</v>
      </c>
      <c r="L608" s="1">
        <v>0.01298941703026024</v>
      </c>
      <c r="M608" s="1">
        <v>-0.002349326420111764</v>
      </c>
      <c r="N608" s="1">
        <v>-0.0003586324432898191</v>
      </c>
      <c r="O608" s="1">
        <v>0.0007469625497915633</v>
      </c>
      <c r="P608" s="1">
        <v>0.01972889819126511</v>
      </c>
      <c r="Q608" s="1">
        <v>-0.02213457270993902</v>
      </c>
      <c r="R608" s="1">
        <v>0.01189119259089777</v>
      </c>
      <c r="S608" s="1">
        <v>-0.00103865733357944</v>
      </c>
      <c r="T608" s="1">
        <v>0.01779840605296279</v>
      </c>
      <c r="U608" s="1">
        <v>0.004641099455113151</v>
      </c>
      <c r="V608" s="1">
        <v>-0.001234957629135169</v>
      </c>
      <c r="W608" s="1">
        <v>0.01709321989737833</v>
      </c>
      <c r="X608" s="1">
        <v>0.009312033218189297</v>
      </c>
      <c r="Y608" s="1">
        <v>0.002937142265876602</v>
      </c>
      <c r="Z608" s="1">
        <v>0.01550769080637981</v>
      </c>
    </row>
    <row r="609" spans="1:26">
      <c r="A609" s="11">
        <v>43255</v>
      </c>
      <c r="B609" s="1">
        <v>0.005388803546704013</v>
      </c>
      <c r="C609" s="1">
        <v>0.01124150194238149</v>
      </c>
      <c r="D609" s="1">
        <v>0.02063296836888662</v>
      </c>
      <c r="E609" s="1">
        <v>-0.03162035610621883</v>
      </c>
      <c r="F609" s="1">
        <v>0.000959764071110758</v>
      </c>
      <c r="G609" s="1">
        <v>-0.001169171767071431</v>
      </c>
      <c r="H609" s="1">
        <v>0.002403710976054851</v>
      </c>
      <c r="I609" s="1">
        <v>-0.01206118552940605</v>
      </c>
      <c r="J609" s="1">
        <v>0.002645335650151459</v>
      </c>
      <c r="K609" s="1">
        <v>0.01037635479730725</v>
      </c>
      <c r="L609" s="1">
        <v>0.0004611532066327584</v>
      </c>
      <c r="M609" s="1">
        <v>0.01354022859989268</v>
      </c>
      <c r="N609" s="1">
        <v>0.005383607310711191</v>
      </c>
      <c r="O609" s="1">
        <v>0.006713951657809858</v>
      </c>
      <c r="P609" s="1">
        <v>0.008730806786401146</v>
      </c>
      <c r="Q609" s="1">
        <v>-0.01010509329209774</v>
      </c>
      <c r="R609" s="1">
        <v>0.001746739864563862</v>
      </c>
      <c r="S609" s="1">
        <v>0.01148306908673513</v>
      </c>
      <c r="T609" s="1">
        <v>0.002201901765459979</v>
      </c>
      <c r="U609" s="1">
        <v>-0.001847808073111801</v>
      </c>
      <c r="V609" s="1">
        <v>0.04876404479510388</v>
      </c>
      <c r="W609" s="1">
        <v>0.01104685162811947</v>
      </c>
      <c r="X609" s="1">
        <v>0.001636679244382044</v>
      </c>
      <c r="Y609" s="1">
        <v>0.0002087276464675103</v>
      </c>
      <c r="Z609" s="1">
        <v>0.007725795485054032</v>
      </c>
    </row>
    <row r="610" spans="1:26">
      <c r="A610" s="11">
        <v>43256</v>
      </c>
      <c r="B610" s="1">
        <v>0.001786619797514488</v>
      </c>
      <c r="C610" s="1">
        <v>-0.001746619183048748</v>
      </c>
      <c r="D610" s="1">
        <v>0.0008083210083513759</v>
      </c>
      <c r="E610" s="1">
        <v>0.009134822450475699</v>
      </c>
      <c r="F610" s="1">
        <v>-0.006711497308450443</v>
      </c>
      <c r="G610" s="1">
        <v>0.001170540329777259</v>
      </c>
      <c r="H610" s="1">
        <v>-0.0008988238917232438</v>
      </c>
      <c r="I610" s="1">
        <v>0.0192029908890099</v>
      </c>
      <c r="J610" s="1">
        <v>0.02990355286765545</v>
      </c>
      <c r="K610" s="1">
        <v>0.0126171516964988</v>
      </c>
      <c r="L610" s="1">
        <v>-0.005624811896839277</v>
      </c>
      <c r="M610" s="1">
        <v>-0.01145862465622349</v>
      </c>
      <c r="N610" s="1">
        <v>0.005533519730119174</v>
      </c>
      <c r="O610" s="1">
        <v>0.001728665734424428</v>
      </c>
      <c r="P610" s="1">
        <v>0.005115010848038004</v>
      </c>
      <c r="Q610" s="1">
        <v>-0.009799886138101344</v>
      </c>
      <c r="R610" s="1">
        <v>0.02108466657048469</v>
      </c>
      <c r="S610" s="1">
        <v>-0.005466292689512264</v>
      </c>
      <c r="T610" s="1">
        <v>0.00925436955809622</v>
      </c>
      <c r="U610" s="1">
        <v>0.008330808012774193</v>
      </c>
      <c r="V610" s="1">
        <v>0.02815957638060373</v>
      </c>
      <c r="W610" s="1">
        <v>0.002801424145983722</v>
      </c>
      <c r="X610" s="1">
        <v>0.01515396313794937</v>
      </c>
      <c r="Y610" s="1">
        <v>0.003136991040861181</v>
      </c>
      <c r="Z610" s="1">
        <v>-0.005527050336507466</v>
      </c>
    </row>
    <row r="611" spans="1:26">
      <c r="A611" s="11">
        <v>43257</v>
      </c>
      <c r="B611" s="1">
        <v>0.008407355733067501</v>
      </c>
      <c r="C611" s="1">
        <v>0.03182461159297389</v>
      </c>
      <c r="D611" s="1">
        <v>0.01373553521044912</v>
      </c>
      <c r="E611" s="1">
        <v>0.0192603812518366</v>
      </c>
      <c r="F611" s="1">
        <v>0.03828849100103748</v>
      </c>
      <c r="G611" s="1">
        <v>-0.01753710415160836</v>
      </c>
      <c r="H611" s="1">
        <v>-0.004200763340037494</v>
      </c>
      <c r="I611" s="1">
        <v>0.0265457484094167</v>
      </c>
      <c r="J611" s="1">
        <v>0.003842735841243394</v>
      </c>
      <c r="K611" s="1">
        <v>0.001738832325709705</v>
      </c>
      <c r="L611" s="1">
        <v>0.02336807055830126</v>
      </c>
      <c r="M611" s="1">
        <v>-0.002947143614509651</v>
      </c>
      <c r="N611" s="1">
        <v>-0.0003549400400536529</v>
      </c>
      <c r="O611" s="1">
        <v>0.005671592689784344</v>
      </c>
      <c r="P611" s="1">
        <v>0.002935433497199158</v>
      </c>
      <c r="Q611" s="1">
        <v>-0.02927832178366208</v>
      </c>
      <c r="R611" s="1">
        <v>0.01676754699243332</v>
      </c>
      <c r="S611" s="1">
        <v>0.003382470496074319</v>
      </c>
      <c r="T611" s="1">
        <v>0.0131648194039673</v>
      </c>
      <c r="U611" s="1">
        <v>0.02141998915920751</v>
      </c>
      <c r="V611" s="1">
        <v>-0.007643142836275874</v>
      </c>
      <c r="W611" s="1">
        <v>0.01629647359681896</v>
      </c>
      <c r="X611" s="1">
        <v>0.007756618404241467</v>
      </c>
      <c r="Y611" s="1">
        <v>0.009172383248436278</v>
      </c>
      <c r="Z611" s="1">
        <v>0.02456119667965062</v>
      </c>
    </row>
    <row r="612" spans="1:26">
      <c r="A612" s="11">
        <v>43258</v>
      </c>
      <c r="B612" s="1">
        <v>0.05482580032298823</v>
      </c>
      <c r="C612" s="1">
        <v>-0.008154870342323317</v>
      </c>
      <c r="D612" s="1">
        <v>-0.01235358515095464</v>
      </c>
      <c r="E612" s="1">
        <v>-0.005669095006661684</v>
      </c>
      <c r="F612" s="1">
        <v>-0.008367126353348131</v>
      </c>
      <c r="G612" s="1">
        <v>0.007933450747699355</v>
      </c>
      <c r="H612" s="1">
        <v>0.009038942348860379</v>
      </c>
      <c r="I612" s="1">
        <v>0.0006308469269316053</v>
      </c>
      <c r="J612" s="1">
        <v>0.001701259897051388</v>
      </c>
      <c r="K612" s="1">
        <v>0.01070289724176621</v>
      </c>
      <c r="L612" s="1">
        <v>0.003987008492022381</v>
      </c>
      <c r="M612" s="1">
        <v>-0.002167442652242113</v>
      </c>
      <c r="N612" s="1">
        <v>0.006748741823486393</v>
      </c>
      <c r="O612" s="1">
        <v>0.00760084636416658</v>
      </c>
      <c r="P612" s="1">
        <v>-0.01570876005514177</v>
      </c>
      <c r="Q612" s="1">
        <v>0.0008496853003703286</v>
      </c>
      <c r="R612" s="1">
        <v>-0.007787739652858616</v>
      </c>
      <c r="S612" s="1">
        <v>0.00720948163595847</v>
      </c>
      <c r="T612" s="1">
        <v>-0.001238761480205075</v>
      </c>
      <c r="U612" s="1">
        <v>0.012881873396694</v>
      </c>
      <c r="V612" s="1">
        <v>0.005776430493739548</v>
      </c>
      <c r="W612" s="1">
        <v>-0.008292551777385193</v>
      </c>
      <c r="X612" s="1">
        <v>-0.003049734257124626</v>
      </c>
      <c r="Y612" s="1">
        <v>0.01239397624337224</v>
      </c>
      <c r="Z612" s="1">
        <v>-0.003324878540748144</v>
      </c>
    </row>
    <row r="613" spans="1:26">
      <c r="A613" s="11">
        <v>43259</v>
      </c>
      <c r="B613" s="1">
        <v>0.01173654615185149</v>
      </c>
      <c r="C613" s="1">
        <v>0.002632146342277597</v>
      </c>
      <c r="D613" s="1">
        <v>0.005783375530341583</v>
      </c>
      <c r="E613" s="1">
        <v>0.01026239292005515</v>
      </c>
      <c r="F613" s="1">
        <v>0.002500265572664695</v>
      </c>
      <c r="G613" s="1">
        <v>-0.002361349651755273</v>
      </c>
      <c r="H613" s="1">
        <v>0.01672131604952987</v>
      </c>
      <c r="I613" s="1">
        <v>-0.009643300758134465</v>
      </c>
      <c r="J613" s="1">
        <v>0.006794462630074216</v>
      </c>
      <c r="K613" s="1">
        <v>0.00572399008516844</v>
      </c>
      <c r="L613" s="1">
        <v>0.002797666299959367</v>
      </c>
      <c r="M613" s="1">
        <v>-0.003159575832842432</v>
      </c>
      <c r="N613" s="1">
        <v>0.01799255300183566</v>
      </c>
      <c r="O613" s="1">
        <v>0.008638557143457071</v>
      </c>
      <c r="P613" s="1">
        <v>0.007434414992302241</v>
      </c>
      <c r="Q613" s="1">
        <v>-0.001697927896366025</v>
      </c>
      <c r="R613" s="1">
        <v>0.004309117037674781</v>
      </c>
      <c r="S613" s="1">
        <v>0.006554345596886613</v>
      </c>
      <c r="T613" s="1">
        <v>0.007517875551225295</v>
      </c>
      <c r="U613" s="1">
        <v>0.0005914576511516501</v>
      </c>
      <c r="V613" s="1">
        <v>-0.004211945785886684</v>
      </c>
      <c r="W613" s="1">
        <v>0.002587251754153641</v>
      </c>
      <c r="X613" s="1">
        <v>0.009759837443149566</v>
      </c>
      <c r="Y613" s="1">
        <v>0.003468670157163123</v>
      </c>
      <c r="Z613" s="1">
        <v>0.004037869446396503</v>
      </c>
    </row>
    <row r="614" spans="1:26">
      <c r="A614" s="11">
        <v>43262</v>
      </c>
      <c r="B614" s="1">
        <v>0.05587135296152401</v>
      </c>
      <c r="C614" s="1">
        <v>0.003897136867978768</v>
      </c>
      <c r="D614" s="1">
        <v>0.005483042478128253</v>
      </c>
      <c r="E614" s="1">
        <v>-0.0007526356617012508</v>
      </c>
      <c r="F614" s="1">
        <v>-0.002494029835729217</v>
      </c>
      <c r="G614" s="1">
        <v>-0.005128431198265671</v>
      </c>
      <c r="H614" s="1">
        <v>0.02290760420472959</v>
      </c>
      <c r="I614" s="1">
        <v>-0.002800921534855449</v>
      </c>
      <c r="J614" s="1">
        <v>0.01265262824603353</v>
      </c>
      <c r="K614" s="1">
        <v>-0.001422690508614433</v>
      </c>
      <c r="L614" s="1">
        <v>-0.002519866328945741</v>
      </c>
      <c r="M614" s="1">
        <v>0.009904959453448825</v>
      </c>
      <c r="N614" s="1">
        <v>0.009357385381765004</v>
      </c>
      <c r="O614" s="1">
        <v>-0.005910842326913412</v>
      </c>
      <c r="P614" s="1">
        <v>-0.005706791941216927</v>
      </c>
      <c r="Q614" s="1">
        <v>-0.0106291463070789</v>
      </c>
      <c r="R614" s="1">
        <v>0.005210065614803305</v>
      </c>
      <c r="S614" s="1">
        <v>0.0004152695716947985</v>
      </c>
      <c r="T614" s="1">
        <v>0.001180531134396201</v>
      </c>
      <c r="U614" s="1">
        <v>0.01034609132062259</v>
      </c>
      <c r="V614" s="1">
        <v>0.01333013627591062</v>
      </c>
      <c r="W614" s="1">
        <v>0.001474491024651137</v>
      </c>
      <c r="X614" s="1">
        <v>-0.006058881131439153</v>
      </c>
      <c r="Y614" s="1">
        <v>0.002440218111540826</v>
      </c>
      <c r="Z614" s="1">
        <v>-0.01084105010300751</v>
      </c>
    </row>
    <row r="615" spans="1:26">
      <c r="A615" s="11">
        <v>43263</v>
      </c>
      <c r="B615" s="1">
        <v>-0.04125569485267622</v>
      </c>
      <c r="C615" s="1">
        <v>-0.000862649482743727</v>
      </c>
      <c r="D615" s="1">
        <v>0.002127528546181034</v>
      </c>
      <c r="E615" s="1">
        <v>0.000188544360520293</v>
      </c>
      <c r="F615" s="1">
        <v>0.01187516075451622</v>
      </c>
      <c r="G615" s="1">
        <v>0.02735924582643645</v>
      </c>
      <c r="H615" s="1">
        <v>0.008613483508634889</v>
      </c>
      <c r="I615" s="1">
        <v>0.005808024306863668</v>
      </c>
      <c r="J615" s="1">
        <v>-0.01051464786396539</v>
      </c>
      <c r="K615" s="1">
        <v>0.002849565158936196</v>
      </c>
      <c r="L615" s="1">
        <v>-0.005774785432402729</v>
      </c>
      <c r="M615" s="1">
        <v>-0.0001960678676705685</v>
      </c>
      <c r="N615" s="1">
        <v>-0.006352260271574761</v>
      </c>
      <c r="O615" s="1">
        <v>-0.008615602464526861</v>
      </c>
      <c r="P615" s="1">
        <v>0.002572950898858561</v>
      </c>
      <c r="Q615" s="1">
        <v>0.01976769639080245</v>
      </c>
      <c r="R615" s="1">
        <v>-0.006097733419871187</v>
      </c>
      <c r="S615" s="1">
        <v>0.005963762114467253</v>
      </c>
      <c r="T615" s="1">
        <v>0.009836608451863516</v>
      </c>
      <c r="U615" s="1">
        <v>0.004973594631937139</v>
      </c>
      <c r="V615" s="1">
        <v>0.0001266916056359424</v>
      </c>
      <c r="W615" s="1">
        <v>0.002806475478204007</v>
      </c>
      <c r="X615" s="1">
        <v>-0.01161109741684319</v>
      </c>
      <c r="Y615" s="1">
        <v>-0.009939165013748696</v>
      </c>
      <c r="Z615" s="1">
        <v>-0.003889132856994326</v>
      </c>
    </row>
    <row r="616" spans="1:26">
      <c r="A616" s="11">
        <v>43264</v>
      </c>
      <c r="B616" s="1">
        <v>0.01309608683195296</v>
      </c>
      <c r="C616" s="1">
        <v>-0.01826662389049305</v>
      </c>
      <c r="D616" s="1">
        <v>-0.01021863195022576</v>
      </c>
      <c r="E616" s="1">
        <v>0.006211141378007268</v>
      </c>
      <c r="F616" s="1">
        <v>-0.001852816439212757</v>
      </c>
      <c r="G616" s="1">
        <v>-0.01042036421173687</v>
      </c>
      <c r="H616" s="1">
        <v>0.01053217248588156</v>
      </c>
      <c r="I616" s="1">
        <v>-0.02696868823752363</v>
      </c>
      <c r="J616" s="1">
        <v>-0.003386938073851486</v>
      </c>
      <c r="K616" s="1">
        <v>-0.007672535760630206</v>
      </c>
      <c r="L616" s="1">
        <v>-0.001996234016934939</v>
      </c>
      <c r="M616" s="1">
        <v>0.007455293223154635</v>
      </c>
      <c r="N616" s="1">
        <v>-0.007774732609043045</v>
      </c>
      <c r="O616" s="1">
        <v>0.005874998435964507</v>
      </c>
      <c r="P616" s="1">
        <v>-0.004540492921373041</v>
      </c>
      <c r="Q616" s="1">
        <v>0.00294987818159731</v>
      </c>
      <c r="R616" s="1">
        <v>-0.01825120422941873</v>
      </c>
      <c r="S616" s="1">
        <v>-0.01667278364566871</v>
      </c>
      <c r="T616" s="1">
        <v>-0.01562993831170456</v>
      </c>
      <c r="U616" s="1">
        <v>-0.06200889522493835</v>
      </c>
      <c r="V616" s="1">
        <v>-0.01327979041684479</v>
      </c>
      <c r="W616" s="1">
        <v>-0.007340926530550851</v>
      </c>
      <c r="X616" s="1">
        <v>-0.004258247452220698</v>
      </c>
      <c r="Y616" s="1">
        <v>-0.02888728857877898</v>
      </c>
      <c r="Z616" s="1">
        <v>-0.006210781954306688</v>
      </c>
    </row>
    <row r="617" spans="1:26">
      <c r="A617" s="11">
        <v>43265</v>
      </c>
      <c r="B617" s="1">
        <v>-0.009925999489198034</v>
      </c>
      <c r="C617" s="1">
        <v>-0.003930202394094584</v>
      </c>
      <c r="D617" s="1">
        <v>0.01112868420432989</v>
      </c>
      <c r="E617" s="1">
        <v>0.003179927909880531</v>
      </c>
      <c r="F617" s="1">
        <v>0.04641075277748796</v>
      </c>
      <c r="G617" s="1">
        <v>0.02106084501486771</v>
      </c>
      <c r="H617" s="1">
        <v>0.02845013607620617</v>
      </c>
      <c r="I617" s="1">
        <v>-0.02060776547800103</v>
      </c>
      <c r="J617" s="1">
        <v>0.01104479478354103</v>
      </c>
      <c r="K617" s="1">
        <v>-0.0008591099594638107</v>
      </c>
      <c r="L617" s="1">
        <v>-0.01764161151631416</v>
      </c>
      <c r="M617" s="1">
        <v>0.01148995029878019</v>
      </c>
      <c r="N617" s="1">
        <v>-0.0005289950157442158</v>
      </c>
      <c r="O617" s="1">
        <v>-0.00292034221205395</v>
      </c>
      <c r="P617" s="1">
        <v>0.005652160894751068</v>
      </c>
      <c r="Q617" s="1">
        <v>0.007983411917686478</v>
      </c>
      <c r="R617" s="1">
        <v>-0.003905627786602639</v>
      </c>
      <c r="S617" s="1">
        <v>0.01007903587105496</v>
      </c>
      <c r="T617" s="1">
        <v>0.0127478949123736</v>
      </c>
      <c r="U617" s="1">
        <v>0.009310866863259104</v>
      </c>
      <c r="V617" s="1">
        <v>-0.01025320521885253</v>
      </c>
      <c r="W617" s="1">
        <v>0.001711468201098354</v>
      </c>
      <c r="X617" s="1">
        <v>-0.004425572939320221</v>
      </c>
      <c r="Y617" s="1">
        <v>0.00886028312322229</v>
      </c>
      <c r="Z617" s="1">
        <v>-0.009821838734314081</v>
      </c>
    </row>
    <row r="618" spans="1:26">
      <c r="A618" s="11">
        <v>43266</v>
      </c>
      <c r="B618" s="1">
        <v>-0.02984348712561813</v>
      </c>
      <c r="C618" s="1">
        <v>-0.01252697255745694</v>
      </c>
      <c r="D618" s="1">
        <v>-0.002519635266922893</v>
      </c>
      <c r="E618" s="1">
        <v>0.02181591629291457</v>
      </c>
      <c r="F618" s="1">
        <v>0.001774153709441562</v>
      </c>
      <c r="G618" s="1">
        <v>-0.01107726063359427</v>
      </c>
      <c r="H618" s="1">
        <v>0.01616030881547048</v>
      </c>
      <c r="I618" s="1">
        <v>-0.009521853910723355</v>
      </c>
      <c r="J618" s="1">
        <v>-0.00882344682149061</v>
      </c>
      <c r="K618" s="1">
        <v>0.004299177807794097</v>
      </c>
      <c r="L618" s="1">
        <v>-0.001203246471221164</v>
      </c>
      <c r="M618" s="1">
        <v>0.004620537148596338</v>
      </c>
      <c r="N618" s="1">
        <v>0.01922384091777363</v>
      </c>
      <c r="O618" s="1">
        <v>0.004881812537246955</v>
      </c>
      <c r="P618" s="1">
        <v>-0.01271968771621679</v>
      </c>
      <c r="Q618" s="1">
        <v>0.01125465131886161</v>
      </c>
      <c r="R618" s="1">
        <v>0.003764025619776623</v>
      </c>
      <c r="S618" s="1">
        <v>-0.002051822490604649</v>
      </c>
      <c r="T618" s="1">
        <v>0.002268395777731413</v>
      </c>
      <c r="U618" s="1">
        <v>0.01937305669464906</v>
      </c>
      <c r="V618" s="1">
        <v>0.0003881328551122998</v>
      </c>
      <c r="W618" s="1">
        <v>-0.003463418876544333</v>
      </c>
      <c r="X618" s="1">
        <v>-0.00118542931883403</v>
      </c>
      <c r="Y618" s="1">
        <v>0.005019047297387003</v>
      </c>
      <c r="Z618" s="1">
        <v>-0.00306590365649928</v>
      </c>
    </row>
    <row r="619" spans="1:26">
      <c r="A619" s="11">
        <v>43269</v>
      </c>
      <c r="B619" s="1">
        <v>0.02955984725884964</v>
      </c>
      <c r="C619" s="1">
        <v>-0.008773937266140397</v>
      </c>
      <c r="D619" s="1">
        <v>-0.01223068042175879</v>
      </c>
      <c r="E619" s="1">
        <v>-0.02098527652246851</v>
      </c>
      <c r="F619" s="1">
        <v>-0.038370835612343</v>
      </c>
      <c r="G619" s="1">
        <v>0.00733875460550637</v>
      </c>
      <c r="H619" s="1">
        <v>-0.01159032368939961</v>
      </c>
      <c r="I619" s="1">
        <v>-0.006454264017237921</v>
      </c>
      <c r="J619" s="1">
        <v>0.002543272120709483</v>
      </c>
      <c r="K619" s="1">
        <v>-0.01426933363983596</v>
      </c>
      <c r="L619" s="1">
        <v>0.002595008515741348</v>
      </c>
      <c r="M619" s="1">
        <v>0.003641165903147225</v>
      </c>
      <c r="N619" s="1">
        <v>-0.02059157459130589</v>
      </c>
      <c r="O619" s="1">
        <v>0.003400656744406039</v>
      </c>
      <c r="P619" s="1">
        <v>0.007290732166620018</v>
      </c>
      <c r="Q619" s="1">
        <v>0.005358631239641642</v>
      </c>
      <c r="R619" s="1">
        <v>-0.006562831194878549</v>
      </c>
      <c r="S619" s="1">
        <v>0.003083612438794292</v>
      </c>
      <c r="T619" s="1">
        <v>-0.009375976408888875</v>
      </c>
      <c r="U619" s="1">
        <v>-0.02895954900509068</v>
      </c>
      <c r="V619" s="1">
        <v>-0.001683023540002382</v>
      </c>
      <c r="W619" s="1">
        <v>-0.01380920140073882</v>
      </c>
      <c r="X619" s="1">
        <v>0.0005930749661626766</v>
      </c>
      <c r="Y619" s="1">
        <v>-0.01248442372670067</v>
      </c>
      <c r="Z619" s="1">
        <v>0.005788733432959159</v>
      </c>
    </row>
    <row r="620" spans="1:26">
      <c r="A620" s="11">
        <v>43270</v>
      </c>
      <c r="B620" s="1">
        <v>0.009804445352858737</v>
      </c>
      <c r="C620" s="1">
        <v>-0.03839435748557374</v>
      </c>
      <c r="D620" s="1">
        <v>-0.00174969115834489</v>
      </c>
      <c r="E620" s="1">
        <v>-0.0001860060514226047</v>
      </c>
      <c r="F620" s="1">
        <v>0.007059518221396166</v>
      </c>
      <c r="G620" s="1">
        <v>0.01150305957254938</v>
      </c>
      <c r="H620" s="1">
        <v>0.009817230787988018</v>
      </c>
      <c r="I620" s="1">
        <v>-0.03728224084435239</v>
      </c>
      <c r="J620" s="1">
        <v>-0.005496659691489381</v>
      </c>
      <c r="K620" s="1">
        <v>-0.00115828071779922</v>
      </c>
      <c r="L620" s="1">
        <v>-0.005823458455989972</v>
      </c>
      <c r="M620" s="1">
        <v>-0.0126026979106455</v>
      </c>
      <c r="N620" s="1">
        <v>0.00335707812271302</v>
      </c>
      <c r="O620" s="1">
        <v>-0.003873157143899575</v>
      </c>
      <c r="P620" s="1">
        <v>0</v>
      </c>
      <c r="Q620" s="1">
        <v>0.01148011015796357</v>
      </c>
      <c r="R620" s="1">
        <v>-0.01305433843700665</v>
      </c>
      <c r="S620" s="1">
        <v>0.01113308294794702</v>
      </c>
      <c r="T620" s="1">
        <v>-0.00183275675527883</v>
      </c>
      <c r="U620" s="1">
        <v>0.006213216704331614</v>
      </c>
      <c r="V620" s="1">
        <v>-0.007131580111314539</v>
      </c>
      <c r="W620" s="1">
        <v>-0.0135795274127678</v>
      </c>
      <c r="X620" s="1">
        <v>-0.0170492866970684</v>
      </c>
      <c r="Y620" s="1">
        <v>0.0219132039682286</v>
      </c>
      <c r="Z620" s="1">
        <v>0.005395927649521237</v>
      </c>
    </row>
    <row r="621" spans="1:26">
      <c r="A621" s="11">
        <v>43271</v>
      </c>
      <c r="B621" s="1">
        <v>0.05594054189333364</v>
      </c>
      <c r="C621" s="1">
        <v>0.004602464295929032</v>
      </c>
      <c r="D621" s="1">
        <v>-0.01132496014478157</v>
      </c>
      <c r="E621" s="1">
        <v>0.01137174717277567</v>
      </c>
      <c r="F621" s="1">
        <v>0.01767744177013331</v>
      </c>
      <c r="G621" s="1">
        <v>-0.002653670621565185</v>
      </c>
      <c r="H621" s="1">
        <v>0.004591189825853048</v>
      </c>
      <c r="I621" s="1">
        <v>0.01454891672001479</v>
      </c>
      <c r="J621" s="1">
        <v>-0.009354061233425082</v>
      </c>
      <c r="K621" s="1">
        <v>0.02173961868958862</v>
      </c>
      <c r="L621" s="1">
        <v>-9.297729793966703E-05</v>
      </c>
      <c r="M621" s="1">
        <v>0.00560833003629857</v>
      </c>
      <c r="N621" s="1">
        <v>-0.0007042899991195339</v>
      </c>
      <c r="O621" s="1">
        <v>-0.01531017884735741</v>
      </c>
      <c r="P621" s="1">
        <v>0.01001384990995713</v>
      </c>
      <c r="Q621" s="1">
        <v>0.005269271472785553</v>
      </c>
      <c r="R621" s="1">
        <v>-0.003824362790984859</v>
      </c>
      <c r="S621" s="1">
        <v>0.006725676364548017</v>
      </c>
      <c r="T621" s="1">
        <v>0.000729391980827776</v>
      </c>
      <c r="U621" s="1">
        <v>-0.01204076443769531</v>
      </c>
      <c r="V621" s="1">
        <v>-0.01541071767330404</v>
      </c>
      <c r="W621" s="1">
        <v>-0.00538255231893181</v>
      </c>
      <c r="X621" s="1">
        <v>0.006787257433262806</v>
      </c>
      <c r="Y621" s="1">
        <v>-0.008453820407600898</v>
      </c>
      <c r="Z621" s="1">
        <v>0.004829824810850702</v>
      </c>
    </row>
    <row r="622" spans="1:26">
      <c r="A622" s="11">
        <v>43272</v>
      </c>
      <c r="B622" s="1">
        <v>-0.02889672402476784</v>
      </c>
      <c r="C622" s="1">
        <v>-0.01467789896299754</v>
      </c>
      <c r="D622" s="1">
        <v>0.005590745514149065</v>
      </c>
      <c r="E622" s="1">
        <v>-0.005714250803690368</v>
      </c>
      <c r="F622" s="1">
        <v>-0.01796925065493549</v>
      </c>
      <c r="G622" s="1">
        <v>0.0079816411565512</v>
      </c>
      <c r="H622" s="1">
        <v>0.006989304055474266</v>
      </c>
      <c r="I622" s="1">
        <v>-0.01621066964153917</v>
      </c>
      <c r="J622" s="1">
        <v>0.008583857788684757</v>
      </c>
      <c r="K622" s="1">
        <v>-0.02609938724474636</v>
      </c>
      <c r="L622" s="1">
        <v>-0.0002792237579528623</v>
      </c>
      <c r="M622" s="1">
        <v>0.02211533233502205</v>
      </c>
      <c r="N622" s="1">
        <v>-0.001057554512520098</v>
      </c>
      <c r="O622" s="1">
        <v>-0.003454993390489602</v>
      </c>
      <c r="P622" s="1">
        <v>-0.007166038440092337</v>
      </c>
      <c r="Q622" s="1">
        <v>-0.0008062150096665999</v>
      </c>
      <c r="R622" s="1">
        <v>-0.01599726655429035</v>
      </c>
      <c r="S622" s="1">
        <v>0.01514679988654555</v>
      </c>
      <c r="T622" s="1">
        <v>-0.006333096737541788</v>
      </c>
      <c r="U622" s="1">
        <v>-0.01250007315200241</v>
      </c>
      <c r="V622" s="1">
        <v>0.009948510915428921</v>
      </c>
      <c r="W622" s="1">
        <v>-0.01082418396218021</v>
      </c>
      <c r="X622" s="1">
        <v>-0.001048634314946506</v>
      </c>
      <c r="Y622" s="1">
        <v>0.01122906214822406</v>
      </c>
      <c r="Z622" s="1">
        <v>0.006053297477995434</v>
      </c>
    </row>
    <row r="623" spans="1:26">
      <c r="A623" s="11">
        <v>43273</v>
      </c>
      <c r="B623" s="1">
        <v>0.009016873386976876</v>
      </c>
      <c r="C623" s="1">
        <v>0.003701858676366188</v>
      </c>
      <c r="D623" s="1">
        <v>0.0078653975114511</v>
      </c>
      <c r="E623" s="1">
        <v>0.02224670834278197</v>
      </c>
      <c r="F623" s="1">
        <v>0.03110708064025847</v>
      </c>
      <c r="G623" s="1">
        <v>0.003771285923673817</v>
      </c>
      <c r="H623" s="1">
        <v>0.03043229319522678</v>
      </c>
      <c r="I623" s="1">
        <v>0.008168205984020016</v>
      </c>
      <c r="J623" s="1">
        <v>0.01276604058877773</v>
      </c>
      <c r="K623" s="1">
        <v>-0.002348175862579072</v>
      </c>
      <c r="L623" s="1">
        <v>-0.01637036298143535</v>
      </c>
      <c r="M623" s="1">
        <v>-0.02333019228646349</v>
      </c>
      <c r="N623" s="1">
        <v>0.005821174971249787</v>
      </c>
      <c r="O623" s="1">
        <v>0.01040123982700836</v>
      </c>
      <c r="P623" s="1">
        <v>-0.007217597598545789</v>
      </c>
      <c r="Q623" s="1">
        <v>0.01129943105688125</v>
      </c>
      <c r="R623" s="1">
        <v>0.009753896815919871</v>
      </c>
      <c r="S623" s="1">
        <v>0.01857211665844627</v>
      </c>
      <c r="T623" s="1">
        <v>0.001896832077918909</v>
      </c>
      <c r="U623" s="1">
        <v>0.002848021753722563</v>
      </c>
      <c r="V623" s="1">
        <v>-0.001313604212948905</v>
      </c>
      <c r="W623" s="1">
        <v>0.01070050367354347</v>
      </c>
      <c r="X623" s="1">
        <v>0.005698958451859193</v>
      </c>
      <c r="Y623" s="1">
        <v>0.02323663708754364</v>
      </c>
      <c r="Z623" s="1">
        <v>-0.01769604355579713</v>
      </c>
    </row>
    <row r="624" spans="1:26">
      <c r="A624" s="11">
        <v>43276</v>
      </c>
      <c r="B624" s="1">
        <v>-0.03619297985978387</v>
      </c>
      <c r="C624" s="1">
        <v>-0.02274923524140104</v>
      </c>
      <c r="D624" s="1">
        <v>-0.009822437656392458</v>
      </c>
      <c r="E624" s="1">
        <v>-0.008523801191949731</v>
      </c>
      <c r="F624" s="1">
        <v>-0.02040823284677107</v>
      </c>
      <c r="G624" s="1">
        <v>0.02141223260320979</v>
      </c>
      <c r="H624" s="1">
        <v>0.09404142182738684</v>
      </c>
      <c r="I624" s="1">
        <v>-0.02458611634995855</v>
      </c>
      <c r="J624" s="1">
        <v>-0.02983198528142961</v>
      </c>
      <c r="K624" s="1">
        <v>0.01088550825711332</v>
      </c>
      <c r="L624" s="1">
        <v>-0.009078020296213185</v>
      </c>
      <c r="M624" s="1">
        <v>-0.01213630123331977</v>
      </c>
      <c r="N624" s="1">
        <v>0.0008769670573234301</v>
      </c>
      <c r="O624" s="1">
        <v>0.003676480823216588</v>
      </c>
      <c r="P624" s="1">
        <v>-0.02011786746369904</v>
      </c>
      <c r="Q624" s="1">
        <v>0.02434173133209128</v>
      </c>
      <c r="R624" s="1">
        <v>0.0004833792040515039</v>
      </c>
      <c r="S624" s="1">
        <v>-0.001372208281398057</v>
      </c>
      <c r="T624" s="1">
        <v>-0.002978602838337396</v>
      </c>
      <c r="U624" s="1">
        <v>0.0006310963469247088</v>
      </c>
      <c r="V624" s="1">
        <v>0.01052081889936995</v>
      </c>
      <c r="W624" s="1">
        <v>-0.0182995381650487</v>
      </c>
      <c r="X624" s="1">
        <v>-0.01983309532515132</v>
      </c>
      <c r="Y624" s="1">
        <v>-0.00321511574035882</v>
      </c>
      <c r="Z624" s="1">
        <v>-0.01585287490877985</v>
      </c>
    </row>
    <row r="625" spans="1:26">
      <c r="A625" s="11">
        <v>43277</v>
      </c>
      <c r="B625" s="1">
        <v>0.02387582878334449</v>
      </c>
      <c r="C625" s="1">
        <v>0.0003017565062417571</v>
      </c>
      <c r="D625" s="1">
        <v>-0.006114442562052624</v>
      </c>
      <c r="E625" s="1">
        <v>0.004390045164087475</v>
      </c>
      <c r="F625" s="1">
        <v>-0.01026591892655093</v>
      </c>
      <c r="G625" s="1">
        <v>0.005148965887265211</v>
      </c>
      <c r="H625" s="1">
        <v>-0.02178557922004631</v>
      </c>
      <c r="I625" s="1">
        <v>0</v>
      </c>
      <c r="J625" s="1">
        <v>-0.001732561754342776</v>
      </c>
      <c r="K625" s="1">
        <v>-0.005820827522837746</v>
      </c>
      <c r="L625" s="1">
        <v>0.0006679832264617769</v>
      </c>
      <c r="M625" s="1">
        <v>-0.002145289714846843</v>
      </c>
      <c r="N625" s="1">
        <v>-0.01699657617605899</v>
      </c>
      <c r="O625" s="1">
        <v>-0.007326134327718115</v>
      </c>
      <c r="P625" s="1">
        <v>0.007012952571254782</v>
      </c>
      <c r="Q625" s="1">
        <v>-0.0038957137551906</v>
      </c>
      <c r="R625" s="1">
        <v>0.0003219507569010016</v>
      </c>
      <c r="S625" s="1">
        <v>0.01484650050155567</v>
      </c>
      <c r="T625" s="1">
        <v>0.01478652865573848</v>
      </c>
      <c r="U625" s="1">
        <v>-0.002838071267059705</v>
      </c>
      <c r="V625" s="1">
        <v>-0.006637349303768025</v>
      </c>
      <c r="W625" s="1">
        <v>0.001122374106377944</v>
      </c>
      <c r="X625" s="1">
        <v>0.003955687293188959</v>
      </c>
      <c r="Y625" s="1">
        <v>-0.006048521574913757</v>
      </c>
      <c r="Z625" s="1">
        <v>-0.01098301325003215</v>
      </c>
    </row>
    <row r="626" spans="1:26">
      <c r="A626" s="11">
        <v>43278</v>
      </c>
      <c r="B626" s="1">
        <v>0.03894068705845122</v>
      </c>
      <c r="C626" s="1">
        <v>-0.00446707998920437</v>
      </c>
      <c r="D626" s="1">
        <v>-0.008066928763511116</v>
      </c>
      <c r="E626" s="1">
        <v>-0.008013064754888721</v>
      </c>
      <c r="F626" s="1">
        <v>-0.01494784220702727</v>
      </c>
      <c r="G626" s="1">
        <v>0.008415600957231373</v>
      </c>
      <c r="H626" s="1">
        <v>-0.0343743438877836</v>
      </c>
      <c r="I626" s="1">
        <v>-0.001932906434357839</v>
      </c>
      <c r="J626" s="1">
        <v>-0.01041186308760811</v>
      </c>
      <c r="K626" s="1">
        <v>-0.01844240549997045</v>
      </c>
      <c r="L626" s="1">
        <v>-0.01544926634530086</v>
      </c>
      <c r="M626" s="1">
        <v>-0.0156340864512311</v>
      </c>
      <c r="N626" s="1">
        <v>-0.001960903556847304</v>
      </c>
      <c r="O626" s="1">
        <v>-0.01291495168902757</v>
      </c>
      <c r="P626" s="1">
        <v>-0.01554283872546136</v>
      </c>
      <c r="Q626" s="1">
        <v>0.01016809940671082</v>
      </c>
      <c r="R626" s="1">
        <v>-0.006435249817146604</v>
      </c>
      <c r="S626" s="1">
        <v>-0.007860560492139457</v>
      </c>
      <c r="T626" s="1">
        <v>-0.005663727717112321</v>
      </c>
      <c r="U626" s="1">
        <v>0.0009486687099018454</v>
      </c>
      <c r="V626" s="1">
        <v>0.007074735417758937</v>
      </c>
      <c r="W626" s="1">
        <v>-0.008676193527052622</v>
      </c>
      <c r="X626" s="1">
        <v>-0.008334843543934434</v>
      </c>
      <c r="Y626" s="1">
        <v>0.0002029073338800647</v>
      </c>
      <c r="Z626" s="1">
        <v>-0.01813827151464509</v>
      </c>
    </row>
    <row r="627" spans="1:26">
      <c r="A627" s="11">
        <v>43279</v>
      </c>
      <c r="B627" s="1">
        <v>0.001089491779867835</v>
      </c>
      <c r="C627" s="1">
        <v>0.01464422415529354</v>
      </c>
      <c r="D627" s="1">
        <v>0.01722935464838282</v>
      </c>
      <c r="E627" s="1">
        <v>0.01523784442614806</v>
      </c>
      <c r="F627" s="1">
        <v>0.01052916426419692</v>
      </c>
      <c r="G627" s="1">
        <v>0</v>
      </c>
      <c r="H627" s="1">
        <v>0.02155960022661896</v>
      </c>
      <c r="I627" s="1">
        <v>0.005263494688697579</v>
      </c>
      <c r="J627" s="1">
        <v>-0.006137564054806921</v>
      </c>
      <c r="K627" s="1">
        <v>-0.007157844260430757</v>
      </c>
      <c r="L627" s="1">
        <v>0.01636951890964045</v>
      </c>
      <c r="M627" s="1">
        <v>0.006551804761772084</v>
      </c>
      <c r="N627" s="1">
        <v>0.02321850497751132</v>
      </c>
      <c r="O627" s="1">
        <v>0.009719696173755565</v>
      </c>
      <c r="P627" s="1">
        <v>0.01117470490097205</v>
      </c>
      <c r="Q627" s="1">
        <v>0.01122747525348622</v>
      </c>
      <c r="R627" s="1">
        <v>0.00453365570418951</v>
      </c>
      <c r="S627" s="1">
        <v>0.007614384810388897</v>
      </c>
      <c r="T627" s="1">
        <v>0.01593417545956188</v>
      </c>
      <c r="U627" s="1">
        <v>0.01706163482163214</v>
      </c>
      <c r="V627" s="1">
        <v>-0.01652146472362115</v>
      </c>
      <c r="W627" s="1">
        <v>0.01096480712733938</v>
      </c>
      <c r="X627" s="1">
        <v>0.004126273878070519</v>
      </c>
      <c r="Y627" s="1">
        <v>0.03143346053639995</v>
      </c>
      <c r="Z627" s="1">
        <v>0.002262025102637955</v>
      </c>
    </row>
    <row r="628" spans="1:26">
      <c r="A628" s="11">
        <v>43280</v>
      </c>
      <c r="B628" s="1">
        <v>0.01763181951049897</v>
      </c>
      <c r="C628" s="1">
        <v>0.002569944384826828</v>
      </c>
      <c r="D628" s="1">
        <v>0.000542077733402424</v>
      </c>
      <c r="E628" s="1">
        <v>0.0007232292565573228</v>
      </c>
      <c r="F628" s="1">
        <v>0.005516649061592549</v>
      </c>
      <c r="G628" s="1">
        <v>0.005442578844915946</v>
      </c>
      <c r="H628" s="1">
        <v>-0.005153226307596848</v>
      </c>
      <c r="I628" s="1">
        <v>0.00272509499061413</v>
      </c>
      <c r="J628" s="1">
        <v>0.0008821612590781402</v>
      </c>
      <c r="K628" s="1">
        <v>0.004806321626355414</v>
      </c>
      <c r="L628" s="1">
        <v>-0.006956999675220676</v>
      </c>
      <c r="M628" s="1">
        <v>0.003549969555277199</v>
      </c>
      <c r="N628" s="1">
        <v>-0.008727472528016755</v>
      </c>
      <c r="O628" s="1">
        <v>0.01160076595872228</v>
      </c>
      <c r="P628" s="1">
        <v>-0.0002028206837841884</v>
      </c>
      <c r="Q628" s="1">
        <v>0.006125679898071779</v>
      </c>
      <c r="R628" s="1">
        <v>-0.00128931360494422</v>
      </c>
      <c r="S628" s="1">
        <v>-0.009041819160256925</v>
      </c>
      <c r="T628" s="1">
        <v>0.006668643372454763</v>
      </c>
      <c r="U628" s="1">
        <v>-0.002484894167704144</v>
      </c>
      <c r="V628" s="1">
        <v>0.006878323838646727</v>
      </c>
      <c r="W628" s="1">
        <v>0.007441405703074278</v>
      </c>
      <c r="X628" s="1">
        <v>0.003043265412640217</v>
      </c>
      <c r="Y628" s="1">
        <v>-0.01081393826449262</v>
      </c>
      <c r="Z628" s="1">
        <v>-0.009027491894897821</v>
      </c>
    </row>
    <row r="629" spans="1:26">
      <c r="A629" s="11">
        <v>43283</v>
      </c>
      <c r="B629" s="1">
        <v>-0.04427830679769429</v>
      </c>
      <c r="C629" s="1">
        <v>0.001698918426777052</v>
      </c>
      <c r="D629" s="1">
        <v>-0.001219161998871954</v>
      </c>
      <c r="E629" s="1">
        <v>-0.002710406993381542</v>
      </c>
      <c r="F629" s="1">
        <v>0.01686076947550674</v>
      </c>
      <c r="G629" s="1">
        <v>-0.005052254688504898</v>
      </c>
      <c r="H629" s="1">
        <v>-0.006167180407346207</v>
      </c>
      <c r="I629" s="1">
        <v>0.00972837203374155</v>
      </c>
      <c r="J629" s="1">
        <v>0.007492099024362098</v>
      </c>
      <c r="K629" s="1">
        <v>-0.003886477952426248</v>
      </c>
      <c r="L629" s="1">
        <v>0.008445602263529084</v>
      </c>
      <c r="M629" s="1">
        <v>0.01297184710505972</v>
      </c>
      <c r="N629" s="1">
        <v>-0.01620016873484464</v>
      </c>
      <c r="O629" s="1">
        <v>0.003293747114067491</v>
      </c>
      <c r="P629" s="1">
        <v>0.0141977271924536</v>
      </c>
      <c r="Q629" s="1">
        <v>0.009132103170372385</v>
      </c>
      <c r="R629" s="1">
        <v>-0.01775332323221457</v>
      </c>
      <c r="S629" s="1">
        <v>-0.002292287520044178</v>
      </c>
      <c r="T629" s="1">
        <v>-0.001987309921018476</v>
      </c>
      <c r="U629" s="1">
        <v>0.003113785044134953</v>
      </c>
      <c r="V629" s="1">
        <v>-0.004598190901442867</v>
      </c>
      <c r="W629" s="1">
        <v>-0.007579654620005205</v>
      </c>
      <c r="X629" s="1">
        <v>0.003489692538550582</v>
      </c>
      <c r="Y629" s="1">
        <v>0.002186694628555363</v>
      </c>
      <c r="Z629" s="1">
        <v>0.005124258583303565</v>
      </c>
    </row>
    <row r="630" spans="1:26">
      <c r="A630" s="11">
        <v>43284</v>
      </c>
      <c r="B630" s="1">
        <v>0.02461942251081073</v>
      </c>
      <c r="C630" s="1">
        <v>-0.009372875767200362</v>
      </c>
      <c r="D630" s="1">
        <v>-0.009219853619119922</v>
      </c>
      <c r="E630" s="1">
        <v>0.008334980099001132</v>
      </c>
      <c r="F630" s="1">
        <v>-0.002411696104177907</v>
      </c>
      <c r="G630" s="1">
        <v>0.001450781065355233</v>
      </c>
      <c r="H630" s="1">
        <v>0.01836661132401174</v>
      </c>
      <c r="I630" s="1">
        <v>-0.006517422080561164</v>
      </c>
      <c r="J630" s="1">
        <v>-0.01181108995824143</v>
      </c>
      <c r="K630" s="1">
        <v>0.009303893628628046</v>
      </c>
      <c r="L630" s="1">
        <v>-0.01398938639855851</v>
      </c>
      <c r="M630" s="1">
        <v>-0.0003880400192667333</v>
      </c>
      <c r="N630" s="1">
        <v>0.01055988013613418</v>
      </c>
      <c r="O630" s="1">
        <v>0.00376951489686661</v>
      </c>
      <c r="P630" s="1">
        <v>-0.009599069277419381</v>
      </c>
      <c r="Q630" s="1">
        <v>0.007918526031197359</v>
      </c>
      <c r="R630" s="1">
        <v>-0.01478813347661423</v>
      </c>
      <c r="S630" s="1">
        <v>0.01369630768629526</v>
      </c>
      <c r="T630" s="1">
        <v>0.0004175530759753521</v>
      </c>
      <c r="U630" s="1">
        <v>0.01552339934776636</v>
      </c>
      <c r="V630" s="1">
        <v>0.01135057692349273</v>
      </c>
      <c r="W630" s="1">
        <v>0.001507880508705206</v>
      </c>
      <c r="X630" s="1">
        <v>-0.003024297082920735</v>
      </c>
      <c r="Y630" s="1">
        <v>0.005553412087299758</v>
      </c>
      <c r="Z630" s="1">
        <v>-0.01189564698985002</v>
      </c>
    </row>
    <row r="631" spans="1:26">
      <c r="A631" s="11">
        <v>43286</v>
      </c>
      <c r="B631" s="1">
        <v>0.01201403883488505</v>
      </c>
      <c r="C631" s="1">
        <v>0.0007509475176732394</v>
      </c>
      <c r="D631" s="1">
        <v>0.00999016628595828</v>
      </c>
      <c r="E631" s="1">
        <v>0.01266973395512894</v>
      </c>
      <c r="F631" s="1">
        <v>0.0009066686247014566</v>
      </c>
      <c r="G631" s="1">
        <v>0.005070816714493498</v>
      </c>
      <c r="H631" s="1">
        <v>0.01121197235538185</v>
      </c>
      <c r="I631" s="1">
        <v>-0.003850465947000781</v>
      </c>
      <c r="J631" s="1">
        <v>0.007083301198444136</v>
      </c>
      <c r="K631" s="1">
        <v>0.01754373302864809</v>
      </c>
      <c r="L631" s="1">
        <v>0.006501698499384423</v>
      </c>
      <c r="M631" s="1">
        <v>0.006599241097176689</v>
      </c>
      <c r="N631" s="1">
        <v>0.02072306614143971</v>
      </c>
      <c r="O631" s="1">
        <v>0.01005429875939057</v>
      </c>
      <c r="P631" s="1">
        <v>0.007167763946975159</v>
      </c>
      <c r="Q631" s="1">
        <v>0.002618895988067749</v>
      </c>
      <c r="R631" s="1">
        <v>0.01034021938100649</v>
      </c>
      <c r="S631" s="1">
        <v>0.01425195068598772</v>
      </c>
      <c r="T631" s="1">
        <v>0.007200859050701558</v>
      </c>
      <c r="U631" s="1">
        <v>-0.003363067700464906</v>
      </c>
      <c r="V631" s="1">
        <v>-0.001044100761539046</v>
      </c>
      <c r="W631" s="1">
        <v>0.007140242446749268</v>
      </c>
      <c r="X631" s="1">
        <v>0.001668514400101406</v>
      </c>
      <c r="Y631" s="1">
        <v>0.01143949952323053</v>
      </c>
      <c r="Z631" s="1">
        <v>0.0009551682103849934</v>
      </c>
    </row>
    <row r="632" spans="1:26">
      <c r="A632" s="11">
        <v>43287</v>
      </c>
      <c r="B632" s="1">
        <v>0.01251886120835954</v>
      </c>
      <c r="C632" s="1">
        <v>0.004382109436538162</v>
      </c>
      <c r="D632" s="1">
        <v>0.007723571845957622</v>
      </c>
      <c r="E632" s="1">
        <v>0.010902450894265</v>
      </c>
      <c r="F632" s="1">
        <v>0.01388883869219937</v>
      </c>
      <c r="G632" s="1">
        <v>0.006846684223432042</v>
      </c>
      <c r="H632" s="1">
        <v>0.01012287799918088</v>
      </c>
      <c r="I632" s="1">
        <v>0.002003959967159075</v>
      </c>
      <c r="J632" s="1">
        <v>0.01142832731671284</v>
      </c>
      <c r="K632" s="1">
        <v>0.01227309002460197</v>
      </c>
      <c r="L632" s="1">
        <v>0.003277977321625603</v>
      </c>
      <c r="M632" s="1">
        <v>0.0169689839703715</v>
      </c>
      <c r="N632" s="1">
        <v>0.01145232716971734</v>
      </c>
      <c r="O632" s="1">
        <v>0.01019449461453381</v>
      </c>
      <c r="P632" s="1">
        <v>0.01403389440880831</v>
      </c>
      <c r="Q632" s="1">
        <v>0.002984940756614041</v>
      </c>
      <c r="R632" s="1">
        <v>0.005447212918747946</v>
      </c>
      <c r="S632" s="1">
        <v>-0.002148725046652977</v>
      </c>
      <c r="T632" s="1">
        <v>0.009075925447652233</v>
      </c>
      <c r="U632" s="1">
        <v>0.00245412708473447</v>
      </c>
      <c r="V632" s="1">
        <v>0.003135324394708094</v>
      </c>
      <c r="W632" s="1">
        <v>-0.0007235381988661693</v>
      </c>
      <c r="X632" s="1">
        <v>-0.005450615839857842</v>
      </c>
      <c r="Y632" s="1">
        <v>0.003900283189885112</v>
      </c>
      <c r="Z632" s="1">
        <v>0.003818551006203652</v>
      </c>
    </row>
    <row r="633" spans="1:26">
      <c r="A633" s="11">
        <v>43290</v>
      </c>
      <c r="B633" s="1">
        <v>0.03176321917873381</v>
      </c>
      <c r="C633" s="1">
        <v>0.021754595414061</v>
      </c>
      <c r="D633" s="1">
        <v>0.004034246631666516</v>
      </c>
      <c r="E633" s="1">
        <v>-0.001944936198256975</v>
      </c>
      <c r="F633" s="1">
        <v>-0.0005956762278995775</v>
      </c>
      <c r="G633" s="1">
        <v>-0.0365066560146371</v>
      </c>
      <c r="H633" s="1">
        <v>-0.008590089446145699</v>
      </c>
      <c r="I633" s="1">
        <v>0.03171888604134376</v>
      </c>
      <c r="J633" s="1">
        <v>0.01564538227312662</v>
      </c>
      <c r="K633" s="1">
        <v>0.009238347599974439</v>
      </c>
      <c r="L633" s="1">
        <v>0.03094355417636674</v>
      </c>
      <c r="M633" s="1">
        <v>0.009859562998177696</v>
      </c>
      <c r="N633" s="1">
        <v>-0.004632139608009123</v>
      </c>
      <c r="O633" s="1">
        <v>0.01970804259874015</v>
      </c>
      <c r="P633" s="1">
        <v>0.006821083581213694</v>
      </c>
      <c r="Q633" s="1">
        <v>-0.03050579182354429</v>
      </c>
      <c r="R633" s="1">
        <v>0.01526870787367041</v>
      </c>
      <c r="S633" s="1">
        <v>-0.01106754659385223</v>
      </c>
      <c r="T633" s="1">
        <v>0.003843939396827922</v>
      </c>
      <c r="U633" s="1">
        <v>0.004122428461781791</v>
      </c>
      <c r="V633" s="1">
        <v>0.01263159506167444</v>
      </c>
      <c r="W633" s="1">
        <v>0.02234569306936662</v>
      </c>
      <c r="X633" s="1">
        <v>0.0176592585219526</v>
      </c>
      <c r="Y633" s="1">
        <v>-0.002947440791785993</v>
      </c>
      <c r="Z633" s="1">
        <v>0.02567498719671502</v>
      </c>
    </row>
    <row r="634" spans="1:26">
      <c r="A634" s="11">
        <v>43291</v>
      </c>
      <c r="B634" s="1">
        <v>0.004338582925142109</v>
      </c>
      <c r="C634" s="1">
        <v>0.01532531164459217</v>
      </c>
      <c r="D634" s="1">
        <v>-0.0005362296677634548</v>
      </c>
      <c r="E634" s="1">
        <v>-0.004783013838816963</v>
      </c>
      <c r="F634" s="1">
        <v>-0.006555509187449404</v>
      </c>
      <c r="G634" s="1">
        <v>0.007058052073079857</v>
      </c>
      <c r="H634" s="1">
        <v>-0.001443744713082507</v>
      </c>
      <c r="I634" s="1">
        <v>0.0009005444669780704</v>
      </c>
      <c r="J634" s="1">
        <v>0.02139508647046617</v>
      </c>
      <c r="K634" s="1">
        <v>-0.002574478821656068</v>
      </c>
      <c r="L634" s="1">
        <v>-0.006152014709475906</v>
      </c>
      <c r="M634" s="1">
        <v>-0.004881850126602361</v>
      </c>
      <c r="N634" s="1">
        <v>0.01275418985466725</v>
      </c>
      <c r="O634" s="1">
        <v>-0.003451344465906225</v>
      </c>
      <c r="P634" s="1">
        <v>0.002650782441380839</v>
      </c>
      <c r="Q634" s="1">
        <v>0.006907018365211348</v>
      </c>
      <c r="R634" s="1">
        <v>0.01196624679150271</v>
      </c>
      <c r="S634" s="1">
        <v>0.004659520084318025</v>
      </c>
      <c r="T634" s="1">
        <v>0.008936825227557232</v>
      </c>
      <c r="U634" s="1">
        <v>0.0108867015023697</v>
      </c>
      <c r="V634" s="1">
        <v>0.006944444874704914</v>
      </c>
      <c r="W634" s="1">
        <v>0.01099935164911092</v>
      </c>
      <c r="X634" s="1">
        <v>0.0002987331522863457</v>
      </c>
      <c r="Y634" s="1">
        <v>0.01182473271271101</v>
      </c>
      <c r="Z634" s="1">
        <v>-0.009456574694774122</v>
      </c>
    </row>
    <row r="635" spans="1:26">
      <c r="A635" s="11">
        <v>43292</v>
      </c>
      <c r="B635" s="1">
        <v>-0.01913196614890511</v>
      </c>
      <c r="C635" s="1">
        <v>-0.01889621385240103</v>
      </c>
      <c r="D635" s="1">
        <v>-0.004153765900019257</v>
      </c>
      <c r="E635" s="1">
        <v>-0.007653818572112114</v>
      </c>
      <c r="F635" s="1">
        <v>0.0128974763761176</v>
      </c>
      <c r="G635" s="1">
        <v>0.01475451129604544</v>
      </c>
      <c r="H635" s="1">
        <v>0.02193298528590981</v>
      </c>
      <c r="I635" s="1">
        <v>-0.02165359557071433</v>
      </c>
      <c r="J635" s="1">
        <v>-0.03393398675614456</v>
      </c>
      <c r="K635" s="1">
        <v>-0.02036145492195995</v>
      </c>
      <c r="L635" s="1">
        <v>-0.002157121078357749</v>
      </c>
      <c r="M635" s="1">
        <v>-0.008867740993038775</v>
      </c>
      <c r="N635" s="1">
        <v>-0.001190854555684129</v>
      </c>
      <c r="O635" s="1">
        <v>-0.003639483878027594</v>
      </c>
      <c r="P635" s="1">
        <v>-0.001370899978580198</v>
      </c>
      <c r="Q635" s="1">
        <v>0.005335221871640483</v>
      </c>
      <c r="R635" s="1">
        <v>-0.02173224705729659</v>
      </c>
      <c r="S635" s="1">
        <v>-0.004941392676844347</v>
      </c>
      <c r="T635" s="1">
        <v>-0.00859437114102124</v>
      </c>
      <c r="U635" s="1">
        <v>-0.01938447960193235</v>
      </c>
      <c r="V635" s="1">
        <v>-0.009195382354575399</v>
      </c>
      <c r="W635" s="1">
        <v>-0.0209657210631834</v>
      </c>
      <c r="X635" s="1">
        <v>-0.01345904052275371</v>
      </c>
      <c r="Y635" s="1">
        <v>0</v>
      </c>
      <c r="Z635" s="1">
        <v>-0.005428673554524477</v>
      </c>
    </row>
    <row r="636" spans="1:26">
      <c r="A636" s="11">
        <v>43293</v>
      </c>
      <c r="B636" s="1">
        <v>-0.01279332200522298</v>
      </c>
      <c r="C636" s="1">
        <v>0.01594233012051416</v>
      </c>
      <c r="D636" s="1">
        <v>0.006189631024965614</v>
      </c>
      <c r="E636" s="1">
        <v>0.01901325339971627</v>
      </c>
      <c r="F636" s="1">
        <v>0.02309757688307101</v>
      </c>
      <c r="G636" s="1">
        <v>0.01163235488106595</v>
      </c>
      <c r="H636" s="1">
        <v>-0.01617161913078757</v>
      </c>
      <c r="I636" s="1">
        <v>-0.004384046707597511</v>
      </c>
      <c r="J636" s="1">
        <v>0.02038173243508901</v>
      </c>
      <c r="K636" s="1">
        <v>0.01697889433487898</v>
      </c>
      <c r="L636" s="1">
        <v>0.004323479501369132</v>
      </c>
      <c r="M636" s="1">
        <v>0.004568803350526007</v>
      </c>
      <c r="N636" s="1">
        <v>-0.01158653101572094</v>
      </c>
      <c r="O636" s="1">
        <v>0.01201859685537743</v>
      </c>
      <c r="P636" s="1">
        <v>0.02167092270707216</v>
      </c>
      <c r="Q636" s="1">
        <v>-0.003032465148534946</v>
      </c>
      <c r="R636" s="1">
        <v>0.008330540591609648</v>
      </c>
      <c r="S636" s="1">
        <v>-0.0002177835940267991</v>
      </c>
      <c r="T636" s="1">
        <v>-0.002889901779177029</v>
      </c>
      <c r="U636" s="1">
        <v>0.01129585840720737</v>
      </c>
      <c r="V636" s="1">
        <v>-0.01392117636669654</v>
      </c>
      <c r="W636" s="1">
        <v>0.01144695445925104</v>
      </c>
      <c r="X636" s="1">
        <v>0.01121775597894814</v>
      </c>
      <c r="Y636" s="1">
        <v>-0.001947544738513551</v>
      </c>
      <c r="Z636" s="1">
        <v>-0.01091689154874131</v>
      </c>
    </row>
    <row r="637" spans="1:26">
      <c r="A637" s="11">
        <v>43294</v>
      </c>
      <c r="B637" s="1">
        <v>0.008073026769157998</v>
      </c>
      <c r="C637" s="1">
        <v>0.01375615996012169</v>
      </c>
      <c r="D637" s="1">
        <v>0</v>
      </c>
      <c r="E637" s="1">
        <v>0.0008802209837948105</v>
      </c>
      <c r="F637" s="1">
        <v>0.004341406208708376</v>
      </c>
      <c r="G637" s="1">
        <v>-0.00251566969285677</v>
      </c>
      <c r="H637" s="1">
        <v>-0.007735087112319738</v>
      </c>
      <c r="I637" s="1">
        <v>-0.02286957297337489</v>
      </c>
      <c r="J637" s="1">
        <v>0.007649596591998042</v>
      </c>
      <c r="K637" s="1">
        <v>0.01093839732152335</v>
      </c>
      <c r="L637" s="1">
        <v>-0.004585972724806764</v>
      </c>
      <c r="M637" s="1">
        <v>0.00606408614150955</v>
      </c>
      <c r="N637" s="1">
        <v>0.008446627826101061</v>
      </c>
      <c r="O637" s="1">
        <v>0.007800588392445018</v>
      </c>
      <c r="P637" s="1">
        <v>0.01190145059598957</v>
      </c>
      <c r="Q637" s="1">
        <v>0</v>
      </c>
      <c r="R637" s="1">
        <v>0.0278634582704449</v>
      </c>
      <c r="S637" s="1">
        <v>-0.006273533780706164</v>
      </c>
      <c r="T637" s="1">
        <v>0.01040859250679871</v>
      </c>
      <c r="U637" s="1">
        <v>-0.01737506898107455</v>
      </c>
      <c r="V637" s="1">
        <v>0.0159477887327979</v>
      </c>
      <c r="W637" s="1">
        <v>-0.004102677824828094</v>
      </c>
      <c r="X637" s="1">
        <v>0.008844067838925218</v>
      </c>
      <c r="Y637" s="1">
        <v>0.003317576739270578</v>
      </c>
      <c r="Z637" s="1">
        <v>-0.0150330008796753</v>
      </c>
    </row>
    <row r="638" spans="1:26">
      <c r="A638" s="11">
        <v>43297</v>
      </c>
      <c r="B638" s="1">
        <v>-0.03055851772860574</v>
      </c>
      <c r="C638" s="1">
        <v>0.01513728579713325</v>
      </c>
      <c r="D638" s="1">
        <v>-0.01029640394616427</v>
      </c>
      <c r="E638" s="1">
        <v>-0.007562103814878873</v>
      </c>
      <c r="F638" s="1">
        <v>0.007781045354433802</v>
      </c>
      <c r="G638" s="1">
        <v>-0.001080376727679355</v>
      </c>
      <c r="H638" s="1">
        <v>-0.01144945431867794</v>
      </c>
      <c r="I638" s="1">
        <v>-0.009521282726257185</v>
      </c>
      <c r="J638" s="1">
        <v>-0.005904805942912539</v>
      </c>
      <c r="K638" s="1">
        <v>-0.01025048583233656</v>
      </c>
      <c r="L638" s="1">
        <v>0.03967697612023691</v>
      </c>
      <c r="M638" s="1">
        <v>-0.0001885957019880369</v>
      </c>
      <c r="N638" s="1">
        <v>-0.02324760732664577</v>
      </c>
      <c r="O638" s="1">
        <v>0.002310461031449496</v>
      </c>
      <c r="P638" s="1">
        <v>-0.004932354233383673</v>
      </c>
      <c r="Q638" s="1">
        <v>-0.001520844482155947</v>
      </c>
      <c r="R638" s="1">
        <v>-0.01386912396742346</v>
      </c>
      <c r="S638" s="1">
        <v>-0.01113698806328389</v>
      </c>
      <c r="T638" s="1">
        <v>-0.00368078533471472</v>
      </c>
      <c r="U638" s="1">
        <v>0.007262216233737684</v>
      </c>
      <c r="V638" s="1">
        <v>-0.006562134785637275</v>
      </c>
      <c r="W638" s="1">
        <v>-0.01136351043314943</v>
      </c>
      <c r="X638" s="1">
        <v>-0.009212441590893072</v>
      </c>
      <c r="Y638" s="1">
        <v>0.003501153923426426</v>
      </c>
      <c r="Z638" s="1">
        <v>0.01217133702906015</v>
      </c>
    </row>
    <row r="639" spans="1:26">
      <c r="A639" s="11">
        <v>43298</v>
      </c>
      <c r="B639" s="1">
        <v>-0.01608693358719138</v>
      </c>
      <c r="C639" s="1">
        <v>0.002190491463084587</v>
      </c>
      <c r="D639" s="1">
        <v>0.009998383930246213</v>
      </c>
      <c r="E639" s="1">
        <v>0.003543772076825435</v>
      </c>
      <c r="F639" s="1">
        <v>-0.02001720075704305</v>
      </c>
      <c r="G639" s="1">
        <v>-0.0007214672298884173</v>
      </c>
      <c r="H639" s="1">
        <v>0.01429292590285991</v>
      </c>
      <c r="I639" s="1">
        <v>0.01269510125434725</v>
      </c>
      <c r="J639" s="1">
        <v>0.0008488016237078178</v>
      </c>
      <c r="K639" s="1">
        <v>0.01582295890369112</v>
      </c>
      <c r="L639" s="1">
        <v>-0.000723728157723813</v>
      </c>
      <c r="M639" s="1">
        <v>0.002637714048440598</v>
      </c>
      <c r="N639" s="1">
        <v>0.003674967094362991</v>
      </c>
      <c r="O639" s="1">
        <v>0.001959780749090312</v>
      </c>
      <c r="P639" s="1">
        <v>0.009913369307487541</v>
      </c>
      <c r="Q639" s="1">
        <v>-0.005331158165209793</v>
      </c>
      <c r="R639" s="1">
        <v>0.01022819576223877</v>
      </c>
      <c r="S639" s="1">
        <v>-0.02580467796824037</v>
      </c>
      <c r="T639" s="1">
        <v>0.01801617868095962</v>
      </c>
      <c r="U639" s="1">
        <v>-0.004388945865787086</v>
      </c>
      <c r="V639" s="1">
        <v>0.0007769905953687317</v>
      </c>
      <c r="W639" s="1">
        <v>0.01072778433145816</v>
      </c>
      <c r="X639" s="1">
        <v>0.001649534175711675</v>
      </c>
      <c r="Y639" s="1">
        <v>-0.003101201926096975</v>
      </c>
      <c r="Z639" s="1">
        <v>0.01278905562812538</v>
      </c>
    </row>
    <row r="640" spans="1:26">
      <c r="A640" s="11">
        <v>43299</v>
      </c>
      <c r="B640" s="1">
        <v>-0.01767545888018884</v>
      </c>
      <c r="C640" s="1">
        <v>0.009386682711093552</v>
      </c>
      <c r="D640" s="1">
        <v>-0.0006691314860317599</v>
      </c>
      <c r="E640" s="1">
        <v>0.004414640063160391</v>
      </c>
      <c r="F640" s="1">
        <v>-0.006711385953815596</v>
      </c>
      <c r="G640" s="1">
        <v>-0.003608803338589262</v>
      </c>
      <c r="H640" s="1">
        <v>-0.02405247527813059</v>
      </c>
      <c r="I640" s="1">
        <v>0.008767999427906847</v>
      </c>
      <c r="J640" s="1">
        <v>-0.002543380253027472</v>
      </c>
      <c r="K640" s="1">
        <v>0.003115067266025839</v>
      </c>
      <c r="L640" s="1">
        <v>0.009321241468520425</v>
      </c>
      <c r="M640" s="1">
        <v>0.01277728447254889</v>
      </c>
      <c r="N640" s="1">
        <v>0.001394887896946528</v>
      </c>
      <c r="O640" s="1">
        <v>0.009202305487495455</v>
      </c>
      <c r="P640" s="1">
        <v>-0.007833888395786359</v>
      </c>
      <c r="Q640" s="1">
        <v>-0.00842276222625693</v>
      </c>
      <c r="R640" s="1">
        <v>0.003164392860483423</v>
      </c>
      <c r="S640" s="1">
        <v>-0.002639542829314889</v>
      </c>
      <c r="T640" s="1">
        <v>0.005113816560120998</v>
      </c>
      <c r="U640" s="1">
        <v>-0.001573972971152027</v>
      </c>
      <c r="V640" s="1">
        <v>-0.005435584353687406</v>
      </c>
      <c r="W640" s="1">
        <v>0.001848011190245691</v>
      </c>
      <c r="X640" s="1">
        <v>-0.005240147348912094</v>
      </c>
      <c r="Y640" s="1">
        <v>-0.005638746757605007</v>
      </c>
      <c r="Z640" s="1">
        <v>0.02035400576763435</v>
      </c>
    </row>
    <row r="641" spans="1:26">
      <c r="A641" s="11">
        <v>43300</v>
      </c>
      <c r="B641" s="1">
        <v>0.002024032704933676</v>
      </c>
      <c r="C641" s="1">
        <v>-0.01360224591620596</v>
      </c>
      <c r="D641" s="1">
        <v>0.0005353127468525898</v>
      </c>
      <c r="E641" s="1">
        <v>-0.005977250706921233</v>
      </c>
      <c r="F641" s="1">
        <v>0.02555801518087697</v>
      </c>
      <c r="G641" s="1">
        <v>0.01484984131254219</v>
      </c>
      <c r="H641" s="1">
        <v>0.01941769352306788</v>
      </c>
      <c r="I641" s="1">
        <v>0.007829970607688086</v>
      </c>
      <c r="J641" s="1">
        <v>-0.01444981618332575</v>
      </c>
      <c r="K641" s="1">
        <v>0.01213972062407587</v>
      </c>
      <c r="L641" s="1">
        <v>-0.01470440344066748</v>
      </c>
      <c r="M641" s="1">
        <v>-0.00222653500922021</v>
      </c>
      <c r="N641" s="1">
        <v>-0.008532181152122287</v>
      </c>
      <c r="O641" s="1">
        <v>-0.006839143309711249</v>
      </c>
      <c r="P641" s="1">
        <v>-0.006849257390463603</v>
      </c>
      <c r="Q641" s="1">
        <v>0.009652316757782442</v>
      </c>
      <c r="R641" s="1">
        <v>0.0006307592818637353</v>
      </c>
      <c r="S641" s="1">
        <v>0.01515006890782433</v>
      </c>
      <c r="T641" s="1">
        <v>0.005978359641358511</v>
      </c>
      <c r="U641" s="1">
        <v>-0.01387599033799591</v>
      </c>
      <c r="V641" s="1">
        <v>0.02095026282648949</v>
      </c>
      <c r="W641" s="1">
        <v>0.02199316534057516</v>
      </c>
      <c r="X641" s="1">
        <v>0.008278043860982631</v>
      </c>
      <c r="Y641" s="1">
        <v>-0.007626116020169049</v>
      </c>
      <c r="Z641" s="1">
        <v>-0.01736231716037206</v>
      </c>
    </row>
    <row r="642" spans="1:26">
      <c r="A642" s="11">
        <v>43301</v>
      </c>
      <c r="B642" s="1">
        <v>0.001806235851809834</v>
      </c>
      <c r="C642" s="1">
        <v>-0.001210276616426031</v>
      </c>
      <c r="D642" s="1">
        <v>0.003479015500100102</v>
      </c>
      <c r="E642" s="1">
        <v>0.003006460133712974</v>
      </c>
      <c r="F642" s="1">
        <v>-0.01747326046181463</v>
      </c>
      <c r="G642" s="1">
        <v>-0.00927932170232959</v>
      </c>
      <c r="H642" s="1">
        <v>-0.01098916075225065</v>
      </c>
      <c r="I642" s="1">
        <v>-0.02230941504842943</v>
      </c>
      <c r="J642" s="1">
        <v>-0.01078041345194436</v>
      </c>
      <c r="K642" s="1">
        <v>0.008089724120475816</v>
      </c>
      <c r="L642" s="1">
        <v>0.01264904415630097</v>
      </c>
      <c r="M642" s="1">
        <v>-0.006507939281158115</v>
      </c>
      <c r="N642" s="1">
        <v>0.01229385594952936</v>
      </c>
      <c r="O642" s="1">
        <v>0.004017081026901348</v>
      </c>
      <c r="P642" s="1">
        <v>0.01791143605927159</v>
      </c>
      <c r="Q642" s="1">
        <v>-0.007648032177078989</v>
      </c>
      <c r="R642" s="1">
        <v>-0.01103261928175747</v>
      </c>
      <c r="S642" s="1">
        <v>-0.001528163943341099</v>
      </c>
      <c r="T642" s="1">
        <v>-0.006898733094130138</v>
      </c>
      <c r="U642" s="1">
        <v>-0.005436242175328232</v>
      </c>
      <c r="V642" s="1">
        <v>-0.008921800460412688</v>
      </c>
      <c r="W642" s="1">
        <v>0.003563598609250596</v>
      </c>
      <c r="X642" s="1">
        <v>-0.001940585398418571</v>
      </c>
      <c r="Y642" s="1">
        <v>-0.00256200314761057</v>
      </c>
      <c r="Z642" s="1">
        <v>-0.003571370625082726</v>
      </c>
    </row>
    <row r="643" spans="1:26">
      <c r="A643" s="11">
        <v>43304</v>
      </c>
      <c r="B643" s="1">
        <v>-0.0006765693984224219</v>
      </c>
      <c r="C643" s="1">
        <v>-0.004592795153670615</v>
      </c>
      <c r="D643" s="1">
        <v>-0.0007999318770698371</v>
      </c>
      <c r="E643" s="1">
        <v>-0.01463574773201348</v>
      </c>
      <c r="F643" s="1">
        <v>-0.003790099586269968</v>
      </c>
      <c r="G643" s="1">
        <v>-0.004322729451469498</v>
      </c>
      <c r="H643" s="1">
        <v>-0.006666809100943416</v>
      </c>
      <c r="I643" s="1">
        <v>-0.0119557559589395</v>
      </c>
      <c r="J643" s="1">
        <v>0.004359114437706868</v>
      </c>
      <c r="K643" s="1">
        <v>-0.0160488581049909</v>
      </c>
      <c r="L643" s="1">
        <v>0.01860177971481591</v>
      </c>
      <c r="M643" s="1">
        <v>0.002433039298645578</v>
      </c>
      <c r="N643" s="1">
        <v>-0.0008674724354926777</v>
      </c>
      <c r="O643" s="1">
        <v>-0.0004573120883160087</v>
      </c>
      <c r="P643" s="1">
        <v>0.0159971606828373</v>
      </c>
      <c r="Q643" s="1">
        <v>-0.008092458389170054</v>
      </c>
      <c r="R643" s="1">
        <v>0.002709637932123643</v>
      </c>
      <c r="S643" s="1">
        <v>-0.006753219769659813</v>
      </c>
      <c r="T643" s="1">
        <v>-0.01067759128306645</v>
      </c>
      <c r="U643" s="1">
        <v>-0.003215674060113138</v>
      </c>
      <c r="V643" s="1">
        <v>0.01196015265089834</v>
      </c>
      <c r="W643" s="1">
        <v>0.007516417631651784</v>
      </c>
      <c r="X643" s="1">
        <v>-0.00508497054631174</v>
      </c>
      <c r="Y643" s="1">
        <v>0.0025685838675642</v>
      </c>
      <c r="Z643" s="1">
        <v>0.01490282877498239</v>
      </c>
    </row>
    <row r="644" spans="1:26">
      <c r="A644" s="11">
        <v>43305</v>
      </c>
      <c r="B644" s="1">
        <v>0.0157838213754784</v>
      </c>
      <c r="C644" s="1">
        <v>0.01415340528197184</v>
      </c>
      <c r="D644" s="1">
        <v>0.00800642229878834</v>
      </c>
      <c r="E644" s="1">
        <v>0.04259125932789054</v>
      </c>
      <c r="F644" s="1">
        <v>-0.02282711455505071</v>
      </c>
      <c r="G644" s="1">
        <v>0.01049214005996646</v>
      </c>
      <c r="H644" s="1">
        <v>-0.003977297168789584</v>
      </c>
      <c r="I644" s="1">
        <v>0.03180128906446789</v>
      </c>
      <c r="J644" s="1">
        <v>-0.002169876088217948</v>
      </c>
      <c r="K644" s="1">
        <v>-0.001124573731759115</v>
      </c>
      <c r="L644" s="1">
        <v>0.007057743631548652</v>
      </c>
      <c r="M644" s="1">
        <v>-0.03080656640715107</v>
      </c>
      <c r="N644" s="1">
        <v>0.006945743197477983</v>
      </c>
      <c r="O644" s="1">
        <v>-0.004002739758175</v>
      </c>
      <c r="P644" s="1">
        <v>-0.002871311413043309</v>
      </c>
      <c r="Q644" s="1">
        <v>0.00194236647173085</v>
      </c>
      <c r="R644" s="1">
        <v>0.005244381630274741</v>
      </c>
      <c r="S644" s="1">
        <v>-0.005801820773051802</v>
      </c>
      <c r="T644" s="1">
        <v>0.0194747460011413</v>
      </c>
      <c r="U644" s="1">
        <v>0.02193564304896145</v>
      </c>
      <c r="V644" s="1">
        <v>0.008514410554300911</v>
      </c>
      <c r="W644" s="1">
        <v>0.01336506936209614</v>
      </c>
      <c r="X644" s="1">
        <v>0.007215711057201091</v>
      </c>
      <c r="Y644" s="1">
        <v>0.014975169683205</v>
      </c>
      <c r="Z644" s="1">
        <v>-0.02881043822640961</v>
      </c>
    </row>
    <row r="645" spans="1:26">
      <c r="A645" s="11">
        <v>43306</v>
      </c>
      <c r="B645" s="1">
        <v>0.01442848639508365</v>
      </c>
      <c r="C645" s="1">
        <v>-0.006559196406841217</v>
      </c>
      <c r="D645" s="1">
        <v>0.01284042057344825</v>
      </c>
      <c r="E645" s="1">
        <v>0.01338822680764085</v>
      </c>
      <c r="F645" s="1">
        <v>0.0008985987625713676</v>
      </c>
      <c r="G645" s="1">
        <v>0.006086606558012964</v>
      </c>
      <c r="H645" s="1">
        <v>0.003743629485714051</v>
      </c>
      <c r="I645" s="1">
        <v>0.01058315344034888</v>
      </c>
      <c r="J645" s="1">
        <v>0.01304912149658799</v>
      </c>
      <c r="K645" s="1">
        <v>-0.001689238704545293</v>
      </c>
      <c r="L645" s="1">
        <v>0.009023022640739287</v>
      </c>
      <c r="M645" s="1">
        <v>0.007320537490276058</v>
      </c>
      <c r="N645" s="1">
        <v>-0.002414128279835559</v>
      </c>
      <c r="O645" s="1">
        <v>0.005741251418090565</v>
      </c>
      <c r="P645" s="1">
        <v>0.02944489808087969</v>
      </c>
      <c r="Q645" s="1">
        <v>0</v>
      </c>
      <c r="R645" s="1">
        <v>0.01454558338943412</v>
      </c>
      <c r="S645" s="1">
        <v>0.001504605186767316</v>
      </c>
      <c r="T645" s="1">
        <v>0.01747438759321573</v>
      </c>
      <c r="U645" s="1">
        <v>-0.0451390308666122</v>
      </c>
      <c r="V645" s="1">
        <v>0.007938344604849323</v>
      </c>
      <c r="W645" s="1">
        <v>0.03559178908744842</v>
      </c>
      <c r="X645" s="1">
        <v>-0.0002987548734676437</v>
      </c>
      <c r="Y645" s="1">
        <v>-0.01164808877584012</v>
      </c>
      <c r="Z645" s="1">
        <v>-0.01397102988205878</v>
      </c>
    </row>
    <row r="646" spans="1:26">
      <c r="A646" s="11">
        <v>43307</v>
      </c>
      <c r="B646" s="1">
        <v>0.0004375706079844388</v>
      </c>
      <c r="C646" s="1">
        <v>0.009552668226024075</v>
      </c>
      <c r="D646" s="1">
        <v>-0.03659627520408093</v>
      </c>
      <c r="E646" s="1">
        <v>-0.01897018191394195</v>
      </c>
      <c r="F646" s="1">
        <v>0.03979632063024829</v>
      </c>
      <c r="G646" s="1">
        <v>0.00249115345917672</v>
      </c>
      <c r="H646" s="1">
        <v>0.01193441244760129</v>
      </c>
      <c r="I646" s="1">
        <v>0.009977136801602393</v>
      </c>
      <c r="J646" s="1">
        <v>0.006869856287653464</v>
      </c>
      <c r="K646" s="1">
        <v>0.007332356624024872</v>
      </c>
      <c r="L646" s="1">
        <v>-0.002865070537730441</v>
      </c>
      <c r="M646" s="1">
        <v>0.08433712506502622</v>
      </c>
      <c r="N646" s="1">
        <v>-0.03025070280292952</v>
      </c>
      <c r="O646" s="1">
        <v>-0.02386104927188992</v>
      </c>
      <c r="P646" s="1">
        <v>-0.01091767386118869</v>
      </c>
      <c r="Q646" s="1">
        <v>0.01279590512510653</v>
      </c>
      <c r="R646" s="1">
        <v>0.01947975355609355</v>
      </c>
      <c r="S646" s="1">
        <v>-0.002686148840482794</v>
      </c>
      <c r="T646" s="1">
        <v>0.02684683184124159</v>
      </c>
      <c r="U646" s="1">
        <v>0.003306032616170018</v>
      </c>
      <c r="V646" s="1">
        <v>-0.001625432859510223</v>
      </c>
      <c r="W646" s="1">
        <v>0.02058616466822083</v>
      </c>
      <c r="X646" s="1">
        <v>0.01418335539361903</v>
      </c>
      <c r="Y646" s="1">
        <v>0.005303543073256423</v>
      </c>
      <c r="Z646" s="1">
        <v>0.003299288398461275</v>
      </c>
    </row>
    <row r="647" spans="1:26">
      <c r="A647" s="11">
        <v>43308</v>
      </c>
      <c r="B647" s="1">
        <v>-0.01552938945681637</v>
      </c>
      <c r="C647" s="1">
        <v>0.00370143357530095</v>
      </c>
      <c r="D647" s="1">
        <v>-0.02713342350151304</v>
      </c>
      <c r="E647" s="1">
        <v>-0.01726535416917985</v>
      </c>
      <c r="F647" s="1">
        <v>0.009496637743462433</v>
      </c>
      <c r="G647" s="1">
        <v>-0.000355142239328865</v>
      </c>
      <c r="H647" s="1">
        <v>0.00589686246032195</v>
      </c>
      <c r="I647" s="1">
        <v>-0.01352166635616869</v>
      </c>
      <c r="J647" s="1">
        <v>-0.009381874081778818</v>
      </c>
      <c r="K647" s="1">
        <v>0.009518310564332833</v>
      </c>
      <c r="L647" s="1">
        <v>0.01027433164712743</v>
      </c>
      <c r="M647" s="1">
        <v>0.02962968906166608</v>
      </c>
      <c r="N647" s="1">
        <v>0.03208551281746552</v>
      </c>
      <c r="O647" s="1">
        <v>-0.01450304258603485</v>
      </c>
      <c r="P647" s="1">
        <v>-0.01769729173943246</v>
      </c>
      <c r="Q647" s="1">
        <v>0.001913917716209301</v>
      </c>
      <c r="R647" s="1">
        <v>0.009935422079984102</v>
      </c>
      <c r="S647" s="1">
        <v>-0.01697981547049854</v>
      </c>
      <c r="T647" s="1">
        <v>-0.01171405656057845</v>
      </c>
      <c r="U647" s="1">
        <v>0.02405230618562681</v>
      </c>
      <c r="V647" s="1">
        <v>0.003381037917829843</v>
      </c>
      <c r="W647" s="1">
        <v>-0.01239301492614941</v>
      </c>
      <c r="X647" s="1">
        <v>-0.01324867962692433</v>
      </c>
      <c r="Y647" s="1">
        <v>0.01621730206498362</v>
      </c>
      <c r="Z647" s="1">
        <v>-0.0001931480045571643</v>
      </c>
    </row>
    <row r="648" spans="1:26">
      <c r="A648" s="11">
        <v>43311</v>
      </c>
      <c r="B648" s="1">
        <v>0.02332814081627888</v>
      </c>
      <c r="C648" s="1">
        <v>-0.02659088303538715</v>
      </c>
      <c r="D648" s="1">
        <v>-0.004880720505239688</v>
      </c>
      <c r="E648" s="1">
        <v>0.0353131436924865</v>
      </c>
      <c r="F648" s="1">
        <v>0.01083216010705401</v>
      </c>
      <c r="G648" s="1">
        <v>-0.004616078981668381</v>
      </c>
      <c r="H648" s="1">
        <v>0</v>
      </c>
      <c r="I648" s="1">
        <v>-0.01846610008519045</v>
      </c>
      <c r="J648" s="1">
        <v>-0.005596149162416908</v>
      </c>
      <c r="K648" s="1">
        <v>0.01109276055786568</v>
      </c>
      <c r="L648" s="1">
        <v>0.006032908033922091</v>
      </c>
      <c r="M648" s="1">
        <v>-0.008221968235694543</v>
      </c>
      <c r="N648" s="1">
        <v>0.009499040810276416</v>
      </c>
      <c r="O648" s="1">
        <v>-0.002254960588238042</v>
      </c>
      <c r="P648" s="1">
        <v>-0.02145241830264211</v>
      </c>
      <c r="Q648" s="1">
        <v>-0.009817261462615745</v>
      </c>
      <c r="R648" s="1">
        <v>-0.01604340788213143</v>
      </c>
      <c r="S648" s="1">
        <v>-0.003993237786645065</v>
      </c>
      <c r="T648" s="1">
        <v>-0.007864363248540895</v>
      </c>
      <c r="U648" s="1">
        <v>0.02960124462227465</v>
      </c>
      <c r="V648" s="1">
        <v>0.01347803895606425</v>
      </c>
      <c r="W648" s="1">
        <v>-0.001644523295860401</v>
      </c>
      <c r="X648" s="1">
        <v>-0.005818396236453194</v>
      </c>
      <c r="Y648" s="1">
        <v>0.009228816829348396</v>
      </c>
      <c r="Z648" s="1">
        <v>0.01354450165235721</v>
      </c>
    </row>
    <row r="649" spans="1:26">
      <c r="A649" s="11">
        <v>43312</v>
      </c>
      <c r="B649" s="1">
        <v>-0.001302554528196609</v>
      </c>
      <c r="C649" s="1">
        <v>0.01492621970709695</v>
      </c>
      <c r="D649" s="1">
        <v>0.01527403826700224</v>
      </c>
      <c r="E649" s="1">
        <v>-0.003054745136906512</v>
      </c>
      <c r="F649" s="1">
        <v>0.009024443112373826</v>
      </c>
      <c r="G649" s="1">
        <v>0.01605386724109925</v>
      </c>
      <c r="H649" s="1">
        <v>-0.0009768612937628429</v>
      </c>
      <c r="I649" s="1">
        <v>0.04768435752510425</v>
      </c>
      <c r="J649" s="1">
        <v>-0.000865961007460947</v>
      </c>
      <c r="K649" s="1">
        <v>0.02879849904071574</v>
      </c>
      <c r="L649" s="1">
        <v>-0.01524885403329268</v>
      </c>
      <c r="M649" s="1">
        <v>0.004490480648042583</v>
      </c>
      <c r="N649" s="1">
        <v>0.003934989846714254</v>
      </c>
      <c r="O649" s="1">
        <v>-0.008445633747287573</v>
      </c>
      <c r="P649" s="1">
        <v>0.006738003552293037</v>
      </c>
      <c r="Q649" s="1">
        <v>0.01788529790312454</v>
      </c>
      <c r="R649" s="1">
        <v>0.01092159640321744</v>
      </c>
      <c r="S649" s="1">
        <v>0.01552430500563284</v>
      </c>
      <c r="T649" s="1">
        <v>0.00102191200968238</v>
      </c>
      <c r="U649" s="1">
        <v>-0.0009375494135583917</v>
      </c>
      <c r="V649" s="1">
        <v>-0.006526150102994843</v>
      </c>
      <c r="W649" s="1">
        <v>0.01651371083943309</v>
      </c>
      <c r="X649" s="1">
        <v>0.02445946339966598</v>
      </c>
      <c r="Y649" s="1">
        <v>-0.01619342891963227</v>
      </c>
      <c r="Z649" s="1">
        <v>-0.01298191131965853</v>
      </c>
    </row>
    <row r="650" spans="1:26">
      <c r="A650" s="11">
        <v>43313</v>
      </c>
      <c r="B650" s="1">
        <v>-0.02304338382413751</v>
      </c>
      <c r="C650" s="1">
        <v>-0.009935285909556946</v>
      </c>
      <c r="D650" s="1">
        <v>0.00414134163551183</v>
      </c>
      <c r="E650" s="1">
        <v>0.01480866035689532</v>
      </c>
      <c r="F650" s="1">
        <v>-0.0106206671229323</v>
      </c>
      <c r="G650" s="1">
        <v>-0.01931170211606925</v>
      </c>
      <c r="H650" s="1">
        <v>0.01295841563434785</v>
      </c>
      <c r="I650" s="1">
        <v>-0.01989062755149129</v>
      </c>
      <c r="J650" s="1">
        <v>-0.003032716758291087</v>
      </c>
      <c r="K650" s="1">
        <v>0.004531985969590702</v>
      </c>
      <c r="L650" s="1">
        <v>0.006176688578334755</v>
      </c>
      <c r="M650" s="1">
        <v>-0.02819807161320098</v>
      </c>
      <c r="N650" s="1">
        <v>-0.01022463260184292</v>
      </c>
      <c r="O650" s="1">
        <v>-0.00371821622417734</v>
      </c>
      <c r="P650" s="1">
        <v>0.001885375266886813</v>
      </c>
      <c r="Q650" s="1">
        <v>-0.01069520734558704</v>
      </c>
      <c r="R650" s="1">
        <v>-0.02662850820598262</v>
      </c>
      <c r="S650" s="1">
        <v>-0.001606843572473649</v>
      </c>
      <c r="T650" s="1">
        <v>-0.005626742423403774</v>
      </c>
      <c r="U650" s="1">
        <v>-0.002189460786940489</v>
      </c>
      <c r="V650" s="1">
        <v>-0.02144274097137377</v>
      </c>
      <c r="W650" s="1">
        <v>-0.002643571162261216</v>
      </c>
      <c r="X650" s="1">
        <v>-0.01127849864876218</v>
      </c>
      <c r="Y650" s="1">
        <v>0.001742664807854899</v>
      </c>
      <c r="Z650" s="1">
        <v>0.02147031211155914</v>
      </c>
    </row>
    <row r="651" spans="1:26">
      <c r="A651" s="11">
        <v>43314</v>
      </c>
      <c r="B651" s="1">
        <v>-0.01179345297559731</v>
      </c>
      <c r="C651" s="1">
        <v>-0.008589385299109908</v>
      </c>
      <c r="D651" s="1">
        <v>-0.007010254060762944</v>
      </c>
      <c r="E651" s="1">
        <v>-0.005870537044403878</v>
      </c>
      <c r="F651" s="1">
        <v>-0.02146892143220824</v>
      </c>
      <c r="G651" s="1">
        <v>0.006444713714332417</v>
      </c>
      <c r="H651" s="1">
        <v>0.006758203848105993</v>
      </c>
      <c r="I651" s="1">
        <v>0.001268465046221134</v>
      </c>
      <c r="J651" s="1">
        <v>0.008691817452876727</v>
      </c>
      <c r="K651" s="1">
        <v>0.00345005763440831</v>
      </c>
      <c r="L651" s="1">
        <v>0.004236569475534191</v>
      </c>
      <c r="M651" s="1">
        <v>0.003007646959130694</v>
      </c>
      <c r="N651" s="1">
        <v>0.01291277379262512</v>
      </c>
      <c r="O651" s="1">
        <v>-0.002769519310992452</v>
      </c>
      <c r="P651" s="1">
        <v>0.01213764996626332</v>
      </c>
      <c r="Q651" s="1">
        <v>0.01505799826825305</v>
      </c>
      <c r="R651" s="1">
        <v>-0.01062989441817219</v>
      </c>
      <c r="S651" s="1">
        <v>-0.03342833179794669</v>
      </c>
      <c r="T651" s="1">
        <v>0.0002734722576900328</v>
      </c>
      <c r="U651" s="1">
        <v>-0.001567272777669992</v>
      </c>
      <c r="V651" s="1">
        <v>0.02292578257917088</v>
      </c>
      <c r="W651" s="1">
        <v>-0.003163616950865866</v>
      </c>
      <c r="X651" s="1">
        <v>0.0008889403686875852</v>
      </c>
      <c r="Y651" s="1">
        <v>0.004832901988439664</v>
      </c>
      <c r="Z651" s="1">
        <v>0.01363344768390484</v>
      </c>
    </row>
    <row r="652" spans="1:26">
      <c r="A652" s="11">
        <v>43315</v>
      </c>
      <c r="B652" s="1">
        <v>0.01666294533685475</v>
      </c>
      <c r="C652" s="1">
        <v>-0.003688786359640983</v>
      </c>
      <c r="D652" s="1">
        <v>0.001522754052665221</v>
      </c>
      <c r="E652" s="1">
        <v>-0.001855834436736759</v>
      </c>
      <c r="F652" s="1">
        <v>0.02222874614823067</v>
      </c>
      <c r="G652" s="1">
        <v>-0.004980447906574259</v>
      </c>
      <c r="H652" s="1">
        <v>0.02517361489387993</v>
      </c>
      <c r="I652" s="1">
        <v>0.008938122968854989</v>
      </c>
      <c r="J652" s="1">
        <v>0.005600971012285072</v>
      </c>
      <c r="K652" s="1">
        <v>0.003438195661218835</v>
      </c>
      <c r="L652" s="1">
        <v>0.008092760064463134</v>
      </c>
      <c r="M652" s="1">
        <v>0.01270076476529813</v>
      </c>
      <c r="N652" s="1">
        <v>0.01529841856822367</v>
      </c>
      <c r="O652" s="1">
        <v>0.003984556889305546</v>
      </c>
      <c r="P652" s="1">
        <v>0.004369165489391591</v>
      </c>
      <c r="Q652" s="1">
        <v>0.01141113668318039</v>
      </c>
      <c r="R652" s="1">
        <v>0.01801214386387806</v>
      </c>
      <c r="S652" s="1">
        <v>0.01793433593854021</v>
      </c>
      <c r="T652" s="1">
        <v>0.01028792960194469</v>
      </c>
      <c r="U652" s="1">
        <v>0.01318681196650551</v>
      </c>
      <c r="V652" s="1">
        <v>0.008543509750141176</v>
      </c>
      <c r="W652" s="1">
        <v>0.0006433504868925688</v>
      </c>
      <c r="X652" s="1">
        <v>-0.008288837340683197</v>
      </c>
      <c r="Y652" s="1">
        <v>0.00557896919995815</v>
      </c>
      <c r="Z652" s="1">
        <v>-0.003549074669913832</v>
      </c>
    </row>
    <row r="653" spans="1:26">
      <c r="A653" s="11">
        <v>43318</v>
      </c>
      <c r="B653" s="1">
        <v>0.01085216951881929</v>
      </c>
      <c r="C653" s="1">
        <v>-0.005366619020007568</v>
      </c>
      <c r="D653" s="1">
        <v>0.00235015327559096</v>
      </c>
      <c r="E653" s="1">
        <v>0.003887690636674268</v>
      </c>
      <c r="F653" s="1">
        <v>-0.002541436344877246</v>
      </c>
      <c r="G653" s="1">
        <v>0.01072585722269137</v>
      </c>
      <c r="H653" s="1">
        <v>-0.001870746038936111</v>
      </c>
      <c r="I653" s="1">
        <v>0.003975988466777158</v>
      </c>
      <c r="J653" s="1">
        <v>0.01713785288419434</v>
      </c>
      <c r="K653" s="1">
        <v>-0.006589277966210894</v>
      </c>
      <c r="L653" s="1">
        <v>0.0002564404654470387</v>
      </c>
      <c r="M653" s="1">
        <v>0.006618992227940268</v>
      </c>
      <c r="N653" s="1">
        <v>0.008036436850333395</v>
      </c>
      <c r="O653" s="1">
        <v>0.004088894075558347</v>
      </c>
      <c r="P653" s="1">
        <v>0.0008330466281749604</v>
      </c>
      <c r="Q653" s="1">
        <v>0.007521439702482535</v>
      </c>
      <c r="R653" s="1">
        <v>0.007915925608519725</v>
      </c>
      <c r="S653" s="1">
        <v>0.008599045287200235</v>
      </c>
      <c r="T653" s="1">
        <v>0.003500171191930912</v>
      </c>
      <c r="U653" s="1">
        <v>-0.004958220479661102</v>
      </c>
      <c r="V653" s="1">
        <v>0.001964865010023686</v>
      </c>
      <c r="W653" s="1">
        <v>0.007586106491716205</v>
      </c>
      <c r="X653" s="1">
        <v>-0.0007466570181271504</v>
      </c>
      <c r="Y653" s="1">
        <v>0.00401792966558312</v>
      </c>
      <c r="Z653" s="1">
        <v>-0.002062739958851867</v>
      </c>
    </row>
    <row r="654" spans="1:26">
      <c r="A654" s="11">
        <v>43319</v>
      </c>
      <c r="B654" s="1">
        <v>0.01621430027974102</v>
      </c>
      <c r="C654" s="1">
        <v>0.01208974760236559</v>
      </c>
      <c r="D654" s="1">
        <v>0.0002756419276430666</v>
      </c>
      <c r="E654" s="1">
        <v>-0.006903893481153833</v>
      </c>
      <c r="F654" s="1">
        <v>0.002264674197553829</v>
      </c>
      <c r="G654" s="1">
        <v>0.0003538002095533344</v>
      </c>
      <c r="H654" s="1">
        <v>-0.02132168166262438</v>
      </c>
      <c r="I654" s="1">
        <v>0.01521531177937963</v>
      </c>
      <c r="J654" s="1">
        <v>0.01053098021206367</v>
      </c>
      <c r="K654" s="1">
        <v>0.004510583566980531</v>
      </c>
      <c r="L654" s="1">
        <v>0.003671655139653396</v>
      </c>
      <c r="M654" s="1">
        <v>0.005191175421133343</v>
      </c>
      <c r="N654" s="1">
        <v>-0.01079596330279553</v>
      </c>
      <c r="O654" s="1">
        <v>0.002994143247519565</v>
      </c>
      <c r="P654" s="1">
        <v>0.006936251489268797</v>
      </c>
      <c r="Q654" s="1">
        <v>-0.00933163551573335</v>
      </c>
      <c r="R654" s="1">
        <v>0.003695750954711752</v>
      </c>
      <c r="S654" s="1">
        <v>0.004772564643659383</v>
      </c>
      <c r="T654" s="1">
        <v>-0.0007649877556497042</v>
      </c>
      <c r="U654" s="1">
        <v>0.009031654022497948</v>
      </c>
      <c r="V654" s="1">
        <v>0.00771960257423987</v>
      </c>
      <c r="W654" s="1">
        <v>0.001743846393907011</v>
      </c>
      <c r="X654" s="1">
        <v>0.003286340639255814</v>
      </c>
      <c r="Y654" s="1">
        <v>-0.0003812742991549101</v>
      </c>
      <c r="Z654" s="1">
        <v>0.002818181196134528</v>
      </c>
    </row>
    <row r="655" spans="1:26">
      <c r="A655" s="11">
        <v>43320</v>
      </c>
      <c r="B655" s="1">
        <v>-0.005390304862839757</v>
      </c>
      <c r="C655" s="1">
        <v>-0.008495717519448998</v>
      </c>
      <c r="D655" s="1">
        <v>0.001792262762751129</v>
      </c>
      <c r="E655" s="1">
        <v>0.02017659500334701</v>
      </c>
      <c r="F655" s="1">
        <v>-0.009886955959321764</v>
      </c>
      <c r="G655" s="1">
        <v>-0.001414614598311825</v>
      </c>
      <c r="H655" s="1">
        <v>0.005027688354294346</v>
      </c>
      <c r="I655" s="1">
        <v>-0.008965162733063692</v>
      </c>
      <c r="J655" s="1">
        <v>0.006252485448826839</v>
      </c>
      <c r="K655" s="1">
        <v>-0.01426337510842512</v>
      </c>
      <c r="L655" s="1">
        <v>0.002041639673866724</v>
      </c>
      <c r="M655" s="1">
        <v>0.01256681249305158</v>
      </c>
      <c r="N655" s="1">
        <v>-0.01595018372843438</v>
      </c>
      <c r="O655" s="1">
        <v>0.003105028653296538</v>
      </c>
      <c r="P655" s="1">
        <v>0.005602382220574187</v>
      </c>
      <c r="Q655" s="1">
        <v>-0.002637626194123111</v>
      </c>
      <c r="R655" s="1">
        <v>-0.01135360212014114</v>
      </c>
      <c r="S655" s="1">
        <v>0.001706328609055507</v>
      </c>
      <c r="T655" s="1">
        <v>-0.0009684242859105963</v>
      </c>
      <c r="U655" s="1">
        <v>-0.001235041951308968</v>
      </c>
      <c r="V655" s="1">
        <v>0.001823903932389292</v>
      </c>
      <c r="W655" s="1">
        <v>-0.003906454979563989</v>
      </c>
      <c r="X655" s="1">
        <v>-0.002530808608675161</v>
      </c>
      <c r="Y655" s="1">
        <v>0.004574996412501031</v>
      </c>
      <c r="Z655" s="1">
        <v>0.00562005539204069</v>
      </c>
    </row>
    <row r="656" spans="1:26">
      <c r="A656" s="11">
        <v>43321</v>
      </c>
      <c r="B656" s="1">
        <v>-0.06156515213054825</v>
      </c>
      <c r="C656" s="1">
        <v>-0.006790680949862016</v>
      </c>
      <c r="D656" s="1">
        <v>-0.008256877755914327</v>
      </c>
      <c r="E656" s="1">
        <v>-0.01063665981487161</v>
      </c>
      <c r="F656" s="1">
        <v>0.01255387764254579</v>
      </c>
      <c r="G656" s="1">
        <v>-0.001416361047427372</v>
      </c>
      <c r="H656" s="1">
        <v>0.007146115760074512</v>
      </c>
      <c r="I656" s="1">
        <v>-0.03438946828412515</v>
      </c>
      <c r="J656" s="1">
        <v>-0.002485327112689228</v>
      </c>
      <c r="K656" s="1">
        <v>0.0002680519950362115</v>
      </c>
      <c r="L656" s="1">
        <v>-0.007726051562334857</v>
      </c>
      <c r="M656" s="1">
        <v>0.002890330090485227</v>
      </c>
      <c r="N656" s="1">
        <v>0.0104079035830924</v>
      </c>
      <c r="O656" s="1">
        <v>0.0002378701491905222</v>
      </c>
      <c r="P656" s="1">
        <v>0.001644104277874758</v>
      </c>
      <c r="Q656" s="1">
        <v>0.001511200951284097</v>
      </c>
      <c r="R656" s="1">
        <v>-0.002017353327272153</v>
      </c>
      <c r="S656" s="1">
        <v>-0.006583227381756318</v>
      </c>
      <c r="T656" s="1">
        <v>0.0008790579928352749</v>
      </c>
      <c r="U656" s="1">
        <v>0.004017517721630615</v>
      </c>
      <c r="V656" s="1">
        <v>0.002791631327834221</v>
      </c>
      <c r="W656" s="1">
        <v>-0.005712448736225229</v>
      </c>
      <c r="X656" s="1">
        <v>-0.01179126563198052</v>
      </c>
      <c r="Y656" s="1">
        <v>0.005882091434358694</v>
      </c>
      <c r="Z656" s="1">
        <v>-0.009873427981026861</v>
      </c>
    </row>
    <row r="657" spans="1:26">
      <c r="A657" s="11">
        <v>43322</v>
      </c>
      <c r="B657" s="1">
        <v>0.02032789331376383</v>
      </c>
      <c r="C657" s="1">
        <v>-0.01253918351419703</v>
      </c>
      <c r="D657" s="1">
        <v>-0.007909152425339294</v>
      </c>
      <c r="E657" s="1">
        <v>-0.00369545888145606</v>
      </c>
      <c r="F657" s="1">
        <v>-0.011552733048386</v>
      </c>
      <c r="G657" s="1">
        <v>-0.002481975526327007</v>
      </c>
      <c r="H657" s="1">
        <v>-0.02199629522950708</v>
      </c>
      <c r="I657" s="1">
        <v>-0.01988159081397911</v>
      </c>
      <c r="J657" s="1">
        <v>-0.003737596825770462</v>
      </c>
      <c r="K657" s="1">
        <v>-0.01151852873178782</v>
      </c>
      <c r="L657" s="1">
        <v>-0.009838578907086837</v>
      </c>
      <c r="M657" s="1">
        <v>0</v>
      </c>
      <c r="N657" s="1">
        <v>-0.0028711586709812</v>
      </c>
      <c r="O657" s="1">
        <v>-0.012020762429511</v>
      </c>
      <c r="P657" s="1">
        <v>-0.006109387363205876</v>
      </c>
      <c r="Q657" s="1">
        <v>0.00377192900731349</v>
      </c>
      <c r="R657" s="1">
        <v>-0.01166198692257481</v>
      </c>
      <c r="S657" s="1">
        <v>-0.004912143125539337</v>
      </c>
      <c r="T657" s="1">
        <v>-0.002387153187204616</v>
      </c>
      <c r="U657" s="1">
        <v>-0.007078997791627573</v>
      </c>
      <c r="V657" s="1">
        <v>0.001088935865794394</v>
      </c>
      <c r="W657" s="1">
        <v>-0.00780318497427801</v>
      </c>
      <c r="X657" s="1">
        <v>-0.006947993924261042</v>
      </c>
      <c r="Y657" s="1">
        <v>-0.01018643726524282</v>
      </c>
      <c r="Z657" s="1">
        <v>-0.001692927984379367</v>
      </c>
    </row>
    <row r="658" spans="1:26">
      <c r="A658" s="11">
        <v>43325</v>
      </c>
      <c r="B658" s="1">
        <v>-0.01086696007551513</v>
      </c>
      <c r="C658" s="1">
        <v>-0.003093425599103083</v>
      </c>
      <c r="D658" s="1">
        <v>-0.01104886740326594</v>
      </c>
      <c r="E658" s="1">
        <v>0.00185458297585761</v>
      </c>
      <c r="F658" s="1">
        <v>-0.001140701194367599</v>
      </c>
      <c r="G658" s="1">
        <v>0.003199186777131269</v>
      </c>
      <c r="H658" s="1">
        <v>0.003869631499987758</v>
      </c>
      <c r="I658" s="1">
        <v>-0.001021479446273399</v>
      </c>
      <c r="J658" s="1">
        <v>-0.007920048826442816</v>
      </c>
      <c r="K658" s="1">
        <v>-0.006775112732072652</v>
      </c>
      <c r="L658" s="1">
        <v>-0.01589951769595122</v>
      </c>
      <c r="M658" s="1">
        <v>-0.002542966754185416</v>
      </c>
      <c r="N658" s="1">
        <v>-0.001185126657446189</v>
      </c>
      <c r="O658" s="1">
        <v>-0.0075896047229701</v>
      </c>
      <c r="P658" s="1">
        <v>-0.00724778645063473</v>
      </c>
      <c r="Q658" s="1">
        <v>0.008267970647075185</v>
      </c>
      <c r="R658" s="1">
        <v>0.01042975539566582</v>
      </c>
      <c r="S658" s="1">
        <v>0.002188545454581581</v>
      </c>
      <c r="T658" s="1">
        <v>-0.01769763638080846</v>
      </c>
      <c r="U658" s="1">
        <v>-0.00155012551000755</v>
      </c>
      <c r="V658" s="1">
        <v>-0.007858674569649726</v>
      </c>
      <c r="W658" s="1">
        <v>-0.003110882228642753</v>
      </c>
      <c r="X658" s="1">
        <v>-0.005475253120075685</v>
      </c>
      <c r="Y658" s="1">
        <v>-0.004764627319742698</v>
      </c>
      <c r="Z658" s="1">
        <v>-0.009234928980312751</v>
      </c>
    </row>
    <row r="659" spans="1:26">
      <c r="A659" s="11">
        <v>43326</v>
      </c>
      <c r="B659" s="1">
        <v>0.00480667597848683</v>
      </c>
      <c r="C659" s="1">
        <v>0.002305191889670821</v>
      </c>
      <c r="D659" s="1">
        <v>0</v>
      </c>
      <c r="E659" s="1">
        <v>0.009088060792889818</v>
      </c>
      <c r="F659" s="1">
        <v>0.009988899768808235</v>
      </c>
      <c r="G659" s="1">
        <v>-0.003188984619703406</v>
      </c>
      <c r="H659" s="1">
        <v>0.005781856905409333</v>
      </c>
      <c r="I659" s="1">
        <v>0.01270909275434606</v>
      </c>
      <c r="J659" s="1">
        <v>0.01470603051106645</v>
      </c>
      <c r="K659" s="1">
        <v>0.009276783259529076</v>
      </c>
      <c r="L659" s="1">
        <v>0.006673142234163931</v>
      </c>
      <c r="M659" s="1">
        <v>0.004248794172256432</v>
      </c>
      <c r="N659" s="1">
        <v>0.003899750390961243</v>
      </c>
      <c r="O659" s="1">
        <v>0.004612843196578842</v>
      </c>
      <c r="P659" s="1">
        <v>0.01247583972924438</v>
      </c>
      <c r="Q659" s="1">
        <v>0.004845041431676966</v>
      </c>
      <c r="R659" s="1">
        <v>0.01360681074249315</v>
      </c>
      <c r="S659" s="1">
        <v>0.003392358396985484</v>
      </c>
      <c r="T659" s="1">
        <v>0.002734499529169154</v>
      </c>
      <c r="U659" s="1">
        <v>0.000931436922634532</v>
      </c>
      <c r="V659" s="1">
        <v>0.0154751367553021</v>
      </c>
      <c r="W659" s="1">
        <v>0.003944311072890061</v>
      </c>
      <c r="X659" s="1">
        <v>0.009788000549018516</v>
      </c>
      <c r="Y659" s="1">
        <v>0.01244724686179888</v>
      </c>
      <c r="Z659" s="1">
        <v>0.01902194004028157</v>
      </c>
    </row>
    <row r="660" spans="1:26">
      <c r="A660" s="11">
        <v>43327</v>
      </c>
      <c r="B660" s="1">
        <v>-0.04373592524483905</v>
      </c>
      <c r="C660" s="1">
        <v>-0.02176099339329307</v>
      </c>
      <c r="D660" s="1">
        <v>0.007636856380617951</v>
      </c>
      <c r="E660" s="1">
        <v>0.005003269973786084</v>
      </c>
      <c r="F660" s="1">
        <v>-0.01186777033646802</v>
      </c>
      <c r="G660" s="1">
        <v>0.003518381578943908</v>
      </c>
      <c r="H660" s="1">
        <v>0.01437127209852962</v>
      </c>
      <c r="I660" s="1">
        <v>-0.02127643142267732</v>
      </c>
      <c r="J660" s="1">
        <v>-0.004969017577566959</v>
      </c>
      <c r="K660" s="1">
        <v>0.01513893794889909</v>
      </c>
      <c r="L660" s="1">
        <v>-0.00828588515915496</v>
      </c>
      <c r="M660" s="1">
        <v>0.02098514943276708</v>
      </c>
      <c r="N660" s="1">
        <v>0.01638221756259584</v>
      </c>
      <c r="O660" s="1">
        <v>0.0004837089169176245</v>
      </c>
      <c r="P660" s="1">
        <v>-0.01356072552316789</v>
      </c>
      <c r="Q660" s="1">
        <v>0.008531108915903474</v>
      </c>
      <c r="R660" s="1">
        <v>-0.004320963483430917</v>
      </c>
      <c r="S660" s="1">
        <v>0.01519005578447397</v>
      </c>
      <c r="T660" s="1">
        <v>0.005225268996997157</v>
      </c>
      <c r="U660" s="1">
        <v>0.007134234059237965</v>
      </c>
      <c r="V660" s="1">
        <v>-0.02406841643889979</v>
      </c>
      <c r="W660" s="1">
        <v>-0.01126911868047664</v>
      </c>
      <c r="X660" s="1">
        <v>-0.008783926752266247</v>
      </c>
      <c r="Y660" s="1">
        <v>0.006998338704342411</v>
      </c>
      <c r="Z660" s="1">
        <v>-0.01032456070415488</v>
      </c>
    </row>
    <row r="661" spans="1:26">
      <c r="A661" s="11">
        <v>43328</v>
      </c>
      <c r="B661" s="1">
        <v>0.004526124647493246</v>
      </c>
      <c r="C661" s="1">
        <v>0.04286225126891718</v>
      </c>
      <c r="D661" s="1">
        <v>0.004631368737451735</v>
      </c>
      <c r="E661" s="1">
        <v>0.01410560041609066</v>
      </c>
      <c r="F661" s="1">
        <v>0.01973120121047645</v>
      </c>
      <c r="G661" s="1">
        <v>0.01216450593029972</v>
      </c>
      <c r="H661" s="1">
        <v>-0.007556091887890193</v>
      </c>
      <c r="I661" s="1">
        <v>0.01215918890847334</v>
      </c>
      <c r="J661" s="1">
        <v>0.004577502427969948</v>
      </c>
      <c r="K661" s="1">
        <v>0.001864206462663054</v>
      </c>
      <c r="L661" s="1">
        <v>0.009410458965527502</v>
      </c>
      <c r="M661" s="1">
        <v>-0.01342622654372672</v>
      </c>
      <c r="N661" s="1">
        <v>0.01080111373704895</v>
      </c>
      <c r="O661" s="1">
        <v>0.01002381146153009</v>
      </c>
      <c r="P661" s="1">
        <v>-0.0001854029544137159</v>
      </c>
      <c r="Q661" s="1">
        <v>0.01213708644523215</v>
      </c>
      <c r="R661" s="1">
        <v>0.01782158189472405</v>
      </c>
      <c r="S661" s="1">
        <v>0.007572518226842462</v>
      </c>
      <c r="T661" s="1">
        <v>0.01048474885869366</v>
      </c>
      <c r="U661" s="1">
        <v>0.01909466604060528</v>
      </c>
      <c r="V661" s="1">
        <v>0.0171023504757315</v>
      </c>
      <c r="W661" s="1">
        <v>0.007816705309235505</v>
      </c>
      <c r="X661" s="1">
        <v>0.01145896728867046</v>
      </c>
      <c r="Y661" s="1">
        <v>0.01934622716962364</v>
      </c>
      <c r="Z661" s="1">
        <v>0.01934748720952517</v>
      </c>
    </row>
    <row r="662" spans="1:26">
      <c r="A662" s="11">
        <v>43329</v>
      </c>
      <c r="B662" s="1">
        <v>-0.004031420084632531</v>
      </c>
      <c r="C662" s="1">
        <v>0.001213891382301435</v>
      </c>
      <c r="D662" s="1">
        <v>0.00642650185496163</v>
      </c>
      <c r="E662" s="1">
        <v>-0.003600332395326977</v>
      </c>
      <c r="F662" s="1">
        <v>-0.001682579478115342</v>
      </c>
      <c r="G662" s="1">
        <v>0</v>
      </c>
      <c r="H662" s="1">
        <v>0.0002379732451558425</v>
      </c>
      <c r="I662" s="1">
        <v>0.023589150340527</v>
      </c>
      <c r="J662" s="1">
        <v>0.01657022111063489</v>
      </c>
      <c r="K662" s="1">
        <v>0.01674663897136819</v>
      </c>
      <c r="L662" s="1">
        <v>0</v>
      </c>
      <c r="M662" s="1">
        <v>0.002688187212634974</v>
      </c>
      <c r="N662" s="1">
        <v>0.002794584241026188</v>
      </c>
      <c r="O662" s="1">
        <v>0.004424330218849137</v>
      </c>
      <c r="P662" s="1">
        <v>-0.0005576135884068911</v>
      </c>
      <c r="Q662" s="1">
        <v>0.002906815251783046</v>
      </c>
      <c r="R662" s="1">
        <v>0.02253361994117542</v>
      </c>
      <c r="S662" s="1">
        <v>0.01222471016229099</v>
      </c>
      <c r="T662" s="1">
        <v>0.00235126892581361</v>
      </c>
      <c r="U662" s="1">
        <v>-0.001813465202925579</v>
      </c>
      <c r="V662" s="1">
        <v>0.01181937617700424</v>
      </c>
      <c r="W662" s="1">
        <v>-0.003423137507809537</v>
      </c>
      <c r="X662" s="1">
        <v>0.006797744420277585</v>
      </c>
      <c r="Y662" s="1">
        <v>0.009581674326067491</v>
      </c>
      <c r="Z662" s="1">
        <v>-0.0001860321692551681</v>
      </c>
    </row>
    <row r="663" spans="1:26">
      <c r="A663" s="11">
        <v>43332</v>
      </c>
      <c r="B663" s="1">
        <v>0.0007141215742514362</v>
      </c>
      <c r="C663" s="1">
        <v>0.0125288827486103</v>
      </c>
      <c r="D663" s="1">
        <v>0.002221042075492008</v>
      </c>
      <c r="E663" s="1">
        <v>-0.009361014481568675</v>
      </c>
      <c r="F663" s="1">
        <v>-0.004775307646065263</v>
      </c>
      <c r="G663" s="1">
        <v>0.002120698418715428</v>
      </c>
      <c r="H663" s="1">
        <v>0.003330102043519245</v>
      </c>
      <c r="I663" s="1">
        <v>-0.000426649391083167</v>
      </c>
      <c r="J663" s="1">
        <v>0</v>
      </c>
      <c r="K663" s="1">
        <v>0.01281068797594398</v>
      </c>
      <c r="L663" s="1">
        <v>-0.001306799388161139</v>
      </c>
      <c r="M663" s="1">
        <v>0.03267429078658379</v>
      </c>
      <c r="N663" s="1">
        <v>-0.0001637171609304433</v>
      </c>
      <c r="O663" s="1">
        <v>-0.00785727128572955</v>
      </c>
      <c r="P663" s="1">
        <v>-0.00659972132109643</v>
      </c>
      <c r="Q663" s="1">
        <v>-0.006159381123138963</v>
      </c>
      <c r="R663" s="1">
        <v>0.01608084367662577</v>
      </c>
      <c r="S663" s="1">
        <v>-0.004875573345999196</v>
      </c>
      <c r="T663" s="1">
        <v>0.00151092388763896</v>
      </c>
      <c r="U663" s="1">
        <v>0.002422101051359649</v>
      </c>
      <c r="V663" s="1">
        <v>0.003371727616079401</v>
      </c>
      <c r="W663" s="1">
        <v>0.0006087319969361182</v>
      </c>
      <c r="X663" s="1">
        <v>0.01500380899825959</v>
      </c>
      <c r="Y663" s="1">
        <v>-0.002555094115111345</v>
      </c>
      <c r="Z663" s="1">
        <v>0.004652777681589448</v>
      </c>
    </row>
    <row r="664" spans="1:26">
      <c r="A664" s="11">
        <v>43333</v>
      </c>
      <c r="B664" s="1">
        <v>0.01522727957007119</v>
      </c>
      <c r="C664" s="1">
        <v>0.008638928432477266</v>
      </c>
      <c r="D664" s="1">
        <v>-0.007756359425764248</v>
      </c>
      <c r="E664" s="1">
        <v>-0.003978711222822784</v>
      </c>
      <c r="F664" s="1">
        <v>0.008749582267271849</v>
      </c>
      <c r="G664" s="1">
        <v>-0.01022911306682139</v>
      </c>
      <c r="H664" s="1">
        <v>-0.007349661531141027</v>
      </c>
      <c r="I664" s="1">
        <v>0.02348231593577421</v>
      </c>
      <c r="J664" s="1">
        <v>-0.002037866374175801</v>
      </c>
      <c r="K664" s="1">
        <v>0.03278200504179996</v>
      </c>
      <c r="L664" s="1">
        <v>0.006107204130187949</v>
      </c>
      <c r="M664" s="1">
        <v>-0.00764614009139275</v>
      </c>
      <c r="N664" s="1">
        <v>-0.01738011976103615</v>
      </c>
      <c r="O664" s="1">
        <v>0.009839302247114379</v>
      </c>
      <c r="P664" s="1">
        <v>-0.00832784400360842</v>
      </c>
      <c r="Q664" s="1">
        <v>-0.009478395180116284</v>
      </c>
      <c r="R664" s="1">
        <v>-0.004103378620124776</v>
      </c>
      <c r="S664" s="1">
        <v>-0.007281438248275318</v>
      </c>
      <c r="T664" s="1">
        <v>0.001667029401454467</v>
      </c>
      <c r="U664" s="1">
        <v>0.008758742802945862</v>
      </c>
      <c r="V664" s="1">
        <v>-0.000599997177293865</v>
      </c>
      <c r="W664" s="1">
        <v>0.00560556495326936</v>
      </c>
      <c r="X664" s="1">
        <v>0.01862509970140303</v>
      </c>
      <c r="Y664" s="1">
        <v>0.00475736129930171</v>
      </c>
      <c r="Z664" s="1">
        <v>0.00444611644738635</v>
      </c>
    </row>
    <row r="665" spans="1:26">
      <c r="A665" s="11">
        <v>43334</v>
      </c>
      <c r="B665" s="1">
        <v>0.01429620005539611</v>
      </c>
      <c r="C665" s="1">
        <v>-0.01057190041898926</v>
      </c>
      <c r="D665" s="1">
        <v>0.0069795410172655</v>
      </c>
      <c r="E665" s="1">
        <v>0.008155825778108916</v>
      </c>
      <c r="F665" s="1">
        <v>-0.007274501775299425</v>
      </c>
      <c r="G665" s="1">
        <v>-0.00819691902799935</v>
      </c>
      <c r="H665" s="1">
        <v>-0.01576277158688966</v>
      </c>
      <c r="I665" s="1">
        <v>-0.008482224167051688</v>
      </c>
      <c r="J665" s="1">
        <v>0</v>
      </c>
      <c r="K665" s="1">
        <v>-0.009997346619888603</v>
      </c>
      <c r="L665" s="1">
        <v>-0.003035230726617821</v>
      </c>
      <c r="M665" s="1">
        <v>-0.006393465233269113</v>
      </c>
      <c r="N665" s="1">
        <v>-0.0101784257282993</v>
      </c>
      <c r="O665" s="1">
        <v>-0.008317376327262371</v>
      </c>
      <c r="P665" s="1">
        <v>0.01019052706968115</v>
      </c>
      <c r="Q665" s="1">
        <v>-0.006257313721174995</v>
      </c>
      <c r="R665" s="1">
        <v>-0.00279539020410946</v>
      </c>
      <c r="S665" s="1">
        <v>-0.04446279069722447</v>
      </c>
      <c r="T665" s="1">
        <v>-0.01285946902623558</v>
      </c>
      <c r="U665" s="1">
        <v>-0.02155715722571305</v>
      </c>
      <c r="V665" s="1">
        <v>0.03206452676590499</v>
      </c>
      <c r="W665" s="1">
        <v>0.01149369722984472</v>
      </c>
      <c r="X665" s="1">
        <v>-0.006965563472483116</v>
      </c>
      <c r="Y665" s="1">
        <v>-0.01402290281842022</v>
      </c>
      <c r="Z665" s="1">
        <v>-0.00276651106014203</v>
      </c>
    </row>
    <row r="666" spans="1:26">
      <c r="A666" s="11">
        <v>43335</v>
      </c>
      <c r="B666" s="1">
        <v>-0.009704636562713587</v>
      </c>
      <c r="C666" s="1">
        <v>-0.007285070149222195</v>
      </c>
      <c r="D666" s="1">
        <v>-0.002218205220557379</v>
      </c>
      <c r="E666" s="1">
        <v>-0.00792466261041147</v>
      </c>
      <c r="F666" s="1">
        <v>-0.00479152959268947</v>
      </c>
      <c r="G666" s="1">
        <v>-0.004311503543717454</v>
      </c>
      <c r="H666" s="1">
        <v>-0.01455989698775662</v>
      </c>
      <c r="I666" s="1">
        <v>-0.01002714958002759</v>
      </c>
      <c r="J666" s="1">
        <v>0.00571684444269005</v>
      </c>
      <c r="K666" s="1">
        <v>-0.01186550012633469</v>
      </c>
      <c r="L666" s="1">
        <v>-0.002087291175016048</v>
      </c>
      <c r="M666" s="1">
        <v>0.006599511994612728</v>
      </c>
      <c r="N666" s="1">
        <v>0.008428449826450857</v>
      </c>
      <c r="O666" s="1">
        <v>-0.0001200171399478034</v>
      </c>
      <c r="P666" s="1">
        <v>0.00467044107771164</v>
      </c>
      <c r="Q666" s="1">
        <v>0.001481628248797273</v>
      </c>
      <c r="R666" s="1">
        <v>-0.01696902972571923</v>
      </c>
      <c r="S666" s="1">
        <v>0.002985517975067742</v>
      </c>
      <c r="T666" s="1">
        <v>0.001685039153105139</v>
      </c>
      <c r="U666" s="1">
        <v>-0.005813854384559392</v>
      </c>
      <c r="V666" s="1">
        <v>0.00895986333652532</v>
      </c>
      <c r="W666" s="1">
        <v>0.0004271924775731684</v>
      </c>
      <c r="X666" s="1">
        <v>-0.001899974275641814</v>
      </c>
      <c r="Y666" s="1">
        <v>0.002585440914327997</v>
      </c>
      <c r="Z666" s="1">
        <v>-0.009062328293741206</v>
      </c>
    </row>
    <row r="667" spans="1:26">
      <c r="A667" s="11">
        <v>43336</v>
      </c>
      <c r="B667" s="1">
        <v>0.01469927870251064</v>
      </c>
      <c r="C667" s="1">
        <v>0.00546803253070749</v>
      </c>
      <c r="D667" s="1">
        <v>0.005140548210239126</v>
      </c>
      <c r="E667" s="1">
        <v>-0.001997098085828375</v>
      </c>
      <c r="F667" s="1">
        <v>0.0337012545394495</v>
      </c>
      <c r="G667" s="1">
        <v>0.006134844978815668</v>
      </c>
      <c r="H667" s="1">
        <v>0.001723998157740159</v>
      </c>
      <c r="I667" s="1">
        <v>0.02535794321972595</v>
      </c>
      <c r="J667" s="1">
        <v>-0.01948830512166111</v>
      </c>
      <c r="K667" s="1">
        <v>0.001788649568995826</v>
      </c>
      <c r="L667" s="1">
        <v>-0.0004358341985559733</v>
      </c>
      <c r="M667" s="1">
        <v>-0.0003275828286544158</v>
      </c>
      <c r="N667" s="1">
        <v>-0.01738468555986006</v>
      </c>
      <c r="O667" s="1">
        <v>0.008987361991073195</v>
      </c>
      <c r="P667" s="1">
        <v>0.00780956207607697</v>
      </c>
      <c r="Q667" s="1">
        <v>0.0007397638071813262</v>
      </c>
      <c r="R667" s="1">
        <v>0.01215853626003982</v>
      </c>
      <c r="S667" s="1">
        <v>0.007700540545887646</v>
      </c>
      <c r="T667" s="1">
        <v>0.01721164891161608</v>
      </c>
      <c r="U667" s="1">
        <v>0.004616640070672196</v>
      </c>
      <c r="V667" s="1">
        <v>0.006919577416011125</v>
      </c>
      <c r="W667" s="1">
        <v>0.002220465648176573</v>
      </c>
      <c r="X667" s="1">
        <v>0.004831906091615545</v>
      </c>
      <c r="Y667" s="1">
        <v>0.009211940357369386</v>
      </c>
      <c r="Z667" s="1">
        <v>-0.002986144080340702</v>
      </c>
    </row>
    <row r="668" spans="1:26">
      <c r="A668" s="11">
        <v>43339</v>
      </c>
      <c r="B668" s="1">
        <v>0.006438047594236052</v>
      </c>
      <c r="C668" s="1">
        <v>0.01247927225452305</v>
      </c>
      <c r="D668" s="1">
        <v>0.008707473661305087</v>
      </c>
      <c r="E668" s="1">
        <v>0.0006666599794908912</v>
      </c>
      <c r="F668" s="1">
        <v>-0.001917449875397104</v>
      </c>
      <c r="G668" s="1">
        <v>-0.007173552853847576</v>
      </c>
      <c r="H668" s="1">
        <v>0.0004915523602380123</v>
      </c>
      <c r="I668" s="1">
        <v>0.009946865937745075</v>
      </c>
      <c r="J668" s="1">
        <v>0.007453315116559667</v>
      </c>
      <c r="K668" s="1">
        <v>0.01300683474089426</v>
      </c>
      <c r="L668" s="1">
        <v>0.01770114532008105</v>
      </c>
      <c r="M668" s="1">
        <v>-0.00131194269030499</v>
      </c>
      <c r="N668" s="1">
        <v>0.003912293055390315</v>
      </c>
      <c r="O668" s="1">
        <v>0.006176130630615173</v>
      </c>
      <c r="P668" s="1">
        <v>0.0110699019777114</v>
      </c>
      <c r="Q668" s="1">
        <v>-0.004065008742091702</v>
      </c>
      <c r="R668" s="1">
        <v>0.01764777849301646</v>
      </c>
      <c r="S668" s="1">
        <v>-0.001453653039504177</v>
      </c>
      <c r="T668" s="1">
        <v>0.01709895379969062</v>
      </c>
      <c r="U668" s="1">
        <v>0.005821385933587608</v>
      </c>
      <c r="V668" s="1">
        <v>-0.008131827965678684</v>
      </c>
      <c r="W668" s="1">
        <v>0.0136763287044217</v>
      </c>
      <c r="X668" s="1">
        <v>0.008888530868475186</v>
      </c>
      <c r="Y668" s="1">
        <v>0.001277834584899162</v>
      </c>
      <c r="Z668" s="1">
        <v>0.004679499688073685</v>
      </c>
    </row>
    <row r="669" spans="1:26">
      <c r="A669" s="11">
        <v>43340</v>
      </c>
      <c r="B669" s="1">
        <v>-0.02307518540517717</v>
      </c>
      <c r="C669" s="1">
        <v>-0.007152204043184507</v>
      </c>
      <c r="D669" s="1">
        <v>0.001096756120656961</v>
      </c>
      <c r="E669" s="1">
        <v>0.00266649120241258</v>
      </c>
      <c r="F669" s="1">
        <v>-0.002196160459394192</v>
      </c>
      <c r="G669" s="1">
        <v>-0.004696625676835153</v>
      </c>
      <c r="H669" s="1">
        <v>-0.02137589054416877</v>
      </c>
      <c r="I669" s="1">
        <v>0.002052327856357339</v>
      </c>
      <c r="J669" s="1">
        <v>0.006575991748400067</v>
      </c>
      <c r="K669" s="1">
        <v>-0.01988938235799043</v>
      </c>
      <c r="L669" s="1">
        <v>-0.004883521334485219</v>
      </c>
      <c r="M669" s="1">
        <v>0.006895546310438982</v>
      </c>
      <c r="N669" s="1">
        <v>-0.009489781010185161</v>
      </c>
      <c r="O669" s="1">
        <v>-0.005783934198049789</v>
      </c>
      <c r="P669" s="1">
        <v>0.006022105089181551</v>
      </c>
      <c r="Q669" s="1">
        <v>0</v>
      </c>
      <c r="R669" s="1">
        <v>-0.001894601697088993</v>
      </c>
      <c r="S669" s="1">
        <v>0.007840809950190764</v>
      </c>
      <c r="T669" s="1">
        <v>-0.005317727719024612</v>
      </c>
      <c r="U669" s="1">
        <v>-0.004873779854872695</v>
      </c>
      <c r="V669" s="1">
        <v>0.001154322903947902</v>
      </c>
      <c r="W669" s="1">
        <v>0.0001683492298858447</v>
      </c>
      <c r="X669" s="1">
        <v>0.002599357610559849</v>
      </c>
      <c r="Y669" s="1">
        <v>-0.003646157208535117</v>
      </c>
      <c r="Z669" s="1">
        <v>-0.0027943080683277</v>
      </c>
    </row>
    <row r="670" spans="1:26">
      <c r="A670" s="11">
        <v>43341</v>
      </c>
      <c r="B670" s="1">
        <v>0.02268436199659041</v>
      </c>
      <c r="C670" s="1">
        <v>-0.002904237250526021</v>
      </c>
      <c r="D670" s="1">
        <v>0.0123183669725726</v>
      </c>
      <c r="E670" s="1">
        <v>0.01578857962767888</v>
      </c>
      <c r="F670" s="1">
        <v>0.01100413020967883</v>
      </c>
      <c r="G670" s="1">
        <v>0.008711514900502815</v>
      </c>
      <c r="H670" s="1">
        <v>0.004017239512046356</v>
      </c>
      <c r="I670" s="1">
        <v>-0.00348098120047946</v>
      </c>
      <c r="J670" s="1">
        <v>0.02409155283789777</v>
      </c>
      <c r="K670" s="1">
        <v>-0.01310062090288755</v>
      </c>
      <c r="L670" s="1">
        <v>-0.003272093488385419</v>
      </c>
      <c r="M670" s="1">
        <v>-0.001793583810009047</v>
      </c>
      <c r="N670" s="1">
        <v>-0.0005130643313260297</v>
      </c>
      <c r="O670" s="1">
        <v>0.00463034410925367</v>
      </c>
      <c r="P670" s="1">
        <v>0.01596204478311969</v>
      </c>
      <c r="Q670" s="1">
        <v>0.01113140440433802</v>
      </c>
      <c r="R670" s="1">
        <v>-0.0008758996384449214</v>
      </c>
      <c r="S670" s="1">
        <v>-0.009223556813007128</v>
      </c>
      <c r="T670" s="1">
        <v>0.0084172173664534</v>
      </c>
      <c r="U670" s="1">
        <v>-0.01346784374099452</v>
      </c>
      <c r="V670" s="1">
        <v>0.01072670693758004</v>
      </c>
      <c r="W670" s="1">
        <v>0.007437921261230329</v>
      </c>
      <c r="X670" s="1">
        <v>0.002737010722679845</v>
      </c>
      <c r="Y670" s="1">
        <v>-0.001463887174274481</v>
      </c>
      <c r="Z670" s="1">
        <v>0.002989305764652617</v>
      </c>
    </row>
    <row r="671" spans="1:26">
      <c r="A671" s="11">
        <v>43342</v>
      </c>
      <c r="B671" s="1">
        <v>0.01486466744187021</v>
      </c>
      <c r="C671" s="1">
        <v>-0.009394905520266117</v>
      </c>
      <c r="D671" s="1">
        <v>0.00176186881182705</v>
      </c>
      <c r="E671" s="1">
        <v>-0.007035369904750954</v>
      </c>
      <c r="F671" s="1">
        <v>-0.001904752136548393</v>
      </c>
      <c r="G671" s="1">
        <v>-0.0007197907476573784</v>
      </c>
      <c r="H671" s="1">
        <v>-0.02100532061212423</v>
      </c>
      <c r="I671" s="1">
        <v>-0.01828908277622832</v>
      </c>
      <c r="J671" s="1">
        <v>-0.0139552817480143</v>
      </c>
      <c r="K671" s="1">
        <v>-0.02004138643127762</v>
      </c>
      <c r="L671" s="1">
        <v>-0.004924089042298685</v>
      </c>
      <c r="M671" s="1">
        <v>-0.006533892315181755</v>
      </c>
      <c r="N671" s="1">
        <v>0.004450337487467371</v>
      </c>
      <c r="O671" s="1">
        <v>-0.006617831410475117</v>
      </c>
      <c r="P671" s="1">
        <v>-0.0006247572186973693</v>
      </c>
      <c r="Q671" s="1">
        <v>-0.003669861806001595</v>
      </c>
      <c r="R671" s="1">
        <v>-0.008329929111281387</v>
      </c>
      <c r="S671" s="1">
        <v>-0.004843427457286942</v>
      </c>
      <c r="T671" s="1">
        <v>-0.0004600143144299906</v>
      </c>
      <c r="U671" s="1">
        <v>-0.008377591188419631</v>
      </c>
      <c r="V671" s="1">
        <v>-0.003651486560556916</v>
      </c>
      <c r="W671" s="1">
        <v>-0.002252333610929136</v>
      </c>
      <c r="X671" s="1">
        <v>-0.00344820138027746</v>
      </c>
      <c r="Y671" s="1">
        <v>0.003298411434057069</v>
      </c>
      <c r="Z671" s="1">
        <v>-0.00950092639439315</v>
      </c>
    </row>
    <row r="672" spans="1:26">
      <c r="A672" s="11">
        <v>43343</v>
      </c>
      <c r="B672" s="1">
        <v>-0.01239306181752564</v>
      </c>
      <c r="C672" s="1">
        <v>-0.01184777784245528</v>
      </c>
      <c r="D672" s="1">
        <v>0.006360344692995179</v>
      </c>
      <c r="E672" s="1">
        <v>-0.00230681484612838</v>
      </c>
      <c r="F672" s="1">
        <v>0.00845140892921048</v>
      </c>
      <c r="G672" s="1">
        <v>0.0007203092195691152</v>
      </c>
      <c r="H672" s="1">
        <v>0.007662744304125946</v>
      </c>
      <c r="I672" s="1">
        <v>0.003349015868704619</v>
      </c>
      <c r="J672" s="1">
        <v>-0.003234917052258424</v>
      </c>
      <c r="K672" s="1">
        <v>0.003187164437657986</v>
      </c>
      <c r="L672" s="1">
        <v>-0.005295385049212564</v>
      </c>
      <c r="M672" s="1">
        <v>0.007892195976181293</v>
      </c>
      <c r="N672" s="1">
        <v>-0.002726604955887835</v>
      </c>
      <c r="O672" s="1">
        <v>0.006780458716118209</v>
      </c>
      <c r="P672" s="1">
        <v>0.00339429039542738</v>
      </c>
      <c r="Q672" s="1">
        <v>-0.002946339558811406</v>
      </c>
      <c r="R672" s="1">
        <v>0.008252713593372762</v>
      </c>
      <c r="S672" s="1">
        <v>0.004394150715896883</v>
      </c>
      <c r="T672" s="1">
        <v>-0.001403317443730678</v>
      </c>
      <c r="U672" s="1">
        <v>-0.0006256077975147489</v>
      </c>
      <c r="V672" s="1">
        <v>0.002176101385103379</v>
      </c>
      <c r="W672" s="1">
        <v>-0.0003762037279851915</v>
      </c>
      <c r="X672" s="1">
        <v>-0.004900983853640684</v>
      </c>
      <c r="Y672" s="1">
        <v>-0.006940710286220453</v>
      </c>
      <c r="Z672" s="1">
        <v>0.002257251665924498</v>
      </c>
    </row>
    <row r="673" spans="1:26">
      <c r="A673" s="11">
        <v>43347</v>
      </c>
      <c r="B673" s="1">
        <v>-0.01483031287035785</v>
      </c>
      <c r="C673" s="1">
        <v>0.01009355552698121</v>
      </c>
      <c r="D673" s="1">
        <v>0.005647214486115715</v>
      </c>
      <c r="E673" s="1">
        <v>-0.001155989360550391</v>
      </c>
      <c r="F673" s="1">
        <v>-0.01649105652029659</v>
      </c>
      <c r="G673" s="1">
        <v>0.004677948915930763</v>
      </c>
      <c r="H673" s="1">
        <v>0.006083643429410035</v>
      </c>
      <c r="I673" s="1">
        <v>-0.01460332158606792</v>
      </c>
      <c r="J673" s="1">
        <v>0.006490727923293083</v>
      </c>
      <c r="K673" s="1">
        <v>0</v>
      </c>
      <c r="L673" s="1">
        <v>0.004974550916412745</v>
      </c>
      <c r="M673" s="1">
        <v>0.01125633829240713</v>
      </c>
      <c r="N673" s="1">
        <v>0.01008205330273992</v>
      </c>
      <c r="O673" s="1">
        <v>0.001772698066182965</v>
      </c>
      <c r="P673" s="1">
        <v>-0.005519550265823514</v>
      </c>
      <c r="Q673" s="1">
        <v>0.00184713192737207</v>
      </c>
      <c r="R673" s="1">
        <v>-0.001169552170749433</v>
      </c>
      <c r="S673" s="1">
        <v>0.002446272266615646</v>
      </c>
      <c r="T673" s="1">
        <v>0.008275521815076514</v>
      </c>
      <c r="U673" s="1">
        <v>-0.002504689804998961</v>
      </c>
      <c r="V673" s="1">
        <v>0.01657142607399709</v>
      </c>
      <c r="W673" s="1">
        <v>-0.01275632447087005</v>
      </c>
      <c r="X673" s="1">
        <v>0.006374186388153236</v>
      </c>
      <c r="Y673" s="1">
        <v>-0.02170282765620946</v>
      </c>
      <c r="Z673" s="1">
        <v>0.01182188004910634</v>
      </c>
    </row>
    <row r="674" spans="1:26">
      <c r="A674" s="11">
        <v>43348</v>
      </c>
      <c r="B674" s="1">
        <v>0.01713760010392851</v>
      </c>
      <c r="C674" s="1">
        <v>0.001241922129869621</v>
      </c>
      <c r="D674" s="1">
        <v>-0.009627158362298327</v>
      </c>
      <c r="E674" s="1">
        <v>0.01190481149397482</v>
      </c>
      <c r="F674" s="1">
        <v>-0.002748799426059878</v>
      </c>
      <c r="G674" s="1">
        <v>0.03581654821720615</v>
      </c>
      <c r="H674" s="1">
        <v>0.004283284091508577</v>
      </c>
      <c r="I674" s="1">
        <v>0.02244156433318967</v>
      </c>
      <c r="J674" s="1">
        <v>-0.005239559128950688</v>
      </c>
      <c r="K674" s="1">
        <v>0.0132381717184038</v>
      </c>
      <c r="L674" s="1">
        <v>-0.004863473549984065</v>
      </c>
      <c r="M674" s="1">
        <v>-0.00951786068782523</v>
      </c>
      <c r="N674" s="1">
        <v>0.02605302737044402</v>
      </c>
      <c r="O674" s="1">
        <v>0.001297069670701978</v>
      </c>
      <c r="P674" s="1">
        <v>-0.02882456068906336</v>
      </c>
      <c r="Q674" s="1">
        <v>0.01548684574809123</v>
      </c>
      <c r="R674" s="1">
        <v>0.02297350271704701</v>
      </c>
      <c r="S674" s="1">
        <v>0.01220081126852524</v>
      </c>
      <c r="T674" s="1">
        <v>0.005028847857731389</v>
      </c>
      <c r="U674" s="1">
        <v>0.005021958057144671</v>
      </c>
      <c r="V674" s="1">
        <v>-0.00393511298348681</v>
      </c>
      <c r="W674" s="1">
        <v>0.001355546214660164</v>
      </c>
      <c r="X674" s="1">
        <v>0.005182281660132571</v>
      </c>
      <c r="Y674" s="1">
        <v>0.0118441791784949</v>
      </c>
      <c r="Z674" s="1">
        <v>-0.001669160592572272</v>
      </c>
    </row>
    <row r="675" spans="1:26">
      <c r="A675" s="11">
        <v>43349</v>
      </c>
      <c r="B675" s="1">
        <v>-0.02868827652418193</v>
      </c>
      <c r="C675" s="1">
        <v>0.01323974787551996</v>
      </c>
      <c r="D675" s="1">
        <v>0.006075507543295444</v>
      </c>
      <c r="E675" s="1">
        <v>-0.004248551521332078</v>
      </c>
      <c r="F675" s="1">
        <v>-0.009922743546524226</v>
      </c>
      <c r="G675" s="1">
        <v>-0.0006915831926942451</v>
      </c>
      <c r="H675" s="1">
        <v>0.004766744604183693</v>
      </c>
      <c r="I675" s="1">
        <v>0.001518176731002852</v>
      </c>
      <c r="J675" s="1">
        <v>0</v>
      </c>
      <c r="K675" s="1">
        <v>0.01463294756298916</v>
      </c>
      <c r="L675" s="1">
        <v>-0.004275882143221499</v>
      </c>
      <c r="M675" s="1">
        <v>-0.006026104671324028</v>
      </c>
      <c r="N675" s="1">
        <v>0.002308424668275855</v>
      </c>
      <c r="O675" s="1">
        <v>0.005301192133184918</v>
      </c>
      <c r="P675" s="1">
        <v>0.002304668185589831</v>
      </c>
      <c r="Q675" s="1">
        <v>0.005083344446404459</v>
      </c>
      <c r="R675" s="1">
        <v>-0.0104425019643245</v>
      </c>
      <c r="S675" s="1">
        <v>-0.00440396372584051</v>
      </c>
      <c r="T675" s="1">
        <v>0.001581210084885987</v>
      </c>
      <c r="U675" s="1">
        <v>0.004996587869522395</v>
      </c>
      <c r="V675" s="1">
        <v>0.003160354769461859</v>
      </c>
      <c r="W675" s="1">
        <v>-0.002707752453902756</v>
      </c>
      <c r="X675" s="1">
        <v>-0.003150689968419162</v>
      </c>
      <c r="Y675" s="1">
        <v>0.008732942246483688</v>
      </c>
      <c r="Z675" s="1">
        <v>-0.009474175909559013</v>
      </c>
    </row>
    <row r="676" spans="1:26">
      <c r="A676" s="11">
        <v>43350</v>
      </c>
      <c r="B676" s="1">
        <v>0.004922397417401525</v>
      </c>
      <c r="C676" s="1">
        <v>-0.005664936888889804</v>
      </c>
      <c r="D676" s="1">
        <v>0.0009393665935137907</v>
      </c>
      <c r="E676" s="1">
        <v>0.006071656275713933</v>
      </c>
      <c r="F676" s="1">
        <v>0.006960038151414771</v>
      </c>
      <c r="G676" s="1">
        <v>-0.01349466548490996</v>
      </c>
      <c r="H676" s="1">
        <v>0.004244462421786555</v>
      </c>
      <c r="I676" s="1">
        <v>0.01743658131494108</v>
      </c>
      <c r="J676" s="1">
        <v>0.001215370493690138</v>
      </c>
      <c r="K676" s="1">
        <v>-0.01364891151861392</v>
      </c>
      <c r="L676" s="1">
        <v>0.001928209290603444</v>
      </c>
      <c r="M676" s="1">
        <v>0.01425536193299592</v>
      </c>
      <c r="N676" s="1">
        <v>0.002302758082522116</v>
      </c>
      <c r="O676" s="1">
        <v>0.004570017064969845</v>
      </c>
      <c r="P676" s="1">
        <v>-0.004874307381338761</v>
      </c>
      <c r="Q676" s="1">
        <v>-0.01192178431483648</v>
      </c>
      <c r="R676" s="1">
        <v>-0.002456664809687314</v>
      </c>
      <c r="S676" s="1">
        <v>-0.02626367887504821</v>
      </c>
      <c r="T676" s="1">
        <v>0.0002812369832163597</v>
      </c>
      <c r="U676" s="1">
        <v>-0.001864336095422137</v>
      </c>
      <c r="V676" s="1">
        <v>-0.001575091630253711</v>
      </c>
      <c r="W676" s="1">
        <v>0.0009759257311516834</v>
      </c>
      <c r="X676" s="1">
        <v>-0.006608074196698177</v>
      </c>
      <c r="Y676" s="1">
        <v>-0.005342025209478352</v>
      </c>
      <c r="Z676" s="1">
        <v>-0.01050274746722446</v>
      </c>
    </row>
    <row r="677" spans="1:26">
      <c r="A677" s="11">
        <v>43353</v>
      </c>
      <c r="B677" s="1">
        <v>0.01026390959274126</v>
      </c>
      <c r="C677" s="1">
        <v>-0.02124387982713516</v>
      </c>
      <c r="D677" s="1">
        <v>0.004022178761942774</v>
      </c>
      <c r="E677" s="1">
        <v>-0.007339528015064434</v>
      </c>
      <c r="F677" s="1">
        <v>0.005252794243613579</v>
      </c>
      <c r="G677" s="1">
        <v>0.007716563208089999</v>
      </c>
      <c r="H677" s="1">
        <v>0.007707762043223099</v>
      </c>
      <c r="I677" s="1">
        <v>0.006638152286750021</v>
      </c>
      <c r="J677" s="1">
        <v>-0.002428100016124701</v>
      </c>
      <c r="K677" s="1">
        <v>0.002610627393973441</v>
      </c>
      <c r="L677" s="1">
        <v>-0.005336098042684312</v>
      </c>
      <c r="M677" s="1">
        <v>0.009854436640752917</v>
      </c>
      <c r="N677" s="1">
        <v>-0.005744250976214227</v>
      </c>
      <c r="O677" s="1">
        <v>0.004899136352770173</v>
      </c>
      <c r="P677" s="1">
        <v>0.01081211706530061</v>
      </c>
      <c r="Q677" s="1">
        <v>0.009871852933168501</v>
      </c>
      <c r="R677" s="1">
        <v>0.01420028004258556</v>
      </c>
      <c r="S677" s="1">
        <v>0.01243423045739678</v>
      </c>
      <c r="T677" s="1">
        <v>0.009707604279385107</v>
      </c>
      <c r="U677" s="1">
        <v>0.008406146017008176</v>
      </c>
      <c r="V677" s="1">
        <v>0.005860077597843238</v>
      </c>
      <c r="W677" s="1">
        <v>0.005212713203699648</v>
      </c>
      <c r="X677" s="1">
        <v>0.01026723421033204</v>
      </c>
      <c r="Y677" s="1">
        <v>0.002222482831449435</v>
      </c>
      <c r="Z677" s="1">
        <v>0.00322241924344846</v>
      </c>
    </row>
    <row r="678" spans="1:26">
      <c r="A678" s="11">
        <v>43354</v>
      </c>
      <c r="B678" s="1">
        <v>0.0180094787763263</v>
      </c>
      <c r="C678" s="1">
        <v>0.009916400399446967</v>
      </c>
      <c r="D678" s="1">
        <v>0.01308627167334109</v>
      </c>
      <c r="E678" s="1">
        <v>-0.006079635400972005</v>
      </c>
      <c r="F678" s="1">
        <v>-0.001649906682734903</v>
      </c>
      <c r="G678" s="1">
        <v>0.001044109839553053</v>
      </c>
      <c r="H678" s="1">
        <v>-0.01258321737006485</v>
      </c>
      <c r="I678" s="1">
        <v>-6.709781431757378E-05</v>
      </c>
      <c r="J678" s="1">
        <v>0.006895033744065415</v>
      </c>
      <c r="K678" s="1">
        <v>-0.02083329641256548</v>
      </c>
      <c r="L678" s="1">
        <v>0.006331927720587771</v>
      </c>
      <c r="M678" s="1">
        <v>0.007518862790573566</v>
      </c>
      <c r="N678" s="1">
        <v>-0.01832271531274565</v>
      </c>
      <c r="O678" s="1">
        <v>0.002553592798385962</v>
      </c>
      <c r="P678" s="1">
        <v>0.01700531963908469</v>
      </c>
      <c r="Q678" s="1">
        <v>0.00398241175249181</v>
      </c>
      <c r="R678" s="1">
        <v>-0.01328736703291045</v>
      </c>
      <c r="S678" s="1">
        <v>-0.006533040782608524</v>
      </c>
      <c r="T678" s="1">
        <v>0.005182165666272498</v>
      </c>
      <c r="U678" s="1">
        <v>0.008644552298879393</v>
      </c>
      <c r="V678" s="1">
        <v>-0.005153618886691524</v>
      </c>
      <c r="W678" s="1">
        <v>-0.003204138072583351</v>
      </c>
      <c r="X678" s="1">
        <v>0.001861524271170589</v>
      </c>
      <c r="Y678" s="1">
        <v>0.01108656317859924</v>
      </c>
      <c r="Z678" s="1">
        <v>0.004533940720850449</v>
      </c>
    </row>
    <row r="679" spans="1:26">
      <c r="A679" s="11">
        <v>43355</v>
      </c>
      <c r="B679" s="1">
        <v>0.02358797657052469</v>
      </c>
      <c r="C679" s="1">
        <v>0.02363498252306795</v>
      </c>
      <c r="D679" s="1">
        <v>0.002767379653040303</v>
      </c>
      <c r="E679" s="1">
        <v>-0.002645161087428849</v>
      </c>
      <c r="F679" s="1">
        <v>-0.005785234136508666</v>
      </c>
      <c r="G679" s="1">
        <v>-0.006258792507708999</v>
      </c>
      <c r="H679" s="1">
        <v>0.006246791573925492</v>
      </c>
      <c r="I679" s="1">
        <v>-0.005518646719215536</v>
      </c>
      <c r="J679" s="1">
        <v>-0.003241690970099298</v>
      </c>
      <c r="K679" s="1">
        <v>-0.0007978656174698617</v>
      </c>
      <c r="L679" s="1">
        <v>-0.01179754860415527</v>
      </c>
      <c r="M679" s="1">
        <v>-0.02556350051687473</v>
      </c>
      <c r="N679" s="1">
        <v>0.06658831563855583</v>
      </c>
      <c r="O679" s="1">
        <v>-0.007294049853714291</v>
      </c>
      <c r="P679" s="1">
        <v>0.004224824746007494</v>
      </c>
      <c r="Q679" s="1">
        <v>0.005770407314853232</v>
      </c>
      <c r="R679" s="1">
        <v>0.008398006935651736</v>
      </c>
      <c r="S679" s="1">
        <v>0.006863893904647256</v>
      </c>
      <c r="T679" s="1">
        <v>-0.002726921071733335</v>
      </c>
      <c r="U679" s="1">
        <v>0.0229569685737232</v>
      </c>
      <c r="V679" s="1">
        <v>-0.001689125900763089</v>
      </c>
      <c r="W679" s="1">
        <v>0.01108148431292832</v>
      </c>
      <c r="X679" s="1">
        <v>-0.003572473971275025</v>
      </c>
      <c r="Y679" s="1">
        <v>0.004568496035587399</v>
      </c>
      <c r="Z679" s="1">
        <v>-0.0173027344938288</v>
      </c>
    </row>
    <row r="680" spans="1:26">
      <c r="A680" s="11">
        <v>43356</v>
      </c>
      <c r="B680" s="1">
        <v>-0.01307330481816737</v>
      </c>
      <c r="C680" s="1">
        <v>0.00580079649689913</v>
      </c>
      <c r="D680" s="1">
        <v>0.01380134642532949</v>
      </c>
      <c r="E680" s="1">
        <v>0.007624932930724526</v>
      </c>
      <c r="F680" s="1">
        <v>0.02632317877785018</v>
      </c>
      <c r="G680" s="1">
        <v>0.006998106320659669</v>
      </c>
      <c r="H680" s="1">
        <v>0.02135563811515828</v>
      </c>
      <c r="I680" s="1">
        <v>0.00737607294314957</v>
      </c>
      <c r="J680" s="1">
        <v>0.01666679555171302</v>
      </c>
      <c r="K680" s="1">
        <v>0.009847998894836119</v>
      </c>
      <c r="L680" s="1">
        <v>0.00389112039935946</v>
      </c>
      <c r="M680" s="1">
        <v>0.01613166245833875</v>
      </c>
      <c r="N680" s="1">
        <v>-0.01868117785954682</v>
      </c>
      <c r="O680" s="1">
        <v>0.001866472335847691</v>
      </c>
      <c r="P680" s="1">
        <v>0.01074234311757016</v>
      </c>
      <c r="Q680" s="1">
        <v>0.006812197823568011</v>
      </c>
      <c r="R680" s="1">
        <v>0.00359061625539514</v>
      </c>
      <c r="S680" s="1">
        <v>0.0007149240032555682</v>
      </c>
      <c r="T680" s="1">
        <v>0.003674237692596005</v>
      </c>
      <c r="U680" s="1">
        <v>0.00777965253363555</v>
      </c>
      <c r="V680" s="1">
        <v>-0.006429948535175978</v>
      </c>
      <c r="W680" s="1">
        <v>0.02070717599950811</v>
      </c>
      <c r="X680" s="1">
        <v>0.002008014589671037</v>
      </c>
      <c r="Y680" s="1">
        <v>-0.0005458432028080384</v>
      </c>
      <c r="Z680" s="1">
        <v>-0.01224880938883577</v>
      </c>
    </row>
    <row r="681" spans="1:26">
      <c r="A681" s="11">
        <v>43357</v>
      </c>
      <c r="B681" s="1">
        <v>0.02065543843430939</v>
      </c>
      <c r="C681" s="1">
        <v>0.0122093661623095</v>
      </c>
      <c r="D681" s="1">
        <v>0.007260520767215617</v>
      </c>
      <c r="E681" s="1">
        <v>-0.001645267671255723</v>
      </c>
      <c r="F681" s="1">
        <v>-0.002160061558488358</v>
      </c>
      <c r="G681" s="1">
        <v>0.004864381026945752</v>
      </c>
      <c r="H681" s="1">
        <v>0.003890578075157469</v>
      </c>
      <c r="I681" s="1">
        <v>-0.007456371382973948</v>
      </c>
      <c r="J681" s="1">
        <v>0.001199264640333597</v>
      </c>
      <c r="K681" s="1">
        <v>0.001581431495048191</v>
      </c>
      <c r="L681" s="1">
        <v>-0.0001763088362881637</v>
      </c>
      <c r="M681" s="1">
        <v>0.00112236483119954</v>
      </c>
      <c r="N681" s="1">
        <v>0.009925321363359219</v>
      </c>
      <c r="O681" s="1">
        <v>0.01012768880400161</v>
      </c>
      <c r="P681" s="1">
        <v>0.004073873351106538</v>
      </c>
      <c r="Q681" s="1">
        <v>-0.1171652035430206</v>
      </c>
      <c r="R681" s="1">
        <v>0.006438653239480674</v>
      </c>
      <c r="S681" s="1">
        <v>-0.01591066668588981</v>
      </c>
      <c r="T681" s="1">
        <v>-0.004022542736049184</v>
      </c>
      <c r="U681" s="1">
        <v>-0.002375159564214524</v>
      </c>
      <c r="V681" s="1">
        <v>-0.001589397504050072</v>
      </c>
      <c r="W681" s="1">
        <v>-0.007587610222199781</v>
      </c>
      <c r="X681" s="1">
        <v>0.01016306339338646</v>
      </c>
      <c r="Y681" s="1">
        <v>-0.007098538244016073</v>
      </c>
      <c r="Z681" s="1">
        <v>0.01162557516944562</v>
      </c>
    </row>
    <row r="682" spans="1:26">
      <c r="A682" s="11">
        <v>43360</v>
      </c>
      <c r="B682" s="1">
        <v>0.007039131630618867</v>
      </c>
      <c r="C682" s="1">
        <v>-0.01067253126081347</v>
      </c>
      <c r="D682" s="1">
        <v>-0.00836687032074479</v>
      </c>
      <c r="E682" s="1">
        <v>0.01005103711362643</v>
      </c>
      <c r="F682" s="1">
        <v>0</v>
      </c>
      <c r="G682" s="1">
        <v>-0.004840833368951247</v>
      </c>
      <c r="H682" s="1">
        <v>-0.007992370397793214</v>
      </c>
      <c r="I682" s="1">
        <v>0.008663089947114511</v>
      </c>
      <c r="J682" s="1">
        <v>-0.001197828127415312</v>
      </c>
      <c r="K682" s="1">
        <v>-0.0197365620882719</v>
      </c>
      <c r="L682" s="1">
        <v>0.002995690405896756</v>
      </c>
      <c r="M682" s="1">
        <v>0.01073205641981412</v>
      </c>
      <c r="N682" s="1">
        <v>0.005960844596279324</v>
      </c>
      <c r="O682" s="1">
        <v>-0.00161343868867847</v>
      </c>
      <c r="P682" s="1">
        <v>-0.01084936497045097</v>
      </c>
      <c r="Q682" s="1">
        <v>0.03791852983800692</v>
      </c>
      <c r="R682" s="1">
        <v>0.004122647152994707</v>
      </c>
      <c r="S682" s="1">
        <v>0.007938679723223929</v>
      </c>
      <c r="T682" s="1">
        <v>0.003184136678780591</v>
      </c>
      <c r="U682" s="1">
        <v>0.0005952035945639977</v>
      </c>
      <c r="V682" s="1">
        <v>-0.007505205863442721</v>
      </c>
      <c r="W682" s="1">
        <v>-0.01454635478643473</v>
      </c>
      <c r="X682" s="1">
        <v>0.004818119537425503</v>
      </c>
      <c r="Y682" s="1">
        <v>0.0027497931332785</v>
      </c>
      <c r="Z682" s="1">
        <v>-0.009576851194654679</v>
      </c>
    </row>
    <row r="683" spans="1:26">
      <c r="A683" s="11">
        <v>43361</v>
      </c>
      <c r="B683" s="1">
        <v>0.01048478976270961</v>
      </c>
      <c r="C683" s="1">
        <v>0.0214069140494364</v>
      </c>
      <c r="D683" s="1">
        <v>0.002596404261749674</v>
      </c>
      <c r="E683" s="1">
        <v>0.002936558772818287</v>
      </c>
      <c r="F683" s="1">
        <v>0.02110403749905587</v>
      </c>
      <c r="G683" s="1">
        <v>-0.006254192263642655</v>
      </c>
      <c r="H683" s="1">
        <v>-0.02197295599646243</v>
      </c>
      <c r="I683" s="1">
        <v>0</v>
      </c>
      <c r="J683" s="1">
        <v>0.005997438796682797</v>
      </c>
      <c r="K683" s="1">
        <v>-0.003758377899761189</v>
      </c>
      <c r="L683" s="1">
        <v>0.004040956240824567</v>
      </c>
      <c r="M683" s="1">
        <v>-0.0007922683107460804</v>
      </c>
      <c r="N683" s="1">
        <v>-0.004804799819822847</v>
      </c>
      <c r="O683" s="1">
        <v>-0.04005558050290237</v>
      </c>
      <c r="P683" s="1">
        <v>0.009541603531465492</v>
      </c>
      <c r="Q683" s="1">
        <v>0.007384266569652187</v>
      </c>
      <c r="R683" s="1">
        <v>0.006937290132029927</v>
      </c>
      <c r="S683" s="1">
        <v>-0.01335118193631935</v>
      </c>
      <c r="T683" s="1">
        <v>0.007476576376298283</v>
      </c>
      <c r="U683" s="1">
        <v>0.002974379191956755</v>
      </c>
      <c r="V683" s="1">
        <v>0.004582962866488405</v>
      </c>
      <c r="W683" s="1">
        <v>0.002683849581232467</v>
      </c>
      <c r="X683" s="1">
        <v>0.009166188904303318</v>
      </c>
      <c r="Y683" s="1">
        <v>-0.005667133419944181</v>
      </c>
      <c r="Z683" s="1">
        <v>-0.00386776245753695</v>
      </c>
    </row>
    <row r="684" spans="1:26">
      <c r="A684" s="11">
        <v>43362</v>
      </c>
      <c r="B684" s="1">
        <v>0.01167322919839386</v>
      </c>
      <c r="C684" s="1">
        <v>0.004510742899283215</v>
      </c>
      <c r="D684" s="1">
        <v>0.005178345425052244</v>
      </c>
      <c r="E684" s="1">
        <v>-0.01106063643253774</v>
      </c>
      <c r="F684" s="1">
        <v>-0.01112878656336913</v>
      </c>
      <c r="G684" s="1">
        <v>-0.0241263648634541</v>
      </c>
      <c r="H684" s="1">
        <v>0.001997215541689412</v>
      </c>
      <c r="I684" s="1">
        <v>0.02247705857786242</v>
      </c>
      <c r="J684" s="1">
        <v>0.00397455678777181</v>
      </c>
      <c r="K684" s="1">
        <v>-0.002964278228447914</v>
      </c>
      <c r="L684" s="1">
        <v>0.02904613706235093</v>
      </c>
      <c r="M684" s="1">
        <v>0.0009514892484809856</v>
      </c>
      <c r="N684" s="1">
        <v>-0.004827659269928564</v>
      </c>
      <c r="O684" s="1">
        <v>0.02573356430761464</v>
      </c>
      <c r="P684" s="1">
        <v>-0.0133378952636608</v>
      </c>
      <c r="Q684" s="1">
        <v>-0.01466056360132051</v>
      </c>
      <c r="R684" s="1">
        <v>0.00281249781756987</v>
      </c>
      <c r="S684" s="1">
        <v>-0.006522335744526209</v>
      </c>
      <c r="T684" s="1">
        <v>0.004355469538021683</v>
      </c>
      <c r="U684" s="1">
        <v>-0.01037948751567197</v>
      </c>
      <c r="V684" s="1">
        <v>-0.005930595351521073</v>
      </c>
      <c r="W684" s="1">
        <v>0.008197203459729963</v>
      </c>
      <c r="X684" s="1">
        <v>0.002236236401210512</v>
      </c>
      <c r="Y684" s="1">
        <v>-0.01636362145541514</v>
      </c>
      <c r="Z684" s="1">
        <v>0.01106617861655468</v>
      </c>
    </row>
    <row r="685" spans="1:26">
      <c r="A685" s="11">
        <v>43363</v>
      </c>
      <c r="B685" s="1">
        <v>-0.02414523888917752</v>
      </c>
      <c r="C685" s="1">
        <v>0.006133201236627084</v>
      </c>
      <c r="D685" s="1">
        <v>0.0006442531663528595</v>
      </c>
      <c r="E685" s="1">
        <v>0.01562498150191738</v>
      </c>
      <c r="F685" s="1">
        <v>0.01312962235795312</v>
      </c>
      <c r="G685" s="1">
        <v>0.003224960910216179</v>
      </c>
      <c r="H685" s="1">
        <v>0.004484060405092194</v>
      </c>
      <c r="I685" s="1">
        <v>0.01102419003317889</v>
      </c>
      <c r="J685" s="1">
        <v>0.01702308618433812</v>
      </c>
      <c r="K685" s="1">
        <v>0.01000001900561509</v>
      </c>
      <c r="L685" s="1">
        <v>0.00858698795002022</v>
      </c>
      <c r="M685" s="1">
        <v>-0.00966556644222738</v>
      </c>
      <c r="N685" s="1">
        <v>0.006791623324815088</v>
      </c>
      <c r="O685" s="1">
        <v>-0.002696365421325453</v>
      </c>
      <c r="P685" s="1">
        <v>0.01674124188207848</v>
      </c>
      <c r="Q685" s="1">
        <v>-0.0121375991706606</v>
      </c>
      <c r="R685" s="1">
        <v>0.01528324122104019</v>
      </c>
      <c r="S685" s="1">
        <v>0.004507426656324753</v>
      </c>
      <c r="T685" s="1">
        <v>0.006188520011691123</v>
      </c>
      <c r="U685" s="1">
        <v>0.002097604001644271</v>
      </c>
      <c r="V685" s="1">
        <v>0.002524160068515968</v>
      </c>
      <c r="W685" s="1">
        <v>0.005973774383371433</v>
      </c>
      <c r="X685" s="1">
        <v>-0.0129672411912235</v>
      </c>
      <c r="Y685" s="1">
        <v>0.008411506736707652</v>
      </c>
      <c r="Z685" s="1">
        <v>0.008064393972953665</v>
      </c>
    </row>
    <row r="686" spans="1:26">
      <c r="A686" s="11">
        <v>43364</v>
      </c>
      <c r="B686" s="1">
        <v>0.006350028876926483</v>
      </c>
      <c r="C686" s="1">
        <v>0.01298114637098391</v>
      </c>
      <c r="D686" s="1">
        <v>-0.004119331740637278</v>
      </c>
      <c r="E686" s="1">
        <v>0.008097117113576635</v>
      </c>
      <c r="F686" s="1">
        <v>0.002380387690851471</v>
      </c>
      <c r="G686" s="1">
        <v>0.001071588470253237</v>
      </c>
      <c r="H686" s="1">
        <v>-0.006696128540169322</v>
      </c>
      <c r="I686" s="1">
        <v>-0.008177736637714705</v>
      </c>
      <c r="J686" s="1">
        <v>0.005449286202944936</v>
      </c>
      <c r="K686" s="1">
        <v>-0.004042107604315892</v>
      </c>
      <c r="L686" s="1">
        <v>-0.006575143209368361</v>
      </c>
      <c r="M686" s="1">
        <v>0.02031994825007111</v>
      </c>
      <c r="N686" s="1">
        <v>0.004658061083480103</v>
      </c>
      <c r="O686" s="1">
        <v>0.01022691510887763</v>
      </c>
      <c r="P686" s="1">
        <v>0.006075370382290002</v>
      </c>
      <c r="Q686" s="1">
        <v>0.01268319672708884</v>
      </c>
      <c r="R686" s="1">
        <v>-0.002900328938307717</v>
      </c>
      <c r="S686" s="1">
        <v>-0.003853368827930859</v>
      </c>
      <c r="T686" s="1">
        <v>-0.01677875587512678</v>
      </c>
      <c r="U686" s="1">
        <v>0.01016753638747026</v>
      </c>
      <c r="V686" s="1">
        <v>-0.000801010272975855</v>
      </c>
      <c r="W686" s="1">
        <v>0.00408238455341059</v>
      </c>
      <c r="X686" s="1">
        <v>0.01455012296423019</v>
      </c>
      <c r="Y686" s="1">
        <v>0.008711898395206141</v>
      </c>
      <c r="Z686" s="1">
        <v>0.001333360550559215</v>
      </c>
    </row>
    <row r="687" spans="1:26">
      <c r="A687" s="11">
        <v>43367</v>
      </c>
      <c r="B687" s="1">
        <v>0.03307227615965469</v>
      </c>
      <c r="C687" s="1">
        <v>-0.01139085410638752</v>
      </c>
      <c r="D687" s="1">
        <v>0.004911722131391683</v>
      </c>
      <c r="E687" s="1">
        <v>-0.01060228998825774</v>
      </c>
      <c r="F687" s="1">
        <v>-0.0598944711596614</v>
      </c>
      <c r="G687" s="1">
        <v>-0.007492062241616138</v>
      </c>
      <c r="H687" s="1">
        <v>-0.005493281167222697</v>
      </c>
      <c r="I687" s="1">
        <v>-0.008245948249852253</v>
      </c>
      <c r="J687" s="1">
        <v>0.001548977654126649</v>
      </c>
      <c r="K687" s="1">
        <v>-0.01948049454733747</v>
      </c>
      <c r="L687" s="1">
        <v>-0.009588250366753703</v>
      </c>
      <c r="M687" s="1">
        <v>-0.02681516456446709</v>
      </c>
      <c r="N687" s="1">
        <v>-0.02382063232145104</v>
      </c>
      <c r="O687" s="1">
        <v>-0.00674878784570665</v>
      </c>
      <c r="P687" s="1">
        <v>0.003588357737411618</v>
      </c>
      <c r="Q687" s="1">
        <v>-0.01017592396573741</v>
      </c>
      <c r="R687" s="1">
        <v>-0.02548461507041622</v>
      </c>
      <c r="S687" s="1">
        <v>-0.0112619147794043</v>
      </c>
      <c r="T687" s="1">
        <v>-0.007149584939781684</v>
      </c>
      <c r="U687" s="1">
        <v>0.003848633251597011</v>
      </c>
      <c r="V687" s="1">
        <v>-0.0008020904063745782</v>
      </c>
      <c r="W687" s="1">
        <v>-0.00550335775904609</v>
      </c>
      <c r="X687" s="1">
        <v>-0.006404937455908088</v>
      </c>
      <c r="Y687" s="1">
        <v>-0.01617081266326492</v>
      </c>
      <c r="Z687" s="1">
        <v>-0.01274486126042562</v>
      </c>
    </row>
    <row r="688" spans="1:26">
      <c r="A688" s="11">
        <v>43368</v>
      </c>
      <c r="B688" s="1">
        <v>0.006318489879427069</v>
      </c>
      <c r="C688" s="1">
        <v>-0.002065308080123507</v>
      </c>
      <c r="D688" s="1">
        <v>-0.003730036375700241</v>
      </c>
      <c r="E688" s="1">
        <v>0.003734304571964442</v>
      </c>
      <c r="F688" s="1">
        <v>-0.006455283283640423</v>
      </c>
      <c r="G688" s="1">
        <v>-0.006110933049431555</v>
      </c>
      <c r="H688" s="1">
        <v>-0.01933233044819072</v>
      </c>
      <c r="I688" s="1">
        <v>-0.001715448339217884</v>
      </c>
      <c r="J688" s="1">
        <v>-0.01198311839137423</v>
      </c>
      <c r="K688" s="1">
        <v>-0.01269310908478027</v>
      </c>
      <c r="L688" s="1">
        <v>-0.002827349560626469</v>
      </c>
      <c r="M688" s="1">
        <v>-0.006606508728162486</v>
      </c>
      <c r="N688" s="1">
        <v>-0.005732097174967032</v>
      </c>
      <c r="O688" s="1">
        <v>-0.01241817249312305</v>
      </c>
      <c r="P688" s="1">
        <v>-0.001918638818614093</v>
      </c>
      <c r="Q688" s="1">
        <v>-0.01581682071327017</v>
      </c>
      <c r="R688" s="1">
        <v>-0.0157759009592805</v>
      </c>
      <c r="S688" s="1">
        <v>0.002129313114151765</v>
      </c>
      <c r="T688" s="1">
        <v>-0.01071569667892358</v>
      </c>
      <c r="U688" s="1">
        <v>-0.004423770643714353</v>
      </c>
      <c r="V688" s="1">
        <v>0.0008027342718328612</v>
      </c>
      <c r="W688" s="1">
        <v>0.003881910737688621</v>
      </c>
      <c r="X688" s="1">
        <v>0.01317276317576077</v>
      </c>
      <c r="Y688" s="1">
        <v>-0.009151895611770322</v>
      </c>
      <c r="Z688" s="1">
        <v>-0.001734030055437485</v>
      </c>
    </row>
    <row r="689" spans="1:26">
      <c r="A689" s="11">
        <v>43369</v>
      </c>
      <c r="B689" s="1">
        <v>-0.01151078610574385</v>
      </c>
      <c r="C689" s="1">
        <v>-0.005990860260830289</v>
      </c>
      <c r="D689" s="1">
        <v>-0.00722925316279821</v>
      </c>
      <c r="E689" s="1">
        <v>-0.003234963184693518</v>
      </c>
      <c r="F689" s="1">
        <v>-0.0008470730905224544</v>
      </c>
      <c r="G689" s="1">
        <v>-0.01446636355413533</v>
      </c>
      <c r="H689" s="1">
        <v>-0.002048019932802347</v>
      </c>
      <c r="I689" s="1">
        <v>0.0068077886583362</v>
      </c>
      <c r="J689" s="1">
        <v>0.01604071272474106</v>
      </c>
      <c r="K689" s="1">
        <v>-0.002795011073645659</v>
      </c>
      <c r="L689" s="1">
        <v>-0.01177083835667858</v>
      </c>
      <c r="M689" s="1">
        <v>0.007136958858174669</v>
      </c>
      <c r="N689" s="1">
        <v>0.001646738914764967</v>
      </c>
      <c r="O689" s="1">
        <v>-0.007473053254826056</v>
      </c>
      <c r="P689" s="1">
        <v>-0.004106331416358855</v>
      </c>
      <c r="Q689" s="1">
        <v>-0.01325833520630193</v>
      </c>
      <c r="R689" s="1">
        <v>-0.006787294566499735</v>
      </c>
      <c r="S689" s="1">
        <v>-0.005979341355223267</v>
      </c>
      <c r="T689" s="1">
        <v>-0.007561001207744278</v>
      </c>
      <c r="U689" s="1">
        <v>-0.01214446884604858</v>
      </c>
      <c r="V689" s="1">
        <v>0.006643060571130066</v>
      </c>
      <c r="W689" s="1">
        <v>-0.000987282642433307</v>
      </c>
      <c r="X689" s="1">
        <v>-0.01078889633068347</v>
      </c>
      <c r="Y689" s="1">
        <v>0.001696234858528545</v>
      </c>
      <c r="Z689" s="1">
        <v>-0.01640618536008365</v>
      </c>
    </row>
    <row r="690" spans="1:26">
      <c r="A690" s="11">
        <v>43370</v>
      </c>
      <c r="B690" s="1">
        <v>0.004234255409190535</v>
      </c>
      <c r="C690" s="1">
        <v>0.006465367283426504</v>
      </c>
      <c r="D690" s="1">
        <v>-0.00390135558168192</v>
      </c>
      <c r="E690" s="1">
        <v>0.005355175225919107</v>
      </c>
      <c r="F690" s="1">
        <v>-0.004241116319419591</v>
      </c>
      <c r="G690" s="1">
        <v>0.006238582145706273</v>
      </c>
      <c r="H690" s="1">
        <v>-0.05438673158542362</v>
      </c>
      <c r="I690" s="1">
        <v>-0.002703465137053884</v>
      </c>
      <c r="J690" s="1">
        <v>-0.01309210583503417</v>
      </c>
      <c r="K690" s="1">
        <v>-0.003643288200972483</v>
      </c>
      <c r="L690" s="1">
        <v>-0.004347024366367358</v>
      </c>
      <c r="M690" s="1">
        <v>0.009985669192958291</v>
      </c>
      <c r="N690" s="1">
        <v>-0.0006580733239256453</v>
      </c>
      <c r="O690" s="1">
        <v>-0.00406358619197511</v>
      </c>
      <c r="P690" s="1">
        <v>0.003772439213035605</v>
      </c>
      <c r="Q690" s="1">
        <v>0.008957586670840678</v>
      </c>
      <c r="R690" s="1">
        <v>0.00407104974748318</v>
      </c>
      <c r="S690" s="1">
        <v>-0.008252518610095461</v>
      </c>
      <c r="T690" s="1">
        <v>-0.005653885212881682</v>
      </c>
      <c r="U690" s="1">
        <v>0.002098928284540058</v>
      </c>
      <c r="V690" s="1">
        <v>-0.00432391673104493</v>
      </c>
      <c r="W690" s="1">
        <v>0.006053274905898132</v>
      </c>
      <c r="X690" s="1">
        <v>-0.0002791470473355595</v>
      </c>
      <c r="Y690" s="1">
        <v>0.008468155373983821</v>
      </c>
      <c r="Z690" s="1">
        <v>-0.01295133365390788</v>
      </c>
    </row>
    <row r="691" spans="1:26">
      <c r="A691" s="11">
        <v>43371</v>
      </c>
      <c r="B691" s="1">
        <v>0.005059921432141179</v>
      </c>
      <c r="C691" s="1">
        <v>0.01227570789929855</v>
      </c>
      <c r="D691" s="1">
        <v>0.006397012490163778</v>
      </c>
      <c r="E691" s="1">
        <v>0.002098641373087684</v>
      </c>
      <c r="F691" s="1">
        <v>0.005394623873549831</v>
      </c>
      <c r="G691" s="1">
        <v>0.008387800994554606</v>
      </c>
      <c r="H691" s="1">
        <v>-0.006239972341181121</v>
      </c>
      <c r="I691" s="1">
        <v>-0.005885698682679519</v>
      </c>
      <c r="J691" s="1">
        <v>0.005462538359841007</v>
      </c>
      <c r="K691" s="1">
        <v>-0.01547116139878735</v>
      </c>
      <c r="L691" s="1">
        <v>-0.01467010619697473</v>
      </c>
      <c r="M691" s="1">
        <v>-0.0041459709609597</v>
      </c>
      <c r="N691" s="1">
        <v>-0.007569138878641746</v>
      </c>
      <c r="O691" s="1">
        <v>-0.007320362808516778</v>
      </c>
      <c r="P691" s="1">
        <v>-0.0003493611337395119</v>
      </c>
      <c r="Q691" s="1">
        <v>0.005650128021925882</v>
      </c>
      <c r="R691" s="1">
        <v>-0.01259740372116747</v>
      </c>
      <c r="S691" s="1">
        <v>0.01072745319874691</v>
      </c>
      <c r="T691" s="1">
        <v>-0.0006801170548501601</v>
      </c>
      <c r="U691" s="1">
        <v>0.00478753953870692</v>
      </c>
      <c r="V691" s="1">
        <v>0.007999188052751238</v>
      </c>
      <c r="W691" s="1">
        <v>-0.0009823759470357629</v>
      </c>
      <c r="X691" s="1">
        <v>-0.0004198077681470958</v>
      </c>
      <c r="Y691" s="1">
        <v>-0.00373177469898478</v>
      </c>
      <c r="Z691" s="1">
        <v>-0.002982111670035814</v>
      </c>
    </row>
    <row r="692" spans="1:26">
      <c r="A692" s="11">
        <v>43374</v>
      </c>
      <c r="B692" s="1">
        <v>0.01447475476061655</v>
      </c>
      <c r="C692" s="1">
        <v>0.02793771991779126</v>
      </c>
      <c r="D692" s="1">
        <v>0.009209818923524793</v>
      </c>
      <c r="E692" s="1">
        <v>0.0003220006176647416</v>
      </c>
      <c r="F692" s="1">
        <v>0.0031064716901541</v>
      </c>
      <c r="G692" s="1">
        <v>-0.003978200064340132</v>
      </c>
      <c r="H692" s="1">
        <v>-0.007916996774494756</v>
      </c>
      <c r="I692" s="1">
        <v>0.003525892585868551</v>
      </c>
      <c r="J692" s="1">
        <v>-0.006596855855997785</v>
      </c>
      <c r="K692" s="1">
        <v>0.005142495876239828</v>
      </c>
      <c r="L692" s="1">
        <v>0.00584905336970265</v>
      </c>
      <c r="M692" s="1">
        <v>-0.01200954913364982</v>
      </c>
      <c r="N692" s="1">
        <v>0.0003316483830400063</v>
      </c>
      <c r="O692" s="1">
        <v>0.008462270860360555</v>
      </c>
      <c r="P692" s="1">
        <v>0.01084176242447099</v>
      </c>
      <c r="Q692" s="1">
        <v>-0.005216886271046772</v>
      </c>
      <c r="R692" s="1">
        <v>0.01187825632309525</v>
      </c>
      <c r="S692" s="1">
        <v>-0.01210148367821706</v>
      </c>
      <c r="T692" s="1">
        <v>0.00393199948743117</v>
      </c>
      <c r="U692" s="1">
        <v>-0.002680110248359013</v>
      </c>
      <c r="V692" s="1">
        <v>0.002947589248950999</v>
      </c>
      <c r="W692" s="1">
        <v>0.01814950413514049</v>
      </c>
      <c r="X692" s="1">
        <v>0.004197575870005466</v>
      </c>
      <c r="Y692" s="1">
        <v>0.008428612509915112</v>
      </c>
      <c r="Z692" s="1">
        <v>-0.01156532746464767</v>
      </c>
    </row>
    <row r="693" spans="1:26">
      <c r="A693" s="11">
        <v>43375</v>
      </c>
      <c r="B693" s="1">
        <v>0.003928907656463476</v>
      </c>
      <c r="C693" s="1">
        <v>0.01067241293789167</v>
      </c>
      <c r="D693" s="1">
        <v>-0.006426705848697756</v>
      </c>
      <c r="E693" s="1">
        <v>0.01127227209500203</v>
      </c>
      <c r="F693" s="1">
        <v>0.01047283717649972</v>
      </c>
      <c r="G693" s="1">
        <v>0.01343474340923834</v>
      </c>
      <c r="H693" s="1">
        <v>0.009906252659354076</v>
      </c>
      <c r="I693" s="1">
        <v>0.02624919448746788</v>
      </c>
      <c r="J693" s="1">
        <v>0.01874977025740177</v>
      </c>
      <c r="K693" s="1">
        <v>0.01108604061983076</v>
      </c>
      <c r="L693" s="1">
        <v>0.004141273424871361</v>
      </c>
      <c r="M693" s="1">
        <v>-0.008428225614176998</v>
      </c>
      <c r="N693" s="1">
        <v>0.01591245156648435</v>
      </c>
      <c r="O693" s="1">
        <v>0.001078796101074531</v>
      </c>
      <c r="P693" s="1">
        <v>-0.003979016104186939</v>
      </c>
      <c r="Q693" s="1">
        <v>0.01089139510244896</v>
      </c>
      <c r="R693" s="1">
        <v>0.009855101739660865</v>
      </c>
      <c r="S693" s="1">
        <v>0.005271344285231461</v>
      </c>
      <c r="T693" s="1">
        <v>-0.006564436734844081</v>
      </c>
      <c r="U693" s="1">
        <v>0.01283947015461306</v>
      </c>
      <c r="V693" s="1">
        <v>-0.0209110520861937</v>
      </c>
      <c r="W693" s="1">
        <v>-0.003058062530191474</v>
      </c>
      <c r="X693" s="1">
        <v>0.0006968327512253403</v>
      </c>
      <c r="Y693" s="1">
        <v>0.01077279725392577</v>
      </c>
      <c r="Z693" s="1">
        <v>-0.002824246340500602</v>
      </c>
    </row>
    <row r="694" spans="1:26">
      <c r="A694" s="11">
        <v>43376</v>
      </c>
      <c r="B694" s="1">
        <v>0.006797109944478796</v>
      </c>
      <c r="C694" s="1">
        <v>0.01534793057802375</v>
      </c>
      <c r="D694" s="1">
        <v>-0.01798191200633559</v>
      </c>
      <c r="E694" s="1">
        <v>-0.002388544809264315</v>
      </c>
      <c r="F694" s="1">
        <v>-0.01428572644997361</v>
      </c>
      <c r="G694" s="1">
        <v>-0.02113909805666458</v>
      </c>
      <c r="H694" s="1">
        <v>-0.005176831117237546</v>
      </c>
      <c r="I694" s="1">
        <v>0.0218966008415109</v>
      </c>
      <c r="J694" s="1">
        <v>-0.0007668700468923539</v>
      </c>
      <c r="K694" s="1">
        <v>0.00618513793669484</v>
      </c>
      <c r="L694" s="1">
        <v>0.009388580917383704</v>
      </c>
      <c r="M694" s="1">
        <v>0.008172706597892265</v>
      </c>
      <c r="N694" s="1">
        <v>-0.007015856322063696</v>
      </c>
      <c r="O694" s="1">
        <v>-0.0008381594310428175</v>
      </c>
      <c r="P694" s="1">
        <v>0.0001740590095826722</v>
      </c>
      <c r="Q694" s="1">
        <v>-0.009976232001526419</v>
      </c>
      <c r="R694" s="1">
        <v>0.007893034832243018</v>
      </c>
      <c r="S694" s="1">
        <v>-0.01273457120320109</v>
      </c>
      <c r="T694" s="1">
        <v>-0.02596953505022725</v>
      </c>
      <c r="U694" s="1">
        <v>0</v>
      </c>
      <c r="V694" s="1">
        <v>-0.007503575522609052</v>
      </c>
      <c r="W694" s="1">
        <v>-0.001614437039661687</v>
      </c>
      <c r="X694" s="1">
        <v>-0.001531685475455236</v>
      </c>
      <c r="Y694" s="1">
        <v>-0.002388897369197118</v>
      </c>
      <c r="Z694" s="1">
        <v>0.0273114888664967</v>
      </c>
    </row>
    <row r="695" spans="1:26">
      <c r="A695" s="11">
        <v>43377</v>
      </c>
      <c r="B695" s="1">
        <v>-0.008183614513463944</v>
      </c>
      <c r="C695" s="1">
        <v>-0.005888301700323173</v>
      </c>
      <c r="D695" s="1">
        <v>-0.02186828723538103</v>
      </c>
      <c r="E695" s="1">
        <v>0.001767282500538592</v>
      </c>
      <c r="F695" s="1">
        <v>0.0005680459435501994</v>
      </c>
      <c r="G695" s="1">
        <v>-0.001464347384526055</v>
      </c>
      <c r="H695" s="1">
        <v>0.01862500116571919</v>
      </c>
      <c r="I695" s="1">
        <v>0.0006319365329603421</v>
      </c>
      <c r="J695" s="1">
        <v>0.01381425458212204</v>
      </c>
      <c r="K695" s="1">
        <v>0.01620533810906766</v>
      </c>
      <c r="L695" s="1">
        <v>0.009015850243014656</v>
      </c>
      <c r="M695" s="1">
        <v>-0.001621222232848107</v>
      </c>
      <c r="N695" s="1">
        <v>0.01511669132893512</v>
      </c>
      <c r="O695" s="1">
        <v>0.001917504278719839</v>
      </c>
      <c r="P695" s="1">
        <v>-0.02066540939504624</v>
      </c>
      <c r="Q695" s="1">
        <v>0.009673781280260085</v>
      </c>
      <c r="R695" s="1">
        <v>-0.004983193944980147</v>
      </c>
      <c r="S695" s="1">
        <v>0.0003540394108920708</v>
      </c>
      <c r="T695" s="1">
        <v>-0.006625498928319762</v>
      </c>
      <c r="U695" s="1">
        <v>0.005896732785262149</v>
      </c>
      <c r="V695" s="1">
        <v>-0.01314490398933299</v>
      </c>
      <c r="W695" s="1">
        <v>-0.01605013730280336</v>
      </c>
      <c r="X695" s="1">
        <v>-0.001533820148435172</v>
      </c>
      <c r="Y695" s="1">
        <v>0.01344624535791561</v>
      </c>
      <c r="Z695" s="1">
        <v>0.01476941806267118</v>
      </c>
    </row>
    <row r="696" spans="1:26">
      <c r="A696" s="11">
        <v>43378</v>
      </c>
      <c r="B696" s="1">
        <v>-0.01031324153086111</v>
      </c>
      <c r="C696" s="1">
        <v>-0.00902590469598008</v>
      </c>
      <c r="D696" s="1">
        <v>-0.0009424306330563237</v>
      </c>
      <c r="E696" s="1">
        <v>0.0008013493996432697</v>
      </c>
      <c r="F696" s="1">
        <v>-0.01846068883826635</v>
      </c>
      <c r="G696" s="1">
        <v>0.01649569144554364</v>
      </c>
      <c r="H696" s="1">
        <v>0.001075705891119494</v>
      </c>
      <c r="I696" s="1">
        <v>-0.01206514467076991</v>
      </c>
      <c r="J696" s="1">
        <v>-0.04087806376666892</v>
      </c>
      <c r="K696" s="1">
        <v>-0.001649616582133695</v>
      </c>
      <c r="L696" s="1">
        <v>-0.005639047078720538</v>
      </c>
      <c r="M696" s="1">
        <v>-0.00860668556355082</v>
      </c>
      <c r="N696" s="1">
        <v>0.004694251316226916</v>
      </c>
      <c r="O696" s="1">
        <v>-0.005023646532315129</v>
      </c>
      <c r="P696" s="1">
        <v>-0.005851418597459968</v>
      </c>
      <c r="Q696" s="1">
        <v>-0.003193632887309894</v>
      </c>
      <c r="R696" s="1">
        <v>-0.02718983172747491</v>
      </c>
      <c r="S696" s="1">
        <v>0.006320903888292762</v>
      </c>
      <c r="T696" s="1">
        <v>0.006078183712814322</v>
      </c>
      <c r="U696" s="1">
        <v>-0.003810540170761656</v>
      </c>
      <c r="V696" s="1">
        <v>-0.003771680684352186</v>
      </c>
      <c r="W696" s="1">
        <v>-0.01105282016945885</v>
      </c>
      <c r="X696" s="1">
        <v>-0.00768163544163103</v>
      </c>
      <c r="Y696" s="1">
        <v>-0.001454258878614723</v>
      </c>
      <c r="Z696" s="1">
        <v>-0.006986308914245232</v>
      </c>
    </row>
    <row r="697" spans="1:26">
      <c r="A697" s="11">
        <v>43381</v>
      </c>
      <c r="B697" s="1">
        <v>0.0004166789272357363</v>
      </c>
      <c r="C697" s="1">
        <v>-0.001811189107491562</v>
      </c>
      <c r="D697" s="1">
        <v>-0.01145822063130519</v>
      </c>
      <c r="E697" s="1">
        <v>0.007851470758205359</v>
      </c>
      <c r="F697" s="1">
        <v>0.01794025719536219</v>
      </c>
      <c r="G697" s="1">
        <v>0.007933792449212884</v>
      </c>
      <c r="H697" s="1">
        <v>0.02739693341709515</v>
      </c>
      <c r="I697" s="1">
        <v>-0.01649596733739578</v>
      </c>
      <c r="J697" s="1">
        <v>-0.01302271901472529</v>
      </c>
      <c r="K697" s="1">
        <v>0.005508366060886338</v>
      </c>
      <c r="L697" s="1">
        <v>0.006107202184461036</v>
      </c>
      <c r="M697" s="1">
        <v>-0.007043451473208839</v>
      </c>
      <c r="N697" s="1">
        <v>0.01772175007599142</v>
      </c>
      <c r="O697" s="1">
        <v>0.004207631103270826</v>
      </c>
      <c r="P697" s="1">
        <v>-0.01141540060400581</v>
      </c>
      <c r="Q697" s="1">
        <v>0.003203864855478855</v>
      </c>
      <c r="R697" s="1">
        <v>0.002206519644509131</v>
      </c>
      <c r="S697" s="1">
        <v>0.01095400280204339</v>
      </c>
      <c r="T697" s="1">
        <v>0.001380075849084506</v>
      </c>
      <c r="U697" s="1">
        <v>0.003530375970342892</v>
      </c>
      <c r="V697" s="1">
        <v>0.01041167310932178</v>
      </c>
      <c r="W697" s="1">
        <v>-0.004279316120493593</v>
      </c>
      <c r="X697" s="1">
        <v>0.009148237091250788</v>
      </c>
      <c r="Y697" s="1">
        <v>0.001456376827546846</v>
      </c>
      <c r="Z697" s="1">
        <v>0.0179793062818443</v>
      </c>
    </row>
    <row r="698" spans="1:26">
      <c r="A698" s="11">
        <v>43382</v>
      </c>
      <c r="B698" s="1">
        <v>0.02708347371781228</v>
      </c>
      <c r="C698" s="1">
        <v>-0.00085550657521416</v>
      </c>
      <c r="D698" s="1">
        <v>-0.004773229274126711</v>
      </c>
      <c r="E698" s="1">
        <v>0.005246490772753187</v>
      </c>
      <c r="F698" s="1">
        <v>0.007390223866926338</v>
      </c>
      <c r="G698" s="1">
        <v>0.006440002243017551</v>
      </c>
      <c r="H698" s="1">
        <v>-0.01908486840568546</v>
      </c>
      <c r="I698" s="1">
        <v>-0.02190844730758357</v>
      </c>
      <c r="J698" s="1">
        <v>-0.001599458997268766</v>
      </c>
      <c r="K698" s="1">
        <v>-0.04108466795926013</v>
      </c>
      <c r="L698" s="1">
        <v>-0.006937432154049294</v>
      </c>
      <c r="M698" s="1">
        <v>-0.01864068952216447</v>
      </c>
      <c r="N698" s="1">
        <v>-0.001108105042814778</v>
      </c>
      <c r="O698" s="1">
        <v>-0.002993021522523898</v>
      </c>
      <c r="P698" s="1">
        <v>0.01271995999558073</v>
      </c>
      <c r="Q698" s="1">
        <v>-0.00239500282379812</v>
      </c>
      <c r="R698" s="1">
        <v>-0.02597967563764803</v>
      </c>
      <c r="S698" s="1">
        <v>-0.0012425653314595</v>
      </c>
      <c r="T698" s="1">
        <v>-0.0402879973292255</v>
      </c>
      <c r="U698" s="1">
        <v>0.001554967256513828</v>
      </c>
      <c r="V698" s="1">
        <v>0.003044913112113079</v>
      </c>
      <c r="W698" s="1">
        <v>0.001293599703531934</v>
      </c>
      <c r="X698" s="1">
        <v>-0.01910678541161182</v>
      </c>
      <c r="Y698" s="1">
        <v>0.01052965132911332</v>
      </c>
      <c r="Z698" s="1">
        <v>-0.008062561238575849</v>
      </c>
    </row>
    <row r="699" spans="1:26">
      <c r="A699" s="11">
        <v>43383</v>
      </c>
      <c r="B699" s="1">
        <v>-0.05882383364654209</v>
      </c>
      <c r="C699" s="1">
        <v>-0.04662197305973848</v>
      </c>
      <c r="D699" s="1">
        <v>-0.02452761034564876</v>
      </c>
      <c r="E699" s="1">
        <v>-0.03890578239407605</v>
      </c>
      <c r="F699" s="1">
        <v>-0.03273120094054627</v>
      </c>
      <c r="G699" s="1">
        <v>-0.008887270765129185</v>
      </c>
      <c r="H699" s="1">
        <v>0.005330609918362317</v>
      </c>
      <c r="I699" s="1">
        <v>-0.01987391598548094</v>
      </c>
      <c r="J699" s="1">
        <v>-0.02843392380550314</v>
      </c>
      <c r="K699" s="1">
        <v>-0.02285045344707026</v>
      </c>
      <c r="L699" s="1">
        <v>-0.02663259933682816</v>
      </c>
      <c r="M699" s="1">
        <v>-0.03630869727616692</v>
      </c>
      <c r="N699" s="1">
        <v>-0.003011351503256154</v>
      </c>
      <c r="O699" s="1">
        <v>-0.02178237524675219</v>
      </c>
      <c r="P699" s="1">
        <v>-0.05433816751683573</v>
      </c>
      <c r="Q699" s="1">
        <v>0.003601178366205326</v>
      </c>
      <c r="R699" s="1">
        <v>-0.03782415420022078</v>
      </c>
      <c r="S699" s="1">
        <v>-0.0112473468369747</v>
      </c>
      <c r="T699" s="1">
        <v>-0.0234031781381816</v>
      </c>
      <c r="U699" s="1">
        <v>-0.01940309594382084</v>
      </c>
      <c r="V699" s="1">
        <v>-0.005370319567329696</v>
      </c>
      <c r="W699" s="1">
        <v>-0.03879657997302299</v>
      </c>
      <c r="X699" s="1">
        <v>-0.04194514337246169</v>
      </c>
      <c r="Y699" s="1">
        <v>-0.01200224336199707</v>
      </c>
      <c r="Z699" s="1">
        <v>-0.01645092219323741</v>
      </c>
    </row>
    <row r="700" spans="1:26">
      <c r="A700" s="11">
        <v>43384</v>
      </c>
      <c r="B700" s="1">
        <v>-0.03814624305538739</v>
      </c>
      <c r="C700" s="1">
        <v>-0.02547148669963173</v>
      </c>
      <c r="D700" s="1">
        <v>-0.01432759894792413</v>
      </c>
      <c r="E700" s="1">
        <v>-0.05380918627156916</v>
      </c>
      <c r="F700" s="1">
        <v>-0.01779481953226858</v>
      </c>
      <c r="G700" s="1">
        <v>-0.02618367883502748</v>
      </c>
      <c r="H700" s="1">
        <v>-0.006155121049718604</v>
      </c>
      <c r="I700" s="1">
        <v>-0.006713780836988592</v>
      </c>
      <c r="J700" s="1">
        <v>-0.05152520951909567</v>
      </c>
      <c r="K700" s="1">
        <v>-0.01403116069075716</v>
      </c>
      <c r="L700" s="1">
        <v>-0.02996328705911488</v>
      </c>
      <c r="M700" s="1">
        <v>-0.005232778924854187</v>
      </c>
      <c r="N700" s="1">
        <v>-0.02845323093885455</v>
      </c>
      <c r="O700" s="1">
        <v>-0.01751828338881778</v>
      </c>
      <c r="P700" s="1">
        <v>-0.002355017854770991</v>
      </c>
      <c r="Q700" s="1">
        <v>-0.01714508444224905</v>
      </c>
      <c r="R700" s="1">
        <v>-0.01566152461649761</v>
      </c>
      <c r="S700" s="1">
        <v>-0.01509926666639683</v>
      </c>
      <c r="T700" s="1">
        <v>-0.01824996937815182</v>
      </c>
      <c r="U700" s="1">
        <v>-0.03348556795466062</v>
      </c>
      <c r="V700" s="1">
        <v>-0.02816874698780314</v>
      </c>
      <c r="W700" s="1">
        <v>-0.01981277062897968</v>
      </c>
      <c r="X700" s="1">
        <v>-0.03428354720581528</v>
      </c>
      <c r="Y700" s="1">
        <v>-0.01840576798424942</v>
      </c>
      <c r="Z700" s="1">
        <v>-0.03227086013028502</v>
      </c>
    </row>
    <row r="701" spans="1:26">
      <c r="A701" s="11">
        <v>43385</v>
      </c>
      <c r="B701" s="1">
        <v>0.01120312032663295</v>
      </c>
      <c r="C701" s="1">
        <v>0.005584839910301342</v>
      </c>
      <c r="D701" s="1">
        <v>0.01539120593175225</v>
      </c>
      <c r="E701" s="1">
        <v>0.0001736029669938688</v>
      </c>
      <c r="F701" s="1">
        <v>0.02821513290236455</v>
      </c>
      <c r="G701" s="1">
        <v>0.006998054052983704</v>
      </c>
      <c r="H701" s="1">
        <v>-0.001076583646690943</v>
      </c>
      <c r="I701" s="1">
        <v>0.0133133812325037</v>
      </c>
      <c r="J701" s="1">
        <v>0.02868313221721852</v>
      </c>
      <c r="K701" s="1">
        <v>-0.02282862831150079</v>
      </c>
      <c r="L701" s="1">
        <v>-0.01091306553411964</v>
      </c>
      <c r="M701" s="1">
        <v>0.006137270283634422</v>
      </c>
      <c r="N701" s="1">
        <v>-0.01734258702145375</v>
      </c>
      <c r="O701" s="1">
        <v>-0.0007530556493132723</v>
      </c>
      <c r="P701" s="1">
        <v>0.03455775558425178</v>
      </c>
      <c r="Q701" s="1">
        <v>-0.0137930149991774</v>
      </c>
      <c r="R701" s="1">
        <v>-0.01145604502970965</v>
      </c>
      <c r="S701" s="1">
        <v>0.005978824756805778</v>
      </c>
      <c r="T701" s="1">
        <v>-0.0006139782317028386</v>
      </c>
      <c r="U701" s="1">
        <v>0.01574797666314032</v>
      </c>
      <c r="V701" s="1">
        <v>0.02185978102808406</v>
      </c>
      <c r="W701" s="1">
        <v>0.02353049411816954</v>
      </c>
      <c r="X701" s="1">
        <v>0</v>
      </c>
      <c r="Y701" s="1">
        <v>0.007500224691345814</v>
      </c>
      <c r="Z701" s="1">
        <v>-0.01951983868248752</v>
      </c>
    </row>
    <row r="702" spans="1:26">
      <c r="A702" s="11">
        <v>43388</v>
      </c>
      <c r="B702" s="1">
        <v>-0.0124085019849397</v>
      </c>
      <c r="C702" s="1">
        <v>-0.003415634254472777</v>
      </c>
      <c r="D702" s="1">
        <v>-0.005333306100019697</v>
      </c>
      <c r="E702" s="1">
        <v>0.001739281522167957</v>
      </c>
      <c r="F702" s="1">
        <v>0.01357600123338365</v>
      </c>
      <c r="G702" s="1">
        <v>0.007681147613230133</v>
      </c>
      <c r="H702" s="1">
        <v>0.01886793613712645</v>
      </c>
      <c r="I702" s="1">
        <v>0.0002020170680290256</v>
      </c>
      <c r="J702" s="1">
        <v>-0.004647278644796637</v>
      </c>
      <c r="K702" s="1">
        <v>0.005764710578012977</v>
      </c>
      <c r="L702" s="1">
        <v>-0.005703587910601549</v>
      </c>
      <c r="M702" s="1">
        <v>0.005228365757685038</v>
      </c>
      <c r="N702" s="1">
        <v>0.0229766547514032</v>
      </c>
      <c r="O702" s="1">
        <v>-0.007288357946218182</v>
      </c>
      <c r="P702" s="1">
        <v>-0.01797927071424277</v>
      </c>
      <c r="Q702" s="1">
        <v>0.0180993043207216</v>
      </c>
      <c r="R702" s="1">
        <v>-0.0006436664680997684</v>
      </c>
      <c r="S702" s="1">
        <v>0.007213681513837722</v>
      </c>
      <c r="T702" s="1">
        <v>-0.011475279671609</v>
      </c>
      <c r="U702" s="1">
        <v>0.003411104499505546</v>
      </c>
      <c r="V702" s="1">
        <v>-0.0001186444163564504</v>
      </c>
      <c r="W702" s="1">
        <v>-0.01430344005549422</v>
      </c>
      <c r="X702" s="1">
        <v>0.01137225314283197</v>
      </c>
      <c r="Y702" s="1">
        <v>-0.002419328268903453</v>
      </c>
      <c r="Z702" s="1">
        <v>-0.00456286721661292</v>
      </c>
    </row>
    <row r="703" spans="1:26">
      <c r="A703" s="11">
        <v>43389</v>
      </c>
      <c r="B703" s="1">
        <v>-0.001346417315844173</v>
      </c>
      <c r="C703" s="1">
        <v>0.0261090327626492</v>
      </c>
      <c r="D703" s="1">
        <v>0.01255807759680905</v>
      </c>
      <c r="E703" s="1">
        <v>0.003818534229804715</v>
      </c>
      <c r="F703" s="1">
        <v>0.02593314108679579</v>
      </c>
      <c r="G703" s="1">
        <v>0.007259479589917461</v>
      </c>
      <c r="H703" s="1">
        <v>0.01587302545831504</v>
      </c>
      <c r="I703" s="1">
        <v>0.02364455026560797</v>
      </c>
      <c r="J703" s="1">
        <v>0.01697790127517274</v>
      </c>
      <c r="K703" s="1">
        <v>0.0253394709968624</v>
      </c>
      <c r="L703" s="1">
        <v>0.02144095666654144</v>
      </c>
      <c r="M703" s="1">
        <v>0.0218443935987338</v>
      </c>
      <c r="N703" s="1">
        <v>-0.01090519999192963</v>
      </c>
      <c r="O703" s="1">
        <v>0.01683581035595472</v>
      </c>
      <c r="P703" s="1">
        <v>0.03159825988678766</v>
      </c>
      <c r="Q703" s="1">
        <v>0.01656587566327627</v>
      </c>
      <c r="R703" s="1">
        <v>0.01368944069567246</v>
      </c>
      <c r="S703" s="1">
        <v>0.004236472626300225</v>
      </c>
      <c r="T703" s="1">
        <v>0.03139485206655346</v>
      </c>
      <c r="U703" s="1">
        <v>0.0009268768083123824</v>
      </c>
      <c r="V703" s="1">
        <v>0.01430286891377985</v>
      </c>
      <c r="W703" s="1">
        <v>0.030907166325846</v>
      </c>
      <c r="X703" s="1">
        <v>0.01443535644467775</v>
      </c>
      <c r="Y703" s="1">
        <v>0.001865611048788685</v>
      </c>
      <c r="Z703" s="1">
        <v>0.003542079455329361</v>
      </c>
    </row>
    <row r="704" spans="1:26">
      <c r="A704" s="11">
        <v>43390</v>
      </c>
      <c r="B704" s="1">
        <v>-0.02763372925974505</v>
      </c>
      <c r="C704" s="1">
        <v>-0.007467747417595705</v>
      </c>
      <c r="D704" s="1">
        <v>0.009476325701055055</v>
      </c>
      <c r="E704" s="1">
        <v>0.01850247045890852</v>
      </c>
      <c r="F704" s="1">
        <v>0.01111121197030718</v>
      </c>
      <c r="G704" s="1">
        <v>-0.006846918160291038</v>
      </c>
      <c r="H704" s="1">
        <v>-0.05416700268943708</v>
      </c>
      <c r="I704" s="1">
        <v>-0.002105772355031732</v>
      </c>
      <c r="J704" s="1">
        <v>-0.00375609567611257</v>
      </c>
      <c r="K704" s="1">
        <v>-0.003824500062330038</v>
      </c>
      <c r="L704" s="1">
        <v>0.01113999666109544</v>
      </c>
      <c r="M704" s="1">
        <v>0.004411377460058485</v>
      </c>
      <c r="N704" s="1">
        <v>-0.002468535677773831</v>
      </c>
      <c r="O704" s="1">
        <v>0.007219985262127082</v>
      </c>
      <c r="P704" s="1">
        <v>-0.002612573108316085</v>
      </c>
      <c r="Q704" s="1">
        <v>-0.005167025198818953</v>
      </c>
      <c r="R704" s="1">
        <v>-0.01906543581811693</v>
      </c>
      <c r="S704" s="1">
        <v>-0.00492162988412137</v>
      </c>
      <c r="T704" s="1">
        <v>-0.01026656014375849</v>
      </c>
      <c r="U704" s="1">
        <v>0.00555724871651031</v>
      </c>
      <c r="V704" s="1">
        <v>-0.01619844890902322</v>
      </c>
      <c r="W704" s="1">
        <v>-0.002126046587096142</v>
      </c>
      <c r="X704" s="1">
        <v>-0.02965804816948925</v>
      </c>
      <c r="Y704" s="1">
        <v>0.004841687687761942</v>
      </c>
      <c r="Z704" s="1">
        <v>0.005605114776670472</v>
      </c>
    </row>
    <row r="705" spans="1:26">
      <c r="A705" s="11">
        <v>43391</v>
      </c>
      <c r="B705" s="1">
        <v>-0.02195053245017853</v>
      </c>
      <c r="C705" s="1">
        <v>-0.01682632046733867</v>
      </c>
      <c r="D705" s="1">
        <v>-0.02719474257833077</v>
      </c>
      <c r="E705" s="1">
        <v>-0.04957563630702322</v>
      </c>
      <c r="F705" s="1">
        <v>-0.01263743433407782</v>
      </c>
      <c r="G705" s="1">
        <v>0.007257020574549022</v>
      </c>
      <c r="H705" s="1">
        <v>0.009636712691047933</v>
      </c>
      <c r="I705" s="1">
        <v>-0.02928028722871689</v>
      </c>
      <c r="J705" s="1">
        <v>-0.00418967046671237</v>
      </c>
      <c r="K705" s="1">
        <v>-0.01978747978471351</v>
      </c>
      <c r="L705" s="1">
        <v>-0.01584314146382104</v>
      </c>
      <c r="M705" s="1">
        <v>-0.0209459288125089</v>
      </c>
      <c r="N705" s="1">
        <v>0.005114380676331187</v>
      </c>
      <c r="O705" s="1">
        <v>-0.01062921683039886</v>
      </c>
      <c r="P705" s="1">
        <v>-0.01996207101545788</v>
      </c>
      <c r="Q705" s="1">
        <v>0.008389750815796404</v>
      </c>
      <c r="R705" s="1">
        <v>-0.0226754700270142</v>
      </c>
      <c r="S705" s="1">
        <v>5.052578326436574E-05</v>
      </c>
      <c r="T705" s="1">
        <v>-0.009375601626753882</v>
      </c>
      <c r="U705" s="1">
        <v>-0.002149145735867108</v>
      </c>
      <c r="V705" s="1">
        <v>-0.01255636969003748</v>
      </c>
      <c r="W705" s="1">
        <v>-0.02105265606041073</v>
      </c>
      <c r="X705" s="1">
        <v>-0.1125349555342876</v>
      </c>
      <c r="Y705" s="1">
        <v>0.01278741325995214</v>
      </c>
      <c r="Z705" s="1">
        <v>-0.02250197936543541</v>
      </c>
    </row>
    <row r="706" spans="1:26">
      <c r="A706" s="11">
        <v>43392</v>
      </c>
      <c r="B706" s="1">
        <v>0.0004755301637049403</v>
      </c>
      <c r="C706" s="1">
        <v>-0.008598851273896035</v>
      </c>
      <c r="D706" s="1">
        <v>-0.01433275770070941</v>
      </c>
      <c r="E706" s="1">
        <v>-0.03001042067153148</v>
      </c>
      <c r="F706" s="1">
        <v>0.001112947933349373</v>
      </c>
      <c r="G706" s="1">
        <v>0.01296807458845484</v>
      </c>
      <c r="H706" s="1">
        <v>0.03436083074034757</v>
      </c>
      <c r="I706" s="1">
        <v>-0.008763598692620667</v>
      </c>
      <c r="J706" s="1">
        <v>0.002945151043565186</v>
      </c>
      <c r="K706" s="1">
        <v>-0.007833640142987375</v>
      </c>
      <c r="L706" s="1">
        <v>-0.001665182545974142</v>
      </c>
      <c r="M706" s="1">
        <v>0.002932990517020118</v>
      </c>
      <c r="N706" s="1">
        <v>0.01674057805131879</v>
      </c>
      <c r="O706" s="1">
        <v>0.00512193658940685</v>
      </c>
      <c r="P706" s="1">
        <v>0.001474702752259471</v>
      </c>
      <c r="Q706" s="1">
        <v>0.006339479028590445</v>
      </c>
      <c r="R706" s="1">
        <v>-0.001823524429767631</v>
      </c>
      <c r="S706" s="1">
        <v>0.00918561465835932</v>
      </c>
      <c r="T706" s="1">
        <v>-0.00845592988963817</v>
      </c>
      <c r="U706" s="1">
        <v>0.01138481791728041</v>
      </c>
      <c r="V706" s="1">
        <v>-0.01607505069830739</v>
      </c>
      <c r="W706" s="1">
        <v>-0.01114453081859901</v>
      </c>
      <c r="X706" s="1">
        <v>-0.01287180838650603</v>
      </c>
      <c r="Y706" s="1">
        <v>0.004574362691744494</v>
      </c>
      <c r="Z706" s="1">
        <v>-0.008025849532950935</v>
      </c>
    </row>
    <row r="707" spans="1:26">
      <c r="A707" s="11">
        <v>43395</v>
      </c>
      <c r="B707" s="1">
        <v>-0.01924006192890748</v>
      </c>
      <c r="C707" s="1">
        <v>-0.0007858208967781444</v>
      </c>
      <c r="D707" s="1">
        <v>-0.006334582029180247</v>
      </c>
      <c r="E707" s="1">
        <v>-0.06298364538648915</v>
      </c>
      <c r="F707" s="1">
        <v>-0.006392441888300016</v>
      </c>
      <c r="G707" s="1">
        <v>-0.0110238674916685</v>
      </c>
      <c r="H707" s="1">
        <v>0.0005271135142261851</v>
      </c>
      <c r="I707" s="1">
        <v>-0.003220898964531482</v>
      </c>
      <c r="J707" s="1">
        <v>0.01132532448353718</v>
      </c>
      <c r="K707" s="1">
        <v>-0.008199284316396716</v>
      </c>
      <c r="L707" s="1">
        <v>-0.01436389535363591</v>
      </c>
      <c r="M707" s="1">
        <v>-0.004472773623730109</v>
      </c>
      <c r="N707" s="1">
        <v>-0.01033089290143396</v>
      </c>
      <c r="O707" s="1">
        <v>-0.001491298981736056</v>
      </c>
      <c r="P707" s="1">
        <v>0.008926883876712477</v>
      </c>
      <c r="Q707" s="1">
        <v>-0.008661835444865762</v>
      </c>
      <c r="R707" s="1">
        <v>0.004483063798665476</v>
      </c>
      <c r="S707" s="1">
        <v>-0.01695338264310453</v>
      </c>
      <c r="T707" s="1">
        <v>0.0009425070113437961</v>
      </c>
      <c r="U707" s="1">
        <v>-0.006084711144383137</v>
      </c>
      <c r="V707" s="1">
        <v>0.01475265833195794</v>
      </c>
      <c r="W707" s="1">
        <v>-0.006075312040601966</v>
      </c>
      <c r="X707" s="1">
        <v>-0.008634287263132534</v>
      </c>
      <c r="Y707" s="1">
        <v>0.001457319156216164</v>
      </c>
      <c r="Z707" s="1">
        <v>-0.03448948620478653</v>
      </c>
    </row>
    <row r="708" spans="1:26">
      <c r="A708" s="11">
        <v>43396</v>
      </c>
      <c r="B708" s="1">
        <v>-0.03657074517730485</v>
      </c>
      <c r="C708" s="1">
        <v>-0.01665835881821975</v>
      </c>
      <c r="D708" s="1">
        <v>-0.004201388636813408</v>
      </c>
      <c r="E708" s="1">
        <v>-0.004520514055231351</v>
      </c>
      <c r="F708" s="1">
        <v>-0.00279687387289973</v>
      </c>
      <c r="G708" s="1">
        <v>-0.005034393750488753</v>
      </c>
      <c r="H708" s="1">
        <v>0.00184435974912911</v>
      </c>
      <c r="I708" s="1">
        <v>-0.03994771041019007</v>
      </c>
      <c r="J708" s="1">
        <v>-0.007050742410983579</v>
      </c>
      <c r="K708" s="1">
        <v>-0.002449476191165867</v>
      </c>
      <c r="L708" s="1">
        <v>-0.0104361663168735</v>
      </c>
      <c r="M708" s="1">
        <v>-0.006739193899552243</v>
      </c>
      <c r="N708" s="1">
        <v>0.00880753931945355</v>
      </c>
      <c r="O708" s="1">
        <v>-0.003111863061226017</v>
      </c>
      <c r="P708" s="1">
        <v>-0.01395589498769367</v>
      </c>
      <c r="Q708" s="1">
        <v>0.004765865620402154</v>
      </c>
      <c r="R708" s="1">
        <v>-0.05123941912354402</v>
      </c>
      <c r="S708" s="1">
        <v>0.00534160220072466</v>
      </c>
      <c r="T708" s="1">
        <v>-0.004482986013173762</v>
      </c>
      <c r="U708" s="1">
        <v>0.01071316724656368</v>
      </c>
      <c r="V708" s="1">
        <v>-0.006728176301583288</v>
      </c>
      <c r="W708" s="1">
        <v>-0.0108074390286772</v>
      </c>
      <c r="X708" s="1">
        <v>-0.01830777646511983</v>
      </c>
      <c r="Y708" s="1">
        <v>0.04055996687401775</v>
      </c>
      <c r="Z708" s="1">
        <v>0.04035246470271159</v>
      </c>
    </row>
    <row r="709" spans="1:26">
      <c r="A709" s="11">
        <v>43397</v>
      </c>
      <c r="B709" s="1">
        <v>-0.04550016767480014</v>
      </c>
      <c r="C709" s="1">
        <v>0.0131410396233973</v>
      </c>
      <c r="D709" s="1">
        <v>-0.01804184589964275</v>
      </c>
      <c r="E709" s="1">
        <v>-0.03593255862389977</v>
      </c>
      <c r="F709" s="1">
        <v>-0.04291749824896074</v>
      </c>
      <c r="G709" s="1">
        <v>0.008673562237701438</v>
      </c>
      <c r="H709" s="1">
        <v>0.009994988163513741</v>
      </c>
      <c r="I709" s="1">
        <v>-0.0411088237724484</v>
      </c>
      <c r="J709" s="1">
        <v>-0.03675870876747467</v>
      </c>
      <c r="K709" s="1">
        <v>-0.03713914365223048</v>
      </c>
      <c r="L709" s="1">
        <v>-0.0186222417950147</v>
      </c>
      <c r="M709" s="1">
        <v>-0.05027847027702725</v>
      </c>
      <c r="N709" s="1">
        <v>0.007437420610180379</v>
      </c>
      <c r="O709" s="1">
        <v>-0.03633417520238347</v>
      </c>
      <c r="P709" s="1">
        <v>-0.05346893620875348</v>
      </c>
      <c r="Q709" s="1">
        <v>0.03517790836570156</v>
      </c>
      <c r="R709" s="1">
        <v>-0.04268313994069273</v>
      </c>
      <c r="S709" s="1">
        <v>0.01563615466386903</v>
      </c>
      <c r="T709" s="1">
        <v>-0.03495472017386203</v>
      </c>
      <c r="U709" s="1">
        <v>-0.0805573125111394</v>
      </c>
      <c r="V709" s="1">
        <v>-0.00483887288793694</v>
      </c>
      <c r="W709" s="1">
        <v>-0.01240314082574268</v>
      </c>
      <c r="X709" s="1">
        <v>-0.04218718804394406</v>
      </c>
      <c r="Y709" s="1">
        <v>0.003670743328608062</v>
      </c>
      <c r="Z709" s="1">
        <v>-0.03306478140492775</v>
      </c>
    </row>
    <row r="710" spans="1:26">
      <c r="A710" s="11">
        <v>43398</v>
      </c>
      <c r="B710" s="1">
        <v>0.004741050218465936</v>
      </c>
      <c r="C710" s="1">
        <v>0.02571548038984561</v>
      </c>
      <c r="D710" s="1">
        <v>0.005185554896402156</v>
      </c>
      <c r="E710" s="1">
        <v>0.007781721360998306</v>
      </c>
      <c r="F710" s="1">
        <v>0.05041038407197518</v>
      </c>
      <c r="G710" s="1">
        <v>-0.005732537646329749</v>
      </c>
      <c r="H710" s="1">
        <v>-0.01171882301477578</v>
      </c>
      <c r="I710" s="1">
        <v>0.02158496165148271</v>
      </c>
      <c r="J710" s="1">
        <v>0.03165655090183939</v>
      </c>
      <c r="K710" s="1">
        <v>0.02327044282583546</v>
      </c>
      <c r="L710" s="1">
        <v>0.01520015889728632</v>
      </c>
      <c r="M710" s="1">
        <v>-0.08573006593903409</v>
      </c>
      <c r="N710" s="1">
        <v>0.01364140358015331</v>
      </c>
      <c r="O710" s="1">
        <v>0.05882312718057103</v>
      </c>
      <c r="P710" s="1">
        <v>0.05844385657655993</v>
      </c>
      <c r="Q710" s="1">
        <v>-0.01030928515600249</v>
      </c>
      <c r="R710" s="1">
        <v>0.004913192567475688</v>
      </c>
      <c r="S710" s="1">
        <v>0.005081476557511122</v>
      </c>
      <c r="T710" s="1">
        <v>-0.05130184419077843</v>
      </c>
      <c r="U710" s="1">
        <v>-0.01251637962591234</v>
      </c>
      <c r="V710" s="1">
        <v>0.01896245915121453</v>
      </c>
      <c r="W710" s="1">
        <v>0.04366146153484518</v>
      </c>
      <c r="X710" s="1">
        <v>0.01379952195210588</v>
      </c>
      <c r="Y710" s="1">
        <v>-0.01724136518304309</v>
      </c>
      <c r="Z710" s="1">
        <v>0.03353790437038118</v>
      </c>
    </row>
    <row r="711" spans="1:26">
      <c r="A711" s="11">
        <v>43399</v>
      </c>
      <c r="B711" s="1">
        <v>-0.01992171750013261</v>
      </c>
      <c r="C711" s="1">
        <v>-0.01237054726433751</v>
      </c>
      <c r="D711" s="1">
        <v>-0.01090784911825637</v>
      </c>
      <c r="E711" s="1">
        <v>0.02479194535839291</v>
      </c>
      <c r="F711" s="1">
        <v>-0.01674122099463449</v>
      </c>
      <c r="G711" s="1">
        <v>-0.02090064971425476</v>
      </c>
      <c r="H711" s="1">
        <v>-0.03214774446371282</v>
      </c>
      <c r="I711" s="1">
        <v>-0.02763576729055961</v>
      </c>
      <c r="J711" s="1">
        <v>-0.0277428098255047</v>
      </c>
      <c r="K711" s="1">
        <v>-0.02429913743230527</v>
      </c>
      <c r="L711" s="1">
        <v>-0.01373287251812905</v>
      </c>
      <c r="M711" s="1">
        <v>-0.006611677682306083</v>
      </c>
      <c r="N711" s="1">
        <v>-0.00110828062485957</v>
      </c>
      <c r="O711" s="1">
        <v>0.002814650113031725</v>
      </c>
      <c r="P711" s="1">
        <v>-0.01237301573833605</v>
      </c>
      <c r="Q711" s="1">
        <v>-0.01851835088407705</v>
      </c>
      <c r="R711" s="1">
        <v>0.001449338198799666</v>
      </c>
      <c r="S711" s="1">
        <v>-0.004510654709035777</v>
      </c>
      <c r="T711" s="1">
        <v>0.00663034884660374</v>
      </c>
      <c r="U711" s="1">
        <v>-0.02968671856150351</v>
      </c>
      <c r="V711" s="1">
        <v>-0.02254576068648417</v>
      </c>
      <c r="W711" s="1">
        <v>-0.0008254452822104019</v>
      </c>
      <c r="X711" s="1">
        <v>-0.004101961313584868</v>
      </c>
      <c r="Y711" s="1">
        <v>-0.0163035248292801</v>
      </c>
      <c r="Z711" s="1">
        <v>-0.01251354013889594</v>
      </c>
    </row>
    <row r="712" spans="1:26">
      <c r="A712" s="11">
        <v>43402</v>
      </c>
      <c r="B712" s="1">
        <v>-0.0323615116978081</v>
      </c>
      <c r="C712" s="1">
        <v>-0.06591119382694455</v>
      </c>
      <c r="D712" s="1">
        <v>-0.00089389291142139</v>
      </c>
      <c r="E712" s="1">
        <v>-0.01388090022085531</v>
      </c>
      <c r="F712" s="1">
        <v>0.02128268298040958</v>
      </c>
      <c r="G712" s="1">
        <v>0.001840186055698911</v>
      </c>
      <c r="H712" s="1">
        <v>0.02341420582338283</v>
      </c>
      <c r="I712" s="1">
        <v>-0.01834583207234564</v>
      </c>
      <c r="J712" s="1">
        <v>-0.004755666098659517</v>
      </c>
      <c r="K712" s="1">
        <v>-0.001277137554770325</v>
      </c>
      <c r="L712" s="1">
        <v>0.01382677058115789</v>
      </c>
      <c r="M712" s="1">
        <v>-0.03368288562261468</v>
      </c>
      <c r="N712" s="1">
        <v>0.02377560074236729</v>
      </c>
      <c r="O712" s="1">
        <v>0.005002974504772606</v>
      </c>
      <c r="P712" s="1">
        <v>-0.02907631404610489</v>
      </c>
      <c r="Q712" s="1">
        <v>0.01454407911867195</v>
      </c>
      <c r="R712" s="1">
        <v>0.009222413909003579</v>
      </c>
      <c r="S712" s="1">
        <v>0.02599292207751147</v>
      </c>
      <c r="T712" s="1">
        <v>-0.0100420284938717</v>
      </c>
      <c r="U712" s="1">
        <v>0.01890704642805296</v>
      </c>
      <c r="V712" s="1">
        <v>0.02636086041523567</v>
      </c>
      <c r="W712" s="1">
        <v>-0.007173666703839898</v>
      </c>
      <c r="X712" s="1">
        <v>-0.0205957267601351</v>
      </c>
      <c r="Y712" s="1">
        <v>0.01747449772844023</v>
      </c>
      <c r="Z712" s="1">
        <v>0.0103093387716322</v>
      </c>
    </row>
    <row r="713" spans="1:26">
      <c r="A713" s="11">
        <v>43403</v>
      </c>
      <c r="B713" s="1">
        <v>0.03510212485528452</v>
      </c>
      <c r="C713" s="1">
        <v>0.04267092004144324</v>
      </c>
      <c r="D713" s="1">
        <v>0.02416443627180009</v>
      </c>
      <c r="E713" s="1">
        <v>0.005831675585887153</v>
      </c>
      <c r="F713" s="1">
        <v>0.04779097820526435</v>
      </c>
      <c r="G713" s="1">
        <v>0.002938836679545753</v>
      </c>
      <c r="H713" s="1">
        <v>0.0172915761136887</v>
      </c>
      <c r="I713" s="1">
        <v>0.01685062567136986</v>
      </c>
      <c r="J713" s="1">
        <v>0.02823632467096027</v>
      </c>
      <c r="K713" s="1">
        <v>0.01694391009299157</v>
      </c>
      <c r="L713" s="1">
        <v>0.01764464752415407</v>
      </c>
      <c r="M713" s="1">
        <v>0.02588157425044924</v>
      </c>
      <c r="N713" s="1">
        <v>0.019817273995</v>
      </c>
      <c r="O713" s="1">
        <v>0.02221973844572966</v>
      </c>
      <c r="P713" s="1">
        <v>-0.001155451473220492</v>
      </c>
      <c r="Q713" s="1">
        <v>0.0103452776734192</v>
      </c>
      <c r="R713" s="1">
        <v>0.01200491785645919</v>
      </c>
      <c r="S713" s="1">
        <v>0.008105761117944255</v>
      </c>
      <c r="T713" s="1">
        <v>0.04930191618058655</v>
      </c>
      <c r="U713" s="1">
        <v>0.02800280243765263</v>
      </c>
      <c r="V713" s="1">
        <v>0.01985726352023454</v>
      </c>
      <c r="W713" s="1">
        <v>0.01891814086205068</v>
      </c>
      <c r="X713" s="1">
        <v>0.02179340170239152</v>
      </c>
      <c r="Y713" s="1">
        <v>0.03009900969479684</v>
      </c>
      <c r="Z713" s="1">
        <v>-0.002975935267949703</v>
      </c>
    </row>
    <row r="714" spans="1:26">
      <c r="A714" s="11">
        <v>43404</v>
      </c>
      <c r="B714" s="1">
        <v>0.01014676520744162</v>
      </c>
      <c r="C714" s="1">
        <v>0.0141464667782194</v>
      </c>
      <c r="D714" s="1">
        <v>-0.08957176916745624</v>
      </c>
      <c r="E714" s="1">
        <v>0.01039599794267687</v>
      </c>
      <c r="F714" s="1">
        <v>0.01140292822967526</v>
      </c>
      <c r="G714" s="1">
        <v>-0.01062253900512311</v>
      </c>
      <c r="H714" s="1">
        <v>-0.02170475097186142</v>
      </c>
      <c r="I714" s="1">
        <v>0.02018711468882617</v>
      </c>
      <c r="J714" s="1">
        <v>0.01985637885822555</v>
      </c>
      <c r="K714" s="1">
        <v>0.005029574170887452</v>
      </c>
      <c r="L714" s="1">
        <v>0.0217432757738143</v>
      </c>
      <c r="M714" s="1">
        <v>-0.001017134080428028</v>
      </c>
      <c r="N714" s="1">
        <v>-0.01260048850509632</v>
      </c>
      <c r="O714" s="1">
        <v>0.006651371338585843</v>
      </c>
      <c r="P714" s="1">
        <v>0.02969235077850807</v>
      </c>
      <c r="Q714" s="1">
        <v>-0.02009255183960967</v>
      </c>
      <c r="R714" s="1">
        <v>0.01292473036722153</v>
      </c>
      <c r="S714" s="1">
        <v>-0.01078446456719384</v>
      </c>
      <c r="T714" s="1">
        <v>0.0225311002818529</v>
      </c>
      <c r="U714" s="1">
        <v>0.006891795131366063</v>
      </c>
      <c r="V714" s="1">
        <v>-0.02495065657657236</v>
      </c>
      <c r="W714" s="1">
        <v>0.004212037896010212</v>
      </c>
      <c r="X714" s="1">
        <v>0.003367511035753612</v>
      </c>
      <c r="Y714" s="1">
        <v>-0.01873479176084425</v>
      </c>
      <c r="Z714" s="1">
        <v>0.003198192965964353</v>
      </c>
    </row>
    <row r="715" spans="1:26">
      <c r="A715" s="11">
        <v>43405</v>
      </c>
      <c r="B715" s="1">
        <v>-0.03806467303032146</v>
      </c>
      <c r="C715" s="1">
        <v>0.02313602599091946</v>
      </c>
      <c r="D715" s="1">
        <v>0.008958701742084019</v>
      </c>
      <c r="E715" s="1">
        <v>0.0314602369011705</v>
      </c>
      <c r="F715" s="1">
        <v>-0.00498166479819917</v>
      </c>
      <c r="G715" s="1">
        <v>0.006664304118901843</v>
      </c>
      <c r="H715" s="1">
        <v>0.01416745378509732</v>
      </c>
      <c r="I715" s="1">
        <v>0.03846691936608471</v>
      </c>
      <c r="J715" s="1">
        <v>0.01449857526537968</v>
      </c>
      <c r="K715" s="1">
        <v>0.04285281757381232</v>
      </c>
      <c r="L715" s="1">
        <v>-0.0003670373513617875</v>
      </c>
      <c r="M715" s="1">
        <v>0.03767832435989771</v>
      </c>
      <c r="N715" s="1">
        <v>-0.02106404321951438</v>
      </c>
      <c r="O715" s="1">
        <v>-0.002005757364813787</v>
      </c>
      <c r="P715" s="1">
        <v>-0.008332368849486516</v>
      </c>
      <c r="Q715" s="1">
        <v>0.0003943534005732552</v>
      </c>
      <c r="R715" s="1">
        <v>0.03373519243358891</v>
      </c>
      <c r="S715" s="1">
        <v>0.003114735338139774</v>
      </c>
      <c r="T715" s="1">
        <v>0.01115694212336282</v>
      </c>
      <c r="U715" s="1">
        <v>-0.006192774681704427</v>
      </c>
      <c r="V715" s="1">
        <v>0.007174762705592475</v>
      </c>
      <c r="W715" s="1">
        <v>4.27098178192864E-05</v>
      </c>
      <c r="X715" s="1">
        <v>0.02573201338689057</v>
      </c>
      <c r="Y715" s="1">
        <v>-0.01821696127059491</v>
      </c>
      <c r="Z715" s="1">
        <v>0.01126481192272122</v>
      </c>
    </row>
    <row r="716" spans="1:26">
      <c r="A716" s="11">
        <v>43406</v>
      </c>
      <c r="B716" s="1">
        <v>-0.01236634210616272</v>
      </c>
      <c r="C716" s="1">
        <v>-0.01465280568297322</v>
      </c>
      <c r="D716" s="1">
        <v>-0.01411129994831828</v>
      </c>
      <c r="E716" s="1">
        <v>-0.02762348697561323</v>
      </c>
      <c r="F716" s="1">
        <v>-0.007641542387637923</v>
      </c>
      <c r="G716" s="1">
        <v>-0.008459105906014508</v>
      </c>
      <c r="H716" s="1">
        <v>-0.02793854712228261</v>
      </c>
      <c r="I716" s="1">
        <v>0.007607200975910278</v>
      </c>
      <c r="J716" s="1">
        <v>0.005716714014224689</v>
      </c>
      <c r="K716" s="1">
        <v>-0.0251949278128093</v>
      </c>
      <c r="L716" s="1">
        <v>-0.005505508316102858</v>
      </c>
      <c r="M716" s="1">
        <v>0.01707548879169285</v>
      </c>
      <c r="N716" s="1">
        <v>0</v>
      </c>
      <c r="O716" s="1">
        <v>-0.0009457707955266015</v>
      </c>
      <c r="P716" s="1">
        <v>0.002265818362613414</v>
      </c>
      <c r="Q716" s="1">
        <v>0.002365091066488967</v>
      </c>
      <c r="R716" s="1">
        <v>-0.0142034072902758</v>
      </c>
      <c r="S716" s="1">
        <v>-0.03338023257533318</v>
      </c>
      <c r="T716" s="1">
        <v>0.01136124614034784</v>
      </c>
      <c r="U716" s="1">
        <v>0.0009838659212348944</v>
      </c>
      <c r="V716" s="1">
        <v>0.002136721092802496</v>
      </c>
      <c r="W716" s="1">
        <v>0.002353944500294691</v>
      </c>
      <c r="X716" s="1">
        <v>-0.0169061385932171</v>
      </c>
      <c r="Y716" s="1">
        <v>0.01034794751874757</v>
      </c>
      <c r="Z716" s="1">
        <v>0.01240013576790977</v>
      </c>
    </row>
    <row r="717" spans="1:26">
      <c r="A717" s="11">
        <v>43409</v>
      </c>
      <c r="B717" s="1">
        <v>0.04563142344816074</v>
      </c>
      <c r="C717" s="1">
        <v>0.01182385519627061</v>
      </c>
      <c r="D717" s="1">
        <v>0.00514649628326902</v>
      </c>
      <c r="E717" s="1">
        <v>0.02643543496784839</v>
      </c>
      <c r="F717" s="1">
        <v>0.009559124392788609</v>
      </c>
      <c r="G717" s="1">
        <v>0.01965857103227431</v>
      </c>
      <c r="H717" s="1">
        <v>0.02304731669160986</v>
      </c>
      <c r="I717" s="1">
        <v>0.006562512260220199</v>
      </c>
      <c r="J717" s="1">
        <v>0.0004060597753354767</v>
      </c>
      <c r="K717" s="1">
        <v>0.01784623369321348</v>
      </c>
      <c r="L717" s="1">
        <v>0.006550822080044094</v>
      </c>
      <c r="M717" s="1">
        <v>-0.007719203606730396</v>
      </c>
      <c r="N717" s="1">
        <v>0.01507793828294668</v>
      </c>
      <c r="O717" s="1">
        <v>0.01443793823367012</v>
      </c>
      <c r="P717" s="1">
        <v>0.01271652194542661</v>
      </c>
      <c r="Q717" s="1">
        <v>0.01966146386818046</v>
      </c>
      <c r="R717" s="1">
        <v>0.002744473015788174</v>
      </c>
      <c r="S717" s="1">
        <v>0.01189585501975832</v>
      </c>
      <c r="T717" s="1">
        <v>0.004324181214447442</v>
      </c>
      <c r="U717" s="1">
        <v>0.003604175633426188</v>
      </c>
      <c r="V717" s="1">
        <v>0.01113596214678969</v>
      </c>
      <c r="W717" s="1">
        <v>0.009862883103118669</v>
      </c>
      <c r="X717" s="1">
        <v>0.01386837561372345</v>
      </c>
      <c r="Y717" s="1">
        <v>0.01024186035884944</v>
      </c>
      <c r="Z717" s="1">
        <v>0.01017230637201605</v>
      </c>
    </row>
    <row r="718" spans="1:26">
      <c r="A718" s="11">
        <v>43410</v>
      </c>
      <c r="B718" s="1">
        <v>-0.006385983897925218</v>
      </c>
      <c r="C718" s="1">
        <v>0.0124040011962343</v>
      </c>
      <c r="D718" s="1">
        <v>0.01487989774906717</v>
      </c>
      <c r="E718" s="1">
        <v>-0.01306935094882866</v>
      </c>
      <c r="F718" s="1">
        <v>-0.007627473242079241</v>
      </c>
      <c r="G718" s="1">
        <v>0.0112767663531752</v>
      </c>
      <c r="H718" s="1">
        <v>0.01696215707076298</v>
      </c>
      <c r="I718" s="1">
        <v>0.01976900915353785</v>
      </c>
      <c r="J718" s="1">
        <v>0.009740346638205555</v>
      </c>
      <c r="K718" s="1">
        <v>0.005441448655981063</v>
      </c>
      <c r="L718" s="1">
        <v>0.004675300464716425</v>
      </c>
      <c r="M718" s="1">
        <v>0.008557021879288973</v>
      </c>
      <c r="N718" s="1">
        <v>0.003713221852517101</v>
      </c>
      <c r="O718" s="1">
        <v>0.007582821865455003</v>
      </c>
      <c r="P718" s="1">
        <v>0.001953279809843167</v>
      </c>
      <c r="Q718" s="1">
        <v>0.006556167367878674</v>
      </c>
      <c r="R718" s="1">
        <v>0.01539519270773737</v>
      </c>
      <c r="S718" s="1">
        <v>0.005952225355211782</v>
      </c>
      <c r="T718" s="1">
        <v>0.002350552462283773</v>
      </c>
      <c r="U718" s="1">
        <v>0.01077369660549077</v>
      </c>
      <c r="V718" s="1">
        <v>0.002812025441302879</v>
      </c>
      <c r="W718" s="1">
        <v>0.007229854647414324</v>
      </c>
      <c r="X718" s="1">
        <v>0.01787362280992366</v>
      </c>
      <c r="Y718" s="1">
        <v>0</v>
      </c>
      <c r="Z718" s="1">
        <v>0.01089178850789985</v>
      </c>
    </row>
    <row r="719" spans="1:26">
      <c r="A719" s="11">
        <v>43411</v>
      </c>
      <c r="B719" s="1">
        <v>0.01258698623399535</v>
      </c>
      <c r="C719" s="1">
        <v>0.01514432746137406</v>
      </c>
      <c r="D719" s="1">
        <v>0.001103603775333362</v>
      </c>
      <c r="E719" s="1">
        <v>0.03193774354060275</v>
      </c>
      <c r="F719" s="1">
        <v>0.01510732862983488</v>
      </c>
      <c r="G719" s="1">
        <v>0.01870515497953851</v>
      </c>
      <c r="H719" s="1">
        <v>-0.000520672695638269</v>
      </c>
      <c r="I719" s="1">
        <v>0.02034757718449787</v>
      </c>
      <c r="J719" s="1">
        <v>0.02371373429407431</v>
      </c>
      <c r="K719" s="1">
        <v>0.004209287822364294</v>
      </c>
      <c r="L719" s="1">
        <v>0.01715319368779111</v>
      </c>
      <c r="M719" s="1">
        <v>0.01966863006536501</v>
      </c>
      <c r="N719" s="1">
        <v>0.007707736918660668</v>
      </c>
      <c r="O719" s="1">
        <v>0.009957376757866898</v>
      </c>
      <c r="P719" s="1">
        <v>0.03936141538962001</v>
      </c>
      <c r="Q719" s="1">
        <v>0.002298941467010041</v>
      </c>
      <c r="R719" s="1">
        <v>0.009097273746449641</v>
      </c>
      <c r="S719" s="1">
        <v>0.00325478117732958</v>
      </c>
      <c r="T719" s="1">
        <v>0.02397123323307104</v>
      </c>
      <c r="U719" s="1">
        <v>0.004521953873914075</v>
      </c>
      <c r="V719" s="1">
        <v>0.01366973631990342</v>
      </c>
      <c r="W719" s="1">
        <v>0.03064270972355598</v>
      </c>
      <c r="X719" s="1">
        <v>0.02490581772698497</v>
      </c>
      <c r="Y719" s="1">
        <v>0.007690900138058954</v>
      </c>
      <c r="Z719" s="1">
        <v>0.01057129664203371</v>
      </c>
    </row>
    <row r="720" spans="1:26">
      <c r="A720" s="11">
        <v>43412</v>
      </c>
      <c r="B720" s="1">
        <v>-0.04734203420934269</v>
      </c>
      <c r="C720" s="1">
        <v>0.001242316411238953</v>
      </c>
      <c r="D720" s="1">
        <v>0.005826746811252725</v>
      </c>
      <c r="E720" s="1">
        <v>-0.003397173418289379</v>
      </c>
      <c r="F720" s="1">
        <v>0</v>
      </c>
      <c r="G720" s="1">
        <v>-0.009180805923664881</v>
      </c>
      <c r="H720" s="1">
        <v>-0.003911411357292116</v>
      </c>
      <c r="I720" s="1">
        <v>-0.01185753447071936</v>
      </c>
      <c r="J720" s="1">
        <v>0.001178103331313629</v>
      </c>
      <c r="K720" s="1">
        <v>0.03233514429439355</v>
      </c>
      <c r="L720" s="1">
        <v>0.008073065938273061</v>
      </c>
      <c r="M720" s="1">
        <v>-0.003025899495998852</v>
      </c>
      <c r="N720" s="1">
        <v>0</v>
      </c>
      <c r="O720" s="1">
        <v>0.006878086053636157</v>
      </c>
      <c r="P720" s="1">
        <v>-0.001875570335690968</v>
      </c>
      <c r="Q720" s="1">
        <v>-0.007645405359214097</v>
      </c>
      <c r="R720" s="1">
        <v>0.00417349130475686</v>
      </c>
      <c r="S720" s="1">
        <v>0.007765515610035578</v>
      </c>
      <c r="T720" s="1">
        <v>0.001350358346543734</v>
      </c>
      <c r="U720" s="1">
        <v>-0.001929415536667034</v>
      </c>
      <c r="V720" s="1">
        <v>0.009682248366502888</v>
      </c>
      <c r="W720" s="1">
        <v>0.0001628272087059734</v>
      </c>
      <c r="X720" s="1">
        <v>-0.008216922772259383</v>
      </c>
      <c r="Y720" s="1">
        <v>0.01075455404693382</v>
      </c>
      <c r="Z720" s="1">
        <v>0.01428267440860065</v>
      </c>
    </row>
    <row r="721" spans="1:26">
      <c r="A721" s="11">
        <v>43413</v>
      </c>
      <c r="B721" s="1">
        <v>0.02942794868999776</v>
      </c>
      <c r="C721" s="1">
        <v>-0.003856922923800465</v>
      </c>
      <c r="D721" s="1">
        <v>-0.006105979741103384</v>
      </c>
      <c r="E721" s="1">
        <v>0.01098301978727356</v>
      </c>
      <c r="F721" s="1">
        <v>0.001044303150708137</v>
      </c>
      <c r="G721" s="1">
        <v>0.002494684734804631</v>
      </c>
      <c r="H721" s="1">
        <v>0.02015697521479631</v>
      </c>
      <c r="I721" s="1">
        <v>-0.01268159653901269</v>
      </c>
      <c r="J721" s="1">
        <v>-0.01960800501800686</v>
      </c>
      <c r="K721" s="1">
        <v>-0.003770410781524625</v>
      </c>
      <c r="L721" s="1">
        <v>-0.009699086935802681</v>
      </c>
      <c r="M721" s="1">
        <v>-0.004362354188025663</v>
      </c>
      <c r="N721" s="1">
        <v>-0.02983018598066112</v>
      </c>
      <c r="O721" s="1">
        <v>-0.0007969026982790339</v>
      </c>
      <c r="P721" s="1">
        <v>-0.01950784975590569</v>
      </c>
      <c r="Q721" s="1">
        <v>0.007704307916245989</v>
      </c>
      <c r="R721" s="1">
        <v>-0.025221240165482</v>
      </c>
      <c r="S721" s="1">
        <v>0.006388900472458214</v>
      </c>
      <c r="T721" s="1">
        <v>-0.001204186528718343</v>
      </c>
      <c r="U721" s="1">
        <v>-0.01127561057979831</v>
      </c>
      <c r="V721" s="1">
        <v>-0.007534553058480498</v>
      </c>
      <c r="W721" s="1">
        <v>-0.008632818259177943</v>
      </c>
      <c r="X721" s="1">
        <v>0.002644313716618107</v>
      </c>
      <c r="Y721" s="1">
        <v>0.003260911143527334</v>
      </c>
      <c r="Z721" s="1">
        <v>-0.005156705128748884</v>
      </c>
    </row>
    <row r="722" spans="1:26">
      <c r="A722" s="11">
        <v>43416</v>
      </c>
      <c r="B722" s="1">
        <v>-0.02777766525350245</v>
      </c>
      <c r="C722" s="1">
        <v>-0.03332961450994187</v>
      </c>
      <c r="D722" s="1">
        <v>-0.03024591744290828</v>
      </c>
      <c r="E722" s="1">
        <v>-0.01011459146649518</v>
      </c>
      <c r="F722" s="1">
        <v>-0.008868010372275803</v>
      </c>
      <c r="G722" s="1">
        <v>-0.001066550989968329</v>
      </c>
      <c r="H722" s="1">
        <v>0.005132286978004608</v>
      </c>
      <c r="I722" s="1">
        <v>-0.001657014782281974</v>
      </c>
      <c r="J722" s="1">
        <v>-0.04040008250588178</v>
      </c>
      <c r="K722" s="1">
        <v>-0.004657992740826344</v>
      </c>
      <c r="L722" s="1">
        <v>-0.0210262799523836</v>
      </c>
      <c r="M722" s="1">
        <v>-0.01143112756748965</v>
      </c>
      <c r="N722" s="1">
        <v>-0.03500453145065274</v>
      </c>
      <c r="O722" s="1">
        <v>-0.006722981345885781</v>
      </c>
      <c r="P722" s="1">
        <v>-0.02464182562127681</v>
      </c>
      <c r="Q722" s="1">
        <v>-0.002293668457481468</v>
      </c>
      <c r="R722" s="1">
        <v>0.0003428151730524576</v>
      </c>
      <c r="S722" s="1">
        <v>0.007124037994869381</v>
      </c>
      <c r="T722" s="1">
        <v>-0.01395725858541597</v>
      </c>
      <c r="U722" s="1">
        <v>0.002932363248024705</v>
      </c>
      <c r="V722" s="1">
        <v>-0.01690822079458898</v>
      </c>
      <c r="W722" s="1">
        <v>-0.02920537844615989</v>
      </c>
      <c r="X722" s="1">
        <v>-0.03059102714971951</v>
      </c>
      <c r="Y722" s="1">
        <v>0.004447260820524601</v>
      </c>
      <c r="Z722" s="1">
        <v>-0.01435405042127524</v>
      </c>
    </row>
    <row r="723" spans="1:26">
      <c r="A723" s="11">
        <v>43417</v>
      </c>
      <c r="B723" s="1">
        <v>-0.02246832869808524</v>
      </c>
      <c r="C723" s="1">
        <v>-0.02106256524873773</v>
      </c>
      <c r="D723" s="1">
        <v>0.02387932997366549</v>
      </c>
      <c r="E723" s="1">
        <v>-0.004919416795903686</v>
      </c>
      <c r="F723" s="1">
        <v>-0.007368567361154432</v>
      </c>
      <c r="G723" s="1">
        <v>0.004270502696514411</v>
      </c>
      <c r="H723" s="1">
        <v>0.002042678493011207</v>
      </c>
      <c r="I723" s="1">
        <v>0.0183991012329261</v>
      </c>
      <c r="J723" s="1">
        <v>-0.001667464397874685</v>
      </c>
      <c r="K723" s="1">
        <v>0.01725630581584414</v>
      </c>
      <c r="L723" s="1">
        <v>0.00587438425560971</v>
      </c>
      <c r="M723" s="1">
        <v>0.01618814258824108</v>
      </c>
      <c r="N723" s="1">
        <v>-0.01960814829631985</v>
      </c>
      <c r="O723" s="1">
        <v>-0.007686056438984123</v>
      </c>
      <c r="P723" s="1">
        <v>0.0006548637980465788</v>
      </c>
      <c r="Q723" s="1">
        <v>-0.005364040231616518</v>
      </c>
      <c r="R723" s="1">
        <v>0.008050418636985412</v>
      </c>
      <c r="S723" s="1">
        <v>0.002694561901752213</v>
      </c>
      <c r="T723" s="1">
        <v>0.01884892686657746</v>
      </c>
      <c r="U723" s="1">
        <v>-0.01461986368465529</v>
      </c>
      <c r="V723" s="1">
        <v>-0.01345469900474561</v>
      </c>
      <c r="W723" s="1">
        <v>-0.005584942446783092</v>
      </c>
      <c r="X723" s="1">
        <v>0.01378315963364862</v>
      </c>
      <c r="Y723" s="1">
        <v>-0.001021585193745178</v>
      </c>
      <c r="Z723" s="1">
        <v>-0.004069632839898807</v>
      </c>
    </row>
    <row r="724" spans="1:26">
      <c r="A724" s="11">
        <v>43418</v>
      </c>
      <c r="B724" s="1">
        <v>0.02497116066173732</v>
      </c>
      <c r="C724" s="1">
        <v>-0.01370496332151871</v>
      </c>
      <c r="D724" s="1">
        <v>0.01269200246647983</v>
      </c>
      <c r="E724" s="1">
        <v>0</v>
      </c>
      <c r="F724" s="1">
        <v>0.01511160587314708</v>
      </c>
      <c r="G724" s="1">
        <v>-0.01724998422286061</v>
      </c>
      <c r="H724" s="1">
        <v>-0.002293110684414734</v>
      </c>
      <c r="I724" s="1">
        <v>-6.788330697349299E-05</v>
      </c>
      <c r="J724" s="1">
        <v>-0.009185789651718457</v>
      </c>
      <c r="K724" s="1">
        <v>-0.03939020424389628</v>
      </c>
      <c r="L724" s="1">
        <v>-0.02062270618861606</v>
      </c>
      <c r="M724" s="1">
        <v>-0.00474111184275916</v>
      </c>
      <c r="N724" s="1">
        <v>-0.01500012139231377</v>
      </c>
      <c r="O724" s="1">
        <v>0.003814933611733462</v>
      </c>
      <c r="P724" s="1">
        <v>-0.01418102270378541</v>
      </c>
      <c r="Q724" s="1">
        <v>-0.01425252114376707</v>
      </c>
      <c r="R724" s="1">
        <v>0.01410351926436149</v>
      </c>
      <c r="S724" s="1">
        <v>0.003551338196152498</v>
      </c>
      <c r="T724" s="1">
        <v>-0.004463404824598283</v>
      </c>
      <c r="U724" s="1">
        <v>0.005934910239503211</v>
      </c>
      <c r="V724" s="1">
        <v>-0.01411315948120795</v>
      </c>
      <c r="W724" s="1">
        <v>0.000254964103999944</v>
      </c>
      <c r="X724" s="1">
        <v>0.001967969864957286</v>
      </c>
      <c r="Y724" s="1">
        <v>0.004773175174596522</v>
      </c>
      <c r="Z724" s="1">
        <v>-0.02227246290593077</v>
      </c>
    </row>
    <row r="725" spans="1:26">
      <c r="A725" s="11">
        <v>43419</v>
      </c>
      <c r="B725" s="1">
        <v>0.02408638062641222</v>
      </c>
      <c r="C725" s="1">
        <v>-0.009137962654969911</v>
      </c>
      <c r="D725" s="1">
        <v>0.03133336000079723</v>
      </c>
      <c r="E725" s="1">
        <v>0.01293008778817373</v>
      </c>
      <c r="F725" s="1">
        <v>0.005223143868308577</v>
      </c>
      <c r="G725" s="1">
        <v>0.00327736736761941</v>
      </c>
      <c r="H725" s="1">
        <v>-0.001021502722992618</v>
      </c>
      <c r="I725" s="1">
        <v>-0.003532025197306443</v>
      </c>
      <c r="J725" s="1">
        <v>0.01854211508506109</v>
      </c>
      <c r="K725" s="1">
        <v>0.00329264238208915</v>
      </c>
      <c r="L725" s="1">
        <v>0.02552918059247178</v>
      </c>
      <c r="M725" s="1">
        <v>0.0142910911899643</v>
      </c>
      <c r="N725" s="1">
        <v>-0.03079500836260896</v>
      </c>
      <c r="O725" s="1">
        <v>0.005643260674164319</v>
      </c>
      <c r="P725" s="1">
        <v>0.02200630703733419</v>
      </c>
      <c r="Q725" s="1">
        <v>-0.01094169455172</v>
      </c>
      <c r="R725" s="1">
        <v>0.01474545856495468</v>
      </c>
      <c r="S725" s="1">
        <v>-0.00846426697670799</v>
      </c>
      <c r="T725" s="1">
        <v>0.01678593083843705</v>
      </c>
      <c r="U725" s="1">
        <v>-0.01278279773041402</v>
      </c>
      <c r="V725" s="1">
        <v>-0.02850951240965094</v>
      </c>
      <c r="W725" s="1">
        <v>0.01110273681258578</v>
      </c>
      <c r="X725" s="1">
        <v>0.0187466944374064</v>
      </c>
      <c r="Y725" s="1">
        <v>0.002375499556371174</v>
      </c>
      <c r="Z725" s="1">
        <v>0.01044924293461813</v>
      </c>
    </row>
    <row r="726" spans="1:26">
      <c r="A726" s="11">
        <v>43420</v>
      </c>
      <c r="B726" s="1">
        <v>0.01189495527328543</v>
      </c>
      <c r="C726" s="1">
        <v>-0.01645344058081355</v>
      </c>
      <c r="D726" s="1">
        <v>0.01032962590400599</v>
      </c>
      <c r="E726" s="1">
        <v>0.0150180095088519</v>
      </c>
      <c r="F726" s="1">
        <v>0.002598035102267859</v>
      </c>
      <c r="G726" s="1">
        <v>0.006533753947571608</v>
      </c>
      <c r="H726" s="1">
        <v>-0.01201454128071</v>
      </c>
      <c r="I726" s="1">
        <v>0.007975225390974838</v>
      </c>
      <c r="J726" s="1">
        <v>-0.0004137877911928323</v>
      </c>
      <c r="K726" s="1">
        <v>-0.002386900126528979</v>
      </c>
      <c r="L726" s="1">
        <v>-0.0007270721020296023</v>
      </c>
      <c r="M726" s="1">
        <v>-0.01221091119059214</v>
      </c>
      <c r="N726" s="1">
        <v>-0.008729126503529083</v>
      </c>
      <c r="O726" s="1">
        <v>0.007787587576796984</v>
      </c>
      <c r="P726" s="1">
        <v>0.009414722807839837</v>
      </c>
      <c r="Q726" s="1">
        <v>0.01501357977200857</v>
      </c>
      <c r="R726" s="1">
        <v>0.003467712258901523</v>
      </c>
      <c r="S726" s="1">
        <v>0.01938748201271423</v>
      </c>
      <c r="T726" s="1">
        <v>0.007054737257642385</v>
      </c>
      <c r="U726" s="1">
        <v>0.005643944698783931</v>
      </c>
      <c r="V726" s="1">
        <v>-0.01337325075204743</v>
      </c>
      <c r="W726" s="1">
        <v>0.01417815494467844</v>
      </c>
      <c r="X726" s="1">
        <v>-0.008061936857448826</v>
      </c>
      <c r="Y726" s="1">
        <v>0.01912639429073071</v>
      </c>
      <c r="Z726" s="1">
        <v>0.001654736530328327</v>
      </c>
    </row>
    <row r="727" spans="1:26">
      <c r="A727" s="11">
        <v>43423</v>
      </c>
      <c r="B727" s="1">
        <v>-0.02404492598155983</v>
      </c>
      <c r="C727" s="1">
        <v>-0.04467928647312158</v>
      </c>
      <c r="D727" s="1">
        <v>-0.02240274390867059</v>
      </c>
      <c r="E727" s="1">
        <v>-0.010911884452107</v>
      </c>
      <c r="F727" s="1">
        <v>-0.01062430868504927</v>
      </c>
      <c r="G727" s="1">
        <v>0.008654721552292965</v>
      </c>
      <c r="H727" s="1">
        <v>-0.005174385492506595</v>
      </c>
      <c r="I727" s="1">
        <v>-0.03584233421395766</v>
      </c>
      <c r="J727" s="1">
        <v>-0.02524856442391765</v>
      </c>
      <c r="K727" s="1">
        <v>0.0002989584954262714</v>
      </c>
      <c r="L727" s="1">
        <v>0.007637158161223567</v>
      </c>
      <c r="M727" s="1">
        <v>-0.003613762298510292</v>
      </c>
      <c r="N727" s="1">
        <v>-0.01937276996278003</v>
      </c>
      <c r="O727" s="1">
        <v>0.009545340366742039</v>
      </c>
      <c r="P727" s="1">
        <v>-0.03389057071302182</v>
      </c>
      <c r="Q727" s="1">
        <v>0.009342144596193647</v>
      </c>
      <c r="R727" s="1">
        <v>-0.004607299415926969</v>
      </c>
      <c r="S727" s="1">
        <v>0.00326429756023261</v>
      </c>
      <c r="T727" s="1">
        <v>-0.02052045713131989</v>
      </c>
      <c r="U727" s="1">
        <v>0.001981297683428807</v>
      </c>
      <c r="V727" s="1">
        <v>-0.0237196128699626</v>
      </c>
      <c r="W727" s="1">
        <v>-0.03393347056854512</v>
      </c>
      <c r="X727" s="1">
        <v>-0.01395726367684913</v>
      </c>
      <c r="Y727" s="1">
        <v>0.00680944617500745</v>
      </c>
      <c r="Z727" s="1">
        <v>0.001445400713546263</v>
      </c>
    </row>
    <row r="728" spans="1:26">
      <c r="A728" s="11">
        <v>43424</v>
      </c>
      <c r="B728" s="1">
        <v>-0.05091689761103879</v>
      </c>
      <c r="C728" s="1">
        <v>-0.01009510897885479</v>
      </c>
      <c r="D728" s="1">
        <v>-0.01291899483457326</v>
      </c>
      <c r="E728" s="1">
        <v>0.0007481381323579672</v>
      </c>
      <c r="F728" s="1">
        <v>-0.0371923651072138</v>
      </c>
      <c r="G728" s="1">
        <v>-0.004290145063015172</v>
      </c>
      <c r="H728" s="1">
        <v>0.05461621224561197</v>
      </c>
      <c r="I728" s="1">
        <v>-0.02840703377971598</v>
      </c>
      <c r="J728" s="1">
        <v>-0.03991469315698115</v>
      </c>
      <c r="K728" s="1">
        <v>-0.00328830138077818</v>
      </c>
      <c r="L728" s="1">
        <v>-0.02147417088336823</v>
      </c>
      <c r="M728" s="1">
        <v>-0.01565184000787412</v>
      </c>
      <c r="N728" s="1">
        <v>-0.0008981911466728887</v>
      </c>
      <c r="O728" s="1">
        <v>-0.0285905159883898</v>
      </c>
      <c r="P728" s="1">
        <v>-0.02781493854459749</v>
      </c>
      <c r="Q728" s="1">
        <v>-0.006942041136109967</v>
      </c>
      <c r="R728" s="1">
        <v>-0.0185155849589741</v>
      </c>
      <c r="S728" s="1">
        <v>-0.003913873231466414</v>
      </c>
      <c r="T728" s="1">
        <v>-0.01257059918221071</v>
      </c>
      <c r="U728" s="1">
        <v>-0.0306426034735493</v>
      </c>
      <c r="V728" s="1">
        <v>-0.1052494899908673</v>
      </c>
      <c r="W728" s="1">
        <v>0.002232873829606019</v>
      </c>
      <c r="X728" s="1">
        <v>-0.02042666959107298</v>
      </c>
      <c r="Y728" s="1">
        <v>-0.01913548620812067</v>
      </c>
      <c r="Z728" s="1">
        <v>-0.02309262602006856</v>
      </c>
    </row>
    <row r="729" spans="1:26">
      <c r="A729" s="11">
        <v>43425</v>
      </c>
      <c r="B729" s="1">
        <v>0.03922690500973181</v>
      </c>
      <c r="C729" s="1">
        <v>-0.001196352459551187</v>
      </c>
      <c r="D729" s="1">
        <v>0.02103443799859495</v>
      </c>
      <c r="E729" s="1">
        <v>-0.005979198943309894</v>
      </c>
      <c r="F729" s="1">
        <v>0.02040272624399542</v>
      </c>
      <c r="G729" s="1">
        <v>-0.001436238347469976</v>
      </c>
      <c r="H729" s="1">
        <v>-0.02540079324275069</v>
      </c>
      <c r="I729" s="1">
        <v>0.02425640760762593</v>
      </c>
      <c r="J729" s="1">
        <v>0.002211126329354274</v>
      </c>
      <c r="K729" s="1">
        <v>-0.002699236963884744</v>
      </c>
      <c r="L729" s="1">
        <v>-0.007469009855484932</v>
      </c>
      <c r="M729" s="1">
        <v>0.01318599125341424</v>
      </c>
      <c r="N729" s="1">
        <v>-0.02228996639613412</v>
      </c>
      <c r="O729" s="1">
        <v>-0.01228315456239337</v>
      </c>
      <c r="P729" s="1">
        <v>0.01376466100579088</v>
      </c>
      <c r="Q729" s="1">
        <v>-0.007378284483651409</v>
      </c>
      <c r="R729" s="1">
        <v>0.009769195129278652</v>
      </c>
      <c r="S729" s="1">
        <v>-0.01197742483712783</v>
      </c>
      <c r="T729" s="1">
        <v>0.00102480650590242</v>
      </c>
      <c r="U729" s="1">
        <v>0.01189664138432356</v>
      </c>
      <c r="V729" s="1">
        <v>0.003332031179174688</v>
      </c>
      <c r="W729" s="1">
        <v>-0.001627851512578493</v>
      </c>
      <c r="X729" s="1">
        <v>0.002743600562439275</v>
      </c>
      <c r="Y729" s="1">
        <v>-0.00504534430246506</v>
      </c>
      <c r="Z729" s="1">
        <v>-0.005698548639997303</v>
      </c>
    </row>
    <row r="730" spans="1:26">
      <c r="A730" s="11">
        <v>43427</v>
      </c>
      <c r="B730" s="1">
        <v>-0.03247300164490186</v>
      </c>
      <c r="C730" s="1">
        <v>-0.01575688617752447</v>
      </c>
      <c r="D730" s="1">
        <v>-0.0009153756580820849</v>
      </c>
      <c r="E730" s="1">
        <v>-0.005075070247821944</v>
      </c>
      <c r="F730" s="1">
        <v>-0.003198959217186936</v>
      </c>
      <c r="G730" s="1">
        <v>-0.005753301835519031</v>
      </c>
      <c r="H730" s="1">
        <v>0.02555651785224367</v>
      </c>
      <c r="I730" s="1">
        <v>0.00676631954230289</v>
      </c>
      <c r="J730" s="1">
        <v>-0.006619527656958946</v>
      </c>
      <c r="K730" s="1">
        <v>0.004210214959097902</v>
      </c>
      <c r="L730" s="1">
        <v>-0.009197447061388919</v>
      </c>
      <c r="M730" s="1">
        <v>0.008229636071876101</v>
      </c>
      <c r="N730" s="1">
        <v>-0.01231852996313398</v>
      </c>
      <c r="O730" s="1">
        <v>-0.004457678393916309</v>
      </c>
      <c r="P730" s="1">
        <v>-0.0003878111581697707</v>
      </c>
      <c r="Q730" s="1">
        <v>0.004303561629752872</v>
      </c>
      <c r="R730" s="1">
        <v>0.001668035167188497</v>
      </c>
      <c r="S730" s="1">
        <v>-0.004983072177880854</v>
      </c>
      <c r="T730" s="1">
        <v>0.0113039002446722</v>
      </c>
      <c r="U730" s="1">
        <v>-0.01377238886037446</v>
      </c>
      <c r="V730" s="1">
        <v>-0.02757723935184087</v>
      </c>
      <c r="W730" s="1">
        <v>0.008539829821693656</v>
      </c>
      <c r="X730" s="1">
        <v>0.005107440738121749</v>
      </c>
      <c r="Y730" s="1">
        <v>-0.008789875161305916</v>
      </c>
      <c r="Z730" s="1">
        <v>-0.001910786554443766</v>
      </c>
    </row>
    <row r="731" spans="1:26">
      <c r="A731" s="11">
        <v>43430</v>
      </c>
      <c r="B731" s="1">
        <v>0.01463028644205777</v>
      </c>
      <c r="C731" s="1">
        <v>0.01293536370660853</v>
      </c>
      <c r="D731" s="1">
        <v>0.007789851696663685</v>
      </c>
      <c r="E731" s="1">
        <v>-0.003778594623392806</v>
      </c>
      <c r="F731" s="1">
        <v>0.0101627729311784</v>
      </c>
      <c r="G731" s="1">
        <v>0.005786593856575539</v>
      </c>
      <c r="H731" s="1">
        <v>-0.03725620934214968</v>
      </c>
      <c r="I731" s="1">
        <v>0.04256552546941728</v>
      </c>
      <c r="J731" s="1">
        <v>0.01332738826459656</v>
      </c>
      <c r="K731" s="1">
        <v>0.01168014624082003</v>
      </c>
      <c r="L731" s="1">
        <v>0.02447270257333534</v>
      </c>
      <c r="M731" s="1">
        <v>0.001518653738334486</v>
      </c>
      <c r="N731" s="1">
        <v>-0.00949389799973499</v>
      </c>
      <c r="O731" s="1">
        <v>0.01225536699271323</v>
      </c>
      <c r="P731" s="1">
        <v>0.03298716669475743</v>
      </c>
      <c r="Q731" s="1">
        <v>0.004674615980607477</v>
      </c>
      <c r="R731" s="1">
        <v>0.01049090974344447</v>
      </c>
      <c r="S731" s="1">
        <v>-0.00481581092734118</v>
      </c>
      <c r="T731" s="1">
        <v>-0.008576382163972274</v>
      </c>
      <c r="U731" s="1">
        <v>0.02009526132706707</v>
      </c>
      <c r="V731" s="1">
        <v>0.02821050183413809</v>
      </c>
      <c r="W731" s="1">
        <v>0.02204170284286167</v>
      </c>
      <c r="X731" s="1">
        <v>0.007804237319434693</v>
      </c>
      <c r="Y731" s="1">
        <v>0.009038418972205253</v>
      </c>
      <c r="Z731" s="1">
        <v>0.02233074773882837</v>
      </c>
    </row>
    <row r="732" spans="1:26">
      <c r="A732" s="11">
        <v>43431</v>
      </c>
      <c r="B732" s="1">
        <v>-0.00819901599598738</v>
      </c>
      <c r="C732" s="1">
        <v>0.005278922164712485</v>
      </c>
      <c r="D732" s="1">
        <v>-0.0003032422219888531</v>
      </c>
      <c r="E732" s="1">
        <v>-0.0299641197867242</v>
      </c>
      <c r="F732" s="1">
        <v>0.0156210450068579</v>
      </c>
      <c r="G732" s="1">
        <v>0.005034192515862346</v>
      </c>
      <c r="H732" s="1">
        <v>0.01255772338857941</v>
      </c>
      <c r="I732" s="1">
        <v>-0.007453771396680575</v>
      </c>
      <c r="J732" s="1">
        <v>-0.003507228014411834</v>
      </c>
      <c r="K732" s="1">
        <v>-0.008288784763472168</v>
      </c>
      <c r="L732" s="1">
        <v>0.004210279773043446</v>
      </c>
      <c r="M732" s="1">
        <v>0.0005687320658709361</v>
      </c>
      <c r="N732" s="1">
        <v>0.0109004196645448</v>
      </c>
      <c r="O732" s="1">
        <v>-0.0004655179325121495</v>
      </c>
      <c r="P732" s="1">
        <v>0.006292863189166553</v>
      </c>
      <c r="Q732" s="1">
        <v>0.007367124356066901</v>
      </c>
      <c r="R732" s="1">
        <v>-0.00181263197880499</v>
      </c>
      <c r="S732" s="1">
        <v>0.009435926426031971</v>
      </c>
      <c r="T732" s="1">
        <v>-0.01968235336701607</v>
      </c>
      <c r="U732" s="1">
        <v>0.01636042275722072</v>
      </c>
      <c r="V732" s="1">
        <v>0.03075836129388265</v>
      </c>
      <c r="W732" s="1">
        <v>0.007493956225153031</v>
      </c>
      <c r="X732" s="1">
        <v>-0.00990437179804049</v>
      </c>
      <c r="Y732" s="1">
        <v>0.02501251863382992</v>
      </c>
      <c r="Z732" s="1">
        <v>-0.003120293489782933</v>
      </c>
    </row>
    <row r="733" spans="1:26">
      <c r="A733" s="11">
        <v>43432</v>
      </c>
      <c r="B733" s="1">
        <v>0.005130962238066195</v>
      </c>
      <c r="C733" s="1">
        <v>0.04864316063966001</v>
      </c>
      <c r="D733" s="1">
        <v>0.03577916794211911</v>
      </c>
      <c r="E733" s="1">
        <v>0.01661792788257954</v>
      </c>
      <c r="F733" s="1">
        <v>0.01824780908281576</v>
      </c>
      <c r="G733" s="1">
        <v>0.002146521954213387</v>
      </c>
      <c r="H733" s="1">
        <v>-0.000253177671860505</v>
      </c>
      <c r="I733" s="1">
        <v>0.02841456786904017</v>
      </c>
      <c r="J733" s="1">
        <v>0.03079670097598375</v>
      </c>
      <c r="K733" s="1">
        <v>0.01492538618141492</v>
      </c>
      <c r="L733" s="1">
        <v>0.01111918590307792</v>
      </c>
      <c r="M733" s="1">
        <v>0.00549314563740233</v>
      </c>
      <c r="N733" s="1">
        <v>0.02156530776069721</v>
      </c>
      <c r="O733" s="1">
        <v>0.01712114262405962</v>
      </c>
      <c r="P733" s="1">
        <v>0.03714768713773808</v>
      </c>
      <c r="Q733" s="1">
        <v>-0.008467791164173621</v>
      </c>
      <c r="R733" s="1">
        <v>0.02377407303917822</v>
      </c>
      <c r="S733" s="1">
        <v>0.008436568181363846</v>
      </c>
      <c r="T733" s="1">
        <v>0.03232255091752667</v>
      </c>
      <c r="U733" s="1">
        <v>0.00985596389569432</v>
      </c>
      <c r="V733" s="1">
        <v>0.007005033284020135</v>
      </c>
      <c r="W733" s="1">
        <v>0.0223562681772782</v>
      </c>
      <c r="X733" s="1">
        <v>0.02128042894119275</v>
      </c>
      <c r="Y733" s="1">
        <v>-0.009727758705737499</v>
      </c>
      <c r="Z733" s="1">
        <v>0.00813860930692778</v>
      </c>
    </row>
    <row r="734" spans="1:26">
      <c r="A734" s="11">
        <v>43433</v>
      </c>
      <c r="B734" s="1">
        <v>0.007940775297738289</v>
      </c>
      <c r="C734" s="1">
        <v>0.02716637157757629</v>
      </c>
      <c r="D734" s="1">
        <v>-0.004390991410873624</v>
      </c>
      <c r="E734" s="1">
        <v>-0.003461850871033012</v>
      </c>
      <c r="F734" s="1">
        <v>0.009217090166190989</v>
      </c>
      <c r="G734" s="1">
        <v>-0.009639295541513992</v>
      </c>
      <c r="H734" s="1">
        <v>0.003291501137565378</v>
      </c>
      <c r="I734" s="1">
        <v>-0.01341980296932788</v>
      </c>
      <c r="J734" s="1">
        <v>-0.0243281150674397</v>
      </c>
      <c r="K734" s="1">
        <v>0.007941181985243739</v>
      </c>
      <c r="L734" s="1">
        <v>-0.007932358204683965</v>
      </c>
      <c r="M734" s="1">
        <v>0.002826038153991739</v>
      </c>
      <c r="N734" s="1">
        <v>0.01801633073491615</v>
      </c>
      <c r="O734" s="1">
        <v>-0.001832570901413311</v>
      </c>
      <c r="P734" s="1">
        <v>-0.008369515250313375</v>
      </c>
      <c r="Q734" s="1">
        <v>0.01125752623692144</v>
      </c>
      <c r="R734" s="1">
        <v>-0.01128842147957931</v>
      </c>
      <c r="S734" s="1">
        <v>0.007083076372072616</v>
      </c>
      <c r="T734" s="1">
        <v>0.007875224854904994</v>
      </c>
      <c r="U734" s="1">
        <v>-0.005530250667182601</v>
      </c>
      <c r="V734" s="1">
        <v>-0.009877755332980742</v>
      </c>
      <c r="W734" s="1">
        <v>0.004729281143972086</v>
      </c>
      <c r="X734" s="1">
        <v>-0.003384048181279131</v>
      </c>
      <c r="Y734" s="1">
        <v>-0.01015673792102767</v>
      </c>
      <c r="Z734" s="1">
        <v>-0.00207003113672255</v>
      </c>
    </row>
    <row r="735" spans="1:26">
      <c r="A735" s="11">
        <v>43434</v>
      </c>
      <c r="B735" s="1">
        <v>-0.01153610323521359</v>
      </c>
      <c r="C735" s="1">
        <v>0.01226068554808513</v>
      </c>
      <c r="D735" s="1">
        <v>0.01061500241461144</v>
      </c>
      <c r="E735" s="1">
        <v>0.03164847969825635</v>
      </c>
      <c r="F735" s="1">
        <v>-0.01040112129427717</v>
      </c>
      <c r="G735" s="1">
        <v>0.009733115922430091</v>
      </c>
      <c r="H735" s="1">
        <v>-0.01085047203220468</v>
      </c>
      <c r="I735" s="1">
        <v>0.03273947111132491</v>
      </c>
      <c r="J735" s="1">
        <v>0.006123891409442583</v>
      </c>
      <c r="K735" s="1">
        <v>0.01488142208961341</v>
      </c>
      <c r="L735" s="1">
        <v>0.01026710697598499</v>
      </c>
      <c r="M735" s="1">
        <v>0.02592526263998751</v>
      </c>
      <c r="N735" s="1">
        <v>-0.01984226320310001</v>
      </c>
      <c r="O735" s="1">
        <v>0.0175518519246356</v>
      </c>
      <c r="P735" s="1">
        <v>0.006352755386448639</v>
      </c>
      <c r="Q735" s="1">
        <v>0.01420375206162405</v>
      </c>
      <c r="R735" s="1">
        <v>0.01484259707115565</v>
      </c>
      <c r="S735" s="1">
        <v>0.00660769737555178</v>
      </c>
      <c r="T735" s="1">
        <v>0.0102678847565747</v>
      </c>
      <c r="U735" s="1">
        <v>0.02191656607232817</v>
      </c>
      <c r="V735" s="1">
        <v>-0.002950796302661596</v>
      </c>
      <c r="W735" s="1">
        <v>0.003942485503446225</v>
      </c>
      <c r="X735" s="1">
        <v>0.003216674030405597</v>
      </c>
      <c r="Y735" s="1">
        <v>0.01429761361848958</v>
      </c>
      <c r="Z735" s="1">
        <v>0.009334411599117631</v>
      </c>
    </row>
    <row r="736" spans="1:26">
      <c r="A736" s="11">
        <v>43437</v>
      </c>
      <c r="B736" s="1">
        <v>0.03871312558853912</v>
      </c>
      <c r="C736" s="1">
        <v>0.03806672799546917</v>
      </c>
      <c r="D736" s="1">
        <v>0.009481635198758775</v>
      </c>
      <c r="E736" s="1">
        <v>-0.003367402333721903</v>
      </c>
      <c r="F736" s="1">
        <v>0.003588894874673398</v>
      </c>
      <c r="G736" s="1">
        <v>0.01285247890083685</v>
      </c>
      <c r="H736" s="1">
        <v>-0.01122467604167743</v>
      </c>
      <c r="I736" s="1">
        <v>0.04732739206336212</v>
      </c>
      <c r="J736" s="1">
        <v>0.04130456886715828</v>
      </c>
      <c r="K736" s="1">
        <v>0.007476038922190842</v>
      </c>
      <c r="L736" s="1">
        <v>0.009443270266425552</v>
      </c>
      <c r="M736" s="1">
        <v>-0.004394869005772017</v>
      </c>
      <c r="N736" s="1">
        <v>0.01641398505860647</v>
      </c>
      <c r="O736" s="1">
        <v>0.004509790036676398</v>
      </c>
      <c r="P736" s="1">
        <v>0.01082147882542595</v>
      </c>
      <c r="Q736" s="1">
        <v>0.01968187580919234</v>
      </c>
      <c r="R736" s="1">
        <v>-0.01783993814862395</v>
      </c>
      <c r="S736" s="1">
        <v>-0.003938692633509433</v>
      </c>
      <c r="T736" s="1">
        <v>-0.01351221066488617</v>
      </c>
      <c r="U736" s="1">
        <v>0.01504496204326222</v>
      </c>
      <c r="V736" s="1">
        <v>0.01944762891911145</v>
      </c>
      <c r="W736" s="1">
        <v>0.009737406253338854</v>
      </c>
      <c r="X736" s="1">
        <v>0.01050950741687062</v>
      </c>
      <c r="Y736" s="1">
        <v>-0.03548903413871596</v>
      </c>
      <c r="Z736" s="1">
        <v>-0.00554875035052127</v>
      </c>
    </row>
    <row r="737" spans="1:26">
      <c r="A737" s="11">
        <v>43438</v>
      </c>
      <c r="B737" s="1">
        <v>-0.03973669110955591</v>
      </c>
      <c r="C737" s="1">
        <v>-0.04850536966524566</v>
      </c>
      <c r="D737" s="1">
        <v>-0.02803432591105481</v>
      </c>
      <c r="E737" s="1">
        <v>-0.02346065546357723</v>
      </c>
      <c r="F737" s="1">
        <v>-0.03729230852849763</v>
      </c>
      <c r="G737" s="1">
        <v>-0.01127939155670332</v>
      </c>
      <c r="H737" s="1">
        <v>-0.004385928463698785</v>
      </c>
      <c r="I737" s="1">
        <v>-0.06547076743135338</v>
      </c>
      <c r="J737" s="1">
        <v>-0.02964499546826616</v>
      </c>
      <c r="K737" s="1">
        <v>-0.03281966653498469</v>
      </c>
      <c r="L737" s="1">
        <v>-0.04463652239094684</v>
      </c>
      <c r="M737" s="1">
        <v>-0.02600976884304529</v>
      </c>
      <c r="N737" s="1">
        <v>-0.02386509988015806</v>
      </c>
      <c r="O737" s="1">
        <v>-0.02603830152414921</v>
      </c>
      <c r="P737" s="1">
        <v>-0.03184923626973324</v>
      </c>
      <c r="Q737" s="1">
        <v>0.005568012624565188</v>
      </c>
      <c r="R737" s="1">
        <v>-0.02929170808265424</v>
      </c>
      <c r="S737" s="1">
        <v>-0.002871546492331345</v>
      </c>
      <c r="T737" s="1">
        <v>-0.02806321541588508</v>
      </c>
      <c r="U737" s="1">
        <v>-0.03090514637569097</v>
      </c>
      <c r="V737" s="1">
        <v>-0.04188550677460878</v>
      </c>
      <c r="W737" s="1">
        <v>-0.03210567700219047</v>
      </c>
      <c r="X737" s="1">
        <v>-0.04019034819378942</v>
      </c>
      <c r="Y737" s="1">
        <v>-0.001203628378853239</v>
      </c>
      <c r="Z737" s="1">
        <v>-0.05166368668342392</v>
      </c>
    </row>
    <row r="738" spans="1:26">
      <c r="A738" s="11">
        <v>43440</v>
      </c>
      <c r="B738" s="1">
        <v>-0.03253426790797342</v>
      </c>
      <c r="C738" s="1">
        <v>-0.03094909096811094</v>
      </c>
      <c r="D738" s="1">
        <v>-0.006987780766719798</v>
      </c>
      <c r="E738" s="1">
        <v>0.02344773658761401</v>
      </c>
      <c r="F738" s="1">
        <v>0.005041209815078496</v>
      </c>
      <c r="G738" s="1">
        <v>0.004278247758634945</v>
      </c>
      <c r="H738" s="1">
        <v>-0.009588073969968081</v>
      </c>
      <c r="I738" s="1">
        <v>0.01847064969221202</v>
      </c>
      <c r="J738" s="1">
        <v>0.03356309519846623</v>
      </c>
      <c r="K738" s="1">
        <v>-0.01475382594731411</v>
      </c>
      <c r="L738" s="1">
        <v>-0.01902436201832258</v>
      </c>
      <c r="M738" s="1">
        <v>0.01515163405454922</v>
      </c>
      <c r="N738" s="1">
        <v>0</v>
      </c>
      <c r="O738" s="1">
        <v>-0.01786123041461796</v>
      </c>
      <c r="P738" s="1">
        <v>0.006173911669236087</v>
      </c>
      <c r="Q738" s="1">
        <v>-0.01033611441071491</v>
      </c>
      <c r="R738" s="1">
        <v>-0.01247420685509715</v>
      </c>
      <c r="S738" s="1">
        <v>0.02086804954990207</v>
      </c>
      <c r="T738" s="1">
        <v>-0.01369829280443391</v>
      </c>
      <c r="U738" s="1">
        <v>-0.006508304461340875</v>
      </c>
      <c r="V738" s="1">
        <v>0.003318433193908232</v>
      </c>
      <c r="W738" s="1">
        <v>-0.007585426835614695</v>
      </c>
      <c r="X738" s="1">
        <v>-0.02644624366946768</v>
      </c>
      <c r="Y738" s="1">
        <v>-0.0001718070067696642</v>
      </c>
      <c r="Z738" s="1">
        <v>0</v>
      </c>
    </row>
    <row r="739" spans="1:26">
      <c r="A739" s="11">
        <v>43441</v>
      </c>
      <c r="B739" s="1">
        <v>-0.02625350955814154</v>
      </c>
      <c r="C739" s="1">
        <v>-0.02615226269107307</v>
      </c>
      <c r="D739" s="1">
        <v>-0.02650103751330923</v>
      </c>
      <c r="E739" s="1">
        <v>-0.003192265421496088</v>
      </c>
      <c r="F739" s="1">
        <v>-0.01240789873699444</v>
      </c>
      <c r="G739" s="1">
        <v>0.007454448528484425</v>
      </c>
      <c r="H739" s="1">
        <v>-0.01177368318823657</v>
      </c>
      <c r="I739" s="1">
        <v>-0.04618167597740674</v>
      </c>
      <c r="J739" s="1">
        <v>-0.0453790286975484</v>
      </c>
      <c r="K739" s="1">
        <v>-0.0218627219353269</v>
      </c>
      <c r="L739" s="1">
        <v>-0.01806252920699036</v>
      </c>
      <c r="M739" s="1">
        <v>-0.04179108386409325</v>
      </c>
      <c r="N739" s="1">
        <v>-0.004044142803228845</v>
      </c>
      <c r="O739" s="1">
        <v>-0.00539716447114913</v>
      </c>
      <c r="P739" s="1">
        <v>-0.04002193843575319</v>
      </c>
      <c r="Q739" s="1">
        <v>0.01230891715814408</v>
      </c>
      <c r="R739" s="1">
        <v>-0.02543537530862761</v>
      </c>
      <c r="S739" s="1">
        <v>-0.009665866251167055</v>
      </c>
      <c r="T739" s="1">
        <v>-0.02875129793168074</v>
      </c>
      <c r="U739" s="1">
        <v>-0.01277399924497979</v>
      </c>
      <c r="V739" s="1">
        <v>-0.02487806161740225</v>
      </c>
      <c r="W739" s="1">
        <v>-0.0255327540094894</v>
      </c>
      <c r="X739" s="1">
        <v>-0.03376733493806106</v>
      </c>
      <c r="Y739" s="1">
        <v>-0.006887333663100126</v>
      </c>
      <c r="Z739" s="1">
        <v>-0.01699715283102299</v>
      </c>
    </row>
    <row r="740" spans="1:26">
      <c r="A740" s="11">
        <v>43444</v>
      </c>
      <c r="B740" s="1">
        <v>-0.05301424814664746</v>
      </c>
      <c r="C740" s="1">
        <v>0.009683810155305839</v>
      </c>
      <c r="D740" s="1">
        <v>0.007074819367273832</v>
      </c>
      <c r="E740" s="1">
        <v>-0.009419888075068106</v>
      </c>
      <c r="F740" s="1">
        <v>-0.001603958548299311</v>
      </c>
      <c r="G740" s="1">
        <v>0.002818833310165525</v>
      </c>
      <c r="H740" s="1">
        <v>-0.001324406899325226</v>
      </c>
      <c r="I740" s="1">
        <v>-0.001561924347315169</v>
      </c>
      <c r="J740" s="1">
        <v>0</v>
      </c>
      <c r="K740" s="1">
        <v>-0.009491875428058294</v>
      </c>
      <c r="L740" s="1">
        <v>-0.01868528902998912</v>
      </c>
      <c r="M740" s="1">
        <v>-0.004283744656021105</v>
      </c>
      <c r="N740" s="1">
        <v>-0.01513467782798883</v>
      </c>
      <c r="O740" s="1">
        <v>-0.002359331361185268</v>
      </c>
      <c r="P740" s="1">
        <v>0.02642631602762591</v>
      </c>
      <c r="Q740" s="1">
        <v>0.004421331964864494</v>
      </c>
      <c r="R740" s="1">
        <v>0.008407682593796206</v>
      </c>
      <c r="S740" s="1">
        <v>-0.0009341745912220256</v>
      </c>
      <c r="T740" s="1">
        <v>0.01016680918584623</v>
      </c>
      <c r="U740" s="1">
        <v>-0.007631211155946338</v>
      </c>
      <c r="V740" s="1">
        <v>0.007521139922245013</v>
      </c>
      <c r="W740" s="1">
        <v>0.005172550227972916</v>
      </c>
      <c r="X740" s="1">
        <v>-0.0003903831210017028</v>
      </c>
      <c r="Y740" s="1">
        <v>0.01022865013099983</v>
      </c>
      <c r="Z740" s="1">
        <v>-0.01950770718849304</v>
      </c>
    </row>
    <row r="741" spans="1:26">
      <c r="A741" s="11">
        <v>43445</v>
      </c>
      <c r="B741" s="1">
        <v>-0.0220731216922001</v>
      </c>
      <c r="C741" s="1">
        <v>-0.01323739544967417</v>
      </c>
      <c r="D741" s="1">
        <v>0.01084301149701083</v>
      </c>
      <c r="E741" s="1">
        <v>-0.002852664969699714</v>
      </c>
      <c r="F741" s="1">
        <v>-0.01365449933332885</v>
      </c>
      <c r="G741" s="1">
        <v>0.01124422382330836</v>
      </c>
      <c r="H741" s="1">
        <v>0.02916268217010698</v>
      </c>
      <c r="I741" s="1">
        <v>-0.0002038109279545175</v>
      </c>
      <c r="J741" s="1">
        <v>-0.01657214777424487</v>
      </c>
      <c r="K741" s="1">
        <v>-0.00370921477494135</v>
      </c>
      <c r="L741" s="1">
        <v>-0.009767296263475722</v>
      </c>
      <c r="M741" s="1">
        <v>-0.001173184911800296</v>
      </c>
      <c r="N741" s="1">
        <v>0.01105713238916461</v>
      </c>
      <c r="O741" s="1">
        <v>-0.01288869828924777</v>
      </c>
      <c r="P741" s="1">
        <v>0.00929454535026375</v>
      </c>
      <c r="Q741" s="1">
        <v>0.008804279185047115</v>
      </c>
      <c r="R741" s="1">
        <v>0.00416875787747184</v>
      </c>
      <c r="S741" s="1">
        <v>-0.00566182895683276</v>
      </c>
      <c r="T741" s="1">
        <v>-0.006633480345521803</v>
      </c>
      <c r="U741" s="1">
        <v>-0.00702097472534613</v>
      </c>
      <c r="V741" s="1">
        <v>-0.0225409169155727</v>
      </c>
      <c r="W741" s="1">
        <v>0.001771477262742405</v>
      </c>
      <c r="X741" s="1">
        <v>-0.01757824129663832</v>
      </c>
      <c r="Y741" s="1">
        <v>0.009953908808941314</v>
      </c>
      <c r="Z741" s="1">
        <v>-0.01763518277609522</v>
      </c>
    </row>
    <row r="742" spans="1:26">
      <c r="A742" s="11">
        <v>43446</v>
      </c>
      <c r="B742" s="1">
        <v>0.02486104327293437</v>
      </c>
      <c r="C742" s="1">
        <v>0.01447069989748018</v>
      </c>
      <c r="D742" s="1">
        <v>0.01223722836647023</v>
      </c>
      <c r="E742" s="1">
        <v>0.01926353779357548</v>
      </c>
      <c r="F742" s="1">
        <v>0.003800499036397786</v>
      </c>
      <c r="G742" s="1">
        <v>0.003821674354303362</v>
      </c>
      <c r="H742" s="1">
        <v>0.001030645618629089</v>
      </c>
      <c r="I742" s="1">
        <v>0.007754863743705931</v>
      </c>
      <c r="J742" s="1">
        <v>0.007145947973044464</v>
      </c>
      <c r="K742" s="1">
        <v>0.01147974419130149</v>
      </c>
      <c r="L742" s="1">
        <v>0.006476169106631291</v>
      </c>
      <c r="M742" s="1">
        <v>-0.003523771447775048</v>
      </c>
      <c r="N742" s="1">
        <v>-0.01149213259780535</v>
      </c>
      <c r="O742" s="1">
        <v>0.005630110692173451</v>
      </c>
      <c r="P742" s="1">
        <v>0.004512435002542947</v>
      </c>
      <c r="Q742" s="1">
        <v>-0.01127274325197469</v>
      </c>
      <c r="R742" s="1">
        <v>0.01037896275445571</v>
      </c>
      <c r="S742" s="1">
        <v>-0.03060667147000729</v>
      </c>
      <c r="T742" s="1">
        <v>0.001790908103992628</v>
      </c>
      <c r="U742" s="1">
        <v>0.01548787646541538</v>
      </c>
      <c r="V742" s="1">
        <v>0.01512434849724853</v>
      </c>
      <c r="W742" s="1">
        <v>0.01587374117460771</v>
      </c>
      <c r="X742" s="1">
        <v>0.01411529678703372</v>
      </c>
      <c r="Y742" s="1">
        <v>-0.0271877832508377</v>
      </c>
      <c r="Z742" s="1">
        <v>0.00621409011338625</v>
      </c>
    </row>
    <row r="743" spans="1:26">
      <c r="A743" s="11">
        <v>43447</v>
      </c>
      <c r="B743" s="1">
        <v>-0.0009574428238607879</v>
      </c>
      <c r="C743" s="1">
        <v>-0.00373438051727204</v>
      </c>
      <c r="D743" s="1">
        <v>-0.0007463596888207524</v>
      </c>
      <c r="E743" s="1">
        <v>0.003742917383946054</v>
      </c>
      <c r="F743" s="1">
        <v>-0.005949405597181601</v>
      </c>
      <c r="G743" s="1">
        <v>0.01557654565678801</v>
      </c>
      <c r="H743" s="1">
        <v>0.01389576819566218</v>
      </c>
      <c r="I743" s="1">
        <v>0.001147733137826901</v>
      </c>
      <c r="J743" s="1">
        <v>-0.01152985805152917</v>
      </c>
      <c r="K743" s="1">
        <v>-0.01411037832300943</v>
      </c>
      <c r="L743" s="1">
        <v>0.0009900733565788578</v>
      </c>
      <c r="M743" s="1">
        <v>-0.01100218390650876</v>
      </c>
      <c r="N743" s="1">
        <v>0.01106308812544721</v>
      </c>
      <c r="O743" s="1">
        <v>0.0009528681682258178</v>
      </c>
      <c r="P743" s="1">
        <v>0.003392030226005982</v>
      </c>
      <c r="Q743" s="1">
        <v>0.01581482907520471</v>
      </c>
      <c r="R743" s="1">
        <v>0.0159548352665424</v>
      </c>
      <c r="S743" s="1">
        <v>-0.02564970185863691</v>
      </c>
      <c r="T743" s="1">
        <v>-0.01445545870030107</v>
      </c>
      <c r="U743" s="1">
        <v>-0.008288881934910508</v>
      </c>
      <c r="V743" s="1">
        <v>-0.01637387565060788</v>
      </c>
      <c r="W743" s="1">
        <v>0.001036155647342385</v>
      </c>
      <c r="X743" s="1">
        <v>-0.02000366905321349</v>
      </c>
      <c r="Y743" s="1">
        <v>-0.002794792518552303</v>
      </c>
      <c r="Z743" s="1">
        <v>-0.02790519774194833</v>
      </c>
    </row>
    <row r="744" spans="1:26">
      <c r="A744" s="11">
        <v>43448</v>
      </c>
      <c r="B744" s="1">
        <v>-0.0338658665858248</v>
      </c>
      <c r="C744" s="1">
        <v>-0.02064720102424478</v>
      </c>
      <c r="D744" s="1">
        <v>-0.0186705276964203</v>
      </c>
      <c r="E744" s="1">
        <v>-0.02833729746862323</v>
      </c>
      <c r="F744" s="1">
        <v>-0.01142520694465476</v>
      </c>
      <c r="G744" s="1">
        <v>-0.001363300621192387</v>
      </c>
      <c r="H744" s="1">
        <v>-0.006091168488039145</v>
      </c>
      <c r="I744" s="1">
        <v>0.004719872361164335</v>
      </c>
      <c r="J744" s="1">
        <v>-0.01256190791045086</v>
      </c>
      <c r="K744" s="1">
        <v>0.002823076659437929</v>
      </c>
      <c r="L744" s="1">
        <v>-0.008208279768654569</v>
      </c>
      <c r="M744" s="1">
        <v>-0.00496603874880952</v>
      </c>
      <c r="N744" s="1">
        <v>-0.02206980645570222</v>
      </c>
      <c r="O744" s="1">
        <v>-0.01225750269083958</v>
      </c>
      <c r="P744" s="1">
        <v>-0.03124738060703791</v>
      </c>
      <c r="Q744" s="1">
        <v>-0.004706934781557259</v>
      </c>
      <c r="R744" s="1">
        <v>-0.01291256536044916</v>
      </c>
      <c r="S744" s="1">
        <v>0.02220570379944675</v>
      </c>
      <c r="T744" s="1">
        <v>0.0002852883428232644</v>
      </c>
      <c r="U744" s="1">
        <v>0.01036434088695559</v>
      </c>
      <c r="V744" s="1">
        <v>0.007348198947912943</v>
      </c>
      <c r="W744" s="1">
        <v>-0.02966627171290737</v>
      </c>
      <c r="X744" s="1">
        <v>-0.01000611166781151</v>
      </c>
      <c r="Y744" s="1">
        <v>-0.0001752284640251789</v>
      </c>
      <c r="Z744" s="1">
        <v>-0.02258798925124073</v>
      </c>
    </row>
    <row r="745" spans="1:26">
      <c r="A745" s="11">
        <v>43451</v>
      </c>
      <c r="B745" s="1">
        <v>-0.002314843380192833</v>
      </c>
      <c r="C745" s="1">
        <v>-0.008219384860527645</v>
      </c>
      <c r="D745" s="1">
        <v>-0.0229828988619919</v>
      </c>
      <c r="E745" s="1">
        <v>-0.02302381284001065</v>
      </c>
      <c r="F745" s="1">
        <v>-0.003577370474114661</v>
      </c>
      <c r="G745" s="1">
        <v>-0.01331063119609133</v>
      </c>
      <c r="H745" s="1">
        <v>-0.008427397464688791</v>
      </c>
      <c r="I745" s="1">
        <v>-0.01966319816949602</v>
      </c>
      <c r="J745" s="1">
        <v>-0.02680575984914413</v>
      </c>
      <c r="K745" s="1">
        <v>-0.02846405442084821</v>
      </c>
      <c r="L745" s="1">
        <v>-0.01276279990570761</v>
      </c>
      <c r="M745" s="1">
        <v>-0.0139749976006468</v>
      </c>
      <c r="N745" s="1">
        <v>-0.007206345217644738</v>
      </c>
      <c r="O745" s="1">
        <v>-0.01855396293126721</v>
      </c>
      <c r="P745" s="1">
        <v>-0.02961419480303584</v>
      </c>
      <c r="Q745" s="1">
        <v>-0.03092014929625164</v>
      </c>
      <c r="R745" s="1">
        <v>-0.008485350803968394</v>
      </c>
      <c r="S745" s="1">
        <v>-0.01916721288569234</v>
      </c>
      <c r="T745" s="1">
        <v>-0.02474078335154184</v>
      </c>
      <c r="U745" s="1">
        <v>-0.01191245056084833</v>
      </c>
      <c r="V745" s="1">
        <v>-0.04242965105273389</v>
      </c>
      <c r="W745" s="1">
        <v>-0.02271674382648803</v>
      </c>
      <c r="X745" s="1">
        <v>-0.01354364097136163</v>
      </c>
      <c r="Y745" s="1">
        <v>-0.01979666226578281</v>
      </c>
      <c r="Z745" s="1">
        <v>-0.008425646102326212</v>
      </c>
    </row>
    <row r="746" spans="1:26">
      <c r="A746" s="11">
        <v>43452</v>
      </c>
      <c r="B746" s="1">
        <v>-0.03082533771113727</v>
      </c>
      <c r="C746" s="1">
        <v>0.03773754544863883</v>
      </c>
      <c r="D746" s="1">
        <v>0.01433239259217434</v>
      </c>
      <c r="E746" s="1">
        <v>0.01256870051561387</v>
      </c>
      <c r="F746" s="1">
        <v>-0.01546529506439498</v>
      </c>
      <c r="G746" s="1">
        <v>-0.02109999674471563</v>
      </c>
      <c r="H746" s="1">
        <v>-0.008755719101372406</v>
      </c>
      <c r="I746" s="1">
        <v>0.02156313430126078</v>
      </c>
      <c r="J746" s="1">
        <v>-0.0004667734327611361</v>
      </c>
      <c r="K746" s="1">
        <v>0.02350299598274375</v>
      </c>
      <c r="L746" s="1">
        <v>-0.004747136370171878</v>
      </c>
      <c r="M746" s="1">
        <v>0.004251808561692494</v>
      </c>
      <c r="N746" s="1">
        <v>-0.02788938774090499</v>
      </c>
      <c r="O746" s="1">
        <v>-0.005892603837998722</v>
      </c>
      <c r="P746" s="1">
        <v>0.01049687907342656</v>
      </c>
      <c r="Q746" s="1">
        <v>-0.006005844364781132</v>
      </c>
      <c r="R746" s="1">
        <v>0.001605205072628957</v>
      </c>
      <c r="S746" s="1">
        <v>0.02289878651055521</v>
      </c>
      <c r="T746" s="1">
        <v>0.01981644849972453</v>
      </c>
      <c r="U746" s="1">
        <v>-0.003684056627715759</v>
      </c>
      <c r="V746" s="1">
        <v>0.01539182404845629</v>
      </c>
      <c r="W746" s="1">
        <v>0.006247963985737348</v>
      </c>
      <c r="X746" s="1">
        <v>0.002868887144316101</v>
      </c>
      <c r="Y746" s="1">
        <v>-0.005361861534051604</v>
      </c>
      <c r="Z746" s="1">
        <v>-0.01043955797275176</v>
      </c>
    </row>
    <row r="747" spans="1:26">
      <c r="A747" s="11">
        <v>43453</v>
      </c>
      <c r="B747" s="1">
        <v>-0.01675791293269735</v>
      </c>
      <c r="C747" s="1">
        <v>-0.0259403587055429</v>
      </c>
      <c r="D747" s="1">
        <v>-0.0162804666498545</v>
      </c>
      <c r="E747" s="1">
        <v>-0.02269207893098624</v>
      </c>
      <c r="F747" s="1">
        <v>-0.01290329594727402</v>
      </c>
      <c r="G747" s="1">
        <v>0.003180256761793121</v>
      </c>
      <c r="H747" s="1">
        <v>0.004156675450370795</v>
      </c>
      <c r="I747" s="1">
        <v>-0.02110798009171488</v>
      </c>
      <c r="J747" s="1">
        <v>-0.0401685544921927</v>
      </c>
      <c r="K747" s="1">
        <v>-0.03019843765847396</v>
      </c>
      <c r="L747" s="1">
        <v>-0.01268533283114071</v>
      </c>
      <c r="M747" s="1">
        <v>-0.01653194015300763</v>
      </c>
      <c r="N747" s="1">
        <v>0.01002178706203716</v>
      </c>
      <c r="O747" s="1">
        <v>-0.009755396605787392</v>
      </c>
      <c r="P747" s="1">
        <v>-0.00269309087465075</v>
      </c>
      <c r="Q747" s="1">
        <v>-0.004154133852400266</v>
      </c>
      <c r="R747" s="1">
        <v>-0.02314010671867395</v>
      </c>
      <c r="S747" s="1">
        <v>-0.00435965645726355</v>
      </c>
      <c r="T747" s="1">
        <v>-0.009559529223213681</v>
      </c>
      <c r="U747" s="1">
        <v>0.002352936033263031</v>
      </c>
      <c r="V747" s="1">
        <v>-0.03797259678528242</v>
      </c>
      <c r="W747" s="1">
        <v>-0.008423588564828277</v>
      </c>
      <c r="X747" s="1">
        <v>-0.03555370681220382</v>
      </c>
      <c r="Y747" s="1">
        <v>0.00377321921099516</v>
      </c>
      <c r="Z747" s="1">
        <v>-0.0154560163630445</v>
      </c>
    </row>
    <row r="748" spans="1:26">
      <c r="A748" s="11">
        <v>43454</v>
      </c>
      <c r="B748" s="1">
        <v>-0.06086958722305291</v>
      </c>
      <c r="C748" s="1">
        <v>-0.02034123624080708</v>
      </c>
      <c r="D748" s="1">
        <v>-0.02138946197912506</v>
      </c>
      <c r="E748" s="1">
        <v>-0.006548902602346529</v>
      </c>
      <c r="F748" s="1">
        <v>-0.01619791178507812</v>
      </c>
      <c r="G748" s="1">
        <v>0.0003522509446445277</v>
      </c>
      <c r="H748" s="1">
        <v>-0.02535588008880685</v>
      </c>
      <c r="I748" s="1">
        <v>-0.009857869816060294</v>
      </c>
      <c r="J748" s="1">
        <v>-0.02335753139344432</v>
      </c>
      <c r="K748" s="1">
        <v>-0.01102824550185122</v>
      </c>
      <c r="L748" s="1">
        <v>-0.008633706613845993</v>
      </c>
      <c r="M748" s="1">
        <v>-0.03505556676575561</v>
      </c>
      <c r="N748" s="1">
        <v>-0.01867727968019806</v>
      </c>
      <c r="O748" s="1">
        <v>-0.0110991365707892</v>
      </c>
      <c r="P748" s="1">
        <v>-0.02102432416134181</v>
      </c>
      <c r="Q748" s="1">
        <v>-0.003413057160574051</v>
      </c>
      <c r="R748" s="1">
        <v>0.009657481897743736</v>
      </c>
      <c r="S748" s="1">
        <v>-0.001574359824466409</v>
      </c>
      <c r="T748" s="1">
        <v>-0.002235479499929527</v>
      </c>
      <c r="U748" s="1">
        <v>-0.03923544114174993</v>
      </c>
      <c r="V748" s="1">
        <v>-0.01798498044741736</v>
      </c>
      <c r="W748" s="1">
        <v>-0.03809777567320183</v>
      </c>
      <c r="X748" s="1">
        <v>-0.0309323420470029</v>
      </c>
      <c r="Y748" s="1">
        <v>-0.01414218153981273</v>
      </c>
      <c r="Z748" s="1">
        <v>-0.009718528083506595</v>
      </c>
    </row>
    <row r="749" spans="1:26">
      <c r="A749" s="11">
        <v>43455</v>
      </c>
      <c r="B749" s="1">
        <v>-0.01666682458040658</v>
      </c>
      <c r="C749" s="1">
        <v>-0.02715213669931649</v>
      </c>
      <c r="D749" s="1">
        <v>0.003510000468600838</v>
      </c>
      <c r="E749" s="1">
        <v>-0.004794170295451927</v>
      </c>
      <c r="F749" s="1">
        <v>-0.02513011956490008</v>
      </c>
      <c r="G749" s="1">
        <v>-0.00105646440317464</v>
      </c>
      <c r="H749" s="1">
        <v>-0.05096887631488678</v>
      </c>
      <c r="I749" s="1">
        <v>-0.01140726802177483</v>
      </c>
      <c r="J749" s="1">
        <v>-0.02092681487437786</v>
      </c>
      <c r="K749" s="1">
        <v>-0.03345359852794405</v>
      </c>
      <c r="L749" s="1">
        <v>-0.02363940999531244</v>
      </c>
      <c r="M749" s="1">
        <v>-0.02379428766068026</v>
      </c>
      <c r="N749" s="1">
        <v>-0.0267642718450376</v>
      </c>
      <c r="O749" s="1">
        <v>-0.02282436222051731</v>
      </c>
      <c r="P749" s="1">
        <v>-0.03231242158204417</v>
      </c>
      <c r="Q749" s="1">
        <v>-0.008752139067185305</v>
      </c>
      <c r="R749" s="1">
        <v>-0.009204421261881923</v>
      </c>
      <c r="S749" s="1">
        <v>0.001823256244526172</v>
      </c>
      <c r="T749" s="1">
        <v>-0.007485650643245245</v>
      </c>
      <c r="U749" s="1">
        <v>-0.01186728517891833</v>
      </c>
      <c r="V749" s="1">
        <v>-0.00923855352254721</v>
      </c>
      <c r="W749" s="1">
        <v>-0.01761832456135248</v>
      </c>
      <c r="X749" s="1">
        <v>-0.005028163815582576</v>
      </c>
      <c r="Y749" s="1">
        <v>-0.002723877855447587</v>
      </c>
      <c r="Z749" s="1">
        <v>-0.01711112465079301</v>
      </c>
    </row>
    <row r="750" spans="1:26">
      <c r="A750" s="11">
        <v>43458</v>
      </c>
      <c r="B750" s="1">
        <v>-0.0433142896846328</v>
      </c>
      <c r="C750" s="1">
        <v>-0.03411586398039068</v>
      </c>
      <c r="D750" s="1">
        <v>-0.02305243946437829</v>
      </c>
      <c r="E750" s="1">
        <v>-0.02127660447155899</v>
      </c>
      <c r="F750" s="1">
        <v>-0.02014812097158991</v>
      </c>
      <c r="G750" s="1">
        <v>-0.04053566157117516</v>
      </c>
      <c r="H750" s="1">
        <v>-0.06517491860344926</v>
      </c>
      <c r="I750" s="1">
        <v>-0.03923335327044708</v>
      </c>
      <c r="J750" s="1">
        <v>-0.01374015853743171</v>
      </c>
      <c r="K750" s="1">
        <v>-0.03257541408942788</v>
      </c>
      <c r="L750" s="1">
        <v>-0.02155678133789218</v>
      </c>
      <c r="M750" s="1">
        <v>-0.03373237841258814</v>
      </c>
      <c r="N750" s="1">
        <v>-0.01511687469411838</v>
      </c>
      <c r="O750" s="1">
        <v>-0.02542309582177904</v>
      </c>
      <c r="P750" s="1">
        <v>-0.04173876287049327</v>
      </c>
      <c r="Q750" s="1">
        <v>-0.04452966743774478</v>
      </c>
      <c r="R750" s="1">
        <v>-0.02240434919705081</v>
      </c>
      <c r="S750" s="1">
        <v>-0.03261202720491263</v>
      </c>
      <c r="T750" s="1">
        <v>-0.03003580652134763</v>
      </c>
      <c r="U750" s="1">
        <v>-0.03355711429827368</v>
      </c>
      <c r="V750" s="1">
        <v>0.0068707174832352</v>
      </c>
      <c r="W750" s="1">
        <v>-0.03392183339888488</v>
      </c>
      <c r="X750" s="1">
        <v>-0.02966409681840543</v>
      </c>
      <c r="Y750" s="1">
        <v>-0.0340495912018719</v>
      </c>
      <c r="Z750" s="1">
        <v>-0.014080844872155</v>
      </c>
    </row>
    <row r="751" spans="1:26">
      <c r="A751" s="11">
        <v>43460</v>
      </c>
      <c r="B751" s="1">
        <v>0.0645669374280835</v>
      </c>
      <c r="C751" s="1">
        <v>0.06720832950752809</v>
      </c>
      <c r="D751" s="1">
        <v>0.0436126721091854</v>
      </c>
      <c r="E751" s="1">
        <v>0.02604602335113015</v>
      </c>
      <c r="F751" s="1">
        <v>0.03235558054462806</v>
      </c>
      <c r="G751" s="1">
        <v>0.01579732266733069</v>
      </c>
      <c r="H751" s="1">
        <v>0.02483579884867559</v>
      </c>
      <c r="I751" s="1">
        <v>0.04287365713526281</v>
      </c>
      <c r="J751" s="1">
        <v>0.04901972059517523</v>
      </c>
      <c r="K751" s="1">
        <v>0.0431427880180919</v>
      </c>
      <c r="L751" s="1">
        <v>0.04145867707327366</v>
      </c>
      <c r="M751" s="1">
        <v>0.052252498813943</v>
      </c>
      <c r="N751" s="1">
        <v>0.01829241309160934</v>
      </c>
      <c r="O751" s="1">
        <v>0.02555678785302207</v>
      </c>
      <c r="P751" s="1">
        <v>0.06830994504166266</v>
      </c>
      <c r="Q751" s="1">
        <v>0.006830109363488601</v>
      </c>
      <c r="R751" s="1">
        <v>0.05235732942911753</v>
      </c>
      <c r="S751" s="1">
        <v>0.01896567494596635</v>
      </c>
      <c r="T751" s="1">
        <v>0.05881050229967255</v>
      </c>
      <c r="U751" s="1">
        <v>0.02631576653958412</v>
      </c>
      <c r="V751" s="1">
        <v>0.05783928545707595</v>
      </c>
      <c r="W751" s="1">
        <v>0.04557029349803665</v>
      </c>
      <c r="X751" s="1">
        <v>0.02513605786104778</v>
      </c>
      <c r="Y751" s="1">
        <v>0.02620154820477127</v>
      </c>
      <c r="Z751" s="1">
        <v>0.05193422958027227</v>
      </c>
    </row>
    <row r="752" spans="1:26">
      <c r="A752" s="11">
        <v>43461</v>
      </c>
      <c r="B752" s="1">
        <v>-0.01109483678587719</v>
      </c>
      <c r="C752" s="1">
        <v>0.01022528869390738</v>
      </c>
      <c r="D752" s="1">
        <v>0.02229843452884972</v>
      </c>
      <c r="E752" s="1">
        <v>0.007595379790432677</v>
      </c>
      <c r="F752" s="1">
        <v>0.009666109271926127</v>
      </c>
      <c r="G752" s="1">
        <v>0.01591298269281993</v>
      </c>
      <c r="H752" s="1">
        <v>-0.02189774751828766</v>
      </c>
      <c r="I752" s="1">
        <v>0.02408003353221955</v>
      </c>
      <c r="J752" s="1">
        <v>0.002459121792122598</v>
      </c>
      <c r="K752" s="1">
        <v>-0.001008788943126282</v>
      </c>
      <c r="L752" s="1">
        <v>0.01125472376775849</v>
      </c>
      <c r="M752" s="1">
        <v>0.001712142966064478</v>
      </c>
      <c r="N752" s="1">
        <v>0.005575145253644109</v>
      </c>
      <c r="O752" s="1">
        <v>0.01872154907313273</v>
      </c>
      <c r="P752" s="1">
        <v>0.006165664597246323</v>
      </c>
      <c r="Q752" s="1">
        <v>0.01077422582015175</v>
      </c>
      <c r="R752" s="1">
        <v>0.01735126283731336</v>
      </c>
      <c r="S752" s="1">
        <v>0.006537342680315694</v>
      </c>
      <c r="T752" s="1">
        <v>0.01150710509736341</v>
      </c>
      <c r="U752" s="1">
        <v>0.002492794964140455</v>
      </c>
      <c r="V752" s="1">
        <v>-0.006143452812418015</v>
      </c>
      <c r="W752" s="1">
        <v>0.01431359726689596</v>
      </c>
      <c r="X752" s="1">
        <v>0.01391654058514424</v>
      </c>
      <c r="Y752" s="1">
        <v>0.01304218519475175</v>
      </c>
      <c r="Z752" s="1">
        <v>-0.001233998465444919</v>
      </c>
    </row>
    <row r="753" spans="1:26">
      <c r="A753" s="11">
        <v>43462</v>
      </c>
      <c r="B753" s="1">
        <v>-0.01495858694897545</v>
      </c>
      <c r="C753" s="1">
        <v>-0.002396533859408856</v>
      </c>
      <c r="D753" s="1">
        <v>-0.005338674880107752</v>
      </c>
      <c r="E753" s="1">
        <v>0.01051389248929802</v>
      </c>
      <c r="F753" s="1">
        <v>-0.003481157917681221</v>
      </c>
      <c r="G753" s="1">
        <v>-0.003203778611012953</v>
      </c>
      <c r="H753" s="1">
        <v>-0.001791514988900178</v>
      </c>
      <c r="I753" s="1">
        <v>-0.004658381844097947</v>
      </c>
      <c r="J753" s="1">
        <v>-0.001962805130096723</v>
      </c>
      <c r="K753" s="1">
        <v>-0.00336574965976244</v>
      </c>
      <c r="L753" s="1">
        <v>-0.002164108400437237</v>
      </c>
      <c r="M753" s="1">
        <v>-0.0008546534434493713</v>
      </c>
      <c r="N753" s="1">
        <v>0.003901349617850602</v>
      </c>
      <c r="O753" s="1">
        <v>-0.0003801688072315734</v>
      </c>
      <c r="P753" s="1">
        <v>-0.007808147119778619</v>
      </c>
      <c r="Q753" s="1">
        <v>0.005921630066742178</v>
      </c>
      <c r="R753" s="1">
        <v>-0.006439429298705446</v>
      </c>
      <c r="S753" s="1">
        <v>0.0009415164256052488</v>
      </c>
      <c r="T753" s="1">
        <v>-0.004064594861751814</v>
      </c>
      <c r="U753" s="1">
        <v>0.01101272975335932</v>
      </c>
      <c r="V753" s="1">
        <v>0.00386350247372147</v>
      </c>
      <c r="W753" s="1">
        <v>0.006151602861590888</v>
      </c>
      <c r="X753" s="1">
        <v>-0.00544651447079525</v>
      </c>
      <c r="Y753" s="1">
        <v>0.002175642676763401</v>
      </c>
      <c r="Z753" s="1">
        <v>-0.0007415941892264799</v>
      </c>
    </row>
    <row r="754" spans="1:26">
      <c r="A754" s="11">
        <v>43465</v>
      </c>
      <c r="B754" s="1">
        <v>-0.003417012980532763</v>
      </c>
      <c r="C754" s="1">
        <v>0.0193438032853217</v>
      </c>
      <c r="D754" s="1">
        <v>0.009354613864985595</v>
      </c>
      <c r="E754" s="1">
        <v>0.02041618002750645</v>
      </c>
      <c r="F754" s="1">
        <v>-0.003220233799917871</v>
      </c>
      <c r="G754" s="1">
        <v>0.008214022750951067</v>
      </c>
      <c r="H754" s="1">
        <v>-0.01345672271466547</v>
      </c>
      <c r="I754" s="1">
        <v>0.02677552448565157</v>
      </c>
      <c r="J754" s="1">
        <v>0.005899810205375333</v>
      </c>
      <c r="K754" s="1">
        <v>0.001350982305172943</v>
      </c>
      <c r="L754" s="1">
        <v>0.008158798500264464</v>
      </c>
      <c r="M754" s="1">
        <v>-0.005988234032476059</v>
      </c>
      <c r="N754" s="1">
        <v>0.01022695206856006</v>
      </c>
      <c r="O754" s="1">
        <v>0.01115765114413225</v>
      </c>
      <c r="P754" s="1">
        <v>0.01175420278141392</v>
      </c>
      <c r="Q754" s="1">
        <v>-0.005101778229405052</v>
      </c>
      <c r="R754" s="1">
        <v>0.0008762250310003772</v>
      </c>
      <c r="S754" s="1">
        <v>0.002526244824869073</v>
      </c>
      <c r="T754" s="1">
        <v>0.009959364547905025</v>
      </c>
      <c r="U754" s="1">
        <v>0.002810858222306756</v>
      </c>
      <c r="V754" s="1">
        <v>0.01739504293057204</v>
      </c>
      <c r="W754" s="1">
        <v>0.006023774433080886</v>
      </c>
      <c r="X754" s="1">
        <v>0.007447736592103515</v>
      </c>
      <c r="Y754" s="1">
        <v>0.01718827294849334</v>
      </c>
      <c r="Z754" s="1">
        <v>0.00766777001385921</v>
      </c>
    </row>
    <row r="755" spans="1:26">
      <c r="A755" s="11">
        <v>43467</v>
      </c>
      <c r="B755" s="1">
        <v>0.03276197983103746</v>
      </c>
      <c r="C755" s="1">
        <v>0.004062002335084136</v>
      </c>
      <c r="D755" s="1">
        <v>-0.007900265403976148</v>
      </c>
      <c r="E755" s="1">
        <v>0.008657170939887937</v>
      </c>
      <c r="F755" s="1">
        <v>0.009397746514761218</v>
      </c>
      <c r="G755" s="1">
        <v>-0.008147102267570983</v>
      </c>
      <c r="H755" s="1">
        <v>-0.02212805620971869</v>
      </c>
      <c r="I755" s="1">
        <v>-0.007172520507580438</v>
      </c>
      <c r="J755" s="1">
        <v>0.008308827271948926</v>
      </c>
      <c r="K755" s="1">
        <v>0.02866777666061626</v>
      </c>
      <c r="L755" s="1">
        <v>0.01731204336565684</v>
      </c>
      <c r="M755" s="1">
        <v>0.01419968911487257</v>
      </c>
      <c r="N755" s="1">
        <v>-0.001619585448336514</v>
      </c>
      <c r="O755" s="1">
        <v>-0.008902913804159529</v>
      </c>
      <c r="P755" s="1">
        <v>-0.004430379030971987</v>
      </c>
      <c r="Q755" s="1">
        <v>-0.01104528440906327</v>
      </c>
      <c r="R755" s="1">
        <v>0.01260043188648741</v>
      </c>
      <c r="S755" s="1">
        <v>-0.03631258846689489</v>
      </c>
      <c r="T755" s="1">
        <v>-0.003126319356478668</v>
      </c>
      <c r="U755" s="1">
        <v>0.03503834434866415</v>
      </c>
      <c r="V755" s="1">
        <v>0.005295776563493337</v>
      </c>
      <c r="W755" s="1">
        <v>-0.0195272498091571</v>
      </c>
      <c r="X755" s="1">
        <v>0.002174292383224641</v>
      </c>
      <c r="Y755" s="1">
        <v>-0.003557129248987989</v>
      </c>
      <c r="Z755" s="1">
        <v>0.02061877632876352</v>
      </c>
    </row>
    <row r="756" spans="1:26">
      <c r="A756" s="11">
        <v>43468</v>
      </c>
      <c r="B756" s="1">
        <v>0.00258193179298738</v>
      </c>
      <c r="C756" s="1">
        <v>-0.03986899692074675</v>
      </c>
      <c r="D756" s="1">
        <v>-0.01255751658119042</v>
      </c>
      <c r="E756" s="1">
        <v>-0.1326415359072095</v>
      </c>
      <c r="F756" s="1">
        <v>0.007855904619730847</v>
      </c>
      <c r="G756" s="1">
        <v>0.005714176588290876</v>
      </c>
      <c r="H756" s="1">
        <v>0.01239950243178534</v>
      </c>
      <c r="I756" s="1">
        <v>-0.02734660069265837</v>
      </c>
      <c r="J756" s="1">
        <v>-0.033930978428096</v>
      </c>
      <c r="K756" s="1">
        <v>-0.01606545742041332</v>
      </c>
      <c r="L756" s="1">
        <v>-0.01421166153941544</v>
      </c>
      <c r="M756" s="1">
        <v>-0.03245624113671741</v>
      </c>
      <c r="N756" s="1">
        <v>-0.005475439599609166</v>
      </c>
      <c r="O756" s="1">
        <v>-0.01303156861210519</v>
      </c>
      <c r="P756" s="1">
        <v>-0.03678797917760157</v>
      </c>
      <c r="Q756" s="1">
        <v>0.001196647548725283</v>
      </c>
      <c r="R756" s="1">
        <v>-0.02315975694474892</v>
      </c>
      <c r="S756" s="1">
        <v>0.01917337957270138</v>
      </c>
      <c r="T756" s="1">
        <v>-0.03018634985250068</v>
      </c>
      <c r="U756" s="1">
        <v>0.001354376396148105</v>
      </c>
      <c r="V756" s="1">
        <v>-0.01369641418166556</v>
      </c>
      <c r="W756" s="1">
        <v>-0.03304172506808978</v>
      </c>
      <c r="X756" s="1">
        <v>-0.0253850734571065</v>
      </c>
      <c r="Y756" s="1">
        <v>0.003569827587111885</v>
      </c>
      <c r="Z756" s="1">
        <v>-0.005532012246105222</v>
      </c>
    </row>
    <row r="757" spans="1:26">
      <c r="A757" s="11">
        <v>43469</v>
      </c>
      <c r="B757" s="1">
        <v>0.04194280824446195</v>
      </c>
      <c r="C757" s="1">
        <v>0.05204232530789521</v>
      </c>
      <c r="D757" s="1">
        <v>0.03132713633730422</v>
      </c>
      <c r="E757" s="1">
        <v>0.03922879002952651</v>
      </c>
      <c r="F757" s="1">
        <v>0.03377576584746023</v>
      </c>
      <c r="G757" s="1">
        <v>0.01846606481136481</v>
      </c>
      <c r="H757" s="1">
        <v>0.005511378775021836</v>
      </c>
      <c r="I757" s="1">
        <v>0.05296755355424443</v>
      </c>
      <c r="J757" s="1">
        <v>0.0396385801065271</v>
      </c>
      <c r="K757" s="1">
        <v>0.03998656824656055</v>
      </c>
      <c r="L757" s="1">
        <v>0.03686503075980885</v>
      </c>
      <c r="M757" s="1">
        <v>0.04933123149165719</v>
      </c>
      <c r="N757" s="1">
        <v>0.02569287094126316</v>
      </c>
      <c r="O757" s="1">
        <v>0.02448406916851842</v>
      </c>
      <c r="P757" s="1">
        <v>0.0465094295908437</v>
      </c>
      <c r="Q757" s="1">
        <v>0.01752943048027733</v>
      </c>
      <c r="R757" s="1">
        <v>0.04440910620498251</v>
      </c>
      <c r="S757" s="1">
        <v>-0.01106608825639632</v>
      </c>
      <c r="T757" s="1">
        <v>0.0264992508221602</v>
      </c>
      <c r="U757" s="1">
        <v>0.02569314335323325</v>
      </c>
      <c r="V757" s="1">
        <v>0.01373410305930989</v>
      </c>
      <c r="W757" s="1">
        <v>0.04519956030901739</v>
      </c>
      <c r="X757" s="1">
        <v>0.04363322705649297</v>
      </c>
      <c r="Y757" s="1">
        <v>0.002490534441827563</v>
      </c>
      <c r="Z757" s="1">
        <v>0.03071359635353077</v>
      </c>
    </row>
    <row r="758" spans="1:26">
      <c r="A758" s="11">
        <v>43472</v>
      </c>
      <c r="B758" s="1">
        <v>0.02153937493074887</v>
      </c>
      <c r="C758" s="1">
        <v>0.003149002199836604</v>
      </c>
      <c r="D758" s="1">
        <v>-0.004962332168710781</v>
      </c>
      <c r="E758" s="1">
        <v>0.03241645696886541</v>
      </c>
      <c r="F758" s="1">
        <v>-0.01061122549851379</v>
      </c>
      <c r="G758" s="1">
        <v>0.00383508266201571</v>
      </c>
      <c r="H758" s="1">
        <v>0.02588285212680619</v>
      </c>
      <c r="I758" s="1">
        <v>0.01635068980066867</v>
      </c>
      <c r="J758" s="1">
        <v>0.0111006742473303</v>
      </c>
      <c r="K758" s="1">
        <v>0.01634066475495199</v>
      </c>
      <c r="L758" s="1">
        <v>0.0006954630542903573</v>
      </c>
      <c r="M758" s="1">
        <v>0.0002087544532589636</v>
      </c>
      <c r="N758" s="1">
        <v>-0.03021856523174871</v>
      </c>
      <c r="O758" s="1">
        <v>0.004379310135785186</v>
      </c>
      <c r="P758" s="1">
        <v>0.001275359462664882</v>
      </c>
      <c r="Q758" s="1">
        <v>0.005481751488557896</v>
      </c>
      <c r="R758" s="1">
        <v>-0.001185236990843941</v>
      </c>
      <c r="S758" s="1">
        <v>-0.002797505877193851</v>
      </c>
      <c r="T758" s="1">
        <v>0.01411130563672902</v>
      </c>
      <c r="U758" s="1">
        <v>0.01812771728394247</v>
      </c>
      <c r="V758" s="1">
        <v>0.0489236744518351</v>
      </c>
      <c r="W758" s="1">
        <v>0.01348305275229023</v>
      </c>
      <c r="X758" s="1">
        <v>-0.009598933353232142</v>
      </c>
      <c r="Y758" s="1">
        <v>0.006387426665951601</v>
      </c>
      <c r="Z758" s="1">
        <v>0.003988945962538626</v>
      </c>
    </row>
    <row r="759" spans="1:26">
      <c r="A759" s="11">
        <v>43473</v>
      </c>
      <c r="B759" s="1">
        <v>0.01486341709483607</v>
      </c>
      <c r="C759" s="1">
        <v>0.03785337800875932</v>
      </c>
      <c r="D759" s="1">
        <v>-0.002720111880155085</v>
      </c>
      <c r="E759" s="1">
        <v>-0.00867593993275606</v>
      </c>
      <c r="F759" s="1">
        <v>0.008185215957178693</v>
      </c>
      <c r="G759" s="1">
        <v>0.01910405354315636</v>
      </c>
      <c r="H759" s="1">
        <v>0.007498673332488659</v>
      </c>
      <c r="I759" s="1">
        <v>0.01790266495587534</v>
      </c>
      <c r="J759" s="1">
        <v>0.01241005672124662</v>
      </c>
      <c r="K759" s="1">
        <v>0.006935890193960237</v>
      </c>
      <c r="L759" s="1">
        <v>-0.001885658503018472</v>
      </c>
      <c r="M759" s="1">
        <v>-0.006893553562914767</v>
      </c>
      <c r="N759" s="1">
        <v>0.005740070545118048</v>
      </c>
      <c r="O759" s="1">
        <v>0.006852136596082969</v>
      </c>
      <c r="P759" s="1">
        <v>0.007250528605650119</v>
      </c>
      <c r="Q759" s="1">
        <v>0.01869175649306731</v>
      </c>
      <c r="R759" s="1">
        <v>0.009667503228047325</v>
      </c>
      <c r="S759" s="1">
        <v>0.0179549278278015</v>
      </c>
      <c r="T759" s="1">
        <v>0.007096235292921804</v>
      </c>
      <c r="U759" s="1">
        <v>0.01262547654561907</v>
      </c>
      <c r="V759" s="1">
        <v>-0.001004450184462158</v>
      </c>
      <c r="W759" s="1">
        <v>0.02327032767002901</v>
      </c>
      <c r="X759" s="1">
        <v>0.02412220961421574</v>
      </c>
      <c r="Y759" s="1">
        <v>0.02926637118647135</v>
      </c>
      <c r="Z759" s="1">
        <v>0.009114210735395867</v>
      </c>
    </row>
    <row r="760" spans="1:26">
      <c r="A760" s="11">
        <v>43474</v>
      </c>
      <c r="B760" s="1">
        <v>0.05109027220433382</v>
      </c>
      <c r="C760" s="1">
        <v>0.009690696947531441</v>
      </c>
      <c r="D760" s="1">
        <v>0.01712369355047705</v>
      </c>
      <c r="E760" s="1">
        <v>-0.01687847940538445</v>
      </c>
      <c r="F760" s="1">
        <v>0.009518213103594686</v>
      </c>
      <c r="G760" s="1">
        <v>-0.01227011058764804</v>
      </c>
      <c r="H760" s="1">
        <v>0.01756466652569055</v>
      </c>
      <c r="I760" s="1">
        <v>-0.01650513622997851</v>
      </c>
      <c r="J760" s="1">
        <v>0</v>
      </c>
      <c r="K760" s="1">
        <v>0.0009390944370546439</v>
      </c>
      <c r="L760" s="1">
        <v>-0.001690399555739686</v>
      </c>
      <c r="M760" s="1">
        <v>0.03239393253226619</v>
      </c>
      <c r="N760" s="1">
        <v>0.01223007075475002</v>
      </c>
      <c r="O760" s="1">
        <v>0.0008658086511497132</v>
      </c>
      <c r="P760" s="1">
        <v>0.01429960816168063</v>
      </c>
      <c r="Q760" s="1">
        <v>-0.0007644936862041263</v>
      </c>
      <c r="R760" s="1">
        <v>-0.01511844107195293</v>
      </c>
      <c r="S760" s="1">
        <v>-0.006965637637450839</v>
      </c>
      <c r="T760" s="1">
        <v>-0.001629836124085404</v>
      </c>
      <c r="U760" s="1">
        <v>-0.01649310819090066</v>
      </c>
      <c r="V760" s="1">
        <v>0.009768348472331212</v>
      </c>
      <c r="W760" s="1">
        <v>0.02787200855942973</v>
      </c>
      <c r="X760" s="1">
        <v>-0.005678111366820615</v>
      </c>
      <c r="Y760" s="1">
        <v>-0.01258256670337921</v>
      </c>
      <c r="Z760" s="1">
        <v>0.008568677212953402</v>
      </c>
    </row>
    <row r="761" spans="1:26">
      <c r="A761" s="11">
        <v>43475</v>
      </c>
      <c r="B761" s="1">
        <v>0.003240284602944232</v>
      </c>
      <c r="C761" s="1">
        <v>0.02553577268002338</v>
      </c>
      <c r="D761" s="1">
        <v>0.002831018375563987</v>
      </c>
      <c r="E761" s="1">
        <v>0.01144578876299418</v>
      </c>
      <c r="F761" s="1">
        <v>-0.006655678893219386</v>
      </c>
      <c r="G761" s="1">
        <v>0.01828839713410102</v>
      </c>
      <c r="H761" s="1">
        <v>0.008777234997675132</v>
      </c>
      <c r="I761" s="1">
        <v>0.03103761301698893</v>
      </c>
      <c r="J761" s="1">
        <v>0.01225829126992894</v>
      </c>
      <c r="K761" s="1">
        <v>-0.002814849770541694</v>
      </c>
      <c r="L761" s="1">
        <v>-9.962552523168355E-05</v>
      </c>
      <c r="M761" s="1">
        <v>-0.001833897222844882</v>
      </c>
      <c r="N761" s="1">
        <v>-0.01610980713789956</v>
      </c>
      <c r="O761" s="1">
        <v>0.007047113237680591</v>
      </c>
      <c r="P761" s="1">
        <v>-0.006425558183378977</v>
      </c>
      <c r="Q761" s="1">
        <v>0.02027500444475128</v>
      </c>
      <c r="R761" s="1">
        <v>0.009039082984684477</v>
      </c>
      <c r="S761" s="1">
        <v>0.01382597637818606</v>
      </c>
      <c r="T761" s="1">
        <v>0.003541195966497046</v>
      </c>
      <c r="U761" s="1">
        <v>0.009966750488589415</v>
      </c>
      <c r="V761" s="1">
        <v>-0.02845310181794369</v>
      </c>
      <c r="W761" s="1">
        <v>0.01044904081397657</v>
      </c>
      <c r="X761" s="1">
        <v>0.01353628553725161</v>
      </c>
      <c r="Y761" s="1">
        <v>0.009640403649627372</v>
      </c>
      <c r="Z761" s="1">
        <v>0.004821642483719302</v>
      </c>
    </row>
    <row r="762" spans="1:26">
      <c r="A762" s="11">
        <v>43476</v>
      </c>
      <c r="B762" s="1">
        <v>0.004521943795265493</v>
      </c>
      <c r="C762" s="1">
        <v>0.0008225486824569028</v>
      </c>
      <c r="D762" s="1">
        <v>-0.007428445903765124</v>
      </c>
      <c r="E762" s="1">
        <v>0.005657707726595795</v>
      </c>
      <c r="F762" s="1">
        <v>-0.005304096218378684</v>
      </c>
      <c r="G762" s="1">
        <v>-0.004404901772953385</v>
      </c>
      <c r="H762" s="1">
        <v>0.01624111081767232</v>
      </c>
      <c r="I762" s="1">
        <v>-0.005279168742851059</v>
      </c>
      <c r="J762" s="1">
        <v>-0.01397282619087026</v>
      </c>
      <c r="K762" s="1">
        <v>0.009410089354531914</v>
      </c>
      <c r="L762" s="1">
        <v>-0.004781292276457072</v>
      </c>
      <c r="M762" s="1">
        <v>-0.009593952693319974</v>
      </c>
      <c r="N762" s="1">
        <v>0.0008187178946859053</v>
      </c>
      <c r="O762" s="1">
        <v>-0.003805732910259318</v>
      </c>
      <c r="P762" s="1">
        <v>-0.007722072555735759</v>
      </c>
      <c r="Q762" s="1">
        <v>-0.0104983400551556</v>
      </c>
      <c r="R762" s="1">
        <v>0.004733178788877357</v>
      </c>
      <c r="S762" s="1">
        <v>-0.00109506794711911</v>
      </c>
      <c r="T762" s="1">
        <v>-0.009060156134739539</v>
      </c>
      <c r="U762" s="1">
        <v>0.01546075472722208</v>
      </c>
      <c r="V762" s="1">
        <v>0.01932922736685261</v>
      </c>
      <c r="W762" s="1">
        <v>0.00477228170487054</v>
      </c>
      <c r="X762" s="1">
        <v>0.001878330976341269</v>
      </c>
      <c r="Y762" s="1">
        <v>0.007291844869491637</v>
      </c>
      <c r="Z762" s="1">
        <v>0.005256032249528975</v>
      </c>
    </row>
    <row r="763" spans="1:26">
      <c r="A763" s="11">
        <v>43479</v>
      </c>
      <c r="B763" s="1">
        <v>0.01511240348161236</v>
      </c>
      <c r="C763" s="1">
        <v>-0.007197593136816005</v>
      </c>
      <c r="D763" s="1">
        <v>-0.01032780446829973</v>
      </c>
      <c r="E763" s="1">
        <v>-0.0004165595958527391</v>
      </c>
      <c r="F763" s="1">
        <v>0.003929322813659208</v>
      </c>
      <c r="G763" s="1">
        <v>-0.006126863543172045</v>
      </c>
      <c r="H763" s="1">
        <v>0</v>
      </c>
      <c r="I763" s="1">
        <v>-0.005496709499487218</v>
      </c>
      <c r="J763" s="1">
        <v>-0.01794947565575156</v>
      </c>
      <c r="K763" s="1">
        <v>0.005904236291101039</v>
      </c>
      <c r="L763" s="1">
        <v>0.01030904417556866</v>
      </c>
      <c r="M763" s="1">
        <v>0.004946488706705443</v>
      </c>
      <c r="N763" s="1">
        <v>-0.01308757278289796</v>
      </c>
      <c r="O763" s="1">
        <v>0.004189580070746324</v>
      </c>
      <c r="P763" s="1">
        <v>-0.007295881355239509</v>
      </c>
      <c r="Q763" s="1">
        <v>-0.01780981409041493</v>
      </c>
      <c r="R763" s="1">
        <v>0.008916474071922753</v>
      </c>
      <c r="S763" s="1">
        <v>0.001245968518271079</v>
      </c>
      <c r="T763" s="1">
        <v>0.0047231369994849</v>
      </c>
      <c r="U763" s="1">
        <v>-0.008098545610363383</v>
      </c>
      <c r="V763" s="1">
        <v>-0.01106155965845823</v>
      </c>
      <c r="W763" s="1">
        <v>-0.02066639000938264</v>
      </c>
      <c r="X763" s="1">
        <v>0.0002080803381092622</v>
      </c>
      <c r="Y763" s="1">
        <v>0.0001725448448566258</v>
      </c>
      <c r="Z763" s="1">
        <v>0.007501980002118769</v>
      </c>
    </row>
    <row r="764" spans="1:26">
      <c r="A764" s="11">
        <v>43480</v>
      </c>
      <c r="B764" s="1">
        <v>0.005701654806897549</v>
      </c>
      <c r="C764" s="1">
        <v>0.005366066259829827</v>
      </c>
      <c r="D764" s="1">
        <v>0.02147598630221959</v>
      </c>
      <c r="E764" s="1">
        <v>0.0364809544796123</v>
      </c>
      <c r="F764" s="1">
        <v>0.001677092534406288</v>
      </c>
      <c r="G764" s="1">
        <v>0.003082235317691362</v>
      </c>
      <c r="H764" s="1">
        <v>0.0139839301989686</v>
      </c>
      <c r="I764" s="1">
        <v>-0.00228684884064978</v>
      </c>
      <c r="J764" s="1">
        <v>0.01058158852173574</v>
      </c>
      <c r="K764" s="1">
        <v>-0.02038908502170733</v>
      </c>
      <c r="L764" s="1">
        <v>0.007331370294895168</v>
      </c>
      <c r="M764" s="1">
        <v>0.01743239621243808</v>
      </c>
      <c r="N764" s="1">
        <v>-0.007252575713614262</v>
      </c>
      <c r="O764" s="1">
        <v>0.002331458682008236</v>
      </c>
      <c r="P764" s="1">
        <v>0.02900584872440293</v>
      </c>
      <c r="Q764" s="1">
        <v>0.01620387138505719</v>
      </c>
      <c r="R764" s="1">
        <v>-0.006669741350275427</v>
      </c>
      <c r="S764" s="1">
        <v>0.0152276616167939</v>
      </c>
      <c r="T764" s="1">
        <v>-0.04112621545614681</v>
      </c>
      <c r="U764" s="1">
        <v>-0.0006533645712663017</v>
      </c>
      <c r="V764" s="1">
        <v>-0.009151597939866085</v>
      </c>
      <c r="W764" s="1">
        <v>0.001829348046078039</v>
      </c>
      <c r="X764" s="1">
        <v>0.002707530395632984</v>
      </c>
      <c r="Y764" s="1">
        <v>0.001206101055922559</v>
      </c>
      <c r="Z764" s="1">
        <v>0.01105596456180824</v>
      </c>
    </row>
    <row r="765" spans="1:26">
      <c r="A765" s="11">
        <v>43481</v>
      </c>
      <c r="B765" s="1">
        <v>-0.01700776896719725</v>
      </c>
      <c r="C765" s="1">
        <v>-0.000511077506883284</v>
      </c>
      <c r="D765" s="1">
        <v>0.01066064557268054</v>
      </c>
      <c r="E765" s="1">
        <v>-0.01186643597515347</v>
      </c>
      <c r="F765" s="1">
        <v>0.001953695304951042</v>
      </c>
      <c r="G765" s="1">
        <v>0.007852827318855615</v>
      </c>
      <c r="H765" s="1">
        <v>-0.007036257878385022</v>
      </c>
      <c r="I765" s="1">
        <v>0.002292090505164213</v>
      </c>
      <c r="J765" s="1">
        <v>0.00190376927016489</v>
      </c>
      <c r="K765" s="1">
        <v>-0.00126158362990958</v>
      </c>
      <c r="L765" s="1">
        <v>0.008064248726935563</v>
      </c>
      <c r="M765" s="1">
        <v>0.003426708811824275</v>
      </c>
      <c r="N765" s="1">
        <v>-0.01481948019874058</v>
      </c>
      <c r="O765" s="1">
        <v>0.003918035419294474</v>
      </c>
      <c r="P765" s="1">
        <v>0.003523186286970681</v>
      </c>
      <c r="Q765" s="1">
        <v>0.004176027637811774</v>
      </c>
      <c r="R765" s="1">
        <v>0.008225454972611068</v>
      </c>
      <c r="S765" s="1">
        <v>0.001470656547946758</v>
      </c>
      <c r="T765" s="1">
        <v>0.01441899151212445</v>
      </c>
      <c r="U765" s="1">
        <v>-0.001307098308292232</v>
      </c>
      <c r="V765" s="1">
        <v>-0.005277973356093812</v>
      </c>
      <c r="W765" s="1">
        <v>-0.003567117013507759</v>
      </c>
      <c r="X765" s="1">
        <v>-0.00249250412450186</v>
      </c>
      <c r="Y765" s="1">
        <v>-0.01755590569102827</v>
      </c>
      <c r="Z765" s="1">
        <v>0.02097762341348308</v>
      </c>
    </row>
    <row r="766" spans="1:26">
      <c r="A766" s="11">
        <v>43482</v>
      </c>
      <c r="B766" s="1">
        <v>0.01537971469482069</v>
      </c>
      <c r="C766" s="1">
        <v>0.01996817424201058</v>
      </c>
      <c r="D766" s="1">
        <v>0.01259852212986035</v>
      </c>
      <c r="E766" s="1">
        <v>0.009566441410072901</v>
      </c>
      <c r="F766" s="1">
        <v>0.0002788658817909351</v>
      </c>
      <c r="G766" s="1">
        <v>0.0006772119701643486</v>
      </c>
      <c r="H766" s="1">
        <v>0.01417244868747036</v>
      </c>
      <c r="I766" s="1">
        <v>0.01689870917428871</v>
      </c>
      <c r="J766" s="1">
        <v>0.008551460859857585</v>
      </c>
      <c r="K766" s="1">
        <v>0.0186296065066045</v>
      </c>
      <c r="L766" s="1">
        <v>0.004097452864030293</v>
      </c>
      <c r="M766" s="1">
        <v>0.01627171177470177</v>
      </c>
      <c r="N766" s="1">
        <v>-0.002965816301546242</v>
      </c>
      <c r="O766" s="1">
        <v>0.00463423193168655</v>
      </c>
      <c r="P766" s="1">
        <v>0.007022257003860277</v>
      </c>
      <c r="Q766" s="1">
        <v>0.01058584250022676</v>
      </c>
      <c r="R766" s="1">
        <v>0.02131220591162464</v>
      </c>
      <c r="S766" s="1">
        <v>0.003083330374447302</v>
      </c>
      <c r="T766" s="1">
        <v>0.0196158132551898</v>
      </c>
      <c r="U766" s="1">
        <v>0.002617895699598582</v>
      </c>
      <c r="V766" s="1">
        <v>0.0224021183386085</v>
      </c>
      <c r="W766" s="1">
        <v>0.0150873634648061</v>
      </c>
      <c r="X766" s="1">
        <v>0.01228390269711643</v>
      </c>
      <c r="Y766" s="1">
        <v>-0.004379967537215035</v>
      </c>
      <c r="Z766" s="1">
        <v>0.018360419378469</v>
      </c>
    </row>
    <row r="767" spans="1:26">
      <c r="A767" s="11">
        <v>43483</v>
      </c>
      <c r="B767" s="1">
        <v>0.02067426082152246</v>
      </c>
      <c r="C767" s="1">
        <v>0.01570647704354888</v>
      </c>
      <c r="D767" s="1">
        <v>0.02184591360087551</v>
      </c>
      <c r="E767" s="1">
        <v>0.01048379605572358</v>
      </c>
      <c r="F767" s="1">
        <v>0.008353963000731213</v>
      </c>
      <c r="G767" s="1">
        <v>-0.003385296891076361</v>
      </c>
      <c r="H767" s="1">
        <v>-0.008105193902644969</v>
      </c>
      <c r="I767" s="1">
        <v>0.02836253445056269</v>
      </c>
      <c r="J767" s="1">
        <v>0.02449371304385473</v>
      </c>
      <c r="K767" s="1">
        <v>0.01456935891011368</v>
      </c>
      <c r="L767" s="1">
        <v>0.01622655949625051</v>
      </c>
      <c r="M767" s="1">
        <v>0.01937125998729639</v>
      </c>
      <c r="N767" s="1">
        <v>0.02656145283047051</v>
      </c>
      <c r="O767" s="1">
        <v>0.02039326522975693</v>
      </c>
      <c r="P767" s="1">
        <v>0.01498313705976662</v>
      </c>
      <c r="Q767" s="1">
        <v>-0.002992674344027946</v>
      </c>
      <c r="R767" s="1">
        <v>0.02673612802372438</v>
      </c>
      <c r="S767" s="1">
        <v>-0.00883198099911775</v>
      </c>
      <c r="T767" s="1">
        <v>0.01013832910926271</v>
      </c>
      <c r="U767" s="1">
        <v>0.01044389477265351</v>
      </c>
      <c r="V767" s="1">
        <v>0.01888437441716739</v>
      </c>
      <c r="W767" s="1">
        <v>0.0104547535842332</v>
      </c>
      <c r="X767" s="1">
        <v>0.01604288541348553</v>
      </c>
      <c r="Y767" s="1">
        <v>0.004575086686068541</v>
      </c>
      <c r="Z767" s="1">
        <v>0.009873425063751107</v>
      </c>
    </row>
    <row r="768" spans="1:26">
      <c r="A768" s="11">
        <v>43487</v>
      </c>
      <c r="B768" s="1">
        <v>-0.01776283003682289</v>
      </c>
      <c r="C768" s="1">
        <v>-0.01872626248266096</v>
      </c>
      <c r="D768" s="1">
        <v>-0.01373315137378883</v>
      </c>
      <c r="E768" s="1">
        <v>-0.007980773976099309</v>
      </c>
      <c r="F768" s="1">
        <v>-0.03424471501083159</v>
      </c>
      <c r="G768" s="1">
        <v>0.005774529074859647</v>
      </c>
      <c r="H768" s="1">
        <v>-0.002817844898869049</v>
      </c>
      <c r="I768" s="1">
        <v>-0.03505254929317891</v>
      </c>
      <c r="J768" s="1">
        <v>-0.01977031415671948</v>
      </c>
      <c r="K768" s="1">
        <v>-0.005499657466095598</v>
      </c>
      <c r="L768" s="1">
        <v>-0.0157760151243439</v>
      </c>
      <c r="M768" s="1">
        <v>-0.01997264732969573</v>
      </c>
      <c r="N768" s="1">
        <v>-0.06913692165810825</v>
      </c>
      <c r="O768" s="1">
        <v>-0.01058784067724639</v>
      </c>
      <c r="P768" s="1">
        <v>-0.01884698807021501</v>
      </c>
      <c r="Q768" s="1">
        <v>-0.003752646512563462</v>
      </c>
      <c r="R768" s="1">
        <v>-0.01476626666661929</v>
      </c>
      <c r="S768" s="1">
        <v>-0.00797481600111638</v>
      </c>
      <c r="T768" s="1">
        <v>-0.01144197507510081</v>
      </c>
      <c r="U768" s="1">
        <v>-0.01227383029654705</v>
      </c>
      <c r="V768" s="1">
        <v>-0.005659246056769041</v>
      </c>
      <c r="W768" s="1">
        <v>0.0001662642463304831</v>
      </c>
      <c r="X768" s="1">
        <v>-0.01923060575382574</v>
      </c>
      <c r="Y768" s="1">
        <v>-0.00175151720845268</v>
      </c>
      <c r="Z768" s="1">
        <v>-0.01105202670799021</v>
      </c>
    </row>
    <row r="769" spans="1:26">
      <c r="A769" s="11">
        <v>43488</v>
      </c>
      <c r="B769" s="1">
        <v>-0.01744897240811616</v>
      </c>
      <c r="C769" s="1">
        <v>0.001983812016721709</v>
      </c>
      <c r="D769" s="1">
        <v>-0.0002872934641610092</v>
      </c>
      <c r="E769" s="1">
        <v>0.004827028259166699</v>
      </c>
      <c r="F769" s="1">
        <v>0.05490435303668284</v>
      </c>
      <c r="G769" s="1">
        <v>0.008781011966562779</v>
      </c>
      <c r="H769" s="1">
        <v>-0.0002822687027838056</v>
      </c>
      <c r="I769" s="1">
        <v>-0.007743591239048331</v>
      </c>
      <c r="J769" s="1">
        <v>0.005628498763804668</v>
      </c>
      <c r="K769" s="1">
        <v>-0.0156682369294926</v>
      </c>
      <c r="L769" s="1">
        <v>-0.002525805815069115</v>
      </c>
      <c r="M769" s="1">
        <v>0.009497234044778091</v>
      </c>
      <c r="N769" s="1">
        <v>-0.006003792699562749</v>
      </c>
      <c r="O769" s="1">
        <v>0.001683314125327406</v>
      </c>
      <c r="P769" s="1">
        <v>0.009746257061626018</v>
      </c>
      <c r="Q769" s="1">
        <v>0.01054643541949352</v>
      </c>
      <c r="R769" s="1">
        <v>-0.006929893201617299</v>
      </c>
      <c r="S769" s="1">
        <v>0.001587537590607369</v>
      </c>
      <c r="T769" s="1">
        <v>-0.001472184716138858</v>
      </c>
      <c r="U769" s="1">
        <v>0.01013717171487394</v>
      </c>
      <c r="V769" s="1">
        <v>0.0005689364221306281</v>
      </c>
      <c r="W769" s="1">
        <v>0.003157330325538332</v>
      </c>
      <c r="X769" s="1">
        <v>0.01486035811809083</v>
      </c>
      <c r="Y769" s="1">
        <v>0.0135109588877409</v>
      </c>
      <c r="Z769" s="1">
        <v>0.03395637632189352</v>
      </c>
    </row>
    <row r="770" spans="1:26">
      <c r="A770" s="11">
        <v>43489</v>
      </c>
      <c r="B770" s="1">
        <v>0.02809135711449651</v>
      </c>
      <c r="C770" s="1">
        <v>-0.0009481234756983925</v>
      </c>
      <c r="D770" s="1">
        <v>0.004451707943850636</v>
      </c>
      <c r="E770" s="1">
        <v>-0.01881461722779776</v>
      </c>
      <c r="F770" s="1">
        <v>-0.01761989209866477</v>
      </c>
      <c r="G770" s="1">
        <v>0.0083694611812275</v>
      </c>
      <c r="H770" s="1">
        <v>-0.01865485816604073</v>
      </c>
      <c r="I770" s="1">
        <v>0.005202825135124822</v>
      </c>
      <c r="J770" s="1">
        <v>0.01539185668081489</v>
      </c>
      <c r="K770" s="1">
        <v>0.007178345835969324</v>
      </c>
      <c r="L770" s="1">
        <v>0.0005841163466624444</v>
      </c>
      <c r="M770" s="1">
        <v>0.06252443150473042</v>
      </c>
      <c r="N770" s="1">
        <v>-0.03064900701649831</v>
      </c>
      <c r="O770" s="1">
        <v>-0.003721015340477973</v>
      </c>
      <c r="P770" s="1">
        <v>-0.004779183923720121</v>
      </c>
      <c r="Q770" s="1">
        <v>0.0007454940775704078</v>
      </c>
      <c r="R770" s="1">
        <v>0.002758673374295251</v>
      </c>
      <c r="S770" s="1">
        <v>0.003964007612839326</v>
      </c>
      <c r="T770" s="1">
        <v>-0.007956240707301276</v>
      </c>
      <c r="U770" s="1">
        <v>-0.009388267573212539</v>
      </c>
      <c r="V770" s="1">
        <v>0.004124297678098854</v>
      </c>
      <c r="W770" s="1">
        <v>-0.003644597682012862</v>
      </c>
      <c r="X770" s="1">
        <v>0.0559285632573876</v>
      </c>
      <c r="Y770" s="1">
        <v>-0.01194578541924318</v>
      </c>
      <c r="Z770" s="1">
        <v>0.0101848991288771</v>
      </c>
    </row>
    <row r="771" spans="1:26">
      <c r="A771" s="11">
        <v>43490</v>
      </c>
      <c r="B771" s="1">
        <v>0.00690983768642317</v>
      </c>
      <c r="C771" s="1">
        <v>0.01655180381920074</v>
      </c>
      <c r="D771" s="1">
        <v>0.005432342563561843</v>
      </c>
      <c r="E771" s="1">
        <v>-0.001836371066071263</v>
      </c>
      <c r="F771" s="1">
        <v>-0.01269315830578543</v>
      </c>
      <c r="G771" s="1">
        <v>-0.01095630229610511</v>
      </c>
      <c r="H771" s="1">
        <v>-0.0138245946317167</v>
      </c>
      <c r="I771" s="1">
        <v>0.01937753453435254</v>
      </c>
      <c r="J771" s="1">
        <v>0.01515876999656762</v>
      </c>
      <c r="K771" s="1">
        <v>0.01363514656832221</v>
      </c>
      <c r="L771" s="1">
        <v>0.006326899472011371</v>
      </c>
      <c r="M771" s="1">
        <v>0.01420401478000599</v>
      </c>
      <c r="N771" s="1">
        <v>0.02100170617994568</v>
      </c>
      <c r="O771" s="1">
        <v>0.006264951482926495</v>
      </c>
      <c r="P771" s="1">
        <v>0.009133783043889565</v>
      </c>
      <c r="Q771" s="1">
        <v>-0.01824962951622533</v>
      </c>
      <c r="R771" s="1">
        <v>0.01456547867340929</v>
      </c>
      <c r="S771" s="1">
        <v>0.01485483822903721</v>
      </c>
      <c r="T771" s="1">
        <v>0.006584994490495433</v>
      </c>
      <c r="U771" s="1">
        <v>0.001961167279889597</v>
      </c>
      <c r="V771" s="1">
        <v>0.02520908084996676</v>
      </c>
      <c r="W771" s="1">
        <v>0.001330426972369958</v>
      </c>
      <c r="X771" s="1">
        <v>0.01309702914313626</v>
      </c>
      <c r="Y771" s="1">
        <v>-0.01173999031534678</v>
      </c>
      <c r="Z771" s="1">
        <v>0.001646224657104955</v>
      </c>
    </row>
    <row r="772" spans="1:26">
      <c r="A772" s="11">
        <v>43493</v>
      </c>
      <c r="B772" s="1">
        <v>0.007174212287396342</v>
      </c>
      <c r="C772" s="1">
        <v>-0.00337727452290304</v>
      </c>
      <c r="D772" s="1">
        <v>-0.002274908090574734</v>
      </c>
      <c r="E772" s="1">
        <v>-0.01246689279564028</v>
      </c>
      <c r="F772" s="1">
        <v>-0.01145853744296865</v>
      </c>
      <c r="G772" s="1">
        <v>0.002349637706017038</v>
      </c>
      <c r="H772" s="1">
        <v>0.01080607538721057</v>
      </c>
      <c r="I772" s="1">
        <v>-0.03102164091387971</v>
      </c>
      <c r="J772" s="1">
        <v>-0.005430071955005999</v>
      </c>
      <c r="K772" s="1">
        <v>-0.0006115074889174732</v>
      </c>
      <c r="L772" s="1">
        <v>0.004739572380710877</v>
      </c>
      <c r="M772" s="1">
        <v>0.009821824756276909</v>
      </c>
      <c r="N772" s="1">
        <v>0.02396038419834134</v>
      </c>
      <c r="O772" s="1">
        <v>-0.00550725307249611</v>
      </c>
      <c r="P772" s="1">
        <v>-0.01950182398182931</v>
      </c>
      <c r="Q772" s="1">
        <v>-0.006449218598893691</v>
      </c>
      <c r="R772" s="1">
        <v>-0.02217251469260517</v>
      </c>
      <c r="S772" s="1">
        <v>0.01244869925274972</v>
      </c>
      <c r="T772" s="1">
        <v>0.01061544849995033</v>
      </c>
      <c r="U772" s="1">
        <v>0.0003260139185046196</v>
      </c>
      <c r="V772" s="1">
        <v>-0.003729988005934604</v>
      </c>
      <c r="W772" s="1">
        <v>-0.01253623866141107</v>
      </c>
      <c r="X772" s="1">
        <v>0.003801971681360872</v>
      </c>
      <c r="Y772" s="1">
        <v>-0.02358151228920347</v>
      </c>
      <c r="Z772" s="1">
        <v>0.002465075979833253</v>
      </c>
    </row>
    <row r="773" spans="1:26">
      <c r="A773" s="11">
        <v>43494</v>
      </c>
      <c r="B773" s="1">
        <v>0.02446562436204425</v>
      </c>
      <c r="C773" s="1">
        <v>0.005344821037055025</v>
      </c>
      <c r="D773" s="1">
        <v>0.001140202349693586</v>
      </c>
      <c r="E773" s="1">
        <v>0</v>
      </c>
      <c r="F773" s="1">
        <v>0.0200735003670176</v>
      </c>
      <c r="G773" s="1">
        <v>0.00569338705154987</v>
      </c>
      <c r="H773" s="1">
        <v>-0.003467476687321835</v>
      </c>
      <c r="I773" s="1">
        <v>0.02549686257680928</v>
      </c>
      <c r="J773" s="1">
        <v>-0.00454972732343395</v>
      </c>
      <c r="K773" s="1">
        <v>0.003976820676022674</v>
      </c>
      <c r="L773" s="1">
        <v>0.002791543950364739</v>
      </c>
      <c r="M773" s="1">
        <v>0.01530993949680792</v>
      </c>
      <c r="N773" s="1">
        <v>0.01346578576270718</v>
      </c>
      <c r="O773" s="1">
        <v>-0.0003027977386101943</v>
      </c>
      <c r="P773" s="1">
        <v>-0.02036544394401574</v>
      </c>
      <c r="Q773" s="1">
        <v>0.006109318770150862</v>
      </c>
      <c r="R773" s="1">
        <v>0.05774819755939253</v>
      </c>
      <c r="S773" s="1">
        <v>0.01056676553351288</v>
      </c>
      <c r="T773" s="1">
        <v>0.01511297316012361</v>
      </c>
      <c r="U773" s="1">
        <v>0.0009782762105174925</v>
      </c>
      <c r="V773" s="1">
        <v>-0.005823787964763127</v>
      </c>
      <c r="W773" s="1">
        <v>-0.004119899031098662</v>
      </c>
      <c r="X773" s="1">
        <v>-0.0009467469264836659</v>
      </c>
      <c r="Y773" s="1">
        <v>-0.0325042825810139</v>
      </c>
      <c r="Z773" s="1">
        <v>-0.01127039810182773</v>
      </c>
    </row>
    <row r="774" spans="1:26">
      <c r="A774" s="11">
        <v>43495</v>
      </c>
      <c r="B774" s="1">
        <v>0.009673595429574355</v>
      </c>
      <c r="C774" s="1">
        <v>0.06250854208731615</v>
      </c>
      <c r="D774" s="1">
        <v>0.02092523839574012</v>
      </c>
      <c r="E774" s="1">
        <v>0.0111756473916933</v>
      </c>
      <c r="F774" s="1">
        <v>-0.01801580194103658</v>
      </c>
      <c r="G774" s="1">
        <v>0.005994011449091285</v>
      </c>
      <c r="H774" s="1">
        <v>0.0115978181072991</v>
      </c>
      <c r="I774" s="1">
        <v>0.01514198692032087</v>
      </c>
      <c r="J774" s="1">
        <v>0.01462514077133936</v>
      </c>
      <c r="K774" s="1">
        <v>0.008226661171196747</v>
      </c>
      <c r="L774" s="1">
        <v>0.002303941921083075</v>
      </c>
      <c r="M774" s="1">
        <v>0.01986867029006212</v>
      </c>
      <c r="N774" s="1">
        <v>0.04116740341291236</v>
      </c>
      <c r="O774" s="1">
        <v>0.01379798471715876</v>
      </c>
      <c r="P774" s="1">
        <v>0.03341744072007602</v>
      </c>
      <c r="Q774" s="1">
        <v>0.01518008896238188</v>
      </c>
      <c r="R774" s="1">
        <v>-0.001388126176930182</v>
      </c>
      <c r="S774" s="1">
        <v>-0.0007128962371255598</v>
      </c>
      <c r="T774" s="1">
        <v>0.005533793628239136</v>
      </c>
      <c r="U774" s="1">
        <v>-0.04332242417392718</v>
      </c>
      <c r="V774" s="1">
        <v>0.008786755543677138</v>
      </c>
      <c r="W774" s="1">
        <v>0.03444499174262328</v>
      </c>
      <c r="X774" s="1">
        <v>0.01383903664143538</v>
      </c>
      <c r="Y774" s="1">
        <v>0.01351348398882157</v>
      </c>
      <c r="Z774" s="1">
        <v>-0.005595900781915519</v>
      </c>
    </row>
    <row r="775" spans="1:26">
      <c r="A775" s="11">
        <v>43496</v>
      </c>
      <c r="B775" s="1">
        <v>-0.01736514873418249</v>
      </c>
      <c r="C775" s="1">
        <v>-0.005416427066566532</v>
      </c>
      <c r="D775" s="1">
        <v>0.01073570887399411</v>
      </c>
      <c r="E775" s="1">
        <v>0.01043810799489364</v>
      </c>
      <c r="F775" s="1">
        <v>0.03217601801477032</v>
      </c>
      <c r="G775" s="1">
        <v>0.02350223842267529</v>
      </c>
      <c r="H775" s="1">
        <v>0.01547712781282562</v>
      </c>
      <c r="I775" s="1">
        <v>0.006691104377478885</v>
      </c>
      <c r="J775" s="1">
        <v>-0.007657594650154587</v>
      </c>
      <c r="K775" s="1">
        <v>0.02054992609710959</v>
      </c>
      <c r="L775" s="1">
        <v>-0.00871585585384127</v>
      </c>
      <c r="M775" s="1">
        <v>-0.0126978173351161</v>
      </c>
      <c r="N775" s="1">
        <v>0.03242691860067093</v>
      </c>
      <c r="O775" s="1">
        <v>0.05288947941148536</v>
      </c>
      <c r="P775" s="1">
        <v>-0.01833030337812236</v>
      </c>
      <c r="Q775" s="1">
        <v>0.01981321202127129</v>
      </c>
      <c r="R775" s="1">
        <v>0.01189214872548083</v>
      </c>
      <c r="S775" s="1">
        <v>0.01079650541331056</v>
      </c>
      <c r="T775" s="1">
        <v>0.04019943654875213</v>
      </c>
      <c r="U775" s="1">
        <v>0.02349295680671126</v>
      </c>
      <c r="V775" s="1">
        <v>0.009262770196084125</v>
      </c>
      <c r="W775" s="1">
        <v>0.002489050834064477</v>
      </c>
      <c r="X775" s="1">
        <v>-0.004674839898277772</v>
      </c>
      <c r="Y775" s="1">
        <v>0.01962976994948673</v>
      </c>
      <c r="Z775" s="1">
        <v>-0.008128122638316526</v>
      </c>
    </row>
    <row r="776" spans="1:26">
      <c r="A776" s="11">
        <v>43497</v>
      </c>
      <c r="B776" s="1">
        <v>-0.005180005786384223</v>
      </c>
      <c r="C776" s="1">
        <v>0.004693869439850173</v>
      </c>
      <c r="D776" s="1">
        <v>-0.00496604142807322</v>
      </c>
      <c r="E776" s="1">
        <v>0.01053242929528442</v>
      </c>
      <c r="F776" s="1">
        <v>0.006015827877430047</v>
      </c>
      <c r="G776" s="1">
        <v>-0.003557404303103362</v>
      </c>
      <c r="H776" s="1">
        <v>-0.01185443731147251</v>
      </c>
      <c r="I776" s="1">
        <v>-0.0007319622516462898</v>
      </c>
      <c r="J776" s="1">
        <v>0.01044012123362714</v>
      </c>
      <c r="K776" s="1">
        <v>-0.01539815487067997</v>
      </c>
      <c r="L776" s="1">
        <v>0.003671839082274753</v>
      </c>
      <c r="M776" s="1">
        <v>0.006518685333650742</v>
      </c>
      <c r="N776" s="1">
        <v>-0.003039654763120403</v>
      </c>
      <c r="O776" s="1">
        <v>0.02335844769762652</v>
      </c>
      <c r="P776" s="1">
        <v>-0.01580009077296574</v>
      </c>
      <c r="Q776" s="1">
        <v>-0.01796206174199277</v>
      </c>
      <c r="R776" s="1">
        <v>-0.008546890794498219</v>
      </c>
      <c r="S776" s="1">
        <v>-0.01421040595550571</v>
      </c>
      <c r="T776" s="1">
        <v>-0.01067586444914781</v>
      </c>
      <c r="U776" s="1">
        <v>-0.001995903913267094</v>
      </c>
      <c r="V776" s="1">
        <v>-0.02506819608962974</v>
      </c>
      <c r="W776" s="1">
        <v>-0.009117939948482978</v>
      </c>
      <c r="X776" s="1">
        <v>0.005260328313274387</v>
      </c>
      <c r="Y776" s="1">
        <v>-0.009262605756001796</v>
      </c>
      <c r="Z776" s="1">
        <v>0.01470861004697177</v>
      </c>
    </row>
    <row r="777" spans="1:26">
      <c r="A777" s="11">
        <v>43500</v>
      </c>
      <c r="B777" s="1">
        <v>0.01470153104250449</v>
      </c>
      <c r="C777" s="1">
        <v>0.02470122176665357</v>
      </c>
      <c r="D777" s="1">
        <v>0.006100166262480666</v>
      </c>
      <c r="E777" s="1">
        <v>0.01924252508435798</v>
      </c>
      <c r="F777" s="1">
        <v>-0.000543486150381578</v>
      </c>
      <c r="G777" s="1">
        <v>0.003894610487271022</v>
      </c>
      <c r="H777" s="1">
        <v>0</v>
      </c>
      <c r="I777" s="1">
        <v>0.003844193083889724</v>
      </c>
      <c r="J777" s="1">
        <v>0.01302799994388337</v>
      </c>
      <c r="K777" s="1">
        <v>0.01714277227859839</v>
      </c>
      <c r="L777" s="1">
        <v>0.003561398728044951</v>
      </c>
      <c r="M777" s="1">
        <v>0.02030432809482763</v>
      </c>
      <c r="N777" s="1">
        <v>-0.001829017398839561</v>
      </c>
      <c r="O777" s="1">
        <v>0.01795047644483438</v>
      </c>
      <c r="P777" s="1">
        <v>0.02879918691787253</v>
      </c>
      <c r="Q777" s="1">
        <v>-0.0209033582690421</v>
      </c>
      <c r="R777" s="1">
        <v>0.004464229831639077</v>
      </c>
      <c r="S777" s="1">
        <v>-0.001527292204294706</v>
      </c>
      <c r="T777" s="1">
        <v>0.004652166764295362</v>
      </c>
      <c r="U777" s="1">
        <v>-0.01299999243561734</v>
      </c>
      <c r="V777" s="1">
        <v>0.01784473363762573</v>
      </c>
      <c r="W777" s="1">
        <v>0.0006574892972366353</v>
      </c>
      <c r="X777" s="1">
        <v>0.002803345957846037</v>
      </c>
      <c r="Y777" s="1">
        <v>-0.009349417140530503</v>
      </c>
      <c r="Z777" s="1">
        <v>0.01490990731091357</v>
      </c>
    </row>
    <row r="778" spans="1:26">
      <c r="A778" s="11">
        <v>43501</v>
      </c>
      <c r="B778" s="1">
        <v>-0.009055408758830596</v>
      </c>
      <c r="C778" s="1">
        <v>0.03319886560106666</v>
      </c>
      <c r="D778" s="1">
        <v>-0.007165195187415319</v>
      </c>
      <c r="E778" s="1">
        <v>-0.01376595112042722</v>
      </c>
      <c r="F778" s="1">
        <v>0.01033438702882328</v>
      </c>
      <c r="G778" s="1">
        <v>-0.003233007425306078</v>
      </c>
      <c r="H778" s="1">
        <v>-0.001428239291807798</v>
      </c>
      <c r="I778" s="1">
        <v>-0.001823666074179719</v>
      </c>
      <c r="J778" s="1">
        <v>0.0110862516296002</v>
      </c>
      <c r="K778" s="1">
        <v>0.006505282403741042</v>
      </c>
      <c r="L778" s="1">
        <v>-0.004412277189050129</v>
      </c>
      <c r="M778" s="1">
        <v>-0.007033697393972638</v>
      </c>
      <c r="N778" s="1">
        <v>-0.00142533942205747</v>
      </c>
      <c r="O778" s="1">
        <v>0.00239428243256179</v>
      </c>
      <c r="P778" s="1">
        <v>0.01399685470043011</v>
      </c>
      <c r="Q778" s="1">
        <v>0.006481463656873299</v>
      </c>
      <c r="R778" s="1">
        <v>0.004904342680197571</v>
      </c>
      <c r="S778" s="1">
        <v>-0.0009562056796412755</v>
      </c>
      <c r="T778" s="1">
        <v>0.006850048465334657</v>
      </c>
      <c r="U778" s="1">
        <v>0.000675436066323476</v>
      </c>
      <c r="V778" s="1">
        <v>0.004555109918916944</v>
      </c>
      <c r="W778" s="1">
        <v>0.009934729238921358</v>
      </c>
      <c r="X778" s="1">
        <v>0.01341795583345351</v>
      </c>
      <c r="Y778" s="1">
        <v>0.001850695618354603</v>
      </c>
      <c r="Z778" s="1">
        <v>-0.00367281757792659</v>
      </c>
    </row>
    <row r="779" spans="1:26">
      <c r="A779" s="11">
        <v>43502</v>
      </c>
      <c r="B779" s="1">
        <v>-0.02985074097576434</v>
      </c>
      <c r="C779" s="1">
        <v>0.002267395385732174</v>
      </c>
      <c r="D779" s="1">
        <v>-0.003886216351706273</v>
      </c>
      <c r="E779" s="1">
        <v>0.01974068606964585</v>
      </c>
      <c r="F779" s="1">
        <v>0.0005383551422883937</v>
      </c>
      <c r="G779" s="1">
        <v>-0.007460336058535022</v>
      </c>
      <c r="H779" s="1">
        <v>-0.02202520963697963</v>
      </c>
      <c r="I779" s="1">
        <v>-0.003227159013086345</v>
      </c>
      <c r="J779" s="1">
        <v>0.01184228955497035</v>
      </c>
      <c r="K779" s="1">
        <v>0.002349802628525799</v>
      </c>
      <c r="L779" s="1">
        <v>-0.0004819477455625387</v>
      </c>
      <c r="M779" s="1">
        <v>-0.00466463818409879</v>
      </c>
      <c r="N779" s="1">
        <v>0.004689942861493712</v>
      </c>
      <c r="O779" s="1">
        <v>-0.01780859578133243</v>
      </c>
      <c r="P779" s="1">
        <v>-0.01109889389134167</v>
      </c>
      <c r="Q779" s="1">
        <v>-0.00340936438751771</v>
      </c>
      <c r="R779" s="1">
        <v>-0.0001524558475350934</v>
      </c>
      <c r="S779" s="1">
        <v>-0.002105364963536638</v>
      </c>
      <c r="T779" s="1">
        <v>-0.001848746926802924</v>
      </c>
      <c r="U779" s="1">
        <v>-0.002362502139286238</v>
      </c>
      <c r="V779" s="1">
        <v>-0.003572591020709392</v>
      </c>
      <c r="W779" s="1">
        <v>0.005040391982773951</v>
      </c>
      <c r="X779" s="1">
        <v>-0.004965235768996212</v>
      </c>
      <c r="Y779" s="1">
        <v>-0.00646455524737144</v>
      </c>
      <c r="Z779" s="1">
        <v>0.003072132396181537</v>
      </c>
    </row>
    <row r="780" spans="1:26">
      <c r="A780" s="11">
        <v>43503</v>
      </c>
      <c r="B780" s="1">
        <v>-0.04144424453725792</v>
      </c>
      <c r="C780" s="1">
        <v>-0.009497498581547914</v>
      </c>
      <c r="D780" s="1">
        <v>-0.009196386247495969</v>
      </c>
      <c r="E780" s="1">
        <v>-0.02131403301034751</v>
      </c>
      <c r="F780" s="1">
        <v>0.01372090674774351</v>
      </c>
      <c r="G780" s="1">
        <v>0.006862945121213881</v>
      </c>
      <c r="H780" s="1">
        <v>0.0002927630414997218</v>
      </c>
      <c r="I780" s="1">
        <v>-0.01148602681119881</v>
      </c>
      <c r="J780" s="1">
        <v>-0.009102701007973724</v>
      </c>
      <c r="K780" s="1">
        <v>-0.006740614720015747</v>
      </c>
      <c r="L780" s="1">
        <v>-0.01310942986250663</v>
      </c>
      <c r="M780" s="1">
        <v>-0.002256647322822047</v>
      </c>
      <c r="N780" s="1">
        <v>-0.01116307776547998</v>
      </c>
      <c r="O780" s="1">
        <v>-0.01039236868896587</v>
      </c>
      <c r="P780" s="1">
        <v>-0.007167580562726372</v>
      </c>
      <c r="Q780" s="1">
        <v>0.01140240157650507</v>
      </c>
      <c r="R780" s="1">
        <v>0.005186109837291175</v>
      </c>
      <c r="S780" s="1">
        <v>0.006233707686231993</v>
      </c>
      <c r="T780" s="1">
        <v>-0.006982390211154987</v>
      </c>
      <c r="U780" s="1">
        <v>-0.003721325677878973</v>
      </c>
      <c r="V780" s="1">
        <v>-0.008964317758895057</v>
      </c>
      <c r="W780" s="1">
        <v>-0.01755299297955903</v>
      </c>
      <c r="X780" s="1">
        <v>-0.01922020554857984</v>
      </c>
      <c r="Y780" s="1">
        <v>-0.004090278940987679</v>
      </c>
      <c r="Z780" s="1">
        <v>0.006533205629249084</v>
      </c>
    </row>
    <row r="781" spans="1:26">
      <c r="A781" s="11">
        <v>43504</v>
      </c>
      <c r="B781" s="1">
        <v>-0.0216179904439342</v>
      </c>
      <c r="C781" s="1">
        <v>-0.0006416955076147257</v>
      </c>
      <c r="D781" s="1">
        <v>0.005484384065993941</v>
      </c>
      <c r="E781" s="1">
        <v>0.003396440613684604</v>
      </c>
      <c r="F781" s="1">
        <v>-0.00212326432601706</v>
      </c>
      <c r="G781" s="1">
        <v>0.001297946379935189</v>
      </c>
      <c r="H781" s="1">
        <v>0.002631674353728242</v>
      </c>
      <c r="I781" s="1">
        <v>0.005871247195142093</v>
      </c>
      <c r="J781" s="1">
        <v>0.002624883579043003</v>
      </c>
      <c r="K781" s="1">
        <v>0.003245724463976529</v>
      </c>
      <c r="L781" s="1">
        <v>-0.00996290547281109</v>
      </c>
      <c r="M781" s="1">
        <v>0.002957680432372101</v>
      </c>
      <c r="N781" s="1">
        <v>0.002462857577981703</v>
      </c>
      <c r="O781" s="1">
        <v>0.004580426948071148</v>
      </c>
      <c r="P781" s="1">
        <v>0.00379939482198477</v>
      </c>
      <c r="Q781" s="1">
        <v>0.006437174632841547</v>
      </c>
      <c r="R781" s="1">
        <v>0.0007588016119242091</v>
      </c>
      <c r="S781" s="1">
        <v>0.003478973835107313</v>
      </c>
      <c r="T781" s="1">
        <v>0.006935814718755706</v>
      </c>
      <c r="U781" s="1">
        <v>0.003395744808333712</v>
      </c>
      <c r="V781" s="1">
        <v>-0.01363800519639813</v>
      </c>
      <c r="W781" s="1">
        <v>0.002469900156507165</v>
      </c>
      <c r="X781" s="1">
        <v>-0.009233018582335606</v>
      </c>
      <c r="Y781" s="1">
        <v>0.007093757439128545</v>
      </c>
      <c r="Z781" s="1">
        <v>-0.00527376241431754</v>
      </c>
    </row>
    <row r="782" spans="1:26">
      <c r="A782" s="11">
        <v>43507</v>
      </c>
      <c r="B782" s="1">
        <v>0.01606964455874804</v>
      </c>
      <c r="C782" s="1">
        <v>-0.002370781451828341</v>
      </c>
      <c r="D782" s="1">
        <v>0.003216969126260238</v>
      </c>
      <c r="E782" s="1">
        <v>-0.00238938400541866</v>
      </c>
      <c r="F782" s="1">
        <v>-0.01595722727699089</v>
      </c>
      <c r="G782" s="1">
        <v>-0.001944819539527853</v>
      </c>
      <c r="H782" s="1">
        <v>-0.003791598242835814</v>
      </c>
      <c r="I782" s="1">
        <v>-0.004976791894766186</v>
      </c>
      <c r="J782" s="1">
        <v>-0.002618011603375492</v>
      </c>
      <c r="K782" s="1">
        <v>0.002058742947735892</v>
      </c>
      <c r="L782" s="1">
        <v>-0.004735628184819651</v>
      </c>
      <c r="M782" s="1">
        <v>0.01092784560656623</v>
      </c>
      <c r="N782" s="1">
        <v>0.001023939866419576</v>
      </c>
      <c r="O782" s="1">
        <v>0.007228425917753079</v>
      </c>
      <c r="P782" s="1">
        <v>-0.003974571501944912</v>
      </c>
      <c r="Q782" s="1">
        <v>-0.002633470399245441</v>
      </c>
      <c r="R782" s="1">
        <v>-0.004113968545883084</v>
      </c>
      <c r="S782" s="1">
        <v>-0.0002851672220988144</v>
      </c>
      <c r="T782" s="1">
        <v>0.006413208287565864</v>
      </c>
      <c r="U782" s="1">
        <v>0.005414675210278608</v>
      </c>
      <c r="V782" s="1">
        <v>-0.01029884543906123</v>
      </c>
      <c r="W782" s="1">
        <v>0.004352963398737364</v>
      </c>
      <c r="X782" s="1">
        <v>0.003232992807739477</v>
      </c>
      <c r="Y782" s="1">
        <v>0.001853566618841285</v>
      </c>
      <c r="Z782" s="1">
        <v>0.007748702197716506</v>
      </c>
    </row>
    <row r="783" spans="1:26">
      <c r="A783" s="11">
        <v>43508</v>
      </c>
      <c r="B783" s="1">
        <v>0.02405264113667482</v>
      </c>
      <c r="C783" s="1">
        <v>0.01675945715706484</v>
      </c>
      <c r="D783" s="1">
        <v>0.01045618094591982</v>
      </c>
      <c r="E783" s="1">
        <v>-0.007784552481561957</v>
      </c>
      <c r="F783" s="1">
        <v>0.006486109840165843</v>
      </c>
      <c r="G783" s="1">
        <v>0.001624124038556385</v>
      </c>
      <c r="H783" s="1">
        <v>0.01170985860748552</v>
      </c>
      <c r="I783" s="1">
        <v>0.02006949635833011</v>
      </c>
      <c r="J783" s="1">
        <v>0.02143500686462252</v>
      </c>
      <c r="K783" s="1">
        <v>0.01584966422248213</v>
      </c>
      <c r="L783" s="1">
        <v>0.01704989199800178</v>
      </c>
      <c r="M783" s="1">
        <v>-0.009951911584349493</v>
      </c>
      <c r="N783" s="1">
        <v>0.0157497119195722</v>
      </c>
      <c r="O783" s="1">
        <v>0.003754180539224494</v>
      </c>
      <c r="P783" s="1">
        <v>0.01558234676401349</v>
      </c>
      <c r="Q783" s="1">
        <v>0.01018462319472846</v>
      </c>
      <c r="R783" s="1">
        <v>0.02141969559291224</v>
      </c>
      <c r="S783" s="1">
        <v>-0.01315828526569651</v>
      </c>
      <c r="T783" s="1">
        <v>0.03193225076936423</v>
      </c>
      <c r="U783" s="1">
        <v>0.003365955422506284</v>
      </c>
      <c r="V783" s="1">
        <v>0.003706562193133145</v>
      </c>
      <c r="W783" s="1">
        <v>0.01537400725384241</v>
      </c>
      <c r="X783" s="1">
        <v>0.01971567171095745</v>
      </c>
      <c r="Y783" s="1">
        <v>0.006845540190331123</v>
      </c>
      <c r="Z783" s="1">
        <v>0.009510594207828404</v>
      </c>
    </row>
    <row r="784" spans="1:26">
      <c r="A784" s="11">
        <v>43509</v>
      </c>
      <c r="B784" s="1">
        <v>0.03861002646113088</v>
      </c>
      <c r="C784" s="1">
        <v>-0.0003410114161217503</v>
      </c>
      <c r="D784" s="1">
        <v>0.002621479623525991</v>
      </c>
      <c r="E784" s="1">
        <v>0.02554853113585764</v>
      </c>
      <c r="F784" s="1">
        <v>-0.005639102194859524</v>
      </c>
      <c r="G784" s="1">
        <v>-0.0025939841483541</v>
      </c>
      <c r="H784" s="1">
        <v>0.002893381506005044</v>
      </c>
      <c r="I784" s="1">
        <v>-0.0150740514317268</v>
      </c>
      <c r="J784" s="1">
        <v>-0.001285007807225957</v>
      </c>
      <c r="K784" s="1">
        <v>0.006356794456759518</v>
      </c>
      <c r="L784" s="1">
        <v>0.004775611176554007</v>
      </c>
      <c r="M784" s="1">
        <v>0.005199237799784484</v>
      </c>
      <c r="N784" s="1">
        <v>-0.01329028395139997</v>
      </c>
      <c r="O784" s="1">
        <v>0.003629823355161932</v>
      </c>
      <c r="P784" s="1">
        <v>-0.0007488076002819533</v>
      </c>
      <c r="Q784" s="1">
        <v>-0.0003732706933814445</v>
      </c>
      <c r="R784" s="1">
        <v>0.01003583065547708</v>
      </c>
      <c r="S784" s="1">
        <v>0.001058814410453079</v>
      </c>
      <c r="T784" s="1">
        <v>-0.007432950389411608</v>
      </c>
      <c r="U784" s="1">
        <v>0.001006000716010647</v>
      </c>
      <c r="V784" s="1">
        <v>0.03067721773616605</v>
      </c>
      <c r="W784" s="1">
        <v>-0.003785400601485245</v>
      </c>
      <c r="X784" s="1">
        <v>0.01412920245988469</v>
      </c>
      <c r="Y784" s="1">
        <v>0.001102363787964578</v>
      </c>
      <c r="Z784" s="1">
        <v>-0.0008066722599633369</v>
      </c>
    </row>
    <row r="785" spans="1:26">
      <c r="A785" s="11">
        <v>43510</v>
      </c>
      <c r="B785" s="1">
        <v>0.0120818781061458</v>
      </c>
      <c r="C785" s="1">
        <v>-0.001850933873353333</v>
      </c>
      <c r="D785" s="1">
        <v>-0.003165054015363378</v>
      </c>
      <c r="E785" s="1">
        <v>-0.002942253173563003</v>
      </c>
      <c r="F785" s="1">
        <v>0.006211113783225919</v>
      </c>
      <c r="G785" s="1">
        <v>0.002275542526407603</v>
      </c>
      <c r="H785" s="1">
        <v>-0.006058861066205457</v>
      </c>
      <c r="I785" s="1">
        <v>-0.001720585793815843</v>
      </c>
      <c r="J785" s="1">
        <v>-0.003859659543448024</v>
      </c>
      <c r="K785" s="1">
        <v>-0.005168067399399789</v>
      </c>
      <c r="L785" s="1">
        <v>-0.006498746227107999</v>
      </c>
      <c r="M785" s="1">
        <v>0</v>
      </c>
      <c r="N785" s="1">
        <v>0.002856797188559579</v>
      </c>
      <c r="O785" s="1">
        <v>-0.01194614310048348</v>
      </c>
      <c r="P785" s="1">
        <v>0.0008427901378034175</v>
      </c>
      <c r="Q785" s="1">
        <v>0.0003734100764196668</v>
      </c>
      <c r="R785" s="1">
        <v>-0.008304793210307748</v>
      </c>
      <c r="S785" s="1">
        <v>0.000913825471634766</v>
      </c>
      <c r="T785" s="1">
        <v>-0.005092835796420059</v>
      </c>
      <c r="U785" s="1">
        <v>-0.001675077591743346</v>
      </c>
      <c r="V785" s="1">
        <v>-0.005374340668888755</v>
      </c>
      <c r="W785" s="1">
        <v>-0.005052585727083003</v>
      </c>
      <c r="X785" s="1">
        <v>-0.0100825181781109</v>
      </c>
      <c r="Y785" s="1">
        <v>-0.008259959840666076</v>
      </c>
      <c r="Z785" s="1">
        <v>-0.01251277239996273</v>
      </c>
    </row>
    <row r="786" spans="1:26">
      <c r="A786" s="11">
        <v>43511</v>
      </c>
      <c r="B786" s="1">
        <v>0.01928352154869128</v>
      </c>
      <c r="C786" s="1">
        <v>0.01988676005878709</v>
      </c>
      <c r="D786" s="1">
        <v>0.01366615217787825</v>
      </c>
      <c r="E786" s="1">
        <v>0.01652555830498459</v>
      </c>
      <c r="F786" s="1">
        <v>0.01368783456170619</v>
      </c>
      <c r="G786" s="1">
        <v>0.001946003696983167</v>
      </c>
      <c r="H786" s="1">
        <v>0.009869565673539027</v>
      </c>
      <c r="I786" s="1">
        <v>-0.02111823056392692</v>
      </c>
      <c r="J786" s="1">
        <v>0.002152671878208334</v>
      </c>
      <c r="K786" s="1">
        <v>0.01298722319150403</v>
      </c>
      <c r="L786" s="1">
        <v>0.03056020910135082</v>
      </c>
      <c r="M786" s="1">
        <v>-0.005172345545311652</v>
      </c>
      <c r="N786" s="1">
        <v>-0.008139616964067398</v>
      </c>
      <c r="O786" s="1">
        <v>0.01120347553533207</v>
      </c>
      <c r="P786" s="1">
        <v>0.01234795439316905</v>
      </c>
      <c r="Q786" s="1">
        <v>0.01120248122813594</v>
      </c>
      <c r="R786" s="1">
        <v>0.01839388431462319</v>
      </c>
      <c r="S786" s="1">
        <v>-0.001969719999593056</v>
      </c>
      <c r="T786" s="1">
        <v>0.0171385349849662</v>
      </c>
      <c r="U786" s="1">
        <v>0.0228263417054031</v>
      </c>
      <c r="V786" s="1">
        <v>0.009144025378402754</v>
      </c>
      <c r="W786" s="1">
        <v>0.0257983226684364</v>
      </c>
      <c r="X786" s="1">
        <v>0.01518517400772512</v>
      </c>
      <c r="Y786" s="1">
        <v>0.02091436943196623</v>
      </c>
      <c r="Z786" s="1">
        <v>0.02411627149583806</v>
      </c>
    </row>
    <row r="787" spans="1:26">
      <c r="A787" s="11">
        <v>43515</v>
      </c>
      <c r="B787" s="1">
        <v>0.0003004622377633659</v>
      </c>
      <c r="C787" s="1">
        <v>-0.004091136036403986</v>
      </c>
      <c r="D787" s="1">
        <v>0.000544731858316716</v>
      </c>
      <c r="E787" s="1">
        <v>-0.005999567003126982</v>
      </c>
      <c r="F787" s="1">
        <v>-0.005824964139649724</v>
      </c>
      <c r="G787" s="1">
        <v>0.01035937493388395</v>
      </c>
      <c r="H787" s="1">
        <v>0.006323500776603819</v>
      </c>
      <c r="I787" s="1">
        <v>-0.01088125428271369</v>
      </c>
      <c r="J787" s="1">
        <v>-0.001288439248953499</v>
      </c>
      <c r="K787" s="1">
        <v>-0.00541331073378859</v>
      </c>
      <c r="L787" s="1">
        <v>-0.003505405564195319</v>
      </c>
      <c r="M787" s="1">
        <v>-0.0005199750740246811</v>
      </c>
      <c r="N787" s="1">
        <v>0.005129141282452787</v>
      </c>
      <c r="O787" s="1">
        <v>0.004058883366076182</v>
      </c>
      <c r="P787" s="1">
        <v>-0.0004620067501666103</v>
      </c>
      <c r="Q787" s="1">
        <v>-0.005169872832878841</v>
      </c>
      <c r="R787" s="1">
        <v>0.001762004178096355</v>
      </c>
      <c r="S787" s="1">
        <v>0.0008181059585485873</v>
      </c>
      <c r="T787" s="1">
        <v>-0.003711235315653982</v>
      </c>
      <c r="U787" s="1">
        <v>0.00525104594938397</v>
      </c>
      <c r="V787" s="1">
        <v>0.01523555090750017</v>
      </c>
      <c r="W787" s="1">
        <v>-0.006574580493901361</v>
      </c>
      <c r="X787" s="1">
        <v>-0.004013101843167943</v>
      </c>
      <c r="Y787" s="1">
        <v>0.005075948771378735</v>
      </c>
      <c r="Z787" s="1">
        <v>0.01217299456507548</v>
      </c>
    </row>
    <row r="788" spans="1:26">
      <c r="A788" s="11">
        <v>43516</v>
      </c>
      <c r="B788" s="1">
        <v>0.01471018856608208</v>
      </c>
      <c r="C788" s="1">
        <v>0.01270834556382039</v>
      </c>
      <c r="D788" s="1">
        <v>0.008983123097492607</v>
      </c>
      <c r="E788" s="1">
        <v>-0.001168568670655179</v>
      </c>
      <c r="F788" s="1">
        <v>0.00639171358263968</v>
      </c>
      <c r="G788" s="1">
        <v>0.001875937169049768</v>
      </c>
      <c r="H788" s="1">
        <v>0.004855669472650481</v>
      </c>
      <c r="I788" s="1">
        <v>0.01666030825082143</v>
      </c>
      <c r="J788" s="1">
        <v>0.005591089612549283</v>
      </c>
      <c r="K788" s="1">
        <v>0.01489544755787864</v>
      </c>
      <c r="L788" s="1">
        <v>0.004848930538619456</v>
      </c>
      <c r="M788" s="1">
        <v>-0.05652853960552828</v>
      </c>
      <c r="N788" s="1">
        <v>0.03102674517443504</v>
      </c>
      <c r="O788" s="1">
        <v>0.004588250054502252</v>
      </c>
      <c r="P788" s="1">
        <v>-0.005199124929658017</v>
      </c>
      <c r="Q788" s="1">
        <v>-0.02449884940825098</v>
      </c>
      <c r="R788" s="1">
        <v>0.01202014530037299</v>
      </c>
      <c r="S788" s="1">
        <v>-0.01101412433879456</v>
      </c>
      <c r="T788" s="1">
        <v>0.003931010562711945</v>
      </c>
      <c r="U788" s="1">
        <v>0.007182169756561496</v>
      </c>
      <c r="V788" s="1">
        <v>-0.008049063572158177</v>
      </c>
      <c r="W788" s="1">
        <v>0.005541497903403414</v>
      </c>
      <c r="X788" s="1">
        <v>0.00714286722306734</v>
      </c>
      <c r="Y788" s="1">
        <v>0.005772191957901684</v>
      </c>
      <c r="Z788" s="1">
        <v>0.01104093675310347</v>
      </c>
    </row>
    <row r="789" spans="1:26">
      <c r="A789" s="11">
        <v>43517</v>
      </c>
      <c r="B789" s="1">
        <v>-0.01272200194088835</v>
      </c>
      <c r="C789" s="1">
        <v>-0.009417694231650287</v>
      </c>
      <c r="D789" s="1">
        <v>-0.001349028864505275</v>
      </c>
      <c r="E789" s="1">
        <v>-0.02280678284149462</v>
      </c>
      <c r="F789" s="1">
        <v>0.01799414845360792</v>
      </c>
      <c r="G789" s="1">
        <v>0.007746818641432673</v>
      </c>
      <c r="H789" s="1">
        <v>0.007390785048314585</v>
      </c>
      <c r="I789" s="1">
        <v>0.01857662120012438</v>
      </c>
      <c r="J789" s="1">
        <v>0.0004277505513037294</v>
      </c>
      <c r="K789" s="1">
        <v>0.004515860251638415</v>
      </c>
      <c r="L789" s="1">
        <v>-0.002081794307164264</v>
      </c>
      <c r="M789" s="1">
        <v>-0.00183779547224705</v>
      </c>
      <c r="N789" s="1">
        <v>-0.002771665992765793</v>
      </c>
      <c r="O789" s="1">
        <v>0.00152264983762862</v>
      </c>
      <c r="P789" s="1">
        <v>0.0210920951560496</v>
      </c>
      <c r="Q789" s="1">
        <v>0.006088458579763811</v>
      </c>
      <c r="R789" s="1">
        <v>0.001882857246086278</v>
      </c>
      <c r="S789" s="1">
        <v>-0.02499781281756208</v>
      </c>
      <c r="T789" s="1">
        <v>0.0009790162908669409</v>
      </c>
      <c r="U789" s="1">
        <v>-0.0006479435611940199</v>
      </c>
      <c r="V789" s="1">
        <v>-0.009352108212026367</v>
      </c>
      <c r="W789" s="1">
        <v>-0.003053029365608029</v>
      </c>
      <c r="X789" s="1">
        <v>-0.005455652801050648</v>
      </c>
      <c r="Y789" s="1">
        <v>0.006994162502145018</v>
      </c>
      <c r="Z789" s="1">
        <v>-0.007410115004847229</v>
      </c>
    </row>
    <row r="790" spans="1:26">
      <c r="A790" s="11">
        <v>43518</v>
      </c>
      <c r="B790" s="1">
        <v>0.002997133558852783</v>
      </c>
      <c r="C790" s="1">
        <v>0.01549415963463274</v>
      </c>
      <c r="D790" s="1">
        <v>0.00878065019515617</v>
      </c>
      <c r="E790" s="1">
        <v>0.01695601087092036</v>
      </c>
      <c r="F790" s="1">
        <v>0.003639179953725868</v>
      </c>
      <c r="G790" s="1">
        <v>0.005765506649383578</v>
      </c>
      <c r="H790" s="1">
        <v>-0.0736457207932173</v>
      </c>
      <c r="I790" s="1">
        <v>0.0191589515337538</v>
      </c>
      <c r="J790" s="1">
        <v>0.01496346832203876</v>
      </c>
      <c r="K790" s="1">
        <v>0.005057833407541512</v>
      </c>
      <c r="L790" s="1">
        <v>-0.004456164066602986</v>
      </c>
      <c r="M790" s="1">
        <v>-0.0127049148740731</v>
      </c>
      <c r="N790" s="1">
        <v>0.02243361897745433</v>
      </c>
      <c r="O790" s="1">
        <v>0.004994932061202606</v>
      </c>
      <c r="P790" s="1">
        <v>0.01425809042842308</v>
      </c>
      <c r="Q790" s="1">
        <v>0.007564079927194101</v>
      </c>
      <c r="R790" s="1">
        <v>0.01040923641701164</v>
      </c>
      <c r="S790" s="1">
        <v>0.003292413988272846</v>
      </c>
      <c r="T790" s="1">
        <v>0.002986751668403897</v>
      </c>
      <c r="U790" s="1">
        <v>0.01037918439634589</v>
      </c>
      <c r="V790" s="1">
        <v>0.003053831237413984</v>
      </c>
      <c r="W790" s="1">
        <v>0.00258511377741466</v>
      </c>
      <c r="X790" s="1">
        <v>0.006765642867805344</v>
      </c>
      <c r="Y790" s="1">
        <v>0.01371329131119414</v>
      </c>
      <c r="Z790" s="1">
        <v>0.005304539891858084</v>
      </c>
    </row>
    <row r="791" spans="1:26">
      <c r="A791" s="11">
        <v>43521</v>
      </c>
      <c r="B791" s="1">
        <v>-0.0002990751627572896</v>
      </c>
      <c r="C791" s="1">
        <v>0.006650124076793329</v>
      </c>
      <c r="D791" s="1">
        <v>0.001472676589701738</v>
      </c>
      <c r="E791" s="1">
        <v>-0.006473195599336568</v>
      </c>
      <c r="F791" s="1">
        <v>-0.001035995526910916</v>
      </c>
      <c r="G791" s="1">
        <v>-0.01242032162673801</v>
      </c>
      <c r="H791" s="1">
        <v>-0.01736226585596889</v>
      </c>
      <c r="I791" s="1">
        <v>-0.006688061265757161</v>
      </c>
      <c r="J791" s="1">
        <v>0.007161277311751757</v>
      </c>
      <c r="K791" s="1">
        <v>0.001677272757369952</v>
      </c>
      <c r="L791" s="1">
        <v>0.01047630763056562</v>
      </c>
      <c r="M791" s="1">
        <v>0.006340880979833097</v>
      </c>
      <c r="N791" s="1">
        <v>0.006601995801958749</v>
      </c>
      <c r="O791" s="1">
        <v>0.0003244326126583541</v>
      </c>
      <c r="P791" s="1">
        <v>0.005587070582951936</v>
      </c>
      <c r="Q791" s="1">
        <v>-0.006756829565638278</v>
      </c>
      <c r="R791" s="1">
        <v>-0.005723274575584858</v>
      </c>
      <c r="S791" s="1">
        <v>0.001342059692104991</v>
      </c>
      <c r="T791" s="1">
        <v>-0.005001491878029007</v>
      </c>
      <c r="U791" s="1">
        <v>-0.0006416352220698363</v>
      </c>
      <c r="V791" s="1">
        <v>0.01176492549350994</v>
      </c>
      <c r="W791" s="1">
        <v>0.006902129664212664</v>
      </c>
      <c r="X791" s="1">
        <v>-0.0005449415874118069</v>
      </c>
      <c r="Y791" s="1">
        <v>-0.002459550049486503</v>
      </c>
      <c r="Z791" s="1">
        <v>-0.00351779593986401</v>
      </c>
    </row>
    <row r="792" spans="1:26">
      <c r="A792" s="11">
        <v>43522</v>
      </c>
      <c r="B792" s="1">
        <v>-0.01105795721562974</v>
      </c>
      <c r="C792" s="1">
        <v>-0.0002342595345277143</v>
      </c>
      <c r="D792" s="1">
        <v>0.001604479016635185</v>
      </c>
      <c r="E792" s="1">
        <v>-0.009674635746366622</v>
      </c>
      <c r="F792" s="1">
        <v>0.005963380680754859</v>
      </c>
      <c r="G792" s="1">
        <v>-0.002580028021234915</v>
      </c>
      <c r="H792" s="1">
        <v>0.02014893032671772</v>
      </c>
      <c r="I792" s="1">
        <v>-0.006429896569603466</v>
      </c>
      <c r="J792" s="1">
        <v>-0.0004181634178423987</v>
      </c>
      <c r="K792" s="1">
        <v>-0.006977547487065805</v>
      </c>
      <c r="L792" s="1">
        <v>-0.007634293319531249</v>
      </c>
      <c r="M792" s="1">
        <v>-0.005003663931307356</v>
      </c>
      <c r="N792" s="1">
        <v>0.005015652693012074</v>
      </c>
      <c r="O792" s="1">
        <v>-0.0001079541571415987</v>
      </c>
      <c r="P792" s="1">
        <v>0.006900406293473882</v>
      </c>
      <c r="Q792" s="1">
        <v>0.01058229905248531</v>
      </c>
      <c r="R792" s="1">
        <v>-0.002302701267083984</v>
      </c>
      <c r="S792" s="1">
        <v>0.006405042171116593</v>
      </c>
      <c r="T792" s="1">
        <v>-0.007676408349131525</v>
      </c>
      <c r="U792" s="1">
        <v>0.002890779285448675</v>
      </c>
      <c r="V792" s="1">
        <v>-0.01108047487051489</v>
      </c>
      <c r="W792" s="1">
        <v>0.0005909335436393715</v>
      </c>
      <c r="X792" s="1">
        <v>-0.009994642826638422</v>
      </c>
      <c r="Y792" s="1">
        <v>-0.00246551184382604</v>
      </c>
      <c r="Z792" s="1">
        <v>-0.01117896456269485</v>
      </c>
    </row>
    <row r="793" spans="1:26">
      <c r="A793" s="11">
        <v>43523</v>
      </c>
      <c r="B793" s="1">
        <v>0.01420367485694829</v>
      </c>
      <c r="C793" s="1">
        <v>0.0203153535332381</v>
      </c>
      <c r="D793" s="1">
        <v>0.002135878383465295</v>
      </c>
      <c r="E793" s="1">
        <v>0.01594892318773544</v>
      </c>
      <c r="F793" s="1">
        <v>-0.006958821873755183</v>
      </c>
      <c r="G793" s="1">
        <v>0.007436111039002435</v>
      </c>
      <c r="H793" s="1">
        <v>0.1002733839110601</v>
      </c>
      <c r="I793" s="1">
        <v>-0.001281954338145486</v>
      </c>
      <c r="J793" s="1">
        <v>-0.002092218632684828</v>
      </c>
      <c r="K793" s="1">
        <v>-0.001967320635772318</v>
      </c>
      <c r="L793" s="1">
        <v>-0.001234715735973113</v>
      </c>
      <c r="M793" s="1">
        <v>0.002979984076721509</v>
      </c>
      <c r="N793" s="1">
        <v>0.004222487714025114</v>
      </c>
      <c r="O793" s="1">
        <v>0.002484515600827519</v>
      </c>
      <c r="P793" s="1">
        <v>-0.001691281034301606</v>
      </c>
      <c r="Q793" s="1">
        <v>0.007479217421066053</v>
      </c>
      <c r="R793" s="1">
        <v>-0.01312540844568499</v>
      </c>
      <c r="S793" s="1">
        <v>0.03408962907743773</v>
      </c>
      <c r="T793" s="1">
        <v>0.01381407431612414</v>
      </c>
      <c r="U793" s="1">
        <v>-0.005124832885884167</v>
      </c>
      <c r="V793" s="1">
        <v>0.01009790690377166</v>
      </c>
      <c r="W793" s="1">
        <v>0.02027649074134352</v>
      </c>
      <c r="X793" s="1">
        <v>0.004405450518963017</v>
      </c>
      <c r="Y793" s="1">
        <v>0.001412346066712811</v>
      </c>
      <c r="Z793" s="1">
        <v>0.01309016599432544</v>
      </c>
    </row>
    <row r="794" spans="1:26">
      <c r="A794" s="11">
        <v>43524</v>
      </c>
      <c r="B794" s="1">
        <v>-0.01132293357346903</v>
      </c>
      <c r="C794" s="1">
        <v>0.01038027940679065</v>
      </c>
      <c r="D794" s="1">
        <v>-0.002002951120375851</v>
      </c>
      <c r="E794" s="1">
        <v>0.01373673946465215</v>
      </c>
      <c r="F794" s="1">
        <v>0.003633447092683317</v>
      </c>
      <c r="G794" s="1">
        <v>-0.03273404578639072</v>
      </c>
      <c r="H794" s="1">
        <v>-0.00524712955001283</v>
      </c>
      <c r="I794" s="1">
        <v>0.002750467400027823</v>
      </c>
      <c r="J794" s="1">
        <v>-0.1727464345304275</v>
      </c>
      <c r="K794" s="1">
        <v>-0.006758593012076708</v>
      </c>
      <c r="L794" s="1">
        <v>-0.007607240897589906</v>
      </c>
      <c r="M794" s="1">
        <v>0.04066862480744882</v>
      </c>
      <c r="N794" s="1">
        <v>0.001720145093419001</v>
      </c>
      <c r="O794" s="1">
        <v>0.002370938136965206</v>
      </c>
      <c r="P794" s="1">
        <v>-0.00124804612635121</v>
      </c>
      <c r="Q794" s="1">
        <v>0.001485027768529212</v>
      </c>
      <c r="R794" s="1">
        <v>-0.009061995520487809</v>
      </c>
      <c r="S794" s="1">
        <v>0.008968995165862914</v>
      </c>
      <c r="T794" s="1">
        <v>-0.01616990041697497</v>
      </c>
      <c r="U794" s="1">
        <v>0.001931712033562238</v>
      </c>
      <c r="V794" s="1">
        <v>-0.005204256798509777</v>
      </c>
      <c r="W794" s="1">
        <v>0.001659158544341732</v>
      </c>
      <c r="X794" s="1">
        <v>-0.007675529770110101</v>
      </c>
      <c r="Y794" s="1">
        <v>0.003525988012400116</v>
      </c>
      <c r="Z794" s="1">
        <v>0.0003919068735609432</v>
      </c>
    </row>
    <row r="795" spans="1:26">
      <c r="A795" s="11">
        <v>43525</v>
      </c>
      <c r="B795" s="1">
        <v>0.02441219377387593</v>
      </c>
      <c r="C795" s="1">
        <v>0.001500183003717126</v>
      </c>
      <c r="D795" s="1">
        <v>0.01485295396945996</v>
      </c>
      <c r="E795" s="1">
        <v>0.03019722341704778</v>
      </c>
      <c r="F795" s="1">
        <v>0.01111970386717664</v>
      </c>
      <c r="G795" s="1">
        <v>0.0009954282329602826</v>
      </c>
      <c r="H795" s="1">
        <v>0.009161353116699633</v>
      </c>
      <c r="I795" s="1">
        <v>-0.004449867518646067</v>
      </c>
      <c r="J795" s="1">
        <v>-0.006588653523356025</v>
      </c>
      <c r="K795" s="1">
        <v>0.0005668056872649707</v>
      </c>
      <c r="L795" s="1">
        <v>0.0006705581651709203</v>
      </c>
      <c r="M795" s="1">
        <v>-0.0303354499963634</v>
      </c>
      <c r="N795" s="1">
        <v>0.006487758562919943</v>
      </c>
      <c r="O795" s="1">
        <v>-0.001397690844074595</v>
      </c>
      <c r="P795" s="1">
        <v>0.004463075439117947</v>
      </c>
      <c r="Q795" s="1">
        <v>-0.002594787234119322</v>
      </c>
      <c r="R795" s="1">
        <v>-0.0004422586397289097</v>
      </c>
      <c r="S795" s="1">
        <v>0.002411791367753713</v>
      </c>
      <c r="T795" s="1">
        <v>0.007894683014221027</v>
      </c>
      <c r="U795" s="1">
        <v>-0.009639802280736576</v>
      </c>
      <c r="V795" s="1">
        <v>0.004130417610987536</v>
      </c>
      <c r="W795" s="1">
        <v>0.01729812431973365</v>
      </c>
      <c r="X795" s="1">
        <v>0.002394039181585095</v>
      </c>
      <c r="Y795" s="1">
        <v>0.0007025971142902154</v>
      </c>
      <c r="Z795" s="1">
        <v>0.001369793764503191</v>
      </c>
    </row>
    <row r="796" spans="1:26">
      <c r="A796" s="11">
        <v>43528</v>
      </c>
      <c r="B796" s="1">
        <v>-0.009414472155483855</v>
      </c>
      <c r="C796" s="1">
        <v>-0.01799742838156126</v>
      </c>
      <c r="D796" s="1">
        <v>-0.00487867655126506</v>
      </c>
      <c r="E796" s="1">
        <v>-0.003194516045866846</v>
      </c>
      <c r="F796" s="1">
        <v>-0.009462897211411692</v>
      </c>
      <c r="G796" s="1">
        <v>0.00563470834868518</v>
      </c>
      <c r="H796" s="1">
        <v>-0.009628227019315205</v>
      </c>
      <c r="I796" s="1">
        <v>0.01536934925872702</v>
      </c>
      <c r="J796" s="1">
        <v>-0.00357145908848322</v>
      </c>
      <c r="K796" s="1">
        <v>0.0005668644941230205</v>
      </c>
      <c r="L796" s="1">
        <v>-0.00229838470953514</v>
      </c>
      <c r="M796" s="1">
        <v>-0.00938545255243417</v>
      </c>
      <c r="N796" s="1">
        <v>-0.005497897205980595</v>
      </c>
      <c r="O796" s="1">
        <v>-0.002799386909522972</v>
      </c>
      <c r="P796" s="1">
        <v>-0.002399302871197939</v>
      </c>
      <c r="Q796" s="1">
        <v>0.001858060386736637</v>
      </c>
      <c r="R796" s="1">
        <v>-0.004279176296629994</v>
      </c>
      <c r="S796" s="1">
        <v>0.001650705201516445</v>
      </c>
      <c r="T796" s="1">
        <v>0.002588262045498446</v>
      </c>
      <c r="U796" s="1">
        <v>-0.02725517589531767</v>
      </c>
      <c r="V796" s="1">
        <v>-0.003702129792496955</v>
      </c>
      <c r="W796" s="1">
        <v>-0.01745828367877333</v>
      </c>
      <c r="X796" s="1">
        <v>-0.005695603752967404</v>
      </c>
      <c r="Y796" s="1">
        <v>-0.01264052550186989</v>
      </c>
      <c r="Z796" s="1">
        <v>-0.006058027204556837</v>
      </c>
    </row>
    <row r="797" spans="1:26">
      <c r="A797" s="11">
        <v>43529</v>
      </c>
      <c r="B797" s="1">
        <v>0.001781717725539478</v>
      </c>
      <c r="C797" s="1">
        <v>-0.005939562937549048</v>
      </c>
      <c r="D797" s="1">
        <v>0.003180266315432334</v>
      </c>
      <c r="E797" s="1">
        <v>0.01413791103603002</v>
      </c>
      <c r="F797" s="1">
        <v>-0.0002580988263528594</v>
      </c>
      <c r="G797" s="1">
        <v>-0.005603136309741963</v>
      </c>
      <c r="H797" s="1">
        <v>0.00277771580441577</v>
      </c>
      <c r="I797" s="1">
        <v>-0.02635386674576845</v>
      </c>
      <c r="J797" s="1">
        <v>-0.008705000175054267</v>
      </c>
      <c r="K797" s="1">
        <v>-0.002265856964670521</v>
      </c>
      <c r="L797" s="1">
        <v>-0.0007678333921653513</v>
      </c>
      <c r="M797" s="1">
        <v>-0.005217059638136901</v>
      </c>
      <c r="N797" s="1">
        <v>0.008005985759198531</v>
      </c>
      <c r="O797" s="1">
        <v>-0.01360185569827055</v>
      </c>
      <c r="P797" s="1">
        <v>-0.004988254495965294</v>
      </c>
      <c r="Q797" s="1">
        <v>-0.001854614401185062</v>
      </c>
      <c r="R797" s="1">
        <v>0.00459384020991993</v>
      </c>
      <c r="S797" s="1">
        <v>0.003767330326722718</v>
      </c>
      <c r="T797" s="1">
        <v>-0.01443779279586577</v>
      </c>
      <c r="U797" s="1">
        <v>-0.001001003621086349</v>
      </c>
      <c r="V797" s="1">
        <v>0.04582368386014024</v>
      </c>
      <c r="W797" s="1">
        <v>-0.01923324883700694</v>
      </c>
      <c r="X797" s="1">
        <v>-0.008868942520302792</v>
      </c>
      <c r="Y797" s="1">
        <v>-0.002844680074654882</v>
      </c>
      <c r="Z797" s="1">
        <v>-0.001376642907272463</v>
      </c>
    </row>
    <row r="798" spans="1:26">
      <c r="A798" s="11">
        <v>43530</v>
      </c>
      <c r="B798" s="1">
        <v>-0.02964696799323097</v>
      </c>
      <c r="C798" s="1">
        <v>-0.01315904953653224</v>
      </c>
      <c r="D798" s="1">
        <v>-0.01294383152433998</v>
      </c>
      <c r="E798" s="1">
        <v>-0.01691425877488473</v>
      </c>
      <c r="F798" s="1">
        <v>-0.002841056219432314</v>
      </c>
      <c r="G798" s="1">
        <v>-0.002320330114194968</v>
      </c>
      <c r="H798" s="1">
        <v>0.001108119831847887</v>
      </c>
      <c r="I798" s="1">
        <v>-0.01988218176544487</v>
      </c>
      <c r="J798" s="1">
        <v>-0.0144627452776086</v>
      </c>
      <c r="K798" s="1">
        <v>-0.001986612075161376</v>
      </c>
      <c r="L798" s="1">
        <v>-0.003745862300964298</v>
      </c>
      <c r="M798" s="1">
        <v>-0.006180932137815121</v>
      </c>
      <c r="N798" s="1">
        <v>0.0338505779958802</v>
      </c>
      <c r="O798" s="1">
        <v>-0.001970037899911348</v>
      </c>
      <c r="P798" s="1">
        <v>0.0004475382142992146</v>
      </c>
      <c r="Q798" s="1">
        <v>0.005946010205636121</v>
      </c>
      <c r="R798" s="1">
        <v>-0.007818147630150651</v>
      </c>
      <c r="S798" s="1">
        <v>0.0002817155493310963</v>
      </c>
      <c r="T798" s="1">
        <v>-0.02125441549761653</v>
      </c>
      <c r="U798" s="1">
        <v>-0.004674166208328279</v>
      </c>
      <c r="V798" s="1">
        <v>0.01184219125892305</v>
      </c>
      <c r="W798" s="1">
        <v>-0.01265412443604053</v>
      </c>
      <c r="X798" s="1">
        <v>-0.01472764829010365</v>
      </c>
      <c r="Y798" s="1">
        <v>-0.007132766815037161</v>
      </c>
      <c r="Z798" s="1">
        <v>-0.02205172866721827</v>
      </c>
    </row>
    <row r="799" spans="1:26">
      <c r="A799" s="11">
        <v>43531</v>
      </c>
      <c r="B799" s="1">
        <v>0.01649855703787462</v>
      </c>
      <c r="C799" s="1">
        <v>-0.004476276199957274</v>
      </c>
      <c r="D799" s="1">
        <v>-0.000133968184006128</v>
      </c>
      <c r="E799" s="1">
        <v>-0.02609219986341815</v>
      </c>
      <c r="F799" s="1">
        <v>-0.005957072150583276</v>
      </c>
      <c r="G799" s="1">
        <v>-0.002325570116302744</v>
      </c>
      <c r="H799" s="1">
        <v>-0.006087357338522503</v>
      </c>
      <c r="I799" s="1">
        <v>-0.001390259562296658</v>
      </c>
      <c r="J799" s="1">
        <v>-0.01362648502419794</v>
      </c>
      <c r="K799" s="1">
        <v>0.01450483266702562</v>
      </c>
      <c r="L799" s="1">
        <v>-0.007231033529228936</v>
      </c>
      <c r="M799" s="1">
        <v>-0.01187339305834578</v>
      </c>
      <c r="N799" s="1">
        <v>0.001280254672324732</v>
      </c>
      <c r="O799" s="1">
        <v>-0.01480444957608718</v>
      </c>
      <c r="P799" s="1">
        <v>-0.01216988988158407</v>
      </c>
      <c r="Q799" s="1">
        <v>0.007018499624392494</v>
      </c>
      <c r="R799" s="1">
        <v>-0.002081362889267635</v>
      </c>
      <c r="S799" s="1">
        <v>0.004502540871913929</v>
      </c>
      <c r="T799" s="1">
        <v>-0.01944292213196808</v>
      </c>
      <c r="U799" s="1">
        <v>0.003689760193334335</v>
      </c>
      <c r="V799" s="1">
        <v>-0.009492805308730867</v>
      </c>
      <c r="W799" s="1">
        <v>-0.001711639558316547</v>
      </c>
      <c r="X799" s="1">
        <v>-0.01778622097842153</v>
      </c>
      <c r="Y799" s="1">
        <v>0.01113513504472841</v>
      </c>
      <c r="Z799" s="1">
        <v>-0.01932747923679312</v>
      </c>
    </row>
    <row r="800" spans="1:26">
      <c r="A800" s="11">
        <v>43532</v>
      </c>
      <c r="B800" s="1">
        <v>-0.03967508220296523</v>
      </c>
      <c r="C800" s="1">
        <v>-4.732978305732605E-05</v>
      </c>
      <c r="D800" s="1">
        <v>-0.007896249490301654</v>
      </c>
      <c r="E800" s="1">
        <v>-0.002329840098400981</v>
      </c>
      <c r="F800" s="1">
        <v>-0.004950370596798037</v>
      </c>
      <c r="G800" s="1">
        <v>0</v>
      </c>
      <c r="H800" s="1">
        <v>0.002783692334008325</v>
      </c>
      <c r="I800" s="1">
        <v>0.006264877836653859</v>
      </c>
      <c r="J800" s="1">
        <v>-0.004251005644455463</v>
      </c>
      <c r="K800" s="1">
        <v>0.005887822981320845</v>
      </c>
      <c r="L800" s="1">
        <v>0.0003885560273031441</v>
      </c>
      <c r="M800" s="1">
        <v>-0.01258813171616135</v>
      </c>
      <c r="N800" s="1">
        <v>0.01150888091531388</v>
      </c>
      <c r="O800" s="1">
        <v>-0.00289413635556135</v>
      </c>
      <c r="P800" s="1">
        <v>0.001086749107218177</v>
      </c>
      <c r="Q800" s="1">
        <v>0.005869489399936034</v>
      </c>
      <c r="R800" s="1">
        <v>0.002830748389129001</v>
      </c>
      <c r="S800" s="1">
        <v>0.0007003471583859611</v>
      </c>
      <c r="T800" s="1">
        <v>0.007052273561907851</v>
      </c>
      <c r="U800" s="1">
        <v>0.0013368758416612</v>
      </c>
      <c r="V800" s="1">
        <v>-0.004726402612878267</v>
      </c>
      <c r="W800" s="1">
        <v>-0.003827490927181598</v>
      </c>
      <c r="X800" s="1">
        <v>-0.01560425839082635</v>
      </c>
      <c r="Y800" s="1">
        <v>0.004085224000349941</v>
      </c>
      <c r="Z800" s="1">
        <v>-0.000205185693555876</v>
      </c>
    </row>
    <row r="801" spans="1:26">
      <c r="A801" s="11">
        <v>43535</v>
      </c>
      <c r="B801" s="1">
        <v>0.02503891697129768</v>
      </c>
      <c r="C801" s="1">
        <v>-0.0533203377346938</v>
      </c>
      <c r="D801" s="1">
        <v>0.01335488405534613</v>
      </c>
      <c r="E801" s="1">
        <v>-0.009534637304547067</v>
      </c>
      <c r="F801" s="1">
        <v>0.02566142567595109</v>
      </c>
      <c r="G801" s="1">
        <v>0.01331971334354143</v>
      </c>
      <c r="H801" s="1">
        <v>-0.003331325117346795</v>
      </c>
      <c r="I801" s="1">
        <v>0.008867444177932837</v>
      </c>
      <c r="J801" s="1">
        <v>0.01600841977607192</v>
      </c>
      <c r="K801" s="1">
        <v>0.00724600226255423</v>
      </c>
      <c r="L801" s="1">
        <v>0.01300812595350331</v>
      </c>
      <c r="M801" s="1">
        <v>-0.003090599975392405</v>
      </c>
      <c r="N801" s="1">
        <v>0.0115584083683542</v>
      </c>
      <c r="O801" s="1">
        <v>0.0133958353153496</v>
      </c>
      <c r="P801" s="1">
        <v>0.02099395920057368</v>
      </c>
      <c r="Q801" s="1">
        <v>0.01312915584481256</v>
      </c>
      <c r="R801" s="1">
        <v>0.01247934052929045</v>
      </c>
      <c r="S801" s="1">
        <v>0.02109021170625813</v>
      </c>
      <c r="T801" s="1">
        <v>0.02642842651418098</v>
      </c>
      <c r="U801" s="1">
        <v>0.008678374598216188</v>
      </c>
      <c r="V801" s="1">
        <v>0.006067937468444695</v>
      </c>
      <c r="W801" s="1">
        <v>0.01789100496242702</v>
      </c>
      <c r="X801" s="1">
        <v>0.01917831643102508</v>
      </c>
      <c r="Y801" s="1">
        <v>0.01857424896459947</v>
      </c>
      <c r="Z801" s="1">
        <v>0.003285456575497836</v>
      </c>
    </row>
    <row r="802" spans="1:26">
      <c r="A802" s="11">
        <v>43536</v>
      </c>
      <c r="B802" s="1">
        <v>0.02839689921686972</v>
      </c>
      <c r="C802" s="1">
        <v>-0.06149854732577476</v>
      </c>
      <c r="D802" s="1">
        <v>0.007454963346545496</v>
      </c>
      <c r="E802" s="1">
        <v>-0.01021603634200752</v>
      </c>
      <c r="F802" s="1">
        <v>0.008169149941869458</v>
      </c>
      <c r="G802" s="1">
        <v>0.008215926113924299</v>
      </c>
      <c r="H802" s="1">
        <v>-0.02367701635112274</v>
      </c>
      <c r="I802" s="1">
        <v>-0.00797912171595383</v>
      </c>
      <c r="J802" s="1">
        <v>0.009534107852697815</v>
      </c>
      <c r="K802" s="1">
        <v>-0.00138330441711465</v>
      </c>
      <c r="L802" s="1">
        <v>-0.002970501638877354</v>
      </c>
      <c r="M802" s="1">
        <v>-0.02344506565147675</v>
      </c>
      <c r="N802" s="1">
        <v>-0.004641986363523198</v>
      </c>
      <c r="O802" s="1">
        <v>0.006719569012963778</v>
      </c>
      <c r="P802" s="1">
        <v>0.007001559965693849</v>
      </c>
      <c r="Q802" s="1">
        <v>0.007919412601020026</v>
      </c>
      <c r="R802" s="1">
        <v>0.001320615424435179</v>
      </c>
      <c r="S802" s="1">
        <v>0.00659457269885988</v>
      </c>
      <c r="T802" s="1">
        <v>-0.01235993047253148</v>
      </c>
      <c r="U802" s="1">
        <v>0.01356736471936371</v>
      </c>
      <c r="V802" s="1">
        <v>-0.001179835769374749</v>
      </c>
      <c r="W802" s="1">
        <v>0.002359088642487794</v>
      </c>
      <c r="X802" s="1">
        <v>-0.002880171292295453</v>
      </c>
      <c r="Y802" s="1">
        <v>-0.002604917947611751</v>
      </c>
      <c r="Z802" s="1">
        <v>0.001227635430900875</v>
      </c>
    </row>
    <row r="803" spans="1:26">
      <c r="A803" s="11">
        <v>43537</v>
      </c>
      <c r="B803" s="1">
        <v>0.01900238909102758</v>
      </c>
      <c r="C803" s="1">
        <v>0.004608302986452761</v>
      </c>
      <c r="D803" s="1">
        <v>0.009249289518361348</v>
      </c>
      <c r="E803" s="1">
        <v>0.01171067698958961</v>
      </c>
      <c r="F803" s="1">
        <v>0.001772495639411842</v>
      </c>
      <c r="G803" s="1">
        <v>-0.008800478286029145</v>
      </c>
      <c r="H803" s="1">
        <v>0.006276952117428625</v>
      </c>
      <c r="I803" s="1">
        <v>0.003392982398903843</v>
      </c>
      <c r="J803" s="1">
        <v>0.02885629300500026</v>
      </c>
      <c r="K803" s="1">
        <v>0.004987450423912021</v>
      </c>
      <c r="L803" s="1">
        <v>0.003363911710288825</v>
      </c>
      <c r="M803" s="1">
        <v>0.004166514021063161</v>
      </c>
      <c r="N803" s="1">
        <v>0.006816423972785035</v>
      </c>
      <c r="O803" s="1">
        <v>0.003720495097693455</v>
      </c>
      <c r="P803" s="1">
        <v>0.007744949972021464</v>
      </c>
      <c r="Q803" s="1">
        <v>-0.0007142740469945341</v>
      </c>
      <c r="R803" s="1">
        <v>0.007326967317215383</v>
      </c>
      <c r="S803" s="1">
        <v>0.003985720847634822</v>
      </c>
      <c r="T803" s="1">
        <v>0.005938116285717054</v>
      </c>
      <c r="U803" s="1">
        <v>-0.0114269250734631</v>
      </c>
      <c r="V803" s="1">
        <v>0.01233884783465333</v>
      </c>
      <c r="W803" s="1">
        <v>0.01549489422257988</v>
      </c>
      <c r="X803" s="1">
        <v>0.00828028048346563</v>
      </c>
      <c r="Y803" s="1">
        <v>0.004004841971100515</v>
      </c>
      <c r="Z803" s="1">
        <v>0.004088603612359742</v>
      </c>
    </row>
    <row r="804" spans="1:26">
      <c r="A804" s="11">
        <v>43538</v>
      </c>
      <c r="B804" s="1">
        <v>-0.001456779966724442</v>
      </c>
      <c r="C804" s="1">
        <v>-0.01018189483404019</v>
      </c>
      <c r="D804" s="1">
        <v>0.00170192145650061</v>
      </c>
      <c r="E804" s="1">
        <v>-0.02118882521521315</v>
      </c>
      <c r="F804" s="1">
        <v>0.007836189600191057</v>
      </c>
      <c r="G804" s="1">
        <v>0</v>
      </c>
      <c r="H804" s="1">
        <v>0.01049071553386338</v>
      </c>
      <c r="I804" s="1">
        <v>-0.01202378064479248</v>
      </c>
      <c r="J804" s="1">
        <v>0.00152976944066352</v>
      </c>
      <c r="K804" s="1">
        <v>-0.007168829293484502</v>
      </c>
      <c r="L804" s="1">
        <v>0.009100708826971005</v>
      </c>
      <c r="M804" s="1">
        <v>0.0108675842597612</v>
      </c>
      <c r="N804" s="1">
        <v>0.004810153258315575</v>
      </c>
      <c r="O804" s="1">
        <v>0.008284950572114314</v>
      </c>
      <c r="P804" s="1">
        <v>0.0007861976883631883</v>
      </c>
      <c r="Q804" s="1">
        <v>-0.003931358768049065</v>
      </c>
      <c r="R804" s="1">
        <v>-0.004218793183014324</v>
      </c>
      <c r="S804" s="1">
        <v>-0.00260115722013099</v>
      </c>
      <c r="T804" s="1">
        <v>0.008489855693176951</v>
      </c>
      <c r="U804" s="1">
        <v>0</v>
      </c>
      <c r="V804" s="1">
        <v>-0.0081690431270246</v>
      </c>
      <c r="W804" s="1">
        <v>0.01063128122744739</v>
      </c>
      <c r="X804" s="1">
        <v>-0.01069936313437314</v>
      </c>
      <c r="Y804" s="1">
        <v>0.005029590457728439</v>
      </c>
      <c r="Z804" s="1">
        <v>-0.0008140916287171507</v>
      </c>
    </row>
    <row r="805" spans="1:26">
      <c r="A805" s="11">
        <v>43539</v>
      </c>
      <c r="B805" s="1">
        <v>0.005252656886502338</v>
      </c>
      <c r="C805" s="1">
        <v>0.01524243468099029</v>
      </c>
      <c r="D805" s="1">
        <v>0.005620835269670721</v>
      </c>
      <c r="E805" s="1">
        <v>0.001403145235742365</v>
      </c>
      <c r="F805" s="1">
        <v>0.01504870508776501</v>
      </c>
      <c r="G805" s="1">
        <v>0.01315350272404014</v>
      </c>
      <c r="H805" s="1">
        <v>0.01038109874938486</v>
      </c>
      <c r="I805" s="1">
        <v>0.002471707701366732</v>
      </c>
      <c r="J805" s="1">
        <v>0.01527515470462659</v>
      </c>
      <c r="K805" s="1">
        <v>0.002238006409603699</v>
      </c>
      <c r="L805" s="1">
        <v>0.01148662618390439</v>
      </c>
      <c r="M805" s="1">
        <v>0.00410470131881091</v>
      </c>
      <c r="N805" s="1">
        <v>0.006205656432599183</v>
      </c>
      <c r="O805" s="1">
        <v>0.008649669446794572</v>
      </c>
      <c r="P805" s="1">
        <v>0.01151922642503944</v>
      </c>
      <c r="Q805" s="1">
        <v>0.000717780343502783</v>
      </c>
      <c r="R805" s="1">
        <v>-0.01168713978625235</v>
      </c>
      <c r="S805" s="1">
        <v>-0.00434637804364324</v>
      </c>
      <c r="T805" s="1">
        <v>0.005153663492933225</v>
      </c>
      <c r="U805" s="1">
        <v>0.01287985049234219</v>
      </c>
      <c r="V805" s="1">
        <v>0.002222947306325107</v>
      </c>
      <c r="W805" s="1">
        <v>0.006349498273380938</v>
      </c>
      <c r="X805" s="1">
        <v>0</v>
      </c>
      <c r="Y805" s="1">
        <v>0.007592504839601721</v>
      </c>
      <c r="Z805" s="1">
        <v>0.001629809443426833</v>
      </c>
    </row>
    <row r="806" spans="1:26">
      <c r="A806" s="11">
        <v>43542</v>
      </c>
      <c r="B806" s="1">
        <v>0.01625500931282198</v>
      </c>
      <c r="C806" s="1">
        <v>-0.01770499340445209</v>
      </c>
      <c r="D806" s="1">
        <v>0.0001292188198480648</v>
      </c>
      <c r="E806" s="1">
        <v>-0.002001988901354168</v>
      </c>
      <c r="F806" s="1">
        <v>-0.01359009093633312</v>
      </c>
      <c r="G806" s="1">
        <v>-0.007465072218561186</v>
      </c>
      <c r="H806" s="1">
        <v>0.01527379022086817</v>
      </c>
      <c r="I806" s="1">
        <v>0.01359531218032561</v>
      </c>
      <c r="J806" s="1">
        <v>0.0005012752931896625</v>
      </c>
      <c r="K806" s="1">
        <v>0.01646686206217018</v>
      </c>
      <c r="L806" s="1">
        <v>0.006006435052911874</v>
      </c>
      <c r="M806" s="1">
        <v>-0.005645295435322439</v>
      </c>
      <c r="N806" s="1">
        <v>0.009692019281458242</v>
      </c>
      <c r="O806" s="1">
        <v>-0.003322862149757966</v>
      </c>
      <c r="P806" s="1">
        <v>0.01432151724801067</v>
      </c>
      <c r="Q806" s="1">
        <v>0.005736466727271905</v>
      </c>
      <c r="R806" s="1">
        <v>0.01123428553117689</v>
      </c>
      <c r="S806" s="1">
        <v>0.0006433280230211391</v>
      </c>
      <c r="T806" s="1">
        <v>0.0007424576153469697</v>
      </c>
      <c r="U806" s="1">
        <v>0.004238459303827158</v>
      </c>
      <c r="V806" s="1">
        <v>0.01591420750603412</v>
      </c>
      <c r="W806" s="1">
        <v>0.001672345112186946</v>
      </c>
      <c r="X806" s="1">
        <v>0.0144845625702712</v>
      </c>
      <c r="Y806" s="1">
        <v>-0.005480466890324442</v>
      </c>
      <c r="Z806" s="1">
        <v>0.01790082625180656</v>
      </c>
    </row>
    <row r="807" spans="1:26">
      <c r="A807" s="11">
        <v>43543</v>
      </c>
      <c r="B807" s="1">
        <v>-0.01485279457429589</v>
      </c>
      <c r="C807" s="1">
        <v>0.003089022436879363</v>
      </c>
      <c r="D807" s="1">
        <v>0.008317034753794417</v>
      </c>
      <c r="E807" s="1">
        <v>-0.005214209870625708</v>
      </c>
      <c r="F807" s="1">
        <v>-0.003506743455864769</v>
      </c>
      <c r="G807" s="1">
        <v>-0.01013752570762871</v>
      </c>
      <c r="H807" s="1">
        <v>-0.007111877878883233</v>
      </c>
      <c r="I807" s="1">
        <v>0.00417941708531222</v>
      </c>
      <c r="J807" s="1">
        <v>0.002506309899924064</v>
      </c>
      <c r="K807" s="1">
        <v>-0.001373234403121426</v>
      </c>
      <c r="L807" s="1">
        <v>-0.003638402445176547</v>
      </c>
      <c r="M807" s="1">
        <v>-0.006656292352315796</v>
      </c>
      <c r="N807" s="1">
        <v>-0.02251365680026596</v>
      </c>
      <c r="O807" s="1">
        <v>-0.003119053520158621</v>
      </c>
      <c r="P807" s="1">
        <v>0.0006803932826071613</v>
      </c>
      <c r="Q807" s="1">
        <v>-0.008912555173879566</v>
      </c>
      <c r="R807" s="1">
        <v>-0.004531497800177364</v>
      </c>
      <c r="S807" s="1">
        <v>-0.001285733434268743</v>
      </c>
      <c r="T807" s="1">
        <v>-0.002503665838921032</v>
      </c>
      <c r="U807" s="1">
        <v>-0.003895900717537648</v>
      </c>
      <c r="V807" s="1">
        <v>0.007447187366988572</v>
      </c>
      <c r="W807" s="1">
        <v>0.009220768110201671</v>
      </c>
      <c r="X807" s="1">
        <v>-0.009518576998655215</v>
      </c>
      <c r="Y807" s="1">
        <v>-0.009815664248975509</v>
      </c>
      <c r="Z807" s="1">
        <v>-0.02138308630815589</v>
      </c>
    </row>
    <row r="808" spans="1:26">
      <c r="A808" s="11">
        <v>43544</v>
      </c>
      <c r="B808" s="1">
        <v>0.02319494244235232</v>
      </c>
      <c r="C808" s="1">
        <v>0.007310655756499251</v>
      </c>
      <c r="D808" s="1">
        <v>-0.005283643962652573</v>
      </c>
      <c r="E808" s="1">
        <v>-0.008266370642060039</v>
      </c>
      <c r="F808" s="1">
        <v>-0.007793103269210011</v>
      </c>
      <c r="G808" s="1">
        <v>-0.0003303585249534446</v>
      </c>
      <c r="H808" s="1">
        <v>0.0005507307744485601</v>
      </c>
      <c r="I808" s="1">
        <v>-0.008138215482625832</v>
      </c>
      <c r="J808" s="1">
        <v>-0.0005001461543062691</v>
      </c>
      <c r="K808" s="1">
        <v>0.0002749513635555978</v>
      </c>
      <c r="L808" s="1">
        <v>-0.02134837464040806</v>
      </c>
      <c r="M808" s="1">
        <v>-0.02049640712199963</v>
      </c>
      <c r="N808" s="1">
        <v>-0.005177347077025884</v>
      </c>
      <c r="O808" s="1">
        <v>-0.005502192555564278</v>
      </c>
      <c r="P808" s="1">
        <v>-0.001105043592306343</v>
      </c>
      <c r="Q808" s="1">
        <v>0.005395726893032915</v>
      </c>
      <c r="R808" s="1">
        <v>-0.005286230563637528</v>
      </c>
      <c r="S808" s="1">
        <v>0.006299769651328502</v>
      </c>
      <c r="T808" s="1">
        <v>-0.002347474462454313</v>
      </c>
      <c r="U808" s="1">
        <v>-0.005541182256216137</v>
      </c>
      <c r="V808" s="1">
        <v>-0.01172544381958707</v>
      </c>
      <c r="W808" s="1">
        <v>-0.001240870707665098</v>
      </c>
      <c r="X808" s="1">
        <v>-0.01191609908005298</v>
      </c>
      <c r="Y808" s="1">
        <v>0.002956550310702077</v>
      </c>
      <c r="Z808" s="1">
        <v>-0.03798232760445719</v>
      </c>
    </row>
    <row r="809" spans="1:26">
      <c r="A809" s="11">
        <v>43545</v>
      </c>
      <c r="B809" s="1">
        <v>0.02238600986715511</v>
      </c>
      <c r="C809" s="1">
        <v>-0.009198229904407218</v>
      </c>
      <c r="D809" s="1">
        <v>0.01645455094741721</v>
      </c>
      <c r="E809" s="1">
        <v>-0.005488841015577783</v>
      </c>
      <c r="F809" s="1">
        <v>0.01469469222600539</v>
      </c>
      <c r="G809" s="1">
        <v>0.01189714836801326</v>
      </c>
      <c r="H809" s="1">
        <v>0.04240144840212556</v>
      </c>
      <c r="I809" s="1">
        <v>0.0004384694334944594</v>
      </c>
      <c r="J809" s="1">
        <v>0.01150561982476828</v>
      </c>
      <c r="K809" s="1">
        <v>0.01594261266751773</v>
      </c>
      <c r="L809" s="1">
        <v>-0.01578613794644657</v>
      </c>
      <c r="M809" s="1">
        <v>0.02092530060229447</v>
      </c>
      <c r="N809" s="1">
        <v>0.02171547874270341</v>
      </c>
      <c r="O809" s="1">
        <v>0.009763543485772352</v>
      </c>
      <c r="P809" s="1">
        <v>0.02297488857381724</v>
      </c>
      <c r="Q809" s="1">
        <v>0.01645795317013143</v>
      </c>
      <c r="R809" s="1">
        <v>0.006643150713906421</v>
      </c>
      <c r="S809" s="1">
        <v>0.01448431889081392</v>
      </c>
      <c r="T809" s="1">
        <v>0.01018043453369089</v>
      </c>
      <c r="U809" s="1">
        <v>0.01802705852224995</v>
      </c>
      <c r="V809" s="1">
        <v>0.02514786838979988</v>
      </c>
      <c r="W809" s="1">
        <v>0.02040449561492208</v>
      </c>
      <c r="X809" s="1">
        <v>0.00875329927670232</v>
      </c>
      <c r="Y809" s="1">
        <v>0.01075099848217986</v>
      </c>
      <c r="Z809" s="1">
        <v>-0.02250064379859373</v>
      </c>
    </row>
    <row r="810" spans="1:26">
      <c r="A810" s="11">
        <v>43546</v>
      </c>
      <c r="B810" s="1">
        <v>-0.03492251158744442</v>
      </c>
      <c r="C810" s="1">
        <v>-0.02825324648428551</v>
      </c>
      <c r="D810" s="1">
        <v>-0.01542326129218841</v>
      </c>
      <c r="E810" s="1">
        <v>-0.01553528446783425</v>
      </c>
      <c r="F810" s="1">
        <v>-0.01473116311368838</v>
      </c>
      <c r="G810" s="1">
        <v>0.003265592305484066</v>
      </c>
      <c r="H810" s="1">
        <v>0.01003683338924199</v>
      </c>
      <c r="I810" s="1">
        <v>-0.02372730698910952</v>
      </c>
      <c r="J810" s="1">
        <v>-0.04352072287751929</v>
      </c>
      <c r="K810" s="1">
        <v>-0.02245637212665585</v>
      </c>
      <c r="L810" s="1">
        <v>-0.03023260121081472</v>
      </c>
      <c r="M810" s="1">
        <v>-0.02798565789866136</v>
      </c>
      <c r="N810" s="1">
        <v>-0.003741177848712862</v>
      </c>
      <c r="O810" s="1">
        <v>-0.01085090249392173</v>
      </c>
      <c r="P810" s="1">
        <v>-0.02636828313358441</v>
      </c>
      <c r="Q810" s="1">
        <v>0.007040002411346835</v>
      </c>
      <c r="R810" s="1">
        <v>-0.01701160192230944</v>
      </c>
      <c r="S810" s="1">
        <v>0.0004505469302875653</v>
      </c>
      <c r="T810" s="1">
        <v>-0.0297716528552594</v>
      </c>
      <c r="U810" s="1">
        <v>0.0003216105930745616</v>
      </c>
      <c r="V810" s="1">
        <v>-0.01471833182425808</v>
      </c>
      <c r="W810" s="1">
        <v>-0.02671079691915412</v>
      </c>
      <c r="X810" s="1">
        <v>-0.03644433935663238</v>
      </c>
      <c r="Y810" s="1">
        <v>0.02521854377111188</v>
      </c>
      <c r="Z810" s="1">
        <v>-0.05233433883222971</v>
      </c>
    </row>
    <row r="811" spans="1:26">
      <c r="A811" s="11">
        <v>43549</v>
      </c>
      <c r="B811" s="1">
        <v>0.002872124331487091</v>
      </c>
      <c r="C811" s="1">
        <v>0.02288977498762046</v>
      </c>
      <c r="D811" s="1">
        <v>0.005048801905504607</v>
      </c>
      <c r="E811" s="1">
        <v>-0.01391201078894932</v>
      </c>
      <c r="F811" s="1">
        <v>-0.007095881027098572</v>
      </c>
      <c r="G811" s="1">
        <v>0.002604307585143628</v>
      </c>
      <c r="H811" s="1">
        <v>0.001045975602960381</v>
      </c>
      <c r="I811" s="1">
        <v>0.008913626294234644</v>
      </c>
      <c r="J811" s="1">
        <v>-0.01913188481111228</v>
      </c>
      <c r="K811" s="1">
        <v>0.0008302718223867078</v>
      </c>
      <c r="L811" s="1">
        <v>-0.008319908539142773</v>
      </c>
      <c r="M811" s="1">
        <v>-0.01277376676798347</v>
      </c>
      <c r="N811" s="1">
        <v>0.01126598412894197</v>
      </c>
      <c r="O811" s="1">
        <v>0.001954966853732865</v>
      </c>
      <c r="P811" s="1">
        <v>0.005211343420571612</v>
      </c>
      <c r="Q811" s="1">
        <v>0.001048269458310491</v>
      </c>
      <c r="R811" s="1">
        <v>0.005520023542058716</v>
      </c>
      <c r="S811" s="1">
        <v>0.00954448753655357</v>
      </c>
      <c r="T811" s="1">
        <v>0.003968839928847556</v>
      </c>
      <c r="U811" s="1">
        <v>-0.009655318350142439</v>
      </c>
      <c r="V811" s="1">
        <v>0.002681071797511425</v>
      </c>
      <c r="W811" s="1">
        <v>0.01891477732545011</v>
      </c>
      <c r="X811" s="1">
        <v>-0.001400900238516023</v>
      </c>
      <c r="Y811" s="1">
        <v>0.005354632129818571</v>
      </c>
      <c r="Z811" s="1">
        <v>0.002520496160343111</v>
      </c>
    </row>
    <row r="812" spans="1:26">
      <c r="A812" s="11">
        <v>43550</v>
      </c>
      <c r="B812" s="1">
        <v>0.02119151795174479</v>
      </c>
      <c r="C812" s="1">
        <v>-0.0002159442249808352</v>
      </c>
      <c r="D812" s="1">
        <v>0.01507154688776202</v>
      </c>
      <c r="E812" s="1">
        <v>0.01789839421742379</v>
      </c>
      <c r="F812" s="1">
        <v>0.01148529180386526</v>
      </c>
      <c r="G812" s="1">
        <v>0.004220605674382538</v>
      </c>
      <c r="H812" s="1">
        <v>0.006269951761380677</v>
      </c>
      <c r="I812" s="1">
        <v>0.001716008193098029</v>
      </c>
      <c r="J812" s="1">
        <v>0.00843459982878314</v>
      </c>
      <c r="K812" s="1">
        <v>0.01106217057154923</v>
      </c>
      <c r="L812" s="1">
        <v>0.01000683762652521</v>
      </c>
      <c r="M812" s="1">
        <v>0.001232364414157194</v>
      </c>
      <c r="N812" s="1">
        <v>0.008488293215677345</v>
      </c>
      <c r="O812" s="1">
        <v>0.004878021013171585</v>
      </c>
      <c r="P812" s="1">
        <v>0.002124967447351578</v>
      </c>
      <c r="Q812" s="1">
        <v>0.0062847292919197</v>
      </c>
      <c r="R812" s="1">
        <v>0.0002967356762528794</v>
      </c>
      <c r="S812" s="1">
        <v>-0.01792748368194774</v>
      </c>
      <c r="T812" s="1">
        <v>-0.004711142893734421</v>
      </c>
      <c r="U812" s="1">
        <v>0.02014936000091527</v>
      </c>
      <c r="V812" s="1">
        <v>0.01400711249546926</v>
      </c>
      <c r="W812" s="1">
        <v>0.009821851934962211</v>
      </c>
      <c r="X812" s="1">
        <v>0.002004082564774912</v>
      </c>
      <c r="Y812" s="1">
        <v>0.009154795177454655</v>
      </c>
      <c r="Z812" s="1">
        <v>0.02811421587866336</v>
      </c>
    </row>
    <row r="813" spans="1:26">
      <c r="A813" s="11">
        <v>43551</v>
      </c>
      <c r="B813" s="1">
        <v>-0.0179475499854781</v>
      </c>
      <c r="C813" s="1">
        <v>0.01034081587006397</v>
      </c>
      <c r="D813" s="1">
        <v>0.003680124818006725</v>
      </c>
      <c r="E813" s="1">
        <v>-0.007447139246425927</v>
      </c>
      <c r="F813" s="1">
        <v>0.01463504435417673</v>
      </c>
      <c r="G813" s="1">
        <v>-0.01260913397522678</v>
      </c>
      <c r="H813" s="1">
        <v>-0.01479804098481419</v>
      </c>
      <c r="I813" s="1">
        <v>0.004251342641163669</v>
      </c>
      <c r="J813" s="1">
        <v>-0.01045483704124728</v>
      </c>
      <c r="K813" s="1">
        <v>-0.002461944105811131</v>
      </c>
      <c r="L813" s="1">
        <v>-0.003402419211470997</v>
      </c>
      <c r="M813" s="1">
        <v>0.02215369960315239</v>
      </c>
      <c r="N813" s="1">
        <v>-0.01280056302491783</v>
      </c>
      <c r="O813" s="1">
        <v>-0.007443465922149839</v>
      </c>
      <c r="P813" s="1">
        <v>-0.009668511828785253</v>
      </c>
      <c r="Q813" s="1">
        <v>-0.004857406536243891</v>
      </c>
      <c r="R813" s="1">
        <v>0.00593295300623331</v>
      </c>
      <c r="S813" s="1">
        <v>-0.004631632093492599</v>
      </c>
      <c r="T813" s="1">
        <v>0.01496167585861485</v>
      </c>
      <c r="U813" s="1">
        <v>0.0003185674128169946</v>
      </c>
      <c r="V813" s="1">
        <v>0.002386276537559739</v>
      </c>
      <c r="W813" s="1">
        <v>-0.009542308098686725</v>
      </c>
      <c r="X813" s="1">
        <v>-0.004400055518678281</v>
      </c>
      <c r="Y813" s="1">
        <v>0.004123223827090072</v>
      </c>
      <c r="Z813" s="1">
        <v>-0.002445626440314541</v>
      </c>
    </row>
    <row r="814" spans="1:26">
      <c r="A814" s="11">
        <v>43552</v>
      </c>
      <c r="B814" s="1">
        <v>0.001999004786175318</v>
      </c>
      <c r="C814" s="1">
        <v>0.0006145345821215731</v>
      </c>
      <c r="D814" s="1">
        <v>0.007586537799749493</v>
      </c>
      <c r="E814" s="1">
        <v>-0.002917686670305675</v>
      </c>
      <c r="F814" s="1">
        <v>0.005222837037259787</v>
      </c>
      <c r="G814" s="1">
        <v>-0.006876272657456384</v>
      </c>
      <c r="H814" s="1">
        <v>0.009222756202516447</v>
      </c>
      <c r="I814" s="1">
        <v>0.003618535167565051</v>
      </c>
      <c r="J814" s="1">
        <v>0.003697925976838379</v>
      </c>
      <c r="K814" s="1">
        <v>0.01179061145055305</v>
      </c>
      <c r="L814" s="1">
        <v>0.01134757320452251</v>
      </c>
      <c r="M814" s="1">
        <v>0.01244219511000422</v>
      </c>
      <c r="N814" s="1">
        <v>0.007104938028447805</v>
      </c>
      <c r="O814" s="1">
        <v>0.00999920474161109</v>
      </c>
      <c r="P814" s="1">
        <v>0.001370249409603952</v>
      </c>
      <c r="Q814" s="1">
        <v>-0.004881625045900395</v>
      </c>
      <c r="R814" s="1">
        <v>0.006634877373756787</v>
      </c>
      <c r="S814" s="1">
        <v>-0.0009124020141650924</v>
      </c>
      <c r="T814" s="1">
        <v>0.01061681717148999</v>
      </c>
      <c r="U814" s="1">
        <v>-0.01242037506712101</v>
      </c>
      <c r="V814" s="1">
        <v>0.006264459252225851</v>
      </c>
      <c r="W814" s="1">
        <v>0.005393590446420848</v>
      </c>
      <c r="X814" s="1">
        <v>0.006428337788989769</v>
      </c>
      <c r="Y814" s="1">
        <v>-0.02956624409644548</v>
      </c>
      <c r="Z814" s="1">
        <v>0.01114361806431097</v>
      </c>
    </row>
    <row r="815" spans="1:26">
      <c r="A815" s="11">
        <v>43553</v>
      </c>
      <c r="B815" s="1">
        <v>-0.01225443925232095</v>
      </c>
      <c r="C815" s="1">
        <v>0.01864128473098803</v>
      </c>
      <c r="D815" s="1">
        <v>0.02032854108939031</v>
      </c>
      <c r="E815" s="1">
        <v>-0.002717715487365435</v>
      </c>
      <c r="F815" s="1">
        <v>-0.01088576713059253</v>
      </c>
      <c r="G815" s="1">
        <v>0.0121993964697884</v>
      </c>
      <c r="H815" s="1">
        <v>-0.004438432865164099</v>
      </c>
      <c r="I815" s="1">
        <v>0.01113392476990094</v>
      </c>
      <c r="J815" s="1">
        <v>0.02263155694901808</v>
      </c>
      <c r="K815" s="1">
        <v>0.001084008624457233</v>
      </c>
      <c r="L815" s="1">
        <v>0.005163468571140806</v>
      </c>
      <c r="M815" s="1">
        <v>0.0289394991851788</v>
      </c>
      <c r="N815" s="1">
        <v>0.01287482592824452</v>
      </c>
      <c r="O815" s="1">
        <v>0.01043776299243415</v>
      </c>
      <c r="P815" s="1">
        <v>0.008637487770267294</v>
      </c>
      <c r="Q815" s="1">
        <v>0.004204812711560812</v>
      </c>
      <c r="R815" s="1">
        <v>-0.001903985581514833</v>
      </c>
      <c r="S815" s="1">
        <v>-0.005570573771090492</v>
      </c>
      <c r="T815" s="1">
        <v>-0.0011830720228726</v>
      </c>
      <c r="U815" s="1">
        <v>0.01128690140561872</v>
      </c>
      <c r="V815" s="1">
        <v>-0.000747130101854232</v>
      </c>
      <c r="W815" s="1">
        <v>0.01265301152157905</v>
      </c>
      <c r="X815" s="1">
        <v>0.01117758312255601</v>
      </c>
      <c r="Y815" s="1">
        <v>0.0008461616289887619</v>
      </c>
      <c r="Z815" s="1">
        <v>0.0008817034064694251</v>
      </c>
    </row>
    <row r="816" spans="1:26">
      <c r="A816" s="11">
        <v>43556</v>
      </c>
      <c r="B816" s="1">
        <v>0.008944283160100541</v>
      </c>
      <c r="C816" s="1">
        <v>0.02653232440085085</v>
      </c>
      <c r="D816" s="1">
        <v>0.005657439330172931</v>
      </c>
      <c r="E816" s="1">
        <v>-0.01299508296742169</v>
      </c>
      <c r="F816" s="1">
        <v>0.008254493468994317</v>
      </c>
      <c r="G816" s="1">
        <v>0</v>
      </c>
      <c r="H816" s="1">
        <v>-0.007343346161380659</v>
      </c>
      <c r="I816" s="1">
        <v>0.01295035575474168</v>
      </c>
      <c r="J816" s="1">
        <v>0.03190936418277079</v>
      </c>
      <c r="K816" s="1">
        <v>-0.0005417176647518618</v>
      </c>
      <c r="L816" s="1">
        <v>0.03368554798083867</v>
      </c>
      <c r="M816" s="1">
        <v>0.009632373571696329</v>
      </c>
      <c r="N816" s="1">
        <v>0.005223676883781003</v>
      </c>
      <c r="O816" s="1">
        <v>0.0096912302942187</v>
      </c>
      <c r="P816" s="1">
        <v>0.009157464619862887</v>
      </c>
      <c r="Q816" s="1">
        <v>-0.01674814610717734</v>
      </c>
      <c r="R816" s="1">
        <v>0.01335495786658858</v>
      </c>
      <c r="S816" s="1">
        <v>0.002433768453827811</v>
      </c>
      <c r="T816" s="1">
        <v>0.006083425977463364</v>
      </c>
      <c r="U816" s="1">
        <v>0.0188135888611316</v>
      </c>
      <c r="V816" s="1">
        <v>-0.003613497040276803</v>
      </c>
      <c r="W816" s="1">
        <v>0.009023459333283856</v>
      </c>
      <c r="X816" s="1">
        <v>0.01816039706279104</v>
      </c>
      <c r="Y816" s="1">
        <v>-0.0006764357427386791</v>
      </c>
      <c r="Z816" s="1">
        <v>0.02884810928370007</v>
      </c>
    </row>
    <row r="817" spans="1:26">
      <c r="A817" s="11">
        <v>43557</v>
      </c>
      <c r="B817" s="1">
        <v>-0.01973111452511978</v>
      </c>
      <c r="C817" s="1">
        <v>-0.002017640949938615</v>
      </c>
      <c r="D817" s="1">
        <v>-0.002812700379991262</v>
      </c>
      <c r="E817" s="1">
        <v>-0.008281926718247123</v>
      </c>
      <c r="F817" s="1">
        <v>-0.001995419827482303</v>
      </c>
      <c r="G817" s="1">
        <v>0.002605697007459717</v>
      </c>
      <c r="H817" s="1">
        <v>-0.006076529457192503</v>
      </c>
      <c r="I817" s="1">
        <v>0.001296948552044874</v>
      </c>
      <c r="J817" s="1">
        <v>-0.01645868312101118</v>
      </c>
      <c r="K817" s="1">
        <v>-0.0113756277576349</v>
      </c>
      <c r="L817" s="1">
        <v>0.004778007918601501</v>
      </c>
      <c r="M817" s="1">
        <v>0.005724060470658987</v>
      </c>
      <c r="N817" s="1">
        <v>-0.01801449089495044</v>
      </c>
      <c r="O817" s="1">
        <v>-0.003691340553609423</v>
      </c>
      <c r="P817" s="1">
        <v>0.001428238367793488</v>
      </c>
      <c r="Q817" s="1">
        <v>0.001419423255923258</v>
      </c>
      <c r="R817" s="1">
        <v>-0.009123708934977381</v>
      </c>
      <c r="S817" s="1">
        <v>0.005129784811874316</v>
      </c>
      <c r="T817" s="1">
        <v>0.008861749811473141</v>
      </c>
      <c r="U817" s="1">
        <v>-0.01001547991726348</v>
      </c>
      <c r="V817" s="1">
        <v>-0.006377403513918356</v>
      </c>
      <c r="W817" s="1">
        <v>-0.004996452366609172</v>
      </c>
      <c r="X817" s="1">
        <v>-0.01395923717577219</v>
      </c>
      <c r="Y817" s="1">
        <v>-0.009477003150037522</v>
      </c>
      <c r="Z817" s="1">
        <v>0.004494951402528091</v>
      </c>
    </row>
    <row r="818" spans="1:26">
      <c r="A818" s="11">
        <v>43558</v>
      </c>
      <c r="B818" s="1">
        <v>-0.03558942795228504</v>
      </c>
      <c r="C818" s="1">
        <v>-0.01538074714711946</v>
      </c>
      <c r="D818" s="1">
        <v>-0.008216980675776475</v>
      </c>
      <c r="E818" s="1">
        <v>0.003854115383379764</v>
      </c>
      <c r="F818" s="1">
        <v>0.006247019656257402</v>
      </c>
      <c r="G818" s="1">
        <v>-0.002598924996374041</v>
      </c>
      <c r="H818" s="1">
        <v>-0.009835194524555724</v>
      </c>
      <c r="I818" s="1">
        <v>0.007833688171257958</v>
      </c>
      <c r="J818" s="1">
        <v>0.00152104621537652</v>
      </c>
      <c r="K818" s="1">
        <v>-0.01342487289289795</v>
      </c>
      <c r="L818" s="1">
        <v>0.001997728682862521</v>
      </c>
      <c r="M818" s="1">
        <v>0.003414729298108599</v>
      </c>
      <c r="N818" s="1">
        <v>-0.04780420853166878</v>
      </c>
      <c r="O818" s="1">
        <v>0.001905411293343873</v>
      </c>
      <c r="P818" s="1">
        <v>0.006544183176801166</v>
      </c>
      <c r="Q818" s="1">
        <v>-0.005315249456466442</v>
      </c>
      <c r="R818" s="1">
        <v>-0.001315729224965367</v>
      </c>
      <c r="S818" s="1">
        <v>-0.002369740263023168</v>
      </c>
      <c r="T818" s="1">
        <v>0.008028922845722208</v>
      </c>
      <c r="U818" s="1">
        <v>0.007587670479690001</v>
      </c>
      <c r="V818" s="1">
        <v>-0.00188774583276563</v>
      </c>
      <c r="W818" s="1">
        <v>0.00709610834157326</v>
      </c>
      <c r="X818" s="1">
        <v>-0.007667994162189884</v>
      </c>
      <c r="Y818" s="1">
        <v>0.005808942619301538</v>
      </c>
      <c r="Z818" s="1">
        <v>0.005326709701058085</v>
      </c>
    </row>
    <row r="819" spans="1:26">
      <c r="A819" s="11">
        <v>43559</v>
      </c>
      <c r="B819" s="1">
        <v>0.009376734151383737</v>
      </c>
      <c r="C819" s="1">
        <v>0.02890265337219011</v>
      </c>
      <c r="D819" s="1">
        <v>-0.003956995037517896</v>
      </c>
      <c r="E819" s="1">
        <v>0.004303798946441839</v>
      </c>
      <c r="F819" s="1">
        <v>0.003476699665037719</v>
      </c>
      <c r="G819" s="1">
        <v>-0.005537585495837938</v>
      </c>
      <c r="H819" s="1">
        <v>0.005369074969085785</v>
      </c>
      <c r="I819" s="1">
        <v>0.005202293560488735</v>
      </c>
      <c r="J819" s="1">
        <v>0.0005063507537002021</v>
      </c>
      <c r="K819" s="1">
        <v>0.003610409639718037</v>
      </c>
      <c r="L819" s="1">
        <v>0.009660402782733613</v>
      </c>
      <c r="M819" s="1">
        <v>0.005483215597694047</v>
      </c>
      <c r="N819" s="1">
        <v>0.01148558631365915</v>
      </c>
      <c r="O819" s="1">
        <v>-0.0009511666822965559</v>
      </c>
      <c r="P819" s="1">
        <v>-0.005084774622236332</v>
      </c>
      <c r="Q819" s="1">
        <v>-0.005700028678244928</v>
      </c>
      <c r="R819" s="1">
        <v>0.0100983740211924</v>
      </c>
      <c r="S819" s="1">
        <v>-0.005435828065780357</v>
      </c>
      <c r="T819" s="1">
        <v>0.008395781979396499</v>
      </c>
      <c r="U819" s="1">
        <v>0.003451596101167853</v>
      </c>
      <c r="V819" s="1">
        <v>0.02610004446252012</v>
      </c>
      <c r="W819" s="1">
        <v>-0.00617894525193019</v>
      </c>
      <c r="X819" s="1">
        <v>0.01307716655312263</v>
      </c>
      <c r="Y819" s="1">
        <v>0.002038368427307313</v>
      </c>
      <c r="Z819" s="1">
        <v>0.01059780355778517</v>
      </c>
    </row>
    <row r="820" spans="1:26">
      <c r="A820" s="11">
        <v>43560</v>
      </c>
      <c r="B820" s="1">
        <v>0.06592772772437505</v>
      </c>
      <c r="C820" s="1">
        <v>-0.009927669733304945</v>
      </c>
      <c r="D820" s="1">
        <v>0.001489956460256847</v>
      </c>
      <c r="E820" s="1">
        <v>-0.0006427064551842721</v>
      </c>
      <c r="F820" s="1">
        <v>0.0002471962205892186</v>
      </c>
      <c r="G820" s="1">
        <v>0.011136765083676</v>
      </c>
      <c r="H820" s="1">
        <v>0.02162834976466055</v>
      </c>
      <c r="I820" s="1">
        <v>0.004810084625248123</v>
      </c>
      <c r="J820" s="1">
        <v>0.001518220286395477</v>
      </c>
      <c r="K820" s="1">
        <v>0.001383260085488836</v>
      </c>
      <c r="L820" s="1">
        <v>-0.002368374309557053</v>
      </c>
      <c r="M820" s="1">
        <v>0.001316262480415498</v>
      </c>
      <c r="N820" s="1">
        <v>0.003113833182140979</v>
      </c>
      <c r="O820" s="1">
        <v>-0.005710976827779324</v>
      </c>
      <c r="P820" s="1">
        <v>0.004440435019557709</v>
      </c>
      <c r="Q820" s="1">
        <v>0.01254032000086469</v>
      </c>
      <c r="R820" s="1">
        <v>0</v>
      </c>
      <c r="S820" s="1">
        <v>0.003903996458025416</v>
      </c>
      <c r="T820" s="1">
        <v>0.01091422182449975</v>
      </c>
      <c r="U820" s="1">
        <v>0.01156966575916907</v>
      </c>
      <c r="V820" s="1">
        <v>-0.00540697543486035</v>
      </c>
      <c r="W820" s="1">
        <v>0.005235780512947041</v>
      </c>
      <c r="X820" s="1">
        <v>0.006453841931789883</v>
      </c>
      <c r="Y820" s="1">
        <v>0.001695201389155354</v>
      </c>
      <c r="Z820" s="1">
        <v>-0.002306725629800499</v>
      </c>
    </row>
    <row r="821" spans="1:26">
      <c r="A821" s="11">
        <v>43563</v>
      </c>
      <c r="B821" s="1">
        <v>-0.0002810909576037579</v>
      </c>
      <c r="C821" s="1">
        <v>-0.04442126891599518</v>
      </c>
      <c r="D821" s="1">
        <v>-0.01252028772711378</v>
      </c>
      <c r="E821" s="1">
        <v>0.003216460764198681</v>
      </c>
      <c r="F821" s="1">
        <v>0.007174606859221333</v>
      </c>
      <c r="G821" s="1">
        <v>-0.01328174232759349</v>
      </c>
      <c r="H821" s="1">
        <v>0.007057697186190648</v>
      </c>
      <c r="I821" s="1">
        <v>-0.0001817170914542032</v>
      </c>
      <c r="J821" s="1">
        <v>0.007579909413347075</v>
      </c>
      <c r="K821" s="1">
        <v>0.005803064675724112</v>
      </c>
      <c r="L821" s="1">
        <v>0.003228579352036354</v>
      </c>
      <c r="M821" s="1">
        <v>-0.02460087065493866</v>
      </c>
      <c r="N821" s="1">
        <v>0.009311385807940553</v>
      </c>
      <c r="O821" s="1">
        <v>-0.004467852013665063</v>
      </c>
      <c r="P821" s="1">
        <v>0.0003337497992865757</v>
      </c>
      <c r="Q821" s="1">
        <v>-0.008846323631700681</v>
      </c>
      <c r="R821" s="1">
        <v>-0.001159298449113</v>
      </c>
      <c r="S821" s="1">
        <v>-0.002607465641866313</v>
      </c>
      <c r="T821" s="1">
        <v>-0.006233006513511441</v>
      </c>
      <c r="U821" s="1">
        <v>0.001236323847617182</v>
      </c>
      <c r="V821" s="1">
        <v>0.01223177388473307</v>
      </c>
      <c r="W821" s="1">
        <v>0.006980570070878933</v>
      </c>
      <c r="X821" s="1">
        <v>0.0007774965598639216</v>
      </c>
      <c r="Y821" s="1">
        <v>0.0006768936177756757</v>
      </c>
      <c r="Z821" s="1">
        <v>0.001051029545264814</v>
      </c>
    </row>
    <row r="822" spans="1:26">
      <c r="A822" s="11">
        <v>43564</v>
      </c>
      <c r="B822" s="1">
        <v>-0.01912244056076851</v>
      </c>
      <c r="C822" s="1">
        <v>-0.01463199117885228</v>
      </c>
      <c r="D822" s="1">
        <v>0.005146997697115241</v>
      </c>
      <c r="E822" s="1">
        <v>-0.01731146134131212</v>
      </c>
      <c r="F822" s="1">
        <v>0.00810647462846914</v>
      </c>
      <c r="G822" s="1">
        <v>-0.004596092752996661</v>
      </c>
      <c r="H822" s="1">
        <v>0.02491557110335463</v>
      </c>
      <c r="I822" s="1">
        <v>-0.03739416586212907</v>
      </c>
      <c r="J822" s="1">
        <v>-0.01755258803643422</v>
      </c>
      <c r="K822" s="1">
        <v>-0.01456083332007851</v>
      </c>
      <c r="L822" s="1">
        <v>-0.007382956177481859</v>
      </c>
      <c r="M822" s="1">
        <v>-0.0009628998674227063</v>
      </c>
      <c r="N822" s="1">
        <v>-0.003074976945813268</v>
      </c>
      <c r="O822" s="1">
        <v>-0.005205165761396402</v>
      </c>
      <c r="P822" s="1">
        <v>-0.005420108853205541</v>
      </c>
      <c r="Q822" s="1">
        <v>-0.001785438062009814</v>
      </c>
      <c r="R822" s="1">
        <v>-0.007832893111344275</v>
      </c>
      <c r="S822" s="1">
        <v>0.006421682885737745</v>
      </c>
      <c r="T822" s="1">
        <v>-0.006025475720557893</v>
      </c>
      <c r="U822" s="1">
        <v>0.001111500854857006</v>
      </c>
      <c r="V822" s="1">
        <v>-0.01550094942985458</v>
      </c>
      <c r="W822" s="1">
        <v>-0.002227289814203504</v>
      </c>
      <c r="X822" s="1">
        <v>-0.02058245477698795</v>
      </c>
      <c r="Y822" s="1">
        <v>-0.002169870418063269</v>
      </c>
      <c r="Z822" s="1">
        <v>-0.0151197584758368</v>
      </c>
    </row>
    <row r="823" spans="1:26">
      <c r="A823" s="11">
        <v>43565</v>
      </c>
      <c r="B823" s="1">
        <v>0.0240820610921435</v>
      </c>
      <c r="C823" s="1">
        <v>-0.01110997925140267</v>
      </c>
      <c r="D823" s="1">
        <v>0.001124003709223054</v>
      </c>
      <c r="E823" s="1">
        <v>-0.001957599370158936</v>
      </c>
      <c r="F823" s="1">
        <v>0.000974338907753669</v>
      </c>
      <c r="G823" s="1">
        <v>-0.003957609269139906</v>
      </c>
      <c r="H823" s="1">
        <v>-0.0002556954037876702</v>
      </c>
      <c r="I823" s="1">
        <v>-0.001258949496903972</v>
      </c>
      <c r="J823" s="1">
        <v>0.01939700682651702</v>
      </c>
      <c r="K823" s="1">
        <v>-0.001393919911818142</v>
      </c>
      <c r="L823" s="1">
        <v>0.004481741125052174</v>
      </c>
      <c r="M823" s="1">
        <v>0.01406828084015843</v>
      </c>
      <c r="N823" s="1">
        <v>0.005625193699393627</v>
      </c>
      <c r="O823" s="1">
        <v>0.004639075265767012</v>
      </c>
      <c r="P823" s="1">
        <v>0.007629190031436472</v>
      </c>
      <c r="Q823" s="1">
        <v>-0.003218701514572486</v>
      </c>
      <c r="R823" s="1">
        <v>0.005555551937670433</v>
      </c>
      <c r="S823" s="1">
        <v>0.0004558324922590007</v>
      </c>
      <c r="T823" s="1">
        <v>-6.751861478282439E-05</v>
      </c>
      <c r="U823" s="1">
        <v>0.004094153763480657</v>
      </c>
      <c r="V823" s="1">
        <v>0.001115330433536288</v>
      </c>
      <c r="W823" s="1">
        <v>0.003779734484833819</v>
      </c>
      <c r="X823" s="1">
        <v>0.0003964949328740808</v>
      </c>
      <c r="Y823" s="1">
        <v>0.003595904464871902</v>
      </c>
      <c r="Z823" s="1">
        <v>0.005117431058805799</v>
      </c>
    </row>
    <row r="824" spans="1:26">
      <c r="A824" s="11">
        <v>43566</v>
      </c>
      <c r="B824" s="1">
        <v>-0.002239350325704104</v>
      </c>
      <c r="C824" s="1">
        <v>0.01430374533214263</v>
      </c>
      <c r="D824" s="1">
        <v>-0.004116935990960968</v>
      </c>
      <c r="E824" s="1">
        <v>0.004358193921345288</v>
      </c>
      <c r="F824" s="1">
        <v>-0.0009733904955213646</v>
      </c>
      <c r="G824" s="1">
        <v>0.002979961646667251</v>
      </c>
      <c r="H824" s="1">
        <v>0.0135445783192274</v>
      </c>
      <c r="I824" s="1">
        <v>0.009645094376838692</v>
      </c>
      <c r="J824" s="1">
        <v>-0.001501692647777331</v>
      </c>
      <c r="K824" s="1">
        <v>-0.0002789873422111011</v>
      </c>
      <c r="L824" s="1">
        <v>0.008449159646083615</v>
      </c>
      <c r="M824" s="1">
        <v>0.007221675987374665</v>
      </c>
      <c r="N824" s="1">
        <v>0.01010448644198614</v>
      </c>
      <c r="O824" s="1">
        <v>0.005476704884047834</v>
      </c>
      <c r="P824" s="1">
        <v>0.001164902781095822</v>
      </c>
      <c r="Q824" s="1">
        <v>0.006099518066757348</v>
      </c>
      <c r="R824" s="1">
        <v>0.01352147167217566</v>
      </c>
      <c r="S824" s="1">
        <v>0.0006379125834503618</v>
      </c>
      <c r="T824" s="1">
        <v>-0.001014392255577423</v>
      </c>
      <c r="U824" s="1">
        <v>0.01003757626021429</v>
      </c>
      <c r="V824" s="1">
        <v>-0.003714712500852535</v>
      </c>
      <c r="W824" s="1">
        <v>0.005953064284785814</v>
      </c>
      <c r="X824" s="1">
        <v>0.006143655466225528</v>
      </c>
      <c r="Y824" s="1">
        <v>-0.000853193676930597</v>
      </c>
      <c r="Z824" s="1">
        <v>0.007636440545256917</v>
      </c>
    </row>
    <row r="825" spans="1:26">
      <c r="A825" s="11">
        <v>43567</v>
      </c>
      <c r="B825" s="1">
        <v>0.02413006654729499</v>
      </c>
      <c r="C825" s="1">
        <v>0.02561055161649173</v>
      </c>
      <c r="D825" s="1">
        <v>-0.006388287116018687</v>
      </c>
      <c r="E825" s="1">
        <v>-0.01128206905919127</v>
      </c>
      <c r="F825" s="1">
        <v>0.006335095887747499</v>
      </c>
      <c r="G825" s="1">
        <v>0.009244008092209155</v>
      </c>
      <c r="H825" s="1">
        <v>0.003782133029693879</v>
      </c>
      <c r="I825" s="1">
        <v>0.008116796343034638</v>
      </c>
      <c r="J825" s="1">
        <v>0.01354031922187549</v>
      </c>
      <c r="K825" s="1">
        <v>0.007540211560534527</v>
      </c>
      <c r="L825" s="1">
        <v>0.04687904886761274</v>
      </c>
      <c r="M825" s="1">
        <v>0.002452880537901381</v>
      </c>
      <c r="N825" s="1">
        <v>0.0103608060288114</v>
      </c>
      <c r="O825" s="1">
        <v>0.01110747825488412</v>
      </c>
      <c r="P825" s="1">
        <v>0.005152474274806362</v>
      </c>
      <c r="Q825" s="1">
        <v>0.001070186537808215</v>
      </c>
      <c r="R825" s="1">
        <v>0.01133276194192434</v>
      </c>
      <c r="S825" s="1">
        <v>0.009652066488650579</v>
      </c>
      <c r="T825" s="1">
        <v>-0.003902760227916691</v>
      </c>
      <c r="U825" s="1">
        <v>0</v>
      </c>
      <c r="V825" s="1">
        <v>0.003480194666598768</v>
      </c>
      <c r="W825" s="1">
        <v>0.0004989995586157647</v>
      </c>
      <c r="X825" s="1">
        <v>0.01713598853428722</v>
      </c>
      <c r="Y825" s="1">
        <v>0.003073628166054387</v>
      </c>
      <c r="Z825" s="1">
        <v>0.01936827523408002</v>
      </c>
    </row>
    <row r="826" spans="1:26">
      <c r="A826" s="11">
        <v>43570</v>
      </c>
      <c r="B826" s="1">
        <v>-0.0150685798398249</v>
      </c>
      <c r="C826" s="1">
        <v>-0.01101041611276554</v>
      </c>
      <c r="D826" s="1">
        <v>0.003655779719547336</v>
      </c>
      <c r="E826" s="1">
        <v>0.02040791800492858</v>
      </c>
      <c r="F826" s="1">
        <v>0.01162234631759507</v>
      </c>
      <c r="G826" s="1">
        <v>-0.002289738493193694</v>
      </c>
      <c r="H826" s="1">
        <v>0.0007536139726780355</v>
      </c>
      <c r="I826" s="1">
        <v>0.006379306612385172</v>
      </c>
      <c r="J826" s="1">
        <v>-0.0004945785418527526</v>
      </c>
      <c r="K826" s="1">
        <v>0.01441219696101492</v>
      </c>
      <c r="L826" s="1">
        <v>-0.01141951674677999</v>
      </c>
      <c r="M826" s="1">
        <v>-0.01581017318813238</v>
      </c>
      <c r="N826" s="1">
        <v>0.006718422343157116</v>
      </c>
      <c r="O826" s="1">
        <v>0.002218202586904194</v>
      </c>
      <c r="P826" s="1">
        <v>0.0008267581023206905</v>
      </c>
      <c r="Q826" s="1">
        <v>-0.003206347382206598</v>
      </c>
      <c r="R826" s="1">
        <v>-0.001986024536985598</v>
      </c>
      <c r="S826" s="1">
        <v>-0.005456369513242687</v>
      </c>
      <c r="T826" s="1">
        <v>0.005073497974947161</v>
      </c>
      <c r="U826" s="1">
        <v>-0.00558984091638437</v>
      </c>
      <c r="V826" s="1">
        <v>0.01548385639657757</v>
      </c>
      <c r="W826" s="1">
        <v>-0.01101024031128262</v>
      </c>
      <c r="X826" s="1">
        <v>-0.004453920765821962</v>
      </c>
      <c r="Y826" s="1">
        <v>-0.0005107833845930942</v>
      </c>
      <c r="Z826" s="1">
        <v>-0.01590192681359937</v>
      </c>
    </row>
    <row r="827" spans="1:26">
      <c r="A827" s="11">
        <v>43571</v>
      </c>
      <c r="B827" s="1">
        <v>0.01696815851974454</v>
      </c>
      <c r="C827" s="1">
        <v>0.01667294219951265</v>
      </c>
      <c r="D827" s="1">
        <v>-0.02499661656128738</v>
      </c>
      <c r="E827" s="1">
        <v>-0.01032273442413723</v>
      </c>
      <c r="F827" s="1">
        <v>0.004547757603044156</v>
      </c>
      <c r="G827" s="1">
        <v>-0.01147543033828768</v>
      </c>
      <c r="H827" s="1">
        <v>-0.01029113550665295</v>
      </c>
      <c r="I827" s="1">
        <v>0.01273925725942293</v>
      </c>
      <c r="J827" s="1">
        <v>0.0183165586905214</v>
      </c>
      <c r="K827" s="1">
        <v>0.007103687989024055</v>
      </c>
      <c r="L827" s="1">
        <v>0.01055099203554133</v>
      </c>
      <c r="M827" s="1">
        <v>0.009370337746859025</v>
      </c>
      <c r="N827" s="1">
        <v>-0.009659155434970312</v>
      </c>
      <c r="O827" s="1">
        <v>0.00685088404360501</v>
      </c>
      <c r="P827" s="1">
        <v>-0.002313050886917023</v>
      </c>
      <c r="Q827" s="1">
        <v>-0.01358125516732056</v>
      </c>
      <c r="R827" s="1">
        <v>0.015207389123163</v>
      </c>
      <c r="S827" s="1">
        <v>-0.01410120877865284</v>
      </c>
      <c r="T827" s="1">
        <v>0.01509766037396165</v>
      </c>
      <c r="U827" s="1">
        <v>0.007183088698956119</v>
      </c>
      <c r="V827" s="1">
        <v>-0.0001218665367673788</v>
      </c>
      <c r="W827" s="1">
        <v>-0.03865812047606665</v>
      </c>
      <c r="X827" s="1">
        <v>0.01419949363022543</v>
      </c>
      <c r="Y827" s="1">
        <v>0.001362883240382695</v>
      </c>
      <c r="Z827" s="1">
        <v>0.01280144247168935</v>
      </c>
    </row>
    <row r="828" spans="1:26">
      <c r="A828" s="11">
        <v>43572</v>
      </c>
      <c r="B828" s="1">
        <v>0.007658759902879897</v>
      </c>
      <c r="C828" s="1">
        <v>-0.0110028947445977</v>
      </c>
      <c r="D828" s="1">
        <v>-0.04161314360699875</v>
      </c>
      <c r="E828" s="1">
        <v>-0.004780297379586962</v>
      </c>
      <c r="F828" s="1">
        <v>0.01429571076131464</v>
      </c>
      <c r="G828" s="1">
        <v>-0.004643426573601284</v>
      </c>
      <c r="H828" s="1">
        <v>-0.007608452066278804</v>
      </c>
      <c r="I828" s="1">
        <v>0.005408594647841047</v>
      </c>
      <c r="J828" s="1">
        <v>-0.003403159524309141</v>
      </c>
      <c r="K828" s="1">
        <v>-0.007325058316953514</v>
      </c>
      <c r="L828" s="1">
        <v>0.02880300846493666</v>
      </c>
      <c r="M828" s="1">
        <v>-0.0003786628401566405</v>
      </c>
      <c r="N828" s="1">
        <v>-0.003723927658078274</v>
      </c>
      <c r="O828" s="1">
        <v>-0.01172420951567732</v>
      </c>
      <c r="P828" s="1">
        <v>0.00828003853219883</v>
      </c>
      <c r="Q828" s="1">
        <v>-0.0003624451792851868</v>
      </c>
      <c r="R828" s="1">
        <v>-0.004339807013908015</v>
      </c>
      <c r="S828" s="1">
        <v>-0.00344889161673223</v>
      </c>
      <c r="T828" s="1">
        <v>-0.01678222760097414</v>
      </c>
      <c r="U828" s="1">
        <v>-0.009302577159271519</v>
      </c>
      <c r="V828" s="1">
        <v>0.008661146116180074</v>
      </c>
      <c r="W828" s="1">
        <v>-0.03492867894590534</v>
      </c>
      <c r="X828" s="1">
        <v>0.04008460494217725</v>
      </c>
      <c r="Y828" s="1">
        <v>-0.01717978548100574</v>
      </c>
      <c r="Z828" s="1">
        <v>0.00207210658718826</v>
      </c>
    </row>
    <row r="829" spans="1:26">
      <c r="A829" s="11">
        <v>43573</v>
      </c>
      <c r="B829" s="1">
        <v>-0.0196778206024415</v>
      </c>
      <c r="C829" s="1">
        <v>0.006754664432605084</v>
      </c>
      <c r="D829" s="1">
        <v>-0.0008062013769626342</v>
      </c>
      <c r="E829" s="1">
        <v>-0.006113417452793146</v>
      </c>
      <c r="F829" s="1">
        <v>-0.003288799396894526</v>
      </c>
      <c r="G829" s="1">
        <v>0.009330098679435794</v>
      </c>
      <c r="H829" s="1">
        <v>0.006644122673382435</v>
      </c>
      <c r="I829" s="1">
        <v>0.02175844609937827</v>
      </c>
      <c r="J829" s="1">
        <v>0.0009760170488688491</v>
      </c>
      <c r="K829" s="1">
        <v>0.004372831059668014</v>
      </c>
      <c r="L829" s="1">
        <v>-0.007349112140067393</v>
      </c>
      <c r="M829" s="1">
        <v>-0.01099305252823035</v>
      </c>
      <c r="N829" s="1">
        <v>-0.03221811312200096</v>
      </c>
      <c r="O829" s="1">
        <v>-0.007308192733964103</v>
      </c>
      <c r="P829" s="1">
        <v>0.0131397242978275</v>
      </c>
      <c r="Q829" s="1">
        <v>-0.001087288904062844</v>
      </c>
      <c r="R829" s="1">
        <v>0.004499643523346419</v>
      </c>
      <c r="S829" s="1">
        <v>0.003507230222886681</v>
      </c>
      <c r="T829" s="1">
        <v>0.02149390724106803</v>
      </c>
      <c r="U829" s="1">
        <v>0.002503798725832729</v>
      </c>
      <c r="V829" s="1">
        <v>0.007015467425580679</v>
      </c>
      <c r="W829" s="1">
        <v>0.00881518470935827</v>
      </c>
      <c r="X829" s="1">
        <v>0.01696467008706959</v>
      </c>
      <c r="Y829" s="1">
        <v>0.004499740165679667</v>
      </c>
      <c r="Z829" s="1">
        <v>-0.02191895204682537</v>
      </c>
    </row>
    <row r="830" spans="1:26">
      <c r="A830" s="11">
        <v>43577</v>
      </c>
      <c r="B830" s="1">
        <v>0.03401181860939362</v>
      </c>
      <c r="C830" s="1">
        <v>-0.01289239765149075</v>
      </c>
      <c r="D830" s="1">
        <v>0.01237693730741207</v>
      </c>
      <c r="E830" s="1">
        <v>-0.006151131589006043</v>
      </c>
      <c r="F830" s="1">
        <v>-0.01013408635581847</v>
      </c>
      <c r="G830" s="1">
        <v>0.006272900233010636</v>
      </c>
      <c r="H830" s="1">
        <v>-0.001776551166631446</v>
      </c>
      <c r="I830" s="1">
        <v>0.0005916192828532285</v>
      </c>
      <c r="J830" s="1">
        <v>-0.03118919152452537</v>
      </c>
      <c r="K830" s="1">
        <v>-0.002721263770274929</v>
      </c>
      <c r="L830" s="1">
        <v>0.001233824938180028</v>
      </c>
      <c r="M830" s="1">
        <v>-0.009007398339980432</v>
      </c>
      <c r="N830" s="1">
        <v>0.004414287103689185</v>
      </c>
      <c r="O830" s="1">
        <v>-0.003948429909745199</v>
      </c>
      <c r="P830" s="1">
        <v>0.003161293595696391</v>
      </c>
      <c r="Q830" s="1">
        <v>-0.009071191708225457</v>
      </c>
      <c r="R830" s="1">
        <v>-0.004339613857501035</v>
      </c>
      <c r="S830" s="1">
        <v>-0.01425628174549909</v>
      </c>
      <c r="T830" s="1">
        <v>-0.001193614793855047</v>
      </c>
      <c r="U830" s="1">
        <v>0.001561208987791884</v>
      </c>
      <c r="V830" s="1">
        <v>-0.01489346979500383</v>
      </c>
      <c r="W830" s="1">
        <v>-0.002656275313325573</v>
      </c>
      <c r="X830" s="1">
        <v>-0.02230300438511346</v>
      </c>
      <c r="Y830" s="1">
        <v>0.005685685920172601</v>
      </c>
      <c r="Z830" s="1">
        <v>-0.01247367012771194</v>
      </c>
    </row>
    <row r="831" spans="1:26">
      <c r="A831" s="11">
        <v>43578</v>
      </c>
      <c r="B831" s="1">
        <v>-0.01779431591005709</v>
      </c>
      <c r="C831" s="1">
        <v>-0.003065393620129697</v>
      </c>
      <c r="D831" s="1">
        <v>0.0144849241600471</v>
      </c>
      <c r="E831" s="1">
        <v>0.00176850213732882</v>
      </c>
      <c r="F831" s="1">
        <v>-0.000238255760189543</v>
      </c>
      <c r="G831" s="1">
        <v>0.004593152789422295</v>
      </c>
      <c r="H831" s="1">
        <v>-0.01068150414528224</v>
      </c>
      <c r="I831" s="1">
        <v>-0.008217477758015512</v>
      </c>
      <c r="J831" s="1">
        <v>0.01056351607358574</v>
      </c>
      <c r="K831" s="1">
        <v>0.008458131691289728</v>
      </c>
      <c r="L831" s="1">
        <v>0.001232467666081094</v>
      </c>
      <c r="M831" s="1">
        <v>0.02088598157934007</v>
      </c>
      <c r="N831" s="1">
        <v>0.003845681436628334</v>
      </c>
      <c r="O831" s="1">
        <v>0.01542602357553613</v>
      </c>
      <c r="P831" s="1">
        <v>0.01357467108957389</v>
      </c>
      <c r="Q831" s="1">
        <v>-0.0003661158123192676</v>
      </c>
      <c r="R831" s="1">
        <v>0.0007030422860729857</v>
      </c>
      <c r="S831" s="1">
        <v>0.007697851502265873</v>
      </c>
      <c r="T831" s="1">
        <v>0.01892078169193834</v>
      </c>
      <c r="U831" s="1">
        <v>0.0006236396318390902</v>
      </c>
      <c r="V831" s="1">
        <v>0.001707248040830001</v>
      </c>
      <c r="W831" s="1">
        <v>0.01864230752265494</v>
      </c>
      <c r="X831" s="1">
        <v>0.006676721746764036</v>
      </c>
      <c r="Y831" s="1">
        <v>-0.02090105892500294</v>
      </c>
      <c r="Z831" s="1">
        <v>0.04560084513909124</v>
      </c>
    </row>
    <row r="832" spans="1:26">
      <c r="A832" s="11">
        <v>43579</v>
      </c>
      <c r="B832" s="1">
        <v>-0.02607755397323941</v>
      </c>
      <c r="C832" s="1">
        <v>0.003850166189956372</v>
      </c>
      <c r="D832" s="1">
        <v>-0.0007856081224545397</v>
      </c>
      <c r="E832" s="1">
        <v>-0.01544618861274427</v>
      </c>
      <c r="F832" s="1">
        <v>-0.003334047932750606</v>
      </c>
      <c r="G832" s="1">
        <v>-0.01077744658164759</v>
      </c>
      <c r="H832" s="1">
        <v>0.002570299369658802</v>
      </c>
      <c r="I832" s="1">
        <v>-0.01460416496604822</v>
      </c>
      <c r="J832" s="1">
        <v>-0.01095062723912976</v>
      </c>
      <c r="K832" s="1">
        <v>0.003788112495345608</v>
      </c>
      <c r="L832" s="1">
        <v>-0.001670494271549194</v>
      </c>
      <c r="M832" s="1">
        <v>0.00265181327554842</v>
      </c>
      <c r="N832" s="1">
        <v>-0.002006823186443407</v>
      </c>
      <c r="O832" s="1">
        <v>-0.001687923862690233</v>
      </c>
      <c r="P832" s="1">
        <v>-0.003428109205744767</v>
      </c>
      <c r="Q832" s="1">
        <v>0.007692406400872098</v>
      </c>
      <c r="R832" s="1">
        <v>0.004214977296507216</v>
      </c>
      <c r="S832" s="1">
        <v>0.01027763235989854</v>
      </c>
      <c r="T832" s="1">
        <v>-0.005516679700105054</v>
      </c>
      <c r="U832" s="1">
        <v>-0.04081012789906469</v>
      </c>
      <c r="V832" s="1">
        <v>0.008763403547252135</v>
      </c>
      <c r="W832" s="1">
        <v>-0.008942372087820671</v>
      </c>
      <c r="X832" s="1">
        <v>-0.0009210065045153204</v>
      </c>
      <c r="Y832" s="1">
        <v>-0.001224885364197514</v>
      </c>
      <c r="Z832" s="1">
        <v>-0.009009055121587339</v>
      </c>
    </row>
    <row r="833" spans="1:26">
      <c r="A833" s="11">
        <v>43580</v>
      </c>
      <c r="B833" s="1">
        <v>-0.04002235482999839</v>
      </c>
      <c r="C833" s="1">
        <v>0.01954928357385111</v>
      </c>
      <c r="D833" s="1">
        <v>-0.000393396976070437</v>
      </c>
      <c r="E833" s="1">
        <v>0.02285992059072872</v>
      </c>
      <c r="F833" s="1">
        <v>0.02580594744316356</v>
      </c>
      <c r="G833" s="1">
        <v>0.007262932667922106</v>
      </c>
      <c r="H833" s="1">
        <v>-0.02102552094333199</v>
      </c>
      <c r="I833" s="1">
        <v>-0.02117238407246891</v>
      </c>
      <c r="J833" s="1">
        <v>-0.0135884597506386</v>
      </c>
      <c r="K833" s="1">
        <v>-0.01212935684632421</v>
      </c>
      <c r="L833" s="1">
        <v>0.0005283513601026524</v>
      </c>
      <c r="M833" s="1">
        <v>0.007934877142010688</v>
      </c>
      <c r="N833" s="1">
        <v>-0.06031793702901833</v>
      </c>
      <c r="O833" s="1">
        <v>-0.007608545233761865</v>
      </c>
      <c r="P833" s="1">
        <v>0.03311745164395052</v>
      </c>
      <c r="Q833" s="1">
        <v>0.01199592966818952</v>
      </c>
      <c r="R833" s="1">
        <v>-0.01846668671160678</v>
      </c>
      <c r="S833" s="1">
        <v>-0.006553156682277739</v>
      </c>
      <c r="T833" s="1">
        <v>-0.0144132476191301</v>
      </c>
      <c r="U833" s="1">
        <v>-0.014614790526012</v>
      </c>
      <c r="V833" s="1">
        <v>-0.01375496305062462</v>
      </c>
      <c r="W833" s="1">
        <v>0.03054760896479403</v>
      </c>
      <c r="X833" s="1">
        <v>-0.01641152835708881</v>
      </c>
      <c r="Y833" s="1">
        <v>-0.02154883330687318</v>
      </c>
      <c r="Z833" s="1">
        <v>-0.000826607065616769</v>
      </c>
    </row>
    <row r="834" spans="1:26">
      <c r="A834" s="11">
        <v>43581</v>
      </c>
      <c r="B834" s="1">
        <v>-0.02936023295514656</v>
      </c>
      <c r="C834" s="1">
        <v>-0.005250698399214548</v>
      </c>
      <c r="D834" s="1">
        <v>-0.000918287529034667</v>
      </c>
      <c r="E834" s="1">
        <v>0.005477638206388802</v>
      </c>
      <c r="F834" s="1">
        <v>0.003494257865699568</v>
      </c>
      <c r="G834" s="1">
        <v>-0.001310730790296422</v>
      </c>
      <c r="H834" s="1">
        <v>0.01204802713221786</v>
      </c>
      <c r="I834" s="1">
        <v>0.01977628734331605</v>
      </c>
      <c r="J834" s="1">
        <v>-0.009694162052772848</v>
      </c>
      <c r="K834" s="1">
        <v>0.0147341835527881</v>
      </c>
      <c r="L834" s="1">
        <v>0.007569716890238887</v>
      </c>
      <c r="M834" s="1">
        <v>-0.006935117209075248</v>
      </c>
      <c r="N834" s="1">
        <v>0.02684296319540214</v>
      </c>
      <c r="O834" s="1">
        <v>-0.002874885707733199</v>
      </c>
      <c r="P834" s="1">
        <v>0.005729868274905181</v>
      </c>
      <c r="Q834" s="1">
        <v>0.001436408346477958</v>
      </c>
      <c r="R834" s="1">
        <v>0.01140239187916992</v>
      </c>
      <c r="S834" s="1">
        <v>0.009963716295411151</v>
      </c>
      <c r="T834" s="1">
        <v>0.01189877504123182</v>
      </c>
      <c r="U834" s="1">
        <v>0.01120591742528365</v>
      </c>
      <c r="V834" s="1">
        <v>-0.05652089427304674</v>
      </c>
      <c r="W834" s="1">
        <v>0.01361519665464539</v>
      </c>
      <c r="X834" s="1">
        <v>0.004873906926824878</v>
      </c>
      <c r="Y834" s="1">
        <v>0.01307087267196838</v>
      </c>
      <c r="Z834" s="1">
        <v>0.008064515311622111</v>
      </c>
    </row>
    <row r="835" spans="1:26">
      <c r="A835" s="11">
        <v>43584</v>
      </c>
      <c r="B835" s="1">
        <v>0.004839794518942897</v>
      </c>
      <c r="C835" s="1">
        <v>-0.004569537233620413</v>
      </c>
      <c r="D835" s="1">
        <v>-0.008794785049172638</v>
      </c>
      <c r="E835" s="1">
        <v>0.009370346851186762</v>
      </c>
      <c r="F835" s="1">
        <v>0.008589172186462823</v>
      </c>
      <c r="G835" s="1">
        <v>-0.0006562255301559849</v>
      </c>
      <c r="H835" s="1">
        <v>-0.00776375212159075</v>
      </c>
      <c r="I835" s="1">
        <v>0.007757067205607759</v>
      </c>
      <c r="J835" s="1">
        <v>0.01287993081160743</v>
      </c>
      <c r="K835" s="1">
        <v>0.003495436523369033</v>
      </c>
      <c r="L835" s="1">
        <v>0.0144141432085203</v>
      </c>
      <c r="M835" s="1">
        <v>0.01604367089221981</v>
      </c>
      <c r="N835" s="1">
        <v>0.01363876712292633</v>
      </c>
      <c r="O835" s="1">
        <v>-0.003631013336718447</v>
      </c>
      <c r="P835" s="1">
        <v>-0.0009241019760685143</v>
      </c>
      <c r="Q835" s="1">
        <v>-0.007947987911966048</v>
      </c>
      <c r="R835" s="1">
        <v>0.005073171854468095</v>
      </c>
      <c r="S835" s="1">
        <v>-0.008038342813621147</v>
      </c>
      <c r="T835" s="1">
        <v>-0.01125544392614031</v>
      </c>
      <c r="U835" s="1">
        <v>0.006518947183599577</v>
      </c>
      <c r="V835" s="1">
        <v>0.008817750325359031</v>
      </c>
      <c r="W835" s="1">
        <v>-0.002561569707121736</v>
      </c>
      <c r="X835" s="1">
        <v>-0.002051834378877682</v>
      </c>
      <c r="Y835" s="1">
        <v>0.004595175056009149</v>
      </c>
      <c r="Z835" s="1">
        <v>0.01374340015651287</v>
      </c>
    </row>
    <row r="836" spans="1:26">
      <c r="A836" s="11">
        <v>43585</v>
      </c>
      <c r="B836" s="1">
        <v>-0.009331806690990208</v>
      </c>
      <c r="C836" s="1">
        <v>-0.003587858889971485</v>
      </c>
      <c r="D836" s="1">
        <v>0.0104621098060067</v>
      </c>
      <c r="E836" s="1">
        <v>0.002374830313091714</v>
      </c>
      <c r="F836" s="1">
        <v>0.001841053627146705</v>
      </c>
      <c r="G836" s="1">
        <v>0.0180620732110075</v>
      </c>
      <c r="H836" s="1">
        <v>0.009128874843822743</v>
      </c>
      <c r="I836" s="1">
        <v>-0.003968905938168121</v>
      </c>
      <c r="J836" s="1">
        <v>0.01475094982413494</v>
      </c>
      <c r="K836" s="1">
        <v>0.004823260256694439</v>
      </c>
      <c r="L836" s="1">
        <v>-0.0006026211545886451</v>
      </c>
      <c r="M836" s="1">
        <v>0.007430778570363561</v>
      </c>
      <c r="N836" s="1">
        <v>0.01532441838206666</v>
      </c>
      <c r="O836" s="1">
        <v>0.01061077788427078</v>
      </c>
      <c r="P836" s="1">
        <v>0.006396242648199602</v>
      </c>
      <c r="Q836" s="1">
        <v>0.01165353012044057</v>
      </c>
      <c r="R836" s="1">
        <v>0.004907351669560356</v>
      </c>
      <c r="S836" s="1">
        <v>0.01837062039870041</v>
      </c>
      <c r="T836" s="1">
        <v>0.007308345003063987</v>
      </c>
      <c r="U836" s="1">
        <v>0.002590757548939671</v>
      </c>
      <c r="V836" s="1">
        <v>-0.004884206518182665</v>
      </c>
      <c r="W836" s="1">
        <v>0.01809039013227753</v>
      </c>
      <c r="X836" s="1">
        <v>-0.009160549038237042</v>
      </c>
      <c r="Y836" s="1">
        <v>0.006157626855292531</v>
      </c>
      <c r="Z836" s="1">
        <v>-0.001820835283141919</v>
      </c>
    </row>
    <row r="837" spans="1:26">
      <c r="A837" s="11">
        <v>43586</v>
      </c>
      <c r="B837" s="1">
        <v>-0.03646291822949155</v>
      </c>
      <c r="C837" s="1">
        <v>-0.002356474206242298</v>
      </c>
      <c r="D837" s="1">
        <v>-0.01114014806574803</v>
      </c>
      <c r="E837" s="1">
        <v>0.00323068334336285</v>
      </c>
      <c r="F837" s="1">
        <v>-0.002527027053478625</v>
      </c>
      <c r="G837" s="1">
        <v>-0.007096816189080757</v>
      </c>
      <c r="H837" s="1">
        <v>-0.009563374005878145</v>
      </c>
      <c r="I837" s="1">
        <v>-0.006581120460378731</v>
      </c>
      <c r="J837" s="1">
        <v>-0.001002236051031002</v>
      </c>
      <c r="K837" s="1">
        <v>0.04773323168315047</v>
      </c>
      <c r="L837" s="1">
        <v>-0.007669324244426456</v>
      </c>
      <c r="M837" s="1">
        <v>-0.006085114490495203</v>
      </c>
      <c r="N837" s="1">
        <v>-0.01730189331837906</v>
      </c>
      <c r="O837" s="1">
        <v>-0.01898374403471659</v>
      </c>
      <c r="P837" s="1">
        <v>-0.02082722283007477</v>
      </c>
      <c r="Q837" s="1">
        <v>-0.01367889028926594</v>
      </c>
      <c r="R837" s="1">
        <v>-0.01144121761495676</v>
      </c>
      <c r="S837" s="1">
        <v>0.003752944021903737</v>
      </c>
      <c r="T837" s="1">
        <v>-0.01611568731265534</v>
      </c>
      <c r="U837" s="1">
        <v>-0.005491024598869965</v>
      </c>
      <c r="V837" s="1">
        <v>-0.02260425813761247</v>
      </c>
      <c r="W837" s="1">
        <v>-0.003460026247623538</v>
      </c>
      <c r="X837" s="1">
        <v>-0.002641549193431181</v>
      </c>
      <c r="Y837" s="1">
        <v>-0.01171535885671615</v>
      </c>
      <c r="Z837" s="1">
        <v>-0.01520365809113589</v>
      </c>
    </row>
    <row r="838" spans="1:26">
      <c r="A838" s="11">
        <v>43587</v>
      </c>
      <c r="B838" s="1">
        <v>-0.06086411881885367</v>
      </c>
      <c r="C838" s="1">
        <v>-0.002653884673451068</v>
      </c>
      <c r="D838" s="1">
        <v>0.01113330393862322</v>
      </c>
      <c r="E838" s="1">
        <v>0.006440343551145977</v>
      </c>
      <c r="F838" s="1">
        <v>-0.01773388824746081</v>
      </c>
      <c r="G838" s="1">
        <v>-0.0009746542467417019</v>
      </c>
      <c r="H838" s="1">
        <v>-0.01069921488887193</v>
      </c>
      <c r="I838" s="1">
        <v>-0.002552436708867289</v>
      </c>
      <c r="J838" s="1">
        <v>0.005518924851864782</v>
      </c>
      <c r="K838" s="1">
        <v>-0.00789003232164831</v>
      </c>
      <c r="L838" s="1">
        <v>0.002171263586393302</v>
      </c>
      <c r="M838" s="1">
        <v>-0.009833129230876536</v>
      </c>
      <c r="N838" s="1">
        <v>-0.004307786648787504</v>
      </c>
      <c r="O838" s="1">
        <v>0.006918751024378222</v>
      </c>
      <c r="P838" s="1">
        <v>-0.0130591204712841</v>
      </c>
      <c r="Q838" s="1">
        <v>0.00656918246589</v>
      </c>
      <c r="R838" s="1">
        <v>-0.00931565792096023</v>
      </c>
      <c r="S838" s="1">
        <v>0.02184581694471288</v>
      </c>
      <c r="T838" s="1">
        <v>0.01155270888558579</v>
      </c>
      <c r="U838" s="1">
        <v>-0.005521274980644919</v>
      </c>
      <c r="V838" s="1">
        <v>0.009911663032148077</v>
      </c>
      <c r="W838" s="1">
        <v>0.004773998131081258</v>
      </c>
      <c r="X838" s="1">
        <v>-0.006999597177459127</v>
      </c>
      <c r="Y838" s="1">
        <v>0.008315771823881102</v>
      </c>
      <c r="Z838" s="1">
        <v>0.01852621493214346</v>
      </c>
    </row>
    <row r="839" spans="1:26">
      <c r="A839" s="11">
        <v>43588</v>
      </c>
      <c r="B839" s="1">
        <v>0.02719936295503378</v>
      </c>
      <c r="C839" s="1">
        <v>0.001756141547719636</v>
      </c>
      <c r="D839" s="1">
        <v>0.01323910767166758</v>
      </c>
      <c r="E839" s="1">
        <v>0.0371164170696936</v>
      </c>
      <c r="F839" s="1">
        <v>0.0150059922433412</v>
      </c>
      <c r="G839" s="1">
        <v>0.01300822146979064</v>
      </c>
      <c r="H839" s="1">
        <v>0.009496215136775676</v>
      </c>
      <c r="I839" s="1">
        <v>0.0169998750969953</v>
      </c>
      <c r="J839" s="1">
        <v>0.01247520927638823</v>
      </c>
      <c r="K839" s="1">
        <v>0.01539259126052372</v>
      </c>
      <c r="L839" s="1">
        <v>0.006151621735333901</v>
      </c>
      <c r="M839" s="1">
        <v>0.004684315225466085</v>
      </c>
      <c r="N839" s="1">
        <v>0.01128652336824754</v>
      </c>
      <c r="O839" s="1">
        <v>0.007944840394677577</v>
      </c>
      <c r="P839" s="1">
        <v>0.02131361526274267</v>
      </c>
      <c r="Q839" s="1">
        <v>0.01015250475594898</v>
      </c>
      <c r="R839" s="1">
        <v>0.0169541846200123</v>
      </c>
      <c r="S839" s="1">
        <v>-0.0004847991119403261</v>
      </c>
      <c r="T839" s="1">
        <v>0.007158109120608547</v>
      </c>
      <c r="U839" s="1">
        <v>0.002612552650172351</v>
      </c>
      <c r="V839" s="1">
        <v>-0.006281089066462853</v>
      </c>
      <c r="W839" s="1">
        <v>0.002987338531443617</v>
      </c>
      <c r="X839" s="1">
        <v>0.0154312244411472</v>
      </c>
      <c r="Y839" s="1">
        <v>0.004386829040128992</v>
      </c>
      <c r="Z839" s="1">
        <v>0.01151942095597058</v>
      </c>
    </row>
    <row r="840" spans="1:26">
      <c r="A840" s="11">
        <v>43591</v>
      </c>
      <c r="B840" s="1">
        <v>0.006211367015591662</v>
      </c>
      <c r="C840" s="1">
        <v>-0.01290961212891428</v>
      </c>
      <c r="D840" s="1">
        <v>0.000258803960149212</v>
      </c>
      <c r="E840" s="1">
        <v>-0.01069560880780562</v>
      </c>
      <c r="F840" s="1">
        <v>0.0002306349697958066</v>
      </c>
      <c r="G840" s="1">
        <v>-0.003210106165258741</v>
      </c>
      <c r="H840" s="1">
        <v>-0.001567879224937285</v>
      </c>
      <c r="I840" s="1">
        <v>-0.04032131036291875</v>
      </c>
      <c r="J840" s="1">
        <v>-0.00985693835941126</v>
      </c>
      <c r="K840" s="1">
        <v>0.0002527644075431823</v>
      </c>
      <c r="L840" s="1">
        <v>-0.008870024673944044</v>
      </c>
      <c r="M840" s="1">
        <v>-0.00261084433207226</v>
      </c>
      <c r="N840" s="1">
        <v>-0.004278264996196324</v>
      </c>
      <c r="O840" s="1">
        <v>0.001278510767288132</v>
      </c>
      <c r="P840" s="1">
        <v>-0.005818381577485265</v>
      </c>
      <c r="Q840" s="1">
        <v>0.0007179152939711386</v>
      </c>
      <c r="R840" s="1">
        <v>-0.02731866074848677</v>
      </c>
      <c r="S840" s="1">
        <v>0.0003085748724218629</v>
      </c>
      <c r="T840" s="1">
        <v>-0.007699432735544409</v>
      </c>
      <c r="U840" s="1">
        <v>-0.00358298393450851</v>
      </c>
      <c r="V840" s="1">
        <v>0.0005264231370238903</v>
      </c>
      <c r="W840" s="1">
        <v>0.001148416903498761</v>
      </c>
      <c r="X840" s="1">
        <v>-0.002063816384720862</v>
      </c>
      <c r="Y840" s="1">
        <v>-0.005765351028383936</v>
      </c>
      <c r="Z840" s="1">
        <v>-0.007392431850743453</v>
      </c>
    </row>
    <row r="841" spans="1:26">
      <c r="A841" s="11">
        <v>43592</v>
      </c>
      <c r="B841" s="1">
        <v>-0.008772097230821063</v>
      </c>
      <c r="C841" s="1">
        <v>-0.0386706554336691</v>
      </c>
      <c r="D841" s="1">
        <v>-0.008148421765969749</v>
      </c>
      <c r="E841" s="1">
        <v>-0.01829515992178798</v>
      </c>
      <c r="F841" s="1">
        <v>-0.01247074753991106</v>
      </c>
      <c r="G841" s="1">
        <v>-0.007729581578100997</v>
      </c>
      <c r="H841" s="1">
        <v>0.0005231866887138725</v>
      </c>
      <c r="I841" s="1">
        <v>-0.01510814755656797</v>
      </c>
      <c r="J841" s="1">
        <v>-0.02389256577530119</v>
      </c>
      <c r="K841" s="1">
        <v>-0.008588568343335656</v>
      </c>
      <c r="L841" s="1">
        <v>-0.01633512843838103</v>
      </c>
      <c r="M841" s="1">
        <v>-0.02374741958553983</v>
      </c>
      <c r="N841" s="1">
        <v>-0.01102172927709333</v>
      </c>
      <c r="O841" s="1">
        <v>-0.007766027397859809</v>
      </c>
      <c r="P841" s="1">
        <v>-0.0205227613471991</v>
      </c>
      <c r="Q841" s="1">
        <v>-0.005021801829461658</v>
      </c>
      <c r="R841" s="1">
        <v>-0.008353625291601663</v>
      </c>
      <c r="S841" s="1">
        <v>-0.01847278559810206</v>
      </c>
      <c r="T841" s="1">
        <v>-0.01198044250546559</v>
      </c>
      <c r="U841" s="1">
        <v>-0.001961438018578954</v>
      </c>
      <c r="V841" s="1">
        <v>-0.01237151646184365</v>
      </c>
      <c r="W841" s="1">
        <v>-0.02602496068984927</v>
      </c>
      <c r="X841" s="1">
        <v>-0.02688444727014361</v>
      </c>
      <c r="Y841" s="1">
        <v>-0.004920102866319498</v>
      </c>
      <c r="Z841" s="1">
        <v>-0.01952506065229298</v>
      </c>
    </row>
    <row r="842" spans="1:26">
      <c r="A842" s="11">
        <v>43593</v>
      </c>
      <c r="B842" s="1">
        <v>0.003277516979393491</v>
      </c>
      <c r="C842" s="1">
        <v>0.007054338931934412</v>
      </c>
      <c r="D842" s="1">
        <v>0</v>
      </c>
      <c r="E842" s="1">
        <v>0.004870980568533856</v>
      </c>
      <c r="F842" s="1">
        <v>-0.004911571320699526</v>
      </c>
      <c r="G842" s="1">
        <v>-0.01168430801789311</v>
      </c>
      <c r="H842" s="1">
        <v>0.009416925856569502</v>
      </c>
      <c r="I842" s="1">
        <v>-0.01375474197643622</v>
      </c>
      <c r="J842" s="1">
        <v>-0.004079406399791208</v>
      </c>
      <c r="K842" s="1">
        <v>0.003312548427624629</v>
      </c>
      <c r="L842" s="1">
        <v>-0.005299709831594557</v>
      </c>
      <c r="M842" s="1">
        <v>0.003830955447410078</v>
      </c>
      <c r="N842" s="1">
        <v>-0.01851144274215233</v>
      </c>
      <c r="O842" s="1">
        <v>0.004074252844603166</v>
      </c>
      <c r="P842" s="1">
        <v>-7.961362589481435E-05</v>
      </c>
      <c r="Q842" s="1">
        <v>-0.009733305784598634</v>
      </c>
      <c r="R842" s="1">
        <v>-0.0001454588271726509</v>
      </c>
      <c r="S842" s="1">
        <v>-0.001437333187512824</v>
      </c>
      <c r="T842" s="1">
        <v>-0.005526075728320978</v>
      </c>
      <c r="U842" s="1">
        <v>-0.007533384402514387</v>
      </c>
      <c r="V842" s="1">
        <v>0.004930775511410523</v>
      </c>
      <c r="W842" s="1">
        <v>-0.004379888478171279</v>
      </c>
      <c r="X842" s="1">
        <v>-0.0003862345155561941</v>
      </c>
      <c r="Y842" s="1">
        <v>-0.004414513386726493</v>
      </c>
      <c r="Z842" s="1">
        <v>-0.01067529137576051</v>
      </c>
    </row>
    <row r="843" spans="1:26">
      <c r="A843" s="11">
        <v>43594</v>
      </c>
      <c r="B843" s="1">
        <v>0.01470121143730263</v>
      </c>
      <c r="C843" s="1">
        <v>-0.009966567606435883</v>
      </c>
      <c r="D843" s="1">
        <v>-0.008996821612806905</v>
      </c>
      <c r="E843" s="1">
        <v>-0.004636337723097128</v>
      </c>
      <c r="F843" s="1">
        <v>0.008695923612796141</v>
      </c>
      <c r="G843" s="1">
        <v>-0.03940912982891287</v>
      </c>
      <c r="H843" s="1">
        <v>0.00958789866553178</v>
      </c>
      <c r="I843" s="1">
        <v>-0.0007071557081769209</v>
      </c>
      <c r="J843" s="1">
        <v>-0.01228905165005068</v>
      </c>
      <c r="K843" s="1">
        <v>0.005332757415811296</v>
      </c>
      <c r="L843" s="1">
        <v>-0.0007993483401546042</v>
      </c>
      <c r="M843" s="1">
        <v>0.0009538626167575615</v>
      </c>
      <c r="N843" s="1">
        <v>0.0005773459967299832</v>
      </c>
      <c r="O843" s="1">
        <v>0.003096551513971812</v>
      </c>
      <c r="P843" s="1">
        <v>-7.975016908667865E-05</v>
      </c>
      <c r="Q843" s="1">
        <v>0.001456303893157651</v>
      </c>
      <c r="R843" s="1">
        <v>0.00246992451971928</v>
      </c>
      <c r="S843" s="1">
        <v>0.002608922124917479</v>
      </c>
      <c r="T843" s="1">
        <v>-0.005736740979575328</v>
      </c>
      <c r="U843" s="1">
        <v>0.002640075066104641</v>
      </c>
      <c r="V843" s="1">
        <v>-0.003978321726649359</v>
      </c>
      <c r="W843" s="1">
        <v>-0.005582087865016905</v>
      </c>
      <c r="X843" s="1">
        <v>-0.01739508426976744</v>
      </c>
      <c r="Y843" s="1">
        <v>0.001773573781313154</v>
      </c>
      <c r="Z843" s="1">
        <v>0.001037609029812758</v>
      </c>
    </row>
    <row r="844" spans="1:26">
      <c r="A844" s="11">
        <v>43595</v>
      </c>
      <c r="B844" s="1">
        <v>0.005151361114174247</v>
      </c>
      <c r="C844" s="1">
        <v>0.001524814627410942</v>
      </c>
      <c r="D844" s="1">
        <v>-0.000789578521548151</v>
      </c>
      <c r="E844" s="1">
        <v>-0.004658252614329839</v>
      </c>
      <c r="F844" s="1">
        <v>0.005359092853456815</v>
      </c>
      <c r="G844" s="1">
        <v>0.01401718731321755</v>
      </c>
      <c r="H844" s="1">
        <v>-0.005646756510339634</v>
      </c>
      <c r="I844" s="1">
        <v>0.003665888997901989</v>
      </c>
      <c r="J844" s="1">
        <v>-0.008812714492130169</v>
      </c>
      <c r="K844" s="1">
        <v>0.002273296243693324</v>
      </c>
      <c r="L844" s="1">
        <v>-8.887838200155596E-05</v>
      </c>
      <c r="M844" s="1">
        <v>0.005337552825685599</v>
      </c>
      <c r="N844" s="1">
        <v>0.002308182092011002</v>
      </c>
      <c r="O844" s="1">
        <v>0.023206406916644</v>
      </c>
      <c r="P844" s="1">
        <v>0.01298820436735038</v>
      </c>
      <c r="Q844" s="1">
        <v>0.02071971635160907</v>
      </c>
      <c r="R844" s="1">
        <v>0.007245212172223292</v>
      </c>
      <c r="S844" s="1">
        <v>0.01175471197437128</v>
      </c>
      <c r="T844" s="1">
        <v>-0.004615518390129192</v>
      </c>
      <c r="U844" s="1">
        <v>0.007899985467614057</v>
      </c>
      <c r="V844" s="1">
        <v>-0.006257313066111547</v>
      </c>
      <c r="W844" s="1">
        <v>0.0006691052349727666</v>
      </c>
      <c r="X844" s="1">
        <v>0.01278519338874773</v>
      </c>
      <c r="Y844" s="1">
        <v>0.007613365086968304</v>
      </c>
      <c r="Z844" s="1">
        <v>0.004145930831176647</v>
      </c>
    </row>
    <row r="845" spans="1:26">
      <c r="A845" s="11">
        <v>43598</v>
      </c>
      <c r="B845" s="1">
        <v>-0.03459335435911659</v>
      </c>
      <c r="C845" s="1">
        <v>-0.04877777417622509</v>
      </c>
      <c r="D845" s="1">
        <v>-0.006584259459429864</v>
      </c>
      <c r="E845" s="1">
        <v>-0.02361177775875356</v>
      </c>
      <c r="F845" s="1">
        <v>-0.02016251652032142</v>
      </c>
      <c r="G845" s="1">
        <v>0.01685771724958296</v>
      </c>
      <c r="H845" s="1">
        <v>-0.0005158363625529239</v>
      </c>
      <c r="I845" s="1">
        <v>-0.06260798299691495</v>
      </c>
      <c r="J845" s="1">
        <v>-0.04445612839188129</v>
      </c>
      <c r="K845" s="1">
        <v>-0.01461679098987334</v>
      </c>
      <c r="L845" s="1">
        <v>-0.02719763712418366</v>
      </c>
      <c r="M845" s="1">
        <v>-0.0322339178108032</v>
      </c>
      <c r="N845" s="1">
        <v>-0.01285744405524558</v>
      </c>
      <c r="O845" s="1">
        <v>-0.01477336366748128</v>
      </c>
      <c r="P845" s="1">
        <v>-0.02973339795727581</v>
      </c>
      <c r="Q845" s="1">
        <v>0.007834939850958289</v>
      </c>
      <c r="R845" s="1">
        <v>-0.02240252995699565</v>
      </c>
      <c r="S845" s="1">
        <v>0.014145826201446</v>
      </c>
      <c r="T845" s="1">
        <v>-0.0205261727035766</v>
      </c>
      <c r="U845" s="1">
        <v>-0.004898892272793276</v>
      </c>
      <c r="V845" s="1">
        <v>-0.03965696185915268</v>
      </c>
      <c r="W845" s="1">
        <v>-0.03009162694630907</v>
      </c>
      <c r="X845" s="1">
        <v>-0.0464167706751033</v>
      </c>
      <c r="Y845" s="1">
        <v>-0.002811776581998826</v>
      </c>
      <c r="Z845" s="1">
        <v>-0.04975228841907509</v>
      </c>
    </row>
    <row r="846" spans="1:26">
      <c r="A846" s="11">
        <v>43599</v>
      </c>
      <c r="B846" s="1">
        <v>0.02886541837830148</v>
      </c>
      <c r="C846" s="1">
        <v>0.01680653230233076</v>
      </c>
      <c r="D846" s="1">
        <v>0.005831884946516652</v>
      </c>
      <c r="E846" s="1">
        <v>0.000217500932889525</v>
      </c>
      <c r="F846" s="1">
        <v>0.01490069424349172</v>
      </c>
      <c r="G846" s="1">
        <v>-0.0125996417366987</v>
      </c>
      <c r="H846" s="1">
        <v>-0.001292023282118193</v>
      </c>
      <c r="I846" s="1">
        <v>0.005674119573571224</v>
      </c>
      <c r="J846" s="1">
        <v>0.001641969351728001</v>
      </c>
      <c r="K846" s="1">
        <v>0.003835627194374469</v>
      </c>
      <c r="L846" s="1">
        <v>0.007948970234528119</v>
      </c>
      <c r="M846" s="1">
        <v>0.01195156932228181</v>
      </c>
      <c r="N846" s="1">
        <v>0.008748064779518616</v>
      </c>
      <c r="O846" s="1">
        <v>0.002111977811065424</v>
      </c>
      <c r="P846" s="1">
        <v>0.01118757741642074</v>
      </c>
      <c r="Q846" s="1">
        <v>-0.00918736679030796</v>
      </c>
      <c r="R846" s="1">
        <v>0.01581897140359989</v>
      </c>
      <c r="S846" s="1">
        <v>-0.004372598515863579</v>
      </c>
      <c r="T846" s="1">
        <v>0.008168548616708238</v>
      </c>
      <c r="U846" s="1">
        <v>0.02034788068098026</v>
      </c>
      <c r="V846" s="1">
        <v>0.003096539484533256</v>
      </c>
      <c r="W846" s="1">
        <v>0.02416924392697606</v>
      </c>
      <c r="X846" s="1">
        <v>0.02016334830694122</v>
      </c>
      <c r="Y846" s="1">
        <v>-0.003524022107721292</v>
      </c>
      <c r="Z846" s="1">
        <v>0.008907104279026523</v>
      </c>
    </row>
    <row r="847" spans="1:26">
      <c r="A847" s="11">
        <v>43600</v>
      </c>
      <c r="B847" s="1">
        <v>0.00515966702789683</v>
      </c>
      <c r="C847" s="1">
        <v>0.007579258451997584</v>
      </c>
      <c r="D847" s="1">
        <v>0.0007913989736030302</v>
      </c>
      <c r="E847" s="1">
        <v>0.01568325530392078</v>
      </c>
      <c r="F847" s="1">
        <v>-0.009787871057448938</v>
      </c>
      <c r="G847" s="1">
        <v>-0.002441248658048512</v>
      </c>
      <c r="H847" s="1">
        <v>0.008016726038743371</v>
      </c>
      <c r="I847" s="1">
        <v>-0.01543059349257647</v>
      </c>
      <c r="J847" s="1">
        <v>0.02349731455265802</v>
      </c>
      <c r="K847" s="1">
        <v>-0.005095193662459363</v>
      </c>
      <c r="L847" s="1">
        <v>-0.003807081011054536</v>
      </c>
      <c r="M847" s="1">
        <v>0.00696994528383188</v>
      </c>
      <c r="N847" s="1">
        <v>0.004624933248605467</v>
      </c>
      <c r="O847" s="1">
        <v>-0.001791266799955782</v>
      </c>
      <c r="P847" s="1">
        <v>0.01408233785399915</v>
      </c>
      <c r="Q847" s="1">
        <v>0.0007132206209308212</v>
      </c>
      <c r="R847" s="1">
        <v>0.006695170866563904</v>
      </c>
      <c r="S847" s="1">
        <v>0.003293669102674146</v>
      </c>
      <c r="T847" s="1">
        <v>-0.00803362069188962</v>
      </c>
      <c r="U847" s="1">
        <v>0.005146516756637798</v>
      </c>
      <c r="V847" s="1">
        <v>-0.0063148041738188</v>
      </c>
      <c r="W847" s="1">
        <v>-0.01626852967163994</v>
      </c>
      <c r="X847" s="1">
        <v>0</v>
      </c>
      <c r="Y847" s="1">
        <v>0.004597919185098664</v>
      </c>
      <c r="Z847" s="1">
        <v>-0.02188978384222395</v>
      </c>
    </row>
    <row r="848" spans="1:26">
      <c r="A848" s="11">
        <v>43601</v>
      </c>
      <c r="B848" s="1">
        <v>0.001924766857031246</v>
      </c>
      <c r="C848" s="1">
        <v>0.02363728464191373</v>
      </c>
      <c r="D848" s="1">
        <v>0.01264129876729325</v>
      </c>
      <c r="E848" s="1">
        <v>0.0105079395967218</v>
      </c>
      <c r="F848" s="1">
        <v>0.0164744853736023</v>
      </c>
      <c r="G848" s="1">
        <v>0.006118374383260239</v>
      </c>
      <c r="H848" s="1">
        <v>-0.00128251258101697</v>
      </c>
      <c r="I848" s="1">
        <v>0.007939971127589596</v>
      </c>
      <c r="J848" s="1">
        <v>0.01121203705172813</v>
      </c>
      <c r="K848" s="1">
        <v>0.003329172104893807</v>
      </c>
      <c r="L848" s="1">
        <v>0.01282984911243967</v>
      </c>
      <c r="M848" s="1">
        <v>0.01115181916137176</v>
      </c>
      <c r="N848" s="1">
        <v>-0.001918124326926729</v>
      </c>
      <c r="O848" s="1">
        <v>0.01034538538326979</v>
      </c>
      <c r="P848" s="1">
        <v>0.02309144556112019</v>
      </c>
      <c r="Q848" s="1">
        <v>0.004633060330665906</v>
      </c>
      <c r="R848" s="1">
        <v>0.0104093919242092</v>
      </c>
      <c r="S848" s="1">
        <v>0.002932745729308461</v>
      </c>
      <c r="T848" s="1">
        <v>0.008120267711969609</v>
      </c>
      <c r="U848" s="1">
        <v>0.01184017560473949</v>
      </c>
      <c r="V848" s="1">
        <v>-0.0004235702088338789</v>
      </c>
      <c r="W848" s="1">
        <v>0.01513091972921066</v>
      </c>
      <c r="X848" s="1">
        <v>0.01776772801676718</v>
      </c>
      <c r="Y848" s="1">
        <v>0.01003357132245464</v>
      </c>
      <c r="Z848" s="1">
        <v>0.009749593389251743</v>
      </c>
    </row>
    <row r="849" spans="1:26">
      <c r="A849" s="11">
        <v>43602</v>
      </c>
      <c r="B849" s="1">
        <v>-0.02625685929541444</v>
      </c>
      <c r="C849" s="1">
        <v>0.003419819408735369</v>
      </c>
      <c r="D849" s="1">
        <v>-0.01196341620530772</v>
      </c>
      <c r="E849" s="1">
        <v>-0.005730075780436161</v>
      </c>
      <c r="F849" s="1">
        <v>0.008103795801660318</v>
      </c>
      <c r="G849" s="1">
        <v>0.005743211093415912</v>
      </c>
      <c r="H849" s="1">
        <v>0.005137341040846621</v>
      </c>
      <c r="I849" s="1">
        <v>-0.07651235055539962</v>
      </c>
      <c r="J849" s="1">
        <v>0.004223846666500997</v>
      </c>
      <c r="K849" s="1">
        <v>-0.005870329381393757</v>
      </c>
      <c r="L849" s="1">
        <v>-0.004851438032879463</v>
      </c>
      <c r="M849" s="1">
        <v>-0.006655387851808969</v>
      </c>
      <c r="N849" s="1">
        <v>0.006150159452446458</v>
      </c>
      <c r="O849" s="1">
        <v>0.0008355357444269629</v>
      </c>
      <c r="P849" s="1">
        <v>-0.006670337295887063</v>
      </c>
      <c r="Q849" s="1">
        <v>0.003547470161289867</v>
      </c>
      <c r="R849" s="1">
        <v>-0.009300749904945449</v>
      </c>
      <c r="S849" s="1">
        <v>0.004364674903486465</v>
      </c>
      <c r="T849" s="1">
        <v>0.005539019310049964</v>
      </c>
      <c r="U849" s="1">
        <v>0.005692241087849714</v>
      </c>
      <c r="V849" s="1">
        <v>0.001554187551747299</v>
      </c>
      <c r="W849" s="1">
        <v>-0.0198113802751988</v>
      </c>
      <c r="X849" s="1">
        <v>-0.03687732502641738</v>
      </c>
      <c r="Y849" s="1">
        <v>0.01237344801028351</v>
      </c>
      <c r="Z849" s="1">
        <v>-0.01031377348513385</v>
      </c>
    </row>
    <row r="850" spans="1:26">
      <c r="A850" s="11">
        <v>43605</v>
      </c>
      <c r="B850" s="1">
        <v>-0.01578418185453334</v>
      </c>
      <c r="C850" s="1">
        <v>-0.006281237164794673</v>
      </c>
      <c r="D850" s="1">
        <v>-0.008686853015061002</v>
      </c>
      <c r="E850" s="1">
        <v>-0.01152587581910391</v>
      </c>
      <c r="F850" s="1">
        <v>-0.017455240670324</v>
      </c>
      <c r="G850" s="1">
        <v>-0.00436677870685076</v>
      </c>
      <c r="H850" s="1">
        <v>-0.009711154317853299</v>
      </c>
      <c r="I850" s="1">
        <v>0.004079552303185796</v>
      </c>
      <c r="J850" s="1">
        <v>-0.003154642681062247</v>
      </c>
      <c r="K850" s="1">
        <v>0.003594457857866162</v>
      </c>
      <c r="L850" s="1">
        <v>0.005236219342533932</v>
      </c>
      <c r="M850" s="1">
        <v>-0.00440274177193245</v>
      </c>
      <c r="N850" s="1">
        <v>-0.0003817921042408301</v>
      </c>
      <c r="O850" s="1">
        <v>0.001148607105867949</v>
      </c>
      <c r="P850" s="1">
        <v>-0.01444508313707993</v>
      </c>
      <c r="Q850" s="1">
        <v>-0.004595733563736104</v>
      </c>
      <c r="R850" s="1">
        <v>0.001155524875322334</v>
      </c>
      <c r="S850" s="1">
        <v>0.001824967761761664</v>
      </c>
      <c r="T850" s="1">
        <v>-0.02563789340378853</v>
      </c>
      <c r="U850" s="1">
        <v>0.01226446039423923</v>
      </c>
      <c r="V850" s="1">
        <v>0.01678631173441425</v>
      </c>
      <c r="W850" s="1">
        <v>0.004508658003507415</v>
      </c>
      <c r="X850" s="1">
        <v>-0.009368577354041063</v>
      </c>
      <c r="Y850" s="1">
        <v>0.0158374107941297</v>
      </c>
      <c r="Z850" s="1">
        <v>-0.004434551730929659</v>
      </c>
    </row>
    <row r="851" spans="1:26">
      <c r="A851" s="11">
        <v>43606</v>
      </c>
      <c r="B851" s="1">
        <v>0.03007027994141476</v>
      </c>
      <c r="C851" s="1">
        <v>0.01689391784961547</v>
      </c>
      <c r="D851" s="1">
        <v>-0.0002650320834973741</v>
      </c>
      <c r="E851" s="1">
        <v>0.02418446998414692</v>
      </c>
      <c r="F851" s="1">
        <v>0.01192147127824406</v>
      </c>
      <c r="G851" s="1">
        <v>-0.004048588092075089</v>
      </c>
      <c r="H851" s="1">
        <v>-0.008516196759165151</v>
      </c>
      <c r="I851" s="1">
        <v>0.02600274208081177</v>
      </c>
      <c r="J851" s="1">
        <v>0.02531628313421574</v>
      </c>
      <c r="K851" s="1">
        <v>0.01023254589255629</v>
      </c>
      <c r="L851" s="1">
        <v>0.003412615882984804</v>
      </c>
      <c r="M851" s="1">
        <v>0.02614883886955433</v>
      </c>
      <c r="N851" s="1">
        <v>-0.008790153698700509</v>
      </c>
      <c r="O851" s="1">
        <v>0.01303439705290166</v>
      </c>
      <c r="P851" s="1">
        <v>0.005387389063153281</v>
      </c>
      <c r="Q851" s="1">
        <v>-0.001420363048569073</v>
      </c>
      <c r="R851" s="1">
        <v>0.01197322771103537</v>
      </c>
      <c r="S851" s="1">
        <v>0.001691699731543039</v>
      </c>
      <c r="T851" s="1">
        <v>0.0174553953458414</v>
      </c>
      <c r="U851" s="1">
        <v>0.006834076543592582</v>
      </c>
      <c r="V851" s="1">
        <v>-0.001664687357447736</v>
      </c>
      <c r="W851" s="1">
        <v>0.009318670801928608</v>
      </c>
      <c r="X851" s="1">
        <v>0.01603641777062292</v>
      </c>
      <c r="Y851" s="1">
        <v>0.008303646305710233</v>
      </c>
      <c r="Z851" s="1">
        <v>0.01959907028716246</v>
      </c>
    </row>
    <row r="852" spans="1:26">
      <c r="A852" s="11">
        <v>43607</v>
      </c>
      <c r="B852" s="1">
        <v>-0.04346424969989071</v>
      </c>
      <c r="C852" s="1">
        <v>-0.01664114298958042</v>
      </c>
      <c r="D852" s="1">
        <v>0.003585500570896683</v>
      </c>
      <c r="E852" s="1">
        <v>0.006536047412164514</v>
      </c>
      <c r="F852" s="1">
        <v>0.0002306349697958066</v>
      </c>
      <c r="G852" s="1">
        <v>0.001016142960192479</v>
      </c>
      <c r="H852" s="1">
        <v>-0.0145756311101678</v>
      </c>
      <c r="I852" s="1">
        <v>-0.0007918188686071304</v>
      </c>
      <c r="J852" s="1">
        <v>-0.01234550059317241</v>
      </c>
      <c r="K852" s="1">
        <v>-0.007090388295152183</v>
      </c>
      <c r="L852" s="1">
        <v>-0.008144538135786528</v>
      </c>
      <c r="M852" s="1">
        <v>-0.01498988770834264</v>
      </c>
      <c r="N852" s="1">
        <v>0.01850771258906825</v>
      </c>
      <c r="O852" s="1">
        <v>0.001441021720127278</v>
      </c>
      <c r="P852" s="1">
        <v>0.006067652630014297</v>
      </c>
      <c r="Q852" s="1">
        <v>0.009246093019576351</v>
      </c>
      <c r="R852" s="1">
        <v>-0.02808211306310571</v>
      </c>
      <c r="S852" s="1">
        <v>0.003594492067935828</v>
      </c>
      <c r="T852" s="1">
        <v>-0.001111472859804286</v>
      </c>
      <c r="U852" s="1">
        <v>-0.004011166320196713</v>
      </c>
      <c r="V852" s="1">
        <v>0.07782096659533577</v>
      </c>
      <c r="W852" s="1">
        <v>0.02374109474246988</v>
      </c>
      <c r="X852" s="1">
        <v>-0.01456927518559248</v>
      </c>
      <c r="Y852" s="1">
        <v>-0.004201578152800534</v>
      </c>
      <c r="Z852" s="1">
        <v>-0.007863883739239852</v>
      </c>
    </row>
    <row r="853" spans="1:26">
      <c r="A853" s="11">
        <v>43608</v>
      </c>
      <c r="B853" s="1">
        <v>-0.06205492693520276</v>
      </c>
      <c r="C853" s="1">
        <v>-0.006321295902651403</v>
      </c>
      <c r="D853" s="1">
        <v>-0.00714572547425496</v>
      </c>
      <c r="E853" s="1">
        <v>-0.009216454549185848</v>
      </c>
      <c r="F853" s="1">
        <v>-0.01316388195555118</v>
      </c>
      <c r="G853" s="1">
        <v>-0.004399289800749662</v>
      </c>
      <c r="H853" s="1">
        <v>0.006603050681429856</v>
      </c>
      <c r="I853" s="1">
        <v>-0.01664502333841478</v>
      </c>
      <c r="J853" s="1">
        <v>-0.0005207254517815008</v>
      </c>
      <c r="K853" s="1">
        <v>-0.01147675389049407</v>
      </c>
      <c r="L853" s="1">
        <v>-0.01967187119462388</v>
      </c>
      <c r="M853" s="1">
        <v>-0.03062557425257151</v>
      </c>
      <c r="N853" s="1">
        <v>-0.0003788373838762293</v>
      </c>
      <c r="O853" s="1">
        <v>-0.01130651207950073</v>
      </c>
      <c r="P853" s="1">
        <v>-0.0116706011622778</v>
      </c>
      <c r="Q853" s="1">
        <v>0.002818789798672006</v>
      </c>
      <c r="R853" s="1">
        <v>-0.01642722512635031</v>
      </c>
      <c r="S853" s="1">
        <v>0.01152032135241665</v>
      </c>
      <c r="T853" s="1">
        <v>-0.002016503230841571</v>
      </c>
      <c r="U853" s="1">
        <v>-0.004337015490535778</v>
      </c>
      <c r="V853" s="1">
        <v>0.02372358269278951</v>
      </c>
      <c r="W853" s="1">
        <v>-0.002355504543250064</v>
      </c>
      <c r="X853" s="1">
        <v>-0.0260776656786702</v>
      </c>
      <c r="Y853" s="1">
        <v>-0.006413745560122197</v>
      </c>
      <c r="Z853" s="1">
        <v>-0.01078809237525247</v>
      </c>
    </row>
    <row r="854" spans="1:26">
      <c r="A854" s="11">
        <v>43609</v>
      </c>
      <c r="B854" s="1">
        <v>-0.01193042526413091</v>
      </c>
      <c r="C854" s="1">
        <v>0.01240916134568804</v>
      </c>
      <c r="D854" s="1">
        <v>0.0009326414096020308</v>
      </c>
      <c r="E854" s="1">
        <v>-0.01035952249768091</v>
      </c>
      <c r="F854" s="1">
        <v>-0.001403822554389311</v>
      </c>
      <c r="G854" s="1">
        <v>-0.001019834743495762</v>
      </c>
      <c r="H854" s="1">
        <v>-0.01521908195806165</v>
      </c>
      <c r="I854" s="1">
        <v>0.01817218403746579</v>
      </c>
      <c r="J854" s="1">
        <v>0.04377290137603795</v>
      </c>
      <c r="K854" s="1">
        <v>-0.00644970692567437</v>
      </c>
      <c r="L854" s="1">
        <v>0.009849374946466094</v>
      </c>
      <c r="M854" s="1">
        <v>0.003728541837626054</v>
      </c>
      <c r="N854" s="1">
        <v>-0.007763611062771125</v>
      </c>
      <c r="O854" s="1">
        <v>-0.008421027309200468</v>
      </c>
      <c r="P854" s="1">
        <v>0.00047549528285451</v>
      </c>
      <c r="Q854" s="1">
        <v>0.001757078022699865</v>
      </c>
      <c r="R854" s="1">
        <v>0.007455728615401336</v>
      </c>
      <c r="S854" s="1">
        <v>0.007678230359494664</v>
      </c>
      <c r="T854" s="1">
        <v>0.000348594452199702</v>
      </c>
      <c r="U854" s="1">
        <v>0.004044863207225857</v>
      </c>
      <c r="V854" s="1">
        <v>0.02732989889789761</v>
      </c>
      <c r="W854" s="1">
        <v>0.002877768269221148</v>
      </c>
      <c r="X854" s="1">
        <v>0.002740406081898961</v>
      </c>
      <c r="Y854" s="1">
        <v>0.007644343435401213</v>
      </c>
      <c r="Z854" s="1">
        <v>0.009125298890717115</v>
      </c>
    </row>
    <row r="855" spans="1:26">
      <c r="A855" s="11">
        <v>43613</v>
      </c>
      <c r="B855" s="1">
        <v>-0.01536788019872104</v>
      </c>
      <c r="C855" s="1">
        <v>-5.629372612991901E-05</v>
      </c>
      <c r="D855" s="1">
        <v>-0.01224992737299857</v>
      </c>
      <c r="E855" s="1">
        <v>-0.02029450310249004</v>
      </c>
      <c r="F855" s="1">
        <v>-0.004687474672061209</v>
      </c>
      <c r="G855" s="1">
        <v>-0.01939426127646537</v>
      </c>
      <c r="H855" s="1">
        <v>-0.01998393384120456</v>
      </c>
      <c r="I855" s="1">
        <v>-0.00993137798120125</v>
      </c>
      <c r="J855" s="1">
        <v>-0.01847270057807493</v>
      </c>
      <c r="K855" s="1">
        <v>-0.001298476424375417</v>
      </c>
      <c r="L855" s="1">
        <v>-0.01084674621268245</v>
      </c>
      <c r="M855" s="1">
        <v>-0.02189651263384917</v>
      </c>
      <c r="N855" s="1">
        <v>-0.04828259329116258</v>
      </c>
      <c r="O855" s="1">
        <v>-0.005451527179687665</v>
      </c>
      <c r="P855" s="1">
        <v>-0.0006335849143721539</v>
      </c>
      <c r="Q855" s="1">
        <v>-0.02244825292108887</v>
      </c>
      <c r="R855" s="1">
        <v>-0.00680847731225831</v>
      </c>
      <c r="S855" s="1">
        <v>-0.01253019189579818</v>
      </c>
      <c r="T855" s="1">
        <v>-0.008567175251299575</v>
      </c>
      <c r="U855" s="1">
        <v>-0.01053610678736716</v>
      </c>
      <c r="V855" s="1">
        <v>-0.009807563381122875</v>
      </c>
      <c r="W855" s="1">
        <v>-0.01994095540515362</v>
      </c>
      <c r="X855" s="1">
        <v>-0.01618996095613379</v>
      </c>
      <c r="Y855" s="1">
        <v>-0.009946214263835018</v>
      </c>
      <c r="Z855" s="1">
        <v>-0.02404036190027725</v>
      </c>
    </row>
    <row r="856" spans="1:26">
      <c r="A856" s="11">
        <v>43614</v>
      </c>
      <c r="B856" s="1">
        <v>-0.009290252741523064</v>
      </c>
      <c r="C856" s="1">
        <v>-0.0171326424020336</v>
      </c>
      <c r="D856" s="1">
        <v>-0.004583665478771981</v>
      </c>
      <c r="E856" s="1">
        <v>-0.01046689875314866</v>
      </c>
      <c r="F856" s="1">
        <v>-0.0129499068852954</v>
      </c>
      <c r="G856" s="1">
        <v>-0.01283804120575038</v>
      </c>
      <c r="H856" s="1">
        <v>-0.01522575354666289</v>
      </c>
      <c r="I856" s="1">
        <v>0.02587786666182246</v>
      </c>
      <c r="J856" s="1">
        <v>-0.03357048768435988</v>
      </c>
      <c r="K856" s="1">
        <v>-0.005460322426069641</v>
      </c>
      <c r="L856" s="1">
        <v>-0.002764631472574886</v>
      </c>
      <c r="M856" s="1">
        <v>-0.009394232082552523</v>
      </c>
      <c r="N856" s="1">
        <v>0.006416880171087769</v>
      </c>
      <c r="O856" s="1">
        <v>0.006852326204155545</v>
      </c>
      <c r="P856" s="1">
        <v>-0.009670150807505329</v>
      </c>
      <c r="Q856" s="1">
        <v>-0.01542873227543018</v>
      </c>
      <c r="R856" s="1">
        <v>0.006110121164998983</v>
      </c>
      <c r="S856" s="1">
        <v>-0.007544528965223729</v>
      </c>
      <c r="T856" s="1">
        <v>-0.001381582182014895</v>
      </c>
      <c r="U856" s="1">
        <v>-0.0006260491330851714</v>
      </c>
      <c r="V856" s="1">
        <v>-0.0139903502736719</v>
      </c>
      <c r="W856" s="1">
        <v>-0.006081526330660503</v>
      </c>
      <c r="X856" s="1">
        <v>-0.00726638597487006</v>
      </c>
      <c r="Y856" s="1">
        <v>-0.009364778669948004</v>
      </c>
      <c r="Z856" s="1">
        <v>0.008135346169055202</v>
      </c>
    </row>
    <row r="857" spans="1:26">
      <c r="A857" s="11">
        <v>43615</v>
      </c>
      <c r="B857" s="1">
        <v>-0.01800473253574086</v>
      </c>
      <c r="C857" s="1">
        <v>0.003067725396264098</v>
      </c>
      <c r="D857" s="1">
        <v>0.007178030727671869</v>
      </c>
      <c r="E857" s="1">
        <v>0.01101826442461729</v>
      </c>
      <c r="F857" s="1">
        <v>-0.004293977897315671</v>
      </c>
      <c r="G857" s="1">
        <v>-0.006327060204155965</v>
      </c>
      <c r="H857" s="1">
        <v>-0.01159557913437248</v>
      </c>
      <c r="I857" s="1">
        <v>0.003896853156474922</v>
      </c>
      <c r="J857" s="1">
        <v>0.007368603403737017</v>
      </c>
      <c r="K857" s="1">
        <v>0.01777820667635011</v>
      </c>
      <c r="L857" s="1">
        <v>-0.01071903008527653</v>
      </c>
      <c r="M857" s="1">
        <v>-0.00343026211122055</v>
      </c>
      <c r="N857" s="1">
        <v>0.0003983583333018181</v>
      </c>
      <c r="O857" s="1">
        <v>0.003350307855577661</v>
      </c>
      <c r="P857" s="1">
        <v>0.006322735452127581</v>
      </c>
      <c r="Q857" s="1">
        <v>0.004008575028639827</v>
      </c>
      <c r="R857" s="1">
        <v>0.00785066346047647</v>
      </c>
      <c r="S857" s="1">
        <v>0.007558718644055551</v>
      </c>
      <c r="T857" s="1">
        <v>-0.004385433093720859</v>
      </c>
      <c r="U857" s="1">
        <v>-0.001567144539131538</v>
      </c>
      <c r="V857" s="1">
        <v>0.009417522931820299</v>
      </c>
      <c r="W857" s="1">
        <v>0.0121619657116403</v>
      </c>
      <c r="X857" s="1">
        <v>-0.006673950062941358</v>
      </c>
      <c r="Y857" s="1">
        <v>-0.0232038142768024</v>
      </c>
      <c r="Z857" s="1">
        <v>-0.0145708461680214</v>
      </c>
    </row>
    <row r="858" spans="1:26">
      <c r="A858" s="11">
        <v>43616</v>
      </c>
      <c r="B858" s="1">
        <v>-0.004201566353971842</v>
      </c>
      <c r="C858" s="1">
        <v>-0.02360886811194507</v>
      </c>
      <c r="D858" s="1">
        <v>-0.01250524626164884</v>
      </c>
      <c r="E858" s="1">
        <v>-0.01111578109100564</v>
      </c>
      <c r="F858" s="1">
        <v>-0.01772874187966023</v>
      </c>
      <c r="G858" s="1">
        <v>0.006013243289478831</v>
      </c>
      <c r="H858" s="1">
        <v>0.01424569507045548</v>
      </c>
      <c r="I858" s="1">
        <v>-0.01065782454547926</v>
      </c>
      <c r="J858" s="1">
        <v>-0.02403360886229744</v>
      </c>
      <c r="K858" s="1">
        <v>-0.01053192632620326</v>
      </c>
      <c r="L858" s="1">
        <v>-0.01027461922408157</v>
      </c>
      <c r="M858" s="1">
        <v>-0.03624235759556338</v>
      </c>
      <c r="N858" s="1">
        <v>-0.0229033486721727</v>
      </c>
      <c r="O858" s="1">
        <v>-0.00240008528230895</v>
      </c>
      <c r="P858" s="1">
        <v>-0.01630466805012831</v>
      </c>
      <c r="Q858" s="1">
        <v>0.01088946626273102</v>
      </c>
      <c r="R858" s="1">
        <v>-0.03262773283437137</v>
      </c>
      <c r="S858" s="1">
        <v>0.01980610529715165</v>
      </c>
      <c r="T858" s="1">
        <v>-0.01205938413774843</v>
      </c>
      <c r="U858" s="1">
        <v>-0.04017531387361151</v>
      </c>
      <c r="V858" s="1">
        <v>0.000746419198152104</v>
      </c>
      <c r="W858" s="1">
        <v>-0.003731386642818801</v>
      </c>
      <c r="X858" s="1">
        <v>-0.01820540606592569</v>
      </c>
      <c r="Y858" s="1">
        <v>-0.04363881354346322</v>
      </c>
      <c r="Z858" s="1">
        <v>-0.02024549215751403</v>
      </c>
    </row>
    <row r="859" spans="1:26">
      <c r="A859" s="11">
        <v>43619</v>
      </c>
      <c r="B859" s="1">
        <v>0.03145420114845199</v>
      </c>
      <c r="C859" s="1">
        <v>-0.00796216217543666</v>
      </c>
      <c r="D859" s="1">
        <v>0.007080332246499843</v>
      </c>
      <c r="E859" s="1">
        <v>0.01653047964990884</v>
      </c>
      <c r="F859" s="1">
        <v>-0.0009757784574595529</v>
      </c>
      <c r="G859" s="1">
        <v>0.007735431119611835</v>
      </c>
      <c r="H859" s="1">
        <v>0.02919316059732457</v>
      </c>
      <c r="I859" s="1">
        <v>0.02225872845281285</v>
      </c>
      <c r="J859" s="1">
        <v>-0.001070709400123993</v>
      </c>
      <c r="K859" s="1">
        <v>0.01246103192114378</v>
      </c>
      <c r="L859" s="1">
        <v>0.004718955823981741</v>
      </c>
      <c r="M859" s="1">
        <v>0.003991556544098884</v>
      </c>
      <c r="N859" s="1">
        <v>0.02119790785116549</v>
      </c>
      <c r="O859" s="1">
        <v>0.008891110941976921</v>
      </c>
      <c r="P859" s="1">
        <v>-0.0310478139428344</v>
      </c>
      <c r="Q859" s="1">
        <v>0.01005381658581839</v>
      </c>
      <c r="R859" s="1">
        <v>0.006229169393932699</v>
      </c>
      <c r="S859" s="1">
        <v>0.008659844161406305</v>
      </c>
      <c r="T859" s="1">
        <v>0.01754712313857421</v>
      </c>
      <c r="U859" s="1">
        <v>0.01667702270382887</v>
      </c>
      <c r="V859" s="1">
        <v>0.03107509441088263</v>
      </c>
      <c r="W859" s="1">
        <v>-0.006367617005676895</v>
      </c>
      <c r="X859" s="1">
        <v>0.02229606635872483</v>
      </c>
      <c r="Y859" s="1">
        <v>0.03735029423614722</v>
      </c>
      <c r="Z859" s="1">
        <v>0.005804596050545285</v>
      </c>
    </row>
    <row r="860" spans="1:26">
      <c r="A860" s="11">
        <v>43620</v>
      </c>
      <c r="B860" s="1">
        <v>0.05392311586321652</v>
      </c>
      <c r="C860" s="1">
        <v>0.01690800948128457</v>
      </c>
      <c r="D860" s="1">
        <v>0.0304217441454635</v>
      </c>
      <c r="E860" s="1">
        <v>0.01105826439893165</v>
      </c>
      <c r="F860" s="1">
        <v>0.01074208897324302</v>
      </c>
      <c r="G860" s="1">
        <v>0.005582946818605494</v>
      </c>
      <c r="H860" s="1">
        <v>0.01980175149139041</v>
      </c>
      <c r="I860" s="1">
        <v>0.01626077193061848</v>
      </c>
      <c r="J860" s="1">
        <v>0.03912110934059387</v>
      </c>
      <c r="K860" s="1">
        <v>0.01410264737898426</v>
      </c>
      <c r="L860" s="1">
        <v>0.03080969752709106</v>
      </c>
      <c r="M860" s="1">
        <v>0.02814560131312094</v>
      </c>
      <c r="N860" s="1">
        <v>0.006387354145109825</v>
      </c>
      <c r="O860" s="1">
        <v>0.005287795623042602</v>
      </c>
      <c r="P860" s="1">
        <v>0.02770344627072907</v>
      </c>
      <c r="Q860" s="1">
        <v>-0.00177751858851527</v>
      </c>
      <c r="R860" s="1">
        <v>0.0360864536021348</v>
      </c>
      <c r="S860" s="1">
        <v>-0.009335564637931948</v>
      </c>
      <c r="T860" s="1">
        <v>0.02010269910621632</v>
      </c>
      <c r="U860" s="1">
        <v>0.0125443423683369</v>
      </c>
      <c r="V860" s="1">
        <v>0.03496090451430689</v>
      </c>
      <c r="W860" s="1">
        <v>0.01013987179631659</v>
      </c>
      <c r="X860" s="1">
        <v>0.04491448683075494</v>
      </c>
      <c r="Y860" s="1">
        <v>-0.002837595431645079</v>
      </c>
      <c r="Z860" s="1">
        <v>0.024930667577721</v>
      </c>
    </row>
    <row r="861" spans="1:26">
      <c r="A861" s="11">
        <v>43621</v>
      </c>
      <c r="B861" s="1">
        <v>-0.01058600270354193</v>
      </c>
      <c r="C861" s="1">
        <v>0.01198426597385205</v>
      </c>
      <c r="D861" s="1">
        <v>0.01023487774549037</v>
      </c>
      <c r="E861" s="1">
        <v>0</v>
      </c>
      <c r="F861" s="1">
        <v>-0.002415392994101206</v>
      </c>
      <c r="G861" s="1">
        <v>0.007633760105635767</v>
      </c>
      <c r="H861" s="1">
        <v>0.1002360518131185</v>
      </c>
      <c r="I861" s="1">
        <v>0.004120162357495349</v>
      </c>
      <c r="J861" s="1">
        <v>0.008767522052105958</v>
      </c>
      <c r="K861" s="1">
        <v>-0.002275931927323671</v>
      </c>
      <c r="L861" s="1">
        <v>0.003553896955822422</v>
      </c>
      <c r="M861" s="1">
        <v>0.02594491483289807</v>
      </c>
      <c r="N861" s="1">
        <v>-0.0144780313342322</v>
      </c>
      <c r="O861" s="1">
        <v>0.01351045212474222</v>
      </c>
      <c r="P861" s="1">
        <v>0.02167905441447626</v>
      </c>
      <c r="Q861" s="1">
        <v>0.01531343329028845</v>
      </c>
      <c r="R861" s="1">
        <v>0.00757764052745924</v>
      </c>
      <c r="S861" s="1">
        <v>0.03024854362618945</v>
      </c>
      <c r="T861" s="1">
        <v>0.03302808448638528</v>
      </c>
      <c r="U861" s="1">
        <v>0.006352951389713368</v>
      </c>
      <c r="V861" s="1">
        <v>-0.004193467608202273</v>
      </c>
      <c r="W861" s="1">
        <v>0.02545063666973646</v>
      </c>
      <c r="X861" s="1">
        <v>0.003099809915889873</v>
      </c>
      <c r="Y861" s="1">
        <v>0.01440737148498994</v>
      </c>
      <c r="Z861" s="1">
        <v>-0.004955055154398091</v>
      </c>
    </row>
    <row r="862" spans="1:26">
      <c r="A862" s="11">
        <v>43622</v>
      </c>
      <c r="B862" s="1">
        <v>0.02853082389471751</v>
      </c>
      <c r="C862" s="1">
        <v>0.005419403511916832</v>
      </c>
      <c r="D862" s="1">
        <v>0.001042424504440254</v>
      </c>
      <c r="E862" s="1">
        <v>-0.01029405917774884</v>
      </c>
      <c r="F862" s="1">
        <v>-0.00363210458364116</v>
      </c>
      <c r="G862" s="1">
        <v>0.003787682608080267</v>
      </c>
      <c r="H862" s="1">
        <v>0.02575780390559856</v>
      </c>
      <c r="I862" s="1">
        <v>0.001846650092892643</v>
      </c>
      <c r="J862" s="1">
        <v>0.005112181101514679</v>
      </c>
      <c r="K862" s="1">
        <v>-0.0002531958385487698</v>
      </c>
      <c r="L862" s="1">
        <v>0.002179203877760827</v>
      </c>
      <c r="M862" s="1">
        <v>-0.004779087717655117</v>
      </c>
      <c r="N862" s="1">
        <v>0.02133220075575504</v>
      </c>
      <c r="O862" s="1">
        <v>0.007326893176822447</v>
      </c>
      <c r="P862" s="1">
        <v>0.01581502258609624</v>
      </c>
      <c r="Q862" s="1">
        <v>0.003858300089385702</v>
      </c>
      <c r="R862" s="1">
        <v>0.008677847728739696</v>
      </c>
      <c r="S862" s="1">
        <v>-0.0006944426181793029</v>
      </c>
      <c r="T862" s="1">
        <v>0.03733019319984643</v>
      </c>
      <c r="U862" s="1">
        <v>0.01325805857217399</v>
      </c>
      <c r="V862" s="1">
        <v>0.002456399855917279</v>
      </c>
      <c r="W862" s="1">
        <v>0.005349524315483967</v>
      </c>
      <c r="X862" s="1">
        <v>-0.003296436590763507</v>
      </c>
      <c r="Y862" s="1">
        <v>0.008942567753903674</v>
      </c>
      <c r="Z862" s="1">
        <v>0.001358278537931357</v>
      </c>
    </row>
    <row r="863" spans="1:26">
      <c r="A863" s="11">
        <v>43623</v>
      </c>
      <c r="B863" s="1">
        <v>0.003814283234145899</v>
      </c>
      <c r="C863" s="1">
        <v>0.008726884509141941</v>
      </c>
      <c r="D863" s="1">
        <v>0.009499139452936678</v>
      </c>
      <c r="E863" s="1">
        <v>0.01300081248954177</v>
      </c>
      <c r="F863" s="1">
        <v>0.008019612524147179</v>
      </c>
      <c r="G863" s="1">
        <v>-0.0113207305678924</v>
      </c>
      <c r="H863" s="1">
        <v>0.001627139568226132</v>
      </c>
      <c r="I863" s="1">
        <v>0.01515494000026507</v>
      </c>
      <c r="J863" s="1">
        <v>0.002543343863647074</v>
      </c>
      <c r="K863" s="1">
        <v>-0.008618710940526797</v>
      </c>
      <c r="L863" s="1">
        <v>-0.01096310404204159</v>
      </c>
      <c r="M863" s="1">
        <v>0.007803131688781217</v>
      </c>
      <c r="N863" s="1">
        <v>0.01241366969231095</v>
      </c>
      <c r="O863" s="1">
        <v>0.001919587034250991</v>
      </c>
      <c r="P863" s="1">
        <v>0.02800845546930519</v>
      </c>
      <c r="Q863" s="1">
        <v>-0.00279506738120916</v>
      </c>
      <c r="R863" s="1">
        <v>0.006882700786411178</v>
      </c>
      <c r="S863" s="1">
        <v>0.00200226067165632</v>
      </c>
      <c r="T863" s="1">
        <v>0.01590331714173132</v>
      </c>
      <c r="U863" s="1">
        <v>0.01214905906185781</v>
      </c>
      <c r="V863" s="1">
        <v>0.01341910879614416</v>
      </c>
      <c r="W863" s="1">
        <v>0.01965554578899598</v>
      </c>
      <c r="X863" s="1">
        <v>0.0150891173755896</v>
      </c>
      <c r="Y863" s="1">
        <v>-0.005213556889915871</v>
      </c>
      <c r="Z863" s="1">
        <v>-0.01356237971426777</v>
      </c>
    </row>
    <row r="864" spans="1:26">
      <c r="A864" s="11">
        <v>43626</v>
      </c>
      <c r="B864" s="1">
        <v>-0.002417866473090391</v>
      </c>
      <c r="C864" s="1">
        <v>0.0002826871016587962</v>
      </c>
      <c r="D864" s="1">
        <v>0.007604921535427467</v>
      </c>
      <c r="E864" s="1">
        <v>-0.01582876990136017</v>
      </c>
      <c r="F864" s="1">
        <v>-0.004580709424828244</v>
      </c>
      <c r="G864" s="1">
        <v>0.003469736492915487</v>
      </c>
      <c r="H864" s="1">
        <v>-0.02483772360788317</v>
      </c>
      <c r="I864" s="1">
        <v>0.007396674278474569</v>
      </c>
      <c r="J864" s="1">
        <v>0.008625178293532487</v>
      </c>
      <c r="K864" s="1">
        <v>-0.007670657669846537</v>
      </c>
      <c r="L864" s="1">
        <v>0.01080969876539184</v>
      </c>
      <c r="M864" s="1">
        <v>-0.001389544780260876</v>
      </c>
      <c r="N864" s="1">
        <v>-0.003308646881414412</v>
      </c>
      <c r="O864" s="1">
        <v>0.0002015973457243359</v>
      </c>
      <c r="P864" s="1">
        <v>0.009132174818874184</v>
      </c>
      <c r="Q864" s="1">
        <v>-0.004204860292446266</v>
      </c>
      <c r="R864" s="1">
        <v>-0.0002844549325726753</v>
      </c>
      <c r="S864" s="1">
        <v>-0.006076535902632463</v>
      </c>
      <c r="T864" s="1">
        <v>-0.005126642998633968</v>
      </c>
      <c r="U864" s="1">
        <v>-0.01723593319823125</v>
      </c>
      <c r="V864" s="1">
        <v>0.008059780728919552</v>
      </c>
      <c r="W864" s="1">
        <v>0.007348508724986047</v>
      </c>
      <c r="X864" s="1">
        <v>0.009366589501816236</v>
      </c>
      <c r="Y864" s="1">
        <v>-0.01904277841548718</v>
      </c>
      <c r="Z864" s="1">
        <v>0.004582911733055361</v>
      </c>
    </row>
    <row r="865" spans="1:26">
      <c r="A865" s="11">
        <v>43627</v>
      </c>
      <c r="B865" s="1">
        <v>-0.001038774342369875</v>
      </c>
      <c r="C865" s="1">
        <v>-0.01263424611013308</v>
      </c>
      <c r="D865" s="1">
        <v>-0.006652470395533738</v>
      </c>
      <c r="E865" s="1">
        <v>0.01869170819099519</v>
      </c>
      <c r="F865" s="1">
        <v>-0.001694769793415651</v>
      </c>
      <c r="G865" s="1">
        <v>-0.009681814472835892</v>
      </c>
      <c r="H865" s="1">
        <v>0.01237845559642525</v>
      </c>
      <c r="I865" s="1">
        <v>0.00126836197132274</v>
      </c>
      <c r="J865" s="1">
        <v>0.007099333003123931</v>
      </c>
      <c r="K865" s="1">
        <v>0.001545990296293098</v>
      </c>
      <c r="L865" s="1">
        <v>0.003081484323741224</v>
      </c>
      <c r="M865" s="1">
        <v>0.005566664635026974</v>
      </c>
      <c r="N865" s="1">
        <v>0.01835562270641766</v>
      </c>
      <c r="O865" s="1">
        <v>-0.00725828788588001</v>
      </c>
      <c r="P865" s="1">
        <v>-0.00377026522932733</v>
      </c>
      <c r="Q865" s="1">
        <v>-0.008796478858875578</v>
      </c>
      <c r="R865" s="1">
        <v>-0.005840511907715618</v>
      </c>
      <c r="S865" s="1">
        <v>-0.003598928291475234</v>
      </c>
      <c r="T865" s="1">
        <v>-0.001442186075759744</v>
      </c>
      <c r="U865" s="1">
        <v>0.005637563988581951</v>
      </c>
      <c r="V865" s="1">
        <v>0.003426452712856687</v>
      </c>
      <c r="W865" s="1">
        <v>0.004546007738254421</v>
      </c>
      <c r="X865" s="1">
        <v>-0.01835796398236644</v>
      </c>
      <c r="Y865" s="1">
        <v>0.01211056528728016</v>
      </c>
      <c r="Z865" s="1">
        <v>0.01322977963475536</v>
      </c>
    </row>
    <row r="866" spans="1:26">
      <c r="A866" s="11">
        <v>43628</v>
      </c>
      <c r="B866" s="1">
        <v>-0.02911600662518476</v>
      </c>
      <c r="C866" s="1">
        <v>-0.006584028323489366</v>
      </c>
      <c r="D866" s="1">
        <v>0.004121441323473807</v>
      </c>
      <c r="E866" s="1">
        <v>0.01621520451186309</v>
      </c>
      <c r="F866" s="1">
        <v>0.005579624248718495</v>
      </c>
      <c r="G866" s="1">
        <v>0.01187144339305335</v>
      </c>
      <c r="H866" s="1">
        <v>-0.002351388448084801</v>
      </c>
      <c r="I866" s="1">
        <v>-0.00806668583366188</v>
      </c>
      <c r="J866" s="1">
        <v>0.003021533163646506</v>
      </c>
      <c r="K866" s="1">
        <v>0.01697964289607201</v>
      </c>
      <c r="L866" s="1">
        <v>-0.01273951649276295</v>
      </c>
      <c r="M866" s="1">
        <v>0.004547046076495587</v>
      </c>
      <c r="N866" s="1">
        <v>-0.01073827400263661</v>
      </c>
      <c r="O866" s="1">
        <v>-0.003147536327031908</v>
      </c>
      <c r="P866" s="1">
        <v>-0.004618214780419572</v>
      </c>
      <c r="Q866" s="1">
        <v>0.01277941136752681</v>
      </c>
      <c r="R866" s="1">
        <v>0.0004297876855186011</v>
      </c>
      <c r="S866" s="1">
        <v>0.004483919390739999</v>
      </c>
      <c r="T866" s="1">
        <v>0.006370939250798902</v>
      </c>
      <c r="U866" s="1">
        <v>0.002179987779444392</v>
      </c>
      <c r="V866" s="1">
        <v>0.004667054235990342</v>
      </c>
      <c r="W866" s="1">
        <v>0.000596472553086036</v>
      </c>
      <c r="X866" s="1">
        <v>0.001849851247361478</v>
      </c>
      <c r="Y866" s="1">
        <v>0.00932600488191726</v>
      </c>
      <c r="Z866" s="1">
        <v>-0.005628294436895387</v>
      </c>
    </row>
    <row r="867" spans="1:26">
      <c r="A867" s="11">
        <v>43629</v>
      </c>
      <c r="B867" s="1">
        <v>0.01249528860956084</v>
      </c>
      <c r="C867" s="1">
        <v>0.005273284190506544</v>
      </c>
      <c r="D867" s="1">
        <v>0.003077922452228155</v>
      </c>
      <c r="E867" s="1">
        <v>-0.00629847220197477</v>
      </c>
      <c r="F867" s="1">
        <v>0.005789779644113757</v>
      </c>
      <c r="G867" s="1">
        <v>0.009662091131717787</v>
      </c>
      <c r="H867" s="1">
        <v>0.004948967764109025</v>
      </c>
      <c r="I867" s="1">
        <v>0.0184151307578917</v>
      </c>
      <c r="J867" s="1">
        <v>0.003513901777140394</v>
      </c>
      <c r="K867" s="1">
        <v>0.01872003604008454</v>
      </c>
      <c r="L867" s="1">
        <v>0.002471005844083107</v>
      </c>
      <c r="M867" s="1">
        <v>0.03089945660776228</v>
      </c>
      <c r="N867" s="1">
        <v>0.008269646062650793</v>
      </c>
      <c r="O867" s="1">
        <v>-0.001629895229252165</v>
      </c>
      <c r="P867" s="1">
        <v>0.006312448558664308</v>
      </c>
      <c r="Q867" s="1">
        <v>-0.00175259729721422</v>
      </c>
      <c r="R867" s="1">
        <v>0.002148332755978144</v>
      </c>
      <c r="S867" s="1">
        <v>0.001363937426315243</v>
      </c>
      <c r="T867" s="1">
        <v>0.01084721473472849</v>
      </c>
      <c r="U867" s="1">
        <v>0.003418326323003429</v>
      </c>
      <c r="V867" s="1">
        <v>0.0004531711851514242</v>
      </c>
      <c r="W867" s="1">
        <v>0.004245313712568644</v>
      </c>
      <c r="X867" s="1">
        <v>0.02052092820578322</v>
      </c>
      <c r="Y867" s="1">
        <v>0.004532386875633065</v>
      </c>
      <c r="Z867" s="1">
        <v>0.01267844813766072</v>
      </c>
    </row>
    <row r="868" spans="1:26">
      <c r="A868" s="11">
        <v>43630</v>
      </c>
      <c r="B868" s="1">
        <v>-0.03067689379295002</v>
      </c>
      <c r="C868" s="1">
        <v>-0.004872977326534245</v>
      </c>
      <c r="D868" s="1">
        <v>-0.003580480298683186</v>
      </c>
      <c r="E868" s="1">
        <v>0.004859446324386285</v>
      </c>
      <c r="F868" s="1">
        <v>0.01487190390582316</v>
      </c>
      <c r="G868" s="1">
        <v>0.01230326161590845</v>
      </c>
      <c r="H868" s="1">
        <v>-0.008911529494019188</v>
      </c>
      <c r="I868" s="1">
        <v>-0.0001320490955194487</v>
      </c>
      <c r="J868" s="1">
        <v>-0.004002179785187687</v>
      </c>
      <c r="K868" s="1">
        <v>-0.007946236127936546</v>
      </c>
      <c r="L868" s="1">
        <v>0.002555957471670034</v>
      </c>
      <c r="M868" s="1">
        <v>-0.01069106771811323</v>
      </c>
      <c r="N868" s="1">
        <v>-0.006835078448400811</v>
      </c>
      <c r="O868" s="1">
        <v>0.001734339484581016</v>
      </c>
      <c r="P868" s="1">
        <v>0.0009823517526799108</v>
      </c>
      <c r="Q868" s="1">
        <v>0.009480573305422846</v>
      </c>
      <c r="R868" s="1">
        <v>0.0007146813848575295</v>
      </c>
      <c r="S868" s="1">
        <v>0.004334245412134674</v>
      </c>
      <c r="T868" s="1">
        <v>-0.01118982054147943</v>
      </c>
      <c r="U868" s="1">
        <v>0.001858107879973536</v>
      </c>
      <c r="V868" s="1">
        <v>-0.005775684612513765</v>
      </c>
      <c r="W868" s="1">
        <v>-0.00342394565869697</v>
      </c>
      <c r="X868" s="1">
        <v>-0.005630270952483696</v>
      </c>
      <c r="Y868" s="1">
        <v>0.01145496296576254</v>
      </c>
      <c r="Z868" s="1">
        <v>0.003353616313717778</v>
      </c>
    </row>
    <row r="869" spans="1:26">
      <c r="A869" s="11">
        <v>43633</v>
      </c>
      <c r="B869" s="1">
        <v>0.01273181896420161</v>
      </c>
      <c r="C869" s="1">
        <v>0.02229519494322307</v>
      </c>
      <c r="D869" s="1">
        <v>0.01180594843588678</v>
      </c>
      <c r="E869" s="1">
        <v>0.01366682773458572</v>
      </c>
      <c r="F869" s="1">
        <v>0.005908665521530576</v>
      </c>
      <c r="G869" s="1">
        <v>-0.000675062954048733</v>
      </c>
      <c r="H869" s="1">
        <v>-0.02106000655531426</v>
      </c>
      <c r="I869" s="1">
        <v>0.01887671003872837</v>
      </c>
      <c r="J869" s="1">
        <v>-0.0005023449087079301</v>
      </c>
      <c r="K869" s="1">
        <v>-0.01952458641545696</v>
      </c>
      <c r="L869" s="1">
        <v>-0.005463136530054258</v>
      </c>
      <c r="M869" s="1">
        <v>-0.01235047155697599</v>
      </c>
      <c r="N869" s="1">
        <v>0</v>
      </c>
      <c r="O869" s="1">
        <v>-0.01140758359369431</v>
      </c>
      <c r="P869" s="1">
        <v>0.003020131938775705</v>
      </c>
      <c r="Q869" s="1">
        <v>0.01426078596379088</v>
      </c>
      <c r="R869" s="1">
        <v>-0.01113988527250054</v>
      </c>
      <c r="S869" s="1">
        <v>0.003657891030837579</v>
      </c>
      <c r="T869" s="1">
        <v>-0.01243535301898269</v>
      </c>
      <c r="U869" s="1">
        <v>-0.001545893794233311</v>
      </c>
      <c r="V869" s="1">
        <v>-0.007403933585075406</v>
      </c>
      <c r="W869" s="1">
        <v>0.002348727443543863</v>
      </c>
      <c r="X869" s="1">
        <v>-0.003640270778662691</v>
      </c>
      <c r="Y869" s="1">
        <v>-0.01115333136949825</v>
      </c>
      <c r="Z869" s="1">
        <v>-0.01871659030630302</v>
      </c>
    </row>
    <row r="870" spans="1:26">
      <c r="A870" s="11">
        <v>43634</v>
      </c>
      <c r="B870" s="1">
        <v>0.02873544599336064</v>
      </c>
      <c r="C870" s="1">
        <v>0.05370517776210471</v>
      </c>
      <c r="D870" s="1">
        <v>0.02168646278119279</v>
      </c>
      <c r="E870" s="1">
        <v>-0.008711818508870373</v>
      </c>
      <c r="F870" s="1">
        <v>0.01621220960838166</v>
      </c>
      <c r="G870" s="1">
        <v>-0.002027108359702878</v>
      </c>
      <c r="H870" s="1">
        <v>-0.01232803499125856</v>
      </c>
      <c r="I870" s="1">
        <v>0.0324545953534221</v>
      </c>
      <c r="J870" s="1">
        <v>0.03115568518868228</v>
      </c>
      <c r="K870" s="1">
        <v>0.01250966283022814</v>
      </c>
      <c r="L870" s="1">
        <v>0.0136418961113749</v>
      </c>
      <c r="M870" s="1">
        <v>0.0101600675488831</v>
      </c>
      <c r="N870" s="1">
        <v>-0.01454937626982034</v>
      </c>
      <c r="O870" s="1">
        <v>0.001339225324329618</v>
      </c>
      <c r="P870" s="1">
        <v>0.01738781574017367</v>
      </c>
      <c r="Q870" s="1">
        <v>-0.005830106648534783</v>
      </c>
      <c r="R870" s="1">
        <v>0.02527426506184582</v>
      </c>
      <c r="S870" s="1">
        <v>-0.01109736555586982</v>
      </c>
      <c r="T870" s="1">
        <v>-0.006391898737559853</v>
      </c>
      <c r="U870" s="1">
        <v>0.004334587183290495</v>
      </c>
      <c r="V870" s="1">
        <v>-0.007688872337205166</v>
      </c>
      <c r="W870" s="1">
        <v>0.01143663021555041</v>
      </c>
      <c r="X870" s="1">
        <v>0.03450417510762027</v>
      </c>
      <c r="Y870" s="1">
        <v>-0.005205514508523579</v>
      </c>
      <c r="Z870" s="1">
        <v>0.02270676723324283</v>
      </c>
    </row>
    <row r="871" spans="1:26">
      <c r="A871" s="11">
        <v>43635</v>
      </c>
      <c r="B871" s="1">
        <v>-0.0006980773762045311</v>
      </c>
      <c r="C871" s="1">
        <v>-0.01443999978397537</v>
      </c>
      <c r="D871" s="1">
        <v>0.009310161623470314</v>
      </c>
      <c r="E871" s="1">
        <v>0.01715822818545831</v>
      </c>
      <c r="F871" s="1">
        <v>-0.002543040119633244</v>
      </c>
      <c r="G871" s="1">
        <v>0.01489507753738262</v>
      </c>
      <c r="H871" s="1">
        <v>0.009789486943870163</v>
      </c>
      <c r="I871" s="1">
        <v>0.00351357106760064</v>
      </c>
      <c r="J871" s="1">
        <v>0.005360684083432377</v>
      </c>
      <c r="K871" s="1">
        <v>-0.01512845071393076</v>
      </c>
      <c r="L871" s="1">
        <v>-0.007225930872405195</v>
      </c>
      <c r="M871" s="1">
        <v>-0.003674978563098952</v>
      </c>
      <c r="N871" s="1">
        <v>-0.004389462568020419</v>
      </c>
      <c r="O871" s="1">
        <v>0.007305404734994969</v>
      </c>
      <c r="P871" s="1">
        <v>0.003921589413099946</v>
      </c>
      <c r="Q871" s="1">
        <v>0.01552284273601945</v>
      </c>
      <c r="R871" s="1">
        <v>0.002958388321673722</v>
      </c>
      <c r="S871" s="1">
        <v>0.003437002549489199</v>
      </c>
      <c r="T871" s="1">
        <v>0.0004943949833511319</v>
      </c>
      <c r="U871" s="1">
        <v>-0.000924950233273214</v>
      </c>
      <c r="V871" s="1">
        <v>-0.003584617802528167</v>
      </c>
      <c r="W871" s="1">
        <v>0.01237873224065833</v>
      </c>
      <c r="X871" s="1">
        <v>0.0007845731232649644</v>
      </c>
      <c r="Y871" s="1">
        <v>0.005232753683743763</v>
      </c>
      <c r="Z871" s="1">
        <v>-0.01509790537120659</v>
      </c>
    </row>
    <row r="872" spans="1:26">
      <c r="A872" s="11">
        <v>43636</v>
      </c>
      <c r="B872" s="1">
        <v>0.03109693133190605</v>
      </c>
      <c r="C872" s="1">
        <v>0.01714780215935607</v>
      </c>
      <c r="D872" s="1">
        <v>0.008977987984633007</v>
      </c>
      <c r="E872" s="1">
        <v>0.005759915691710749</v>
      </c>
      <c r="F872" s="1">
        <v>0.01251711087755703</v>
      </c>
      <c r="G872" s="1">
        <v>0.002001414648283184</v>
      </c>
      <c r="H872" s="1">
        <v>-0.005573998753991338</v>
      </c>
      <c r="I872" s="1">
        <v>0.01763155677674622</v>
      </c>
      <c r="J872" s="1">
        <v>0.01114901356653331</v>
      </c>
      <c r="K872" s="1">
        <v>0.01638501328295106</v>
      </c>
      <c r="L872" s="1">
        <v>0.002547521693989863</v>
      </c>
      <c r="M872" s="1">
        <v>0.0001942063089004353</v>
      </c>
      <c r="N872" s="1">
        <v>0.007214259907672105</v>
      </c>
      <c r="O872" s="1">
        <v>-0.004392020216371639</v>
      </c>
      <c r="P872" s="1">
        <v>0.009285559667805199</v>
      </c>
      <c r="Q872" s="1">
        <v>-0.000679385892910056</v>
      </c>
      <c r="R872" s="1">
        <v>0.01446631770289208</v>
      </c>
      <c r="S872" s="1">
        <v>0.0006602514992768427</v>
      </c>
      <c r="T872" s="1">
        <v>0.01432312435113858</v>
      </c>
      <c r="U872" s="1">
        <v>0.004011294468380999</v>
      </c>
      <c r="V872" s="1">
        <v>0.0005802162162162894</v>
      </c>
      <c r="W872" s="1">
        <v>0.001912775685598112</v>
      </c>
      <c r="X872" s="1">
        <v>0.02862201562195654</v>
      </c>
      <c r="Y872" s="1">
        <v>-0.005032073998618491</v>
      </c>
      <c r="Z872" s="1">
        <v>0.0009017714638406282</v>
      </c>
    </row>
    <row r="873" spans="1:26">
      <c r="A873" s="11">
        <v>43637</v>
      </c>
      <c r="B873" s="1">
        <v>0.004405571854057211</v>
      </c>
      <c r="C873" s="1">
        <v>-0.008109305424037205</v>
      </c>
      <c r="D873" s="1">
        <v>0.004509733706998809</v>
      </c>
      <c r="E873" s="1">
        <v>0.009204789585944173</v>
      </c>
      <c r="F873" s="1">
        <v>-0.002746810782626508</v>
      </c>
      <c r="G873" s="1">
        <v>-0.003994756353473572</v>
      </c>
      <c r="H873" s="1">
        <v>-0.00828675384140598</v>
      </c>
      <c r="I873" s="1">
        <v>0.009338935574229712</v>
      </c>
      <c r="J873" s="1">
        <v>-0.007670288054408059</v>
      </c>
      <c r="K873" s="1">
        <v>0.01648071347734947</v>
      </c>
      <c r="L873" s="1">
        <v>-0.006806577689881799</v>
      </c>
      <c r="M873" s="1">
        <v>-0.005240840389742485</v>
      </c>
      <c r="N873" s="1">
        <v>-0.04496616153730548</v>
      </c>
      <c r="O873" s="1">
        <v>-0.004617056855305113</v>
      </c>
      <c r="P873" s="1">
        <v>0.0001456375375343821</v>
      </c>
      <c r="Q873" s="1">
        <v>-0.00203962541299052</v>
      </c>
      <c r="R873" s="1">
        <v>-0.01232159363479135</v>
      </c>
      <c r="S873" s="1">
        <v>-0.008165656690970358</v>
      </c>
      <c r="T873" s="1">
        <v>-0.01265759099345165</v>
      </c>
      <c r="U873" s="1">
        <v>-0.00276600404759908</v>
      </c>
      <c r="V873" s="1">
        <v>0.01612318560679449</v>
      </c>
      <c r="W873" s="1">
        <v>0.00381803574738071</v>
      </c>
      <c r="X873" s="1">
        <v>-0.01067295007450864</v>
      </c>
      <c r="Y873" s="1">
        <v>0.007498976197547469</v>
      </c>
      <c r="Z873" s="1">
        <v>0.0006755547248684657</v>
      </c>
    </row>
    <row r="874" spans="1:26">
      <c r="A874" s="11">
        <v>43640</v>
      </c>
      <c r="B874" s="1">
        <v>-0.01923087576477078</v>
      </c>
      <c r="C874" s="1">
        <v>0.005782108345030457</v>
      </c>
      <c r="D874" s="1">
        <v>-0.001698948862572713</v>
      </c>
      <c r="E874" s="1">
        <v>-0.07417916667006097</v>
      </c>
      <c r="F874" s="1">
        <v>0.0009179720940164504</v>
      </c>
      <c r="G874" s="1">
        <v>-0.002339380454245199</v>
      </c>
      <c r="H874" s="1">
        <v>-0.003932410543636355</v>
      </c>
      <c r="I874" s="1">
        <v>0.0158263660320086</v>
      </c>
      <c r="J874" s="1">
        <v>-0.001932274361059361</v>
      </c>
      <c r="K874" s="1">
        <v>0.008730550936550951</v>
      </c>
      <c r="L874" s="1">
        <v>-0.007127194468232734</v>
      </c>
      <c r="M874" s="1">
        <v>-0.0005854108151533977</v>
      </c>
      <c r="N874" s="1">
        <v>0.01020825255953395</v>
      </c>
      <c r="O874" s="1">
        <v>0.01092580775327257</v>
      </c>
      <c r="P874" s="1">
        <v>0.005914043809475356</v>
      </c>
      <c r="Q874" s="1">
        <v>-0.001021485668104449</v>
      </c>
      <c r="R874" s="1">
        <v>0.000840795823553675</v>
      </c>
      <c r="S874" s="1">
        <v>-0.002661077840617754</v>
      </c>
      <c r="T874" s="1">
        <v>0.000579813717281219</v>
      </c>
      <c r="U874" s="1">
        <v>0.00400641384587952</v>
      </c>
      <c r="V874" s="1">
        <v>-0.01004562345228555</v>
      </c>
      <c r="W874" s="1">
        <v>0.003702058579185152</v>
      </c>
      <c r="X874" s="1">
        <v>-0.001926360037551311</v>
      </c>
      <c r="Y874" s="1">
        <v>0.008655099409337952</v>
      </c>
      <c r="Z874" s="1">
        <v>-0.006977334814845526</v>
      </c>
    </row>
    <row r="875" spans="1:26">
      <c r="A875" s="11">
        <v>43641</v>
      </c>
      <c r="B875" s="1">
        <v>-0.02923981400085118</v>
      </c>
      <c r="C875" s="1">
        <v>-0.01248688274983256</v>
      </c>
      <c r="D875" s="1">
        <v>-0.006562995087471601</v>
      </c>
      <c r="E875" s="1">
        <v>0.001970125844098058</v>
      </c>
      <c r="F875" s="1">
        <v>-0.01949562667536053</v>
      </c>
      <c r="G875" s="1">
        <v>-0.01139045389487425</v>
      </c>
      <c r="H875" s="1">
        <v>0.01258329618391207</v>
      </c>
      <c r="I875" s="1">
        <v>-0.003415463311569722</v>
      </c>
      <c r="J875" s="1">
        <v>-0.002904172789468085</v>
      </c>
      <c r="K875" s="1">
        <v>0.00346147210436043</v>
      </c>
      <c r="L875" s="1">
        <v>-0.008282442894594455</v>
      </c>
      <c r="M875" s="1">
        <v>-0.004295089999780233</v>
      </c>
      <c r="N875" s="1">
        <v>0.005980631040905182</v>
      </c>
      <c r="O875" s="1">
        <v>0.00540377493550892</v>
      </c>
      <c r="P875" s="1">
        <v>-0.03157202500038403</v>
      </c>
      <c r="Q875" s="1">
        <v>0.0003408433893388185</v>
      </c>
      <c r="R875" s="1">
        <v>-0.001400528624002306</v>
      </c>
      <c r="S875" s="1">
        <v>-0.006003550984999273</v>
      </c>
      <c r="T875" s="1">
        <v>-0.005644511266597929</v>
      </c>
      <c r="U875" s="1">
        <v>-0.0009207205726837753</v>
      </c>
      <c r="V875" s="1">
        <v>-0.01176214952377619</v>
      </c>
      <c r="W875" s="1">
        <v>-0.006835076752599867</v>
      </c>
      <c r="X875" s="1">
        <v>-0.003860007520884667</v>
      </c>
      <c r="Y875" s="1">
        <v>-0.004633437411420638</v>
      </c>
      <c r="Z875" s="1">
        <v>-0.002946313774248699</v>
      </c>
    </row>
    <row r="876" spans="1:26">
      <c r="A876" s="11">
        <v>43642</v>
      </c>
      <c r="B876" s="1">
        <v>0.02870294360776526</v>
      </c>
      <c r="C876" s="1">
        <v>0.01521714312011002</v>
      </c>
      <c r="D876" s="1">
        <v>-0.01358178097620044</v>
      </c>
      <c r="E876" s="1">
        <v>-0.01857126845982149</v>
      </c>
      <c r="F876" s="1">
        <v>-0.01497030700349522</v>
      </c>
      <c r="G876" s="1">
        <v>-0.02914285953597318</v>
      </c>
      <c r="H876" s="1">
        <v>-0.01413229200081179</v>
      </c>
      <c r="I876" s="1">
        <v>-0.001142626465113317</v>
      </c>
      <c r="J876" s="1">
        <v>0.009223293236197527</v>
      </c>
      <c r="K876" s="1">
        <v>0.000985875275753445</v>
      </c>
      <c r="L876" s="1">
        <v>0.006681566963520069</v>
      </c>
      <c r="M876" s="1">
        <v>-0.005882392661053282</v>
      </c>
      <c r="N876" s="1">
        <v>-0.01722011537699386</v>
      </c>
      <c r="O876" s="1">
        <v>-0.01054687337042448</v>
      </c>
      <c r="P876" s="1">
        <v>0.003747239661168189</v>
      </c>
      <c r="Q876" s="1">
        <v>-0.02215418653281909</v>
      </c>
      <c r="R876" s="1">
        <v>-0.0054696392218756</v>
      </c>
      <c r="S876" s="1">
        <v>-0.0180354336057178</v>
      </c>
      <c r="T876" s="1">
        <v>-0.01955389331672497</v>
      </c>
      <c r="U876" s="1">
        <v>-0.0006147621777586876</v>
      </c>
      <c r="V876" s="1">
        <v>-0.001283501715266477</v>
      </c>
      <c r="W876" s="1">
        <v>-0.004428662936693417</v>
      </c>
      <c r="X876" s="1">
        <v>-0.004262983538000364</v>
      </c>
      <c r="Y876" s="1">
        <v>-0.01741388462220006</v>
      </c>
      <c r="Z876" s="1">
        <v>0.008865614113243714</v>
      </c>
    </row>
    <row r="877" spans="1:26">
      <c r="A877" s="11">
        <v>43643</v>
      </c>
      <c r="B877" s="1">
        <v>-0.0134344519389209</v>
      </c>
      <c r="C877" s="1">
        <v>-0.02912471792354265</v>
      </c>
      <c r="D877" s="1">
        <v>0.01302432989337055</v>
      </c>
      <c r="E877" s="1">
        <v>0.004007365104873983</v>
      </c>
      <c r="F877" s="1">
        <v>-0.002612300659945888</v>
      </c>
      <c r="G877" s="1">
        <v>-0.004886487922468596</v>
      </c>
      <c r="H877" s="1">
        <v>-0.01754825743125432</v>
      </c>
      <c r="I877" s="1">
        <v>-0.003265608075800897</v>
      </c>
      <c r="J877" s="1">
        <v>-0.002405288883100654</v>
      </c>
      <c r="K877" s="1">
        <v>-0.002215681993862018</v>
      </c>
      <c r="L877" s="1">
        <v>0.003318353650940908</v>
      </c>
      <c r="M877" s="1">
        <v>0.0007889047717224429</v>
      </c>
      <c r="N877" s="1">
        <v>-0.0008342871514268602</v>
      </c>
      <c r="O877" s="1">
        <v>0.01803875390424925</v>
      </c>
      <c r="P877" s="1">
        <v>0.001642695769218161</v>
      </c>
      <c r="Q877" s="1">
        <v>-0.002788416345026135</v>
      </c>
      <c r="R877" s="1">
        <v>-0.003102516111282538</v>
      </c>
      <c r="S877" s="1">
        <v>0.01247221939376519</v>
      </c>
      <c r="T877" s="1">
        <v>0.001056251094327498</v>
      </c>
      <c r="U877" s="1">
        <v>0.01383350788695981</v>
      </c>
      <c r="V877" s="1">
        <v>0.003271808446846602</v>
      </c>
      <c r="W877" s="1">
        <v>0.005269712570329377</v>
      </c>
      <c r="X877" s="1">
        <v>0.009340330191099699</v>
      </c>
      <c r="Y877" s="1">
        <v>0.004562217287539472</v>
      </c>
      <c r="Z877" s="1">
        <v>0.01396995120623701</v>
      </c>
    </row>
    <row r="878" spans="1:26">
      <c r="A878" s="11">
        <v>43644</v>
      </c>
      <c r="B878" s="1">
        <v>0.01152259679293</v>
      </c>
      <c r="C878" s="1">
        <v>-2.739900713166765E-05</v>
      </c>
      <c r="D878" s="1">
        <v>0.002816351091838643</v>
      </c>
      <c r="E878" s="1">
        <v>0.005542888959741532</v>
      </c>
      <c r="F878" s="1">
        <v>0.006666447484892091</v>
      </c>
      <c r="G878" s="1">
        <v>0.004209137270400287</v>
      </c>
      <c r="H878" s="1">
        <v>0.008050055914813559</v>
      </c>
      <c r="I878" s="1">
        <v>0.0054000379569068</v>
      </c>
      <c r="J878" s="1">
        <v>0.002411088246857096</v>
      </c>
      <c r="K878" s="1">
        <v>0.01924496482270421</v>
      </c>
      <c r="L878" s="1">
        <v>0.02719588471121481</v>
      </c>
      <c r="M878" s="1">
        <v>0.0007884484276843295</v>
      </c>
      <c r="N878" s="1">
        <v>-0.0114821087521334</v>
      </c>
      <c r="O878" s="1">
        <v>0.004228099606240709</v>
      </c>
      <c r="P878" s="1">
        <v>-0.001416257566385526</v>
      </c>
      <c r="Q878" s="1">
        <v>0.006641027816506107</v>
      </c>
      <c r="R878" s="1">
        <v>0.01372194762088896</v>
      </c>
      <c r="S878" s="1">
        <v>0.004766954170882798</v>
      </c>
      <c r="T878" s="1">
        <v>0.00778473280573988</v>
      </c>
      <c r="U878" s="1">
        <v>0.01607041840601608</v>
      </c>
      <c r="V878" s="1">
        <v>0.008617328855848427</v>
      </c>
      <c r="W878" s="1">
        <v>-0.000306987265325076</v>
      </c>
      <c r="X878" s="1">
        <v>0.02255644510520138</v>
      </c>
      <c r="Y878" s="1">
        <v>-0.002096207586035459</v>
      </c>
      <c r="Z878" s="1">
        <v>0.02177810730582208</v>
      </c>
    </row>
    <row r="879" spans="1:26">
      <c r="A879" s="11">
        <v>43647</v>
      </c>
      <c r="B879" s="1">
        <v>0.007939115697577437</v>
      </c>
      <c r="C879" s="1">
        <v>-0.0207412752683811</v>
      </c>
      <c r="D879" s="1">
        <v>-0.005738984634198641</v>
      </c>
      <c r="E879" s="1">
        <v>0.01830243578609236</v>
      </c>
      <c r="F879" s="1">
        <v>0.01017045436359343</v>
      </c>
      <c r="G879" s="1">
        <v>-0.004890063568382952</v>
      </c>
      <c r="H879" s="1">
        <v>0.00124799773718931</v>
      </c>
      <c r="I879" s="1">
        <v>-0.003439664973730605</v>
      </c>
      <c r="J879" s="1">
        <v>0.009620083152349412</v>
      </c>
      <c r="K879" s="1">
        <v>0.01404028198993346</v>
      </c>
      <c r="L879" s="1">
        <v>0.01681574850723333</v>
      </c>
      <c r="M879" s="1">
        <v>0.01496656778990624</v>
      </c>
      <c r="N879" s="1">
        <v>0.007180295580972995</v>
      </c>
      <c r="O879" s="1">
        <v>0.01082688573092661</v>
      </c>
      <c r="P879" s="1">
        <v>0.01283975141630633</v>
      </c>
      <c r="Q879" s="1">
        <v>-0.007291698989514428</v>
      </c>
      <c r="R879" s="1">
        <v>0.008093426045499674</v>
      </c>
      <c r="S879" s="1">
        <v>-0.007221228501636645</v>
      </c>
      <c r="T879" s="1">
        <v>0.006567874733286017</v>
      </c>
      <c r="U879" s="1">
        <v>-0.002387362372965329</v>
      </c>
      <c r="V879" s="1">
        <v>0.00381015556808828</v>
      </c>
      <c r="W879" s="1">
        <v>0.01951165134950039</v>
      </c>
      <c r="X879" s="1">
        <v>0.001696976136731143</v>
      </c>
      <c r="Y879" s="1">
        <v>-0.008226678413926325</v>
      </c>
      <c r="Z879" s="1">
        <v>0.007611913677062709</v>
      </c>
    </row>
    <row r="880" spans="1:26">
      <c r="A880" s="11">
        <v>43648</v>
      </c>
      <c r="B880" s="1">
        <v>-0.06164375695827096</v>
      </c>
      <c r="C880" s="1">
        <v>-0.006452246117848226</v>
      </c>
      <c r="D880" s="1">
        <v>0.003438577772984841</v>
      </c>
      <c r="E880" s="1">
        <v>0.01082695294833025</v>
      </c>
      <c r="F880" s="1">
        <v>0.009176644988456051</v>
      </c>
      <c r="G880" s="1">
        <v>0.01790100261754879</v>
      </c>
      <c r="H880" s="1">
        <v>0.01296090287504525</v>
      </c>
      <c r="I880" s="1">
        <v>-6.035686070227086E-05</v>
      </c>
      <c r="J880" s="1">
        <v>0.003334834522246588</v>
      </c>
      <c r="K880" s="1">
        <v>-0.005967949142858919</v>
      </c>
      <c r="L880" s="1">
        <v>0.001055820538881092</v>
      </c>
      <c r="M880" s="1">
        <v>-0.002134373973055603</v>
      </c>
      <c r="N880" s="1">
        <v>0.01908173877732211</v>
      </c>
      <c r="O880" s="1">
        <v>0.01229807219592605</v>
      </c>
      <c r="P880" s="1">
        <v>0.006633212502741292</v>
      </c>
      <c r="Q880" s="1">
        <v>0.01713876731178376</v>
      </c>
      <c r="R880" s="1">
        <v>-0.01231999183284083</v>
      </c>
      <c r="S880" s="1">
        <v>0.02562875900374517</v>
      </c>
      <c r="T880" s="1">
        <v>0.00453076351912407</v>
      </c>
      <c r="U880" s="1">
        <v>0.01226460517453187</v>
      </c>
      <c r="V880" s="1">
        <v>0.001150128951579621</v>
      </c>
      <c r="W880" s="1">
        <v>0.005677674351747708</v>
      </c>
      <c r="X880" s="1">
        <v>-0.004893917422108318</v>
      </c>
      <c r="Y880" s="1">
        <v>0.02594443266120039</v>
      </c>
      <c r="Z880" s="1">
        <v>-0.03194491557092316</v>
      </c>
    </row>
    <row r="881" spans="1:26">
      <c r="A881" s="11">
        <v>43649</v>
      </c>
      <c r="B881" s="1">
        <v>-0.004379617984278439</v>
      </c>
      <c r="C881" s="1">
        <v>0.0008752970588195019</v>
      </c>
      <c r="D881" s="1">
        <v>0.004405455495728461</v>
      </c>
      <c r="E881" s="1">
        <v>0.006267789708890525</v>
      </c>
      <c r="F881" s="1">
        <v>0.0100252305278572</v>
      </c>
      <c r="G881" s="1">
        <v>0.01482772827884582</v>
      </c>
      <c r="H881" s="1">
        <v>0.02534491718865639</v>
      </c>
      <c r="I881" s="1">
        <v>0.0009686181363466329</v>
      </c>
      <c r="J881" s="1">
        <v>0.004748315628895883</v>
      </c>
      <c r="K881" s="1">
        <v>0.0045628765725374</v>
      </c>
      <c r="L881" s="1">
        <v>-0.001593055451035053</v>
      </c>
      <c r="M881" s="1">
        <v>0.008944120640290265</v>
      </c>
      <c r="N881" s="1">
        <v>0.01213989171941443</v>
      </c>
      <c r="O881" s="1">
        <v>0.008327439019884864</v>
      </c>
      <c r="P881" s="1">
        <v>0.006443172846286371</v>
      </c>
      <c r="Q881" s="1">
        <v>0.01478708786188854</v>
      </c>
      <c r="R881" s="1">
        <v>-0.002102265077211452</v>
      </c>
      <c r="S881" s="1">
        <v>0.02094760443810428</v>
      </c>
      <c r="T881" s="1">
        <v>0.0146096492891794</v>
      </c>
      <c r="U881" s="1">
        <v>0.004137141735013561</v>
      </c>
      <c r="V881" s="1">
        <v>0.009880709138056165</v>
      </c>
      <c r="W881" s="1">
        <v>0.01434725686120575</v>
      </c>
      <c r="X881" s="1">
        <v>0.000378480217709809</v>
      </c>
      <c r="Y881" s="1">
        <v>0</v>
      </c>
      <c r="Z881" s="1">
        <v>0.01159451952694601</v>
      </c>
    </row>
    <row r="882" spans="1:26">
      <c r="A882" s="11">
        <v>43651</v>
      </c>
      <c r="B882" s="1">
        <v>-0.00366566553192671</v>
      </c>
      <c r="C882" s="1">
        <v>0.003921235883090679</v>
      </c>
      <c r="D882" s="1">
        <v>-0.0007309869925177237</v>
      </c>
      <c r="E882" s="1">
        <v>-0.01439009749421016</v>
      </c>
      <c r="F882" s="1">
        <v>-0.0009231249240850836</v>
      </c>
      <c r="G882" s="1">
        <v>0.0003396709256662245</v>
      </c>
      <c r="H882" s="1">
        <v>-0.002400096283244668</v>
      </c>
      <c r="I882" s="1">
        <v>-0.01131340503350631</v>
      </c>
      <c r="J882" s="1">
        <v>0</v>
      </c>
      <c r="K882" s="1">
        <v>0.000956308925714966</v>
      </c>
      <c r="L882" s="1">
        <v>0.005938623994716563</v>
      </c>
      <c r="M882" s="1">
        <v>-0.0001922985250072395</v>
      </c>
      <c r="N882" s="1">
        <v>-0.008335189547631794</v>
      </c>
      <c r="O882" s="1">
        <v>-0.00165159986350194</v>
      </c>
      <c r="P882" s="1">
        <v>-0.002909997822950205</v>
      </c>
      <c r="Q882" s="1">
        <v>-0.002033322990611097</v>
      </c>
      <c r="R882" s="1">
        <v>-0.00828645391044025</v>
      </c>
      <c r="S882" s="1">
        <v>-0.009572218596171744</v>
      </c>
      <c r="T882" s="1">
        <v>-0.008550131206556122</v>
      </c>
      <c r="U882" s="1">
        <v>0.009417057432188125</v>
      </c>
      <c r="V882" s="1">
        <v>0.00841842484545352</v>
      </c>
      <c r="W882" s="1">
        <v>-0.01565041437336601</v>
      </c>
      <c r="X882" s="1">
        <v>0.00491546991561953</v>
      </c>
      <c r="Y882" s="1">
        <v>0.003096165466313305</v>
      </c>
      <c r="Z882" s="1">
        <v>0.01851455685081227</v>
      </c>
    </row>
    <row r="883" spans="1:26">
      <c r="A883" s="11">
        <v>43654</v>
      </c>
      <c r="B883" s="1">
        <v>-0.02501823409549531</v>
      </c>
      <c r="C883" s="1">
        <v>-0.01331976731596818</v>
      </c>
      <c r="D883" s="1">
        <v>-0.005243222278899395</v>
      </c>
      <c r="E883" s="1">
        <v>-0.002614782255944803</v>
      </c>
      <c r="F883" s="1">
        <v>-0.0150186161143907</v>
      </c>
      <c r="G883" s="1">
        <v>-0.009510645507292192</v>
      </c>
      <c r="H883" s="1">
        <v>-0.001683744380362451</v>
      </c>
      <c r="I883" s="1">
        <v>0.002876195144759564</v>
      </c>
      <c r="J883" s="1">
        <v>-0.01984901735665878</v>
      </c>
      <c r="K883" s="1">
        <v>-0.00429917346098041</v>
      </c>
      <c r="L883" s="1">
        <v>-0.005462905987674516</v>
      </c>
      <c r="M883" s="1">
        <v>0.003854643247173772</v>
      </c>
      <c r="N883" s="1">
        <v>0.006150090165908173</v>
      </c>
      <c r="O883" s="1">
        <v>-0.007299446631981898</v>
      </c>
      <c r="P883" s="1">
        <v>-0.0007291474866507608</v>
      </c>
      <c r="Q883" s="1">
        <v>-0.001697847173742995</v>
      </c>
      <c r="R883" s="1">
        <v>0.0007078896202910023</v>
      </c>
      <c r="S883" s="1">
        <v>0.005790907082744878</v>
      </c>
      <c r="T883" s="1">
        <v>-0.007186625161494598</v>
      </c>
      <c r="U883" s="1">
        <v>-0.001457705119156216</v>
      </c>
      <c r="V883" s="1">
        <v>0.003046264891904737</v>
      </c>
      <c r="W883" s="1">
        <v>-0.00944612136735612</v>
      </c>
      <c r="X883" s="1">
        <v>-0.008842433191587173</v>
      </c>
      <c r="Y883" s="1">
        <v>-0.007202712967214975</v>
      </c>
      <c r="Z883" s="1">
        <v>-0.01926013844173013</v>
      </c>
    </row>
    <row r="884" spans="1:26">
      <c r="A884" s="11">
        <v>43655</v>
      </c>
      <c r="B884" s="1">
        <v>0.01698093217750452</v>
      </c>
      <c r="C884" s="1">
        <v>0.005610599460647014</v>
      </c>
      <c r="D884" s="1">
        <v>-0.002206238365705437</v>
      </c>
      <c r="E884" s="1">
        <v>0.005898955871536105</v>
      </c>
      <c r="F884" s="1">
        <v>0.008210127793695676</v>
      </c>
      <c r="G884" s="1">
        <v>-0.002400671525905396</v>
      </c>
      <c r="H884" s="1">
        <v>-0.0009641991102034009</v>
      </c>
      <c r="I884" s="1">
        <v>-0.003295000036408258</v>
      </c>
      <c r="J884" s="1">
        <v>-0.005303641667126047</v>
      </c>
      <c r="K884" s="1">
        <v>-0.0009592032555186814</v>
      </c>
      <c r="L884" s="1">
        <v>0.004252388625529013</v>
      </c>
      <c r="M884" s="1">
        <v>-0.007488409633037763</v>
      </c>
      <c r="N884" s="1">
        <v>-0.01487382401265702</v>
      </c>
      <c r="O884" s="1">
        <v>0.0002941617834353316</v>
      </c>
      <c r="P884" s="1">
        <v>-0.003651131871089452</v>
      </c>
      <c r="Q884" s="1">
        <v>0.005442236222216401</v>
      </c>
      <c r="R884" s="1">
        <v>-0.0004243914876563837</v>
      </c>
      <c r="S884" s="1">
        <v>0.003527636690596081</v>
      </c>
      <c r="T884" s="1">
        <v>-0.001404915071533397</v>
      </c>
      <c r="U884" s="1">
        <v>-0.001035167626761924</v>
      </c>
      <c r="V884" s="1">
        <v>-0.01248476595594894</v>
      </c>
      <c r="W884" s="1">
        <v>-0.003055709886976454</v>
      </c>
      <c r="X884" s="1">
        <v>0.01252853314653346</v>
      </c>
      <c r="Y884" s="1">
        <v>-0.01530885712801489</v>
      </c>
      <c r="Z884" s="1">
        <v>0.01345990446235978</v>
      </c>
    </row>
    <row r="885" spans="1:26">
      <c r="A885" s="11">
        <v>43656</v>
      </c>
      <c r="B885" s="1">
        <v>0.01929469491571245</v>
      </c>
      <c r="C885" s="1">
        <v>-0.002237420734183093</v>
      </c>
      <c r="D885" s="1">
        <v>0.008845103551059275</v>
      </c>
      <c r="E885" s="1">
        <v>-0.001737544747483222</v>
      </c>
      <c r="F885" s="1">
        <v>0.01884608667549759</v>
      </c>
      <c r="G885" s="1">
        <v>-0.002750169736349561</v>
      </c>
      <c r="H885" s="1">
        <v>-0.001446584496939129</v>
      </c>
      <c r="I885" s="1">
        <v>-0.01554967415942721</v>
      </c>
      <c r="J885" s="1">
        <v>-0.001938951049996529</v>
      </c>
      <c r="K885" s="1">
        <v>-0.007683215943077859</v>
      </c>
      <c r="L885" s="1">
        <v>-0.00291125968004402</v>
      </c>
      <c r="M885" s="1">
        <v>0.00328895439914012</v>
      </c>
      <c r="N885" s="1">
        <v>0.01344390036104981</v>
      </c>
      <c r="O885" s="1">
        <v>0.001132202418876238</v>
      </c>
      <c r="P885" s="1">
        <v>0.01018637070901196</v>
      </c>
      <c r="Q885" s="1">
        <v>-0.002029720480991704</v>
      </c>
      <c r="R885" s="1">
        <v>-0.001699019069943186</v>
      </c>
      <c r="S885" s="1">
        <v>0.008322286565965342</v>
      </c>
      <c r="T885" s="1">
        <v>-0.009953578703996713</v>
      </c>
      <c r="U885" s="1">
        <v>0.006559213610563885</v>
      </c>
      <c r="V885" s="1">
        <v>-0.02220937840114157</v>
      </c>
      <c r="W885" s="1">
        <v>-0.001280093410238825</v>
      </c>
      <c r="X885" s="1">
        <v>-0.01724801655892727</v>
      </c>
      <c r="Y885" s="1">
        <v>0.01045900191313964</v>
      </c>
      <c r="Z885" s="1">
        <v>-0.0141519822095304</v>
      </c>
    </row>
    <row r="886" spans="1:26">
      <c r="A886" s="11">
        <v>43657</v>
      </c>
      <c r="B886" s="1">
        <v>-0.02657428152867192</v>
      </c>
      <c r="C886" s="1">
        <v>0.01901786048165577</v>
      </c>
      <c r="D886" s="1">
        <v>0.004992649324798704</v>
      </c>
      <c r="E886" s="1">
        <v>-0.03111428385980053</v>
      </c>
      <c r="F886" s="1">
        <v>0.006622587458336993</v>
      </c>
      <c r="G886" s="1">
        <v>0.001723666599924512</v>
      </c>
      <c r="H886" s="1">
        <v>-0.004385278371738521</v>
      </c>
      <c r="I886" s="1">
        <v>0.002798599602708673</v>
      </c>
      <c r="J886" s="1">
        <v>0.01262769632940319</v>
      </c>
      <c r="K886" s="1">
        <v>0</v>
      </c>
      <c r="L886" s="1">
        <v>0.009555747984074214</v>
      </c>
      <c r="M886" s="1">
        <v>-0.0003856292607903322</v>
      </c>
      <c r="N886" s="1">
        <v>0.005306237447558093</v>
      </c>
      <c r="O886" s="1">
        <v>0.002163594128636204</v>
      </c>
      <c r="P886" s="1">
        <v>0.003989571695655281</v>
      </c>
      <c r="Q886" s="1">
        <v>0.0006778403755098861</v>
      </c>
      <c r="R886" s="1">
        <v>0.003829429964212538</v>
      </c>
      <c r="S886" s="1">
        <v>-0.003766180756862192</v>
      </c>
      <c r="T886" s="1">
        <v>0.01674178080700672</v>
      </c>
      <c r="U886" s="1">
        <v>-0.008886408851145888</v>
      </c>
      <c r="V886" s="1">
        <v>0.007221769662860478</v>
      </c>
      <c r="W886" s="1">
        <v>-0.003270610254691775</v>
      </c>
      <c r="X886" s="1">
        <v>0.001907618002285671</v>
      </c>
      <c r="Y886" s="1">
        <v>-0.00140364999006326</v>
      </c>
      <c r="Z886" s="1">
        <v>0.01236764394608181</v>
      </c>
    </row>
    <row r="887" spans="1:26">
      <c r="A887" s="11">
        <v>43658</v>
      </c>
      <c r="B887" s="1">
        <v>0.006357649664011422</v>
      </c>
      <c r="C887" s="1">
        <v>0.01763230939571958</v>
      </c>
      <c r="D887" s="1">
        <v>-0.01066271048626588</v>
      </c>
      <c r="E887" s="1">
        <v>-0.005838538492079048</v>
      </c>
      <c r="F887" s="1">
        <v>0.01270386456452499</v>
      </c>
      <c r="G887" s="1">
        <v>-0.006538245349097083</v>
      </c>
      <c r="H887" s="1">
        <v>0.001223303789320562</v>
      </c>
      <c r="I887" s="1">
        <v>0.02548681163136357</v>
      </c>
      <c r="J887" s="1">
        <v>0.01822540433572595</v>
      </c>
      <c r="K887" s="1">
        <v>0.005081040061579056</v>
      </c>
      <c r="L887" s="1">
        <v>0.01051717920203821</v>
      </c>
      <c r="M887" s="1">
        <v>0.0129242120350106</v>
      </c>
      <c r="N887" s="1">
        <v>0.004871857178346595</v>
      </c>
      <c r="O887" s="1">
        <v>0.008831349234422525</v>
      </c>
      <c r="P887" s="1">
        <v>0.003612439062810502</v>
      </c>
      <c r="Q887" s="1">
        <v>-0.006097412803020452</v>
      </c>
      <c r="R887" s="1">
        <v>0.01907295841960588</v>
      </c>
      <c r="S887" s="1">
        <v>0.0002009626650318896</v>
      </c>
      <c r="T887" s="1">
        <v>0.009737907358576159</v>
      </c>
      <c r="U887" s="1">
        <v>0.005678484090844815</v>
      </c>
      <c r="V887" s="1">
        <v>0.01225881765673908</v>
      </c>
      <c r="W887" s="1">
        <v>-0.01559848433239097</v>
      </c>
      <c r="X887" s="1">
        <v>0.0207538570447845</v>
      </c>
      <c r="Y887" s="1">
        <v>0.00474350184817296</v>
      </c>
      <c r="Z887" s="1">
        <v>0.0117799069718818</v>
      </c>
    </row>
    <row r="888" spans="1:26">
      <c r="A888" s="11">
        <v>43661</v>
      </c>
      <c r="B888" s="1">
        <v>-0.02081014551529448</v>
      </c>
      <c r="C888" s="1">
        <v>-0.01018258851017284</v>
      </c>
      <c r="D888" s="1">
        <v>0.004408905035466981</v>
      </c>
      <c r="E888" s="1">
        <v>-0.001807240097443596</v>
      </c>
      <c r="F888" s="1">
        <v>0.001792103482579854</v>
      </c>
      <c r="G888" s="1">
        <v>0.004156650216305291</v>
      </c>
      <c r="H888" s="1">
        <v>0.004887779099510547</v>
      </c>
      <c r="I888" s="1">
        <v>0.003809695340243113</v>
      </c>
      <c r="J888" s="1">
        <v>0.005652748657056561</v>
      </c>
      <c r="K888" s="1">
        <v>0.00674078978361492</v>
      </c>
      <c r="L888" s="1">
        <v>-0.0121421263914907</v>
      </c>
      <c r="M888" s="1">
        <v>-0.00476085704864293</v>
      </c>
      <c r="N888" s="1">
        <v>0.0008079945119596754</v>
      </c>
      <c r="O888" s="1">
        <v>0.002042429351496455</v>
      </c>
      <c r="P888" s="1">
        <v>0</v>
      </c>
      <c r="Q888" s="1">
        <v>0.002726641249187312</v>
      </c>
      <c r="R888" s="1">
        <v>-0.008734073623900884</v>
      </c>
      <c r="S888" s="1">
        <v>0.003820257656112602</v>
      </c>
      <c r="T888" s="1">
        <v>0.008813146634814473</v>
      </c>
      <c r="U888" s="1">
        <v>0.001783430550867049</v>
      </c>
      <c r="V888" s="1">
        <v>-0.008340144847138187</v>
      </c>
      <c r="W888" s="1">
        <v>-0.007252286802630681</v>
      </c>
      <c r="X888" s="1">
        <v>-0.003357364465663149</v>
      </c>
      <c r="Y888" s="1">
        <v>0.006819487925339596</v>
      </c>
      <c r="Z888" s="1">
        <v>-0.02177651157901939</v>
      </c>
    </row>
    <row r="889" spans="1:26">
      <c r="A889" s="11">
        <v>43662</v>
      </c>
      <c r="B889" s="1">
        <v>-0.04212514282970947</v>
      </c>
      <c r="C889" s="1">
        <v>0.003152638537889274</v>
      </c>
      <c r="D889" s="1">
        <v>0.0007315217253838213</v>
      </c>
      <c r="E889" s="1">
        <v>0.005883798142267027</v>
      </c>
      <c r="F889" s="1">
        <v>0.008273985949347029</v>
      </c>
      <c r="G889" s="1">
        <v>-0.003104482452467083</v>
      </c>
      <c r="H889" s="1">
        <v>0.00413420922413521</v>
      </c>
      <c r="I889" s="1">
        <v>0.0009032950778771198</v>
      </c>
      <c r="J889" s="1">
        <v>-0.001874083669156978</v>
      </c>
      <c r="K889" s="1">
        <v>0.005738696898135887</v>
      </c>
      <c r="L889" s="1">
        <v>0.01071098268418069</v>
      </c>
      <c r="M889" s="1">
        <v>0.01951768473759108</v>
      </c>
      <c r="N889" s="1">
        <v>-0.002624098320536561</v>
      </c>
      <c r="O889" s="1">
        <v>-0.004173928195813414</v>
      </c>
      <c r="P889" s="1">
        <v>-0.01310259524668567</v>
      </c>
      <c r="Q889" s="1">
        <v>-0.009517376222716201</v>
      </c>
      <c r="R889" s="1">
        <v>0.01496486006035802</v>
      </c>
      <c r="S889" s="1">
        <v>-0.002603947636782178</v>
      </c>
      <c r="T889" s="1">
        <v>-0.01335775767557412</v>
      </c>
      <c r="U889" s="1">
        <v>-0.003856656815274917</v>
      </c>
      <c r="V889" s="1">
        <v>0.01739651406536491</v>
      </c>
      <c r="W889" s="1">
        <v>-0.009071058999162385</v>
      </c>
      <c r="X889" s="1">
        <v>0.01122941879037964</v>
      </c>
      <c r="Y889" s="1">
        <v>-0.002952191371149659</v>
      </c>
      <c r="Z889" s="1">
        <v>0.002644875355418463</v>
      </c>
    </row>
    <row r="890" spans="1:26">
      <c r="A890" s="11">
        <v>43663</v>
      </c>
      <c r="B890" s="1">
        <v>-0.03011101401733041</v>
      </c>
      <c r="C890" s="1">
        <v>0.0186630628034774</v>
      </c>
      <c r="D890" s="1">
        <v>0.007067225633178964</v>
      </c>
      <c r="E890" s="1">
        <v>-0.007199238845414846</v>
      </c>
      <c r="F890" s="1">
        <v>-0.01463740696971128</v>
      </c>
      <c r="G890" s="1">
        <v>0.003806031265758847</v>
      </c>
      <c r="H890" s="1">
        <v>0.001453402757026545</v>
      </c>
      <c r="I890" s="1">
        <v>-0.01847691220573422</v>
      </c>
      <c r="J890" s="1">
        <v>-0.006100231794161193</v>
      </c>
      <c r="K890" s="1">
        <v>-0.02377572635070346</v>
      </c>
      <c r="L890" s="1">
        <v>-0.009815693821919269</v>
      </c>
      <c r="M890" s="1">
        <v>-0.01839341298060893</v>
      </c>
      <c r="N890" s="1">
        <v>0.0008097369823243383</v>
      </c>
      <c r="O890" s="1">
        <v>-0.01393894700791631</v>
      </c>
      <c r="P890" s="1">
        <v>-0.005909235220735609</v>
      </c>
      <c r="Q890" s="1">
        <v>0.004118116096990088</v>
      </c>
      <c r="R890" s="1">
        <v>-0.03348460357089544</v>
      </c>
      <c r="S890" s="1">
        <v>-0.001044364556716526</v>
      </c>
      <c r="T890" s="1">
        <v>-0.02286444666633392</v>
      </c>
      <c r="U890" s="1">
        <v>-0.009529718185916303</v>
      </c>
      <c r="V890" s="1">
        <v>-0.005095656820365391</v>
      </c>
      <c r="W890" s="1">
        <v>0.002760298412755047</v>
      </c>
      <c r="X890" s="1">
        <v>-0.09531724654661233</v>
      </c>
      <c r="Y890" s="1">
        <v>-0.003309587217176224</v>
      </c>
      <c r="Z890" s="1">
        <v>-0.01340949551369919</v>
      </c>
    </row>
    <row r="891" spans="1:26">
      <c r="A891" s="11">
        <v>43664</v>
      </c>
      <c r="B891" s="1">
        <v>-0.03799032991284068</v>
      </c>
      <c r="C891" s="1">
        <v>-0.02275929371530661</v>
      </c>
      <c r="D891" s="1">
        <v>0.005202830602540898</v>
      </c>
      <c r="E891" s="1">
        <v>-0.00181263522538655</v>
      </c>
      <c r="F891" s="1">
        <v>0.002925931883766886</v>
      </c>
      <c r="G891" s="1">
        <v>0.008273020944349785</v>
      </c>
      <c r="H891" s="1">
        <v>0.007980413831890187</v>
      </c>
      <c r="I891" s="1">
        <v>0.0009810003585732918</v>
      </c>
      <c r="J891" s="1">
        <v>0.009442825792753018</v>
      </c>
      <c r="K891" s="1">
        <v>0.00267895268697127</v>
      </c>
      <c r="L891" s="1">
        <v>0.00596543106692371</v>
      </c>
      <c r="M891" s="1">
        <v>0.002676855677441692</v>
      </c>
      <c r="N891" s="1">
        <v>0.02184020613398441</v>
      </c>
      <c r="O891" s="1">
        <v>0.003954125998315128</v>
      </c>
      <c r="P891" s="1">
        <v>0.001101137429801113</v>
      </c>
      <c r="Q891" s="1">
        <v>0.01127812597610922</v>
      </c>
      <c r="R891" s="1">
        <v>-0.01511258104830371</v>
      </c>
      <c r="S891" s="1">
        <v>-0.004703973885791579</v>
      </c>
      <c r="T891" s="1">
        <v>0.001838936089008536</v>
      </c>
      <c r="U891" s="1">
        <v>-0.005111039922126803</v>
      </c>
      <c r="V891" s="1">
        <v>0.007284488918535725</v>
      </c>
      <c r="W891" s="1">
        <v>0.0234491841275235</v>
      </c>
      <c r="X891" s="1">
        <v>-0.0006137473580235531</v>
      </c>
      <c r="Y891" s="1">
        <v>-0.000174756720511815</v>
      </c>
      <c r="Z891" s="1">
        <v>0.0147058536289999</v>
      </c>
    </row>
    <row r="892" spans="1:26">
      <c r="A892" s="11">
        <v>43665</v>
      </c>
      <c r="B892" s="1">
        <v>0.03133068528159044</v>
      </c>
      <c r="C892" s="1">
        <v>0.04500014068029201</v>
      </c>
      <c r="D892" s="1">
        <v>0.0002404226528283093</v>
      </c>
      <c r="E892" s="1">
        <v>-0.01634515046234797</v>
      </c>
      <c r="F892" s="1">
        <v>-0.01122120072018762</v>
      </c>
      <c r="G892" s="1">
        <v>-0.02085469008904373</v>
      </c>
      <c r="H892" s="1">
        <v>-0.009837343485241123</v>
      </c>
      <c r="I892" s="1">
        <v>0.0145184356568604</v>
      </c>
      <c r="J892" s="1">
        <v>0.000468095415920633</v>
      </c>
      <c r="K892" s="1">
        <v>0.003643434778470844</v>
      </c>
      <c r="L892" s="1">
        <v>-0.009854533173544122</v>
      </c>
      <c r="M892" s="1">
        <v>-0.008008967583486237</v>
      </c>
      <c r="N892" s="1">
        <v>0</v>
      </c>
      <c r="O892" s="1">
        <v>-0.009452542719457835</v>
      </c>
      <c r="P892" s="1">
        <v>0.001465792573791092</v>
      </c>
      <c r="Q892" s="1">
        <v>-0.01318017424136309</v>
      </c>
      <c r="R892" s="1">
        <v>0.003618695523805782</v>
      </c>
      <c r="S892" s="1">
        <v>-0.0140172291814058</v>
      </c>
      <c r="T892" s="1">
        <v>-0.002381876191298149</v>
      </c>
      <c r="U892" s="1">
        <v>-0.009066031484014747</v>
      </c>
      <c r="V892" s="1">
        <v>-0.005537184228676328</v>
      </c>
      <c r="W892" s="1">
        <v>-0.01331127130729903</v>
      </c>
      <c r="X892" s="1">
        <v>0.00593642958721996</v>
      </c>
      <c r="Y892" s="1">
        <v>-0.01083750803184358</v>
      </c>
      <c r="Z892" s="1">
        <v>0.01229692624432199</v>
      </c>
    </row>
    <row r="893" spans="1:26">
      <c r="A893" s="11">
        <v>43668</v>
      </c>
      <c r="B893" s="1">
        <v>-0.007074471676071004</v>
      </c>
      <c r="C893" s="1">
        <v>-0.01044092457752277</v>
      </c>
      <c r="D893" s="1">
        <v>-0.004933668242403488</v>
      </c>
      <c r="E893" s="1">
        <v>-0.0129242057004566</v>
      </c>
      <c r="F893" s="1">
        <v>-0.004765859142838114</v>
      </c>
      <c r="G893" s="1">
        <v>0.001396731396136275</v>
      </c>
      <c r="H893" s="1">
        <v>-0.003149680280376432</v>
      </c>
      <c r="I893" s="1">
        <v>-0.002837957709741157</v>
      </c>
      <c r="J893" s="1">
        <v>0.002337065805773975</v>
      </c>
      <c r="K893" s="1">
        <v>-0.007744152925073466</v>
      </c>
      <c r="L893" s="1">
        <v>0.006429621293344345</v>
      </c>
      <c r="M893" s="1">
        <v>0.01268718897705745</v>
      </c>
      <c r="N893" s="1">
        <v>-0.01701942721747907</v>
      </c>
      <c r="O893" s="1">
        <v>0.003777338698740751</v>
      </c>
      <c r="P893" s="1">
        <v>0.01324832186770974</v>
      </c>
      <c r="Q893" s="1">
        <v>-0.002054744494453531</v>
      </c>
      <c r="R893" s="1">
        <v>-0.002452155991484961</v>
      </c>
      <c r="S893" s="1">
        <v>-0.006022577913893934</v>
      </c>
      <c r="T893" s="1">
        <v>-0.004401491288554715</v>
      </c>
      <c r="U893" s="1">
        <v>-0.02012809572692442</v>
      </c>
      <c r="V893" s="1">
        <v>-0.008976030228364795</v>
      </c>
      <c r="W893" s="1">
        <v>0.006590216037452246</v>
      </c>
      <c r="X893" s="1">
        <v>0.01302394957440089</v>
      </c>
      <c r="Y893" s="1">
        <v>-0.01926135425472186</v>
      </c>
      <c r="Z893" s="1">
        <v>-0.01887201861393772</v>
      </c>
    </row>
    <row r="894" spans="1:26">
      <c r="A894" s="11">
        <v>43669</v>
      </c>
      <c r="B894" s="1">
        <v>0.01885982030777256</v>
      </c>
      <c r="C894" s="1">
        <v>-0.0009373215999917139</v>
      </c>
      <c r="D894" s="1">
        <v>0.007377041041108034</v>
      </c>
      <c r="E894" s="1">
        <v>0.006546888589014754</v>
      </c>
      <c r="F894" s="1">
        <v>0.01071828854972634</v>
      </c>
      <c r="G894" s="1">
        <v>0.000348797445599347</v>
      </c>
      <c r="H894" s="1">
        <v>0.00802145321732306</v>
      </c>
      <c r="I894" s="1">
        <v>0.01943826795962655</v>
      </c>
      <c r="J894" s="1">
        <v>0.008862107520341889</v>
      </c>
      <c r="K894" s="1">
        <v>0.001463179760195832</v>
      </c>
      <c r="L894" s="1">
        <v>0.01829025348564395</v>
      </c>
      <c r="M894" s="1">
        <v>0.02733511906185471</v>
      </c>
      <c r="N894" s="1">
        <v>0.007449006435637839</v>
      </c>
      <c r="O894" s="1">
        <v>0.004852316093975517</v>
      </c>
      <c r="P894" s="1">
        <v>0.006212750782386367</v>
      </c>
      <c r="Q894" s="1">
        <v>0.002745438360047592</v>
      </c>
      <c r="R894" s="1">
        <v>0.001012187061315339</v>
      </c>
      <c r="S894" s="1">
        <v>0.006883290730857361</v>
      </c>
      <c r="T894" s="1">
        <v>0.0783995774104489</v>
      </c>
      <c r="U894" s="1">
        <v>-0.001244988998478913</v>
      </c>
      <c r="V894" s="1">
        <v>0.0151343503992718</v>
      </c>
      <c r="W894" s="1">
        <v>0.006478799681180147</v>
      </c>
      <c r="X894" s="1">
        <v>0.02551233664019459</v>
      </c>
      <c r="Y894" s="1">
        <v>-0.0003601398525974187</v>
      </c>
      <c r="Z894" s="1">
        <v>-0.05306199314295457</v>
      </c>
    </row>
    <row r="895" spans="1:26">
      <c r="A895" s="11">
        <v>43670</v>
      </c>
      <c r="B895" s="1">
        <v>0.01974531123685197</v>
      </c>
      <c r="C895" s="1">
        <v>-0.03120057579639646</v>
      </c>
      <c r="D895" s="1">
        <v>0.007563014049421835</v>
      </c>
      <c r="E895" s="1">
        <v>0.004181033595186845</v>
      </c>
      <c r="F895" s="1">
        <v>0.01240978022481332</v>
      </c>
      <c r="G895" s="1">
        <v>-0.009062564309964882</v>
      </c>
      <c r="H895" s="1">
        <v>-0.02290827375893023</v>
      </c>
      <c r="I895" s="1">
        <v>-0.00694996553971261</v>
      </c>
      <c r="J895" s="1">
        <v>-0.002774049319486327</v>
      </c>
      <c r="K895" s="1">
        <v>0.008280633416609895</v>
      </c>
      <c r="L895" s="1">
        <v>0.004039109156078746</v>
      </c>
      <c r="M895" s="1">
        <v>0.01108615963216275</v>
      </c>
      <c r="N895" s="1">
        <v>-0.00519602284154641</v>
      </c>
      <c r="O895" s="1">
        <v>0.006011616432385125</v>
      </c>
      <c r="P895" s="1">
        <v>0.01026614334003417</v>
      </c>
      <c r="Q895" s="1">
        <v>0.00821351671778725</v>
      </c>
      <c r="R895" s="1">
        <v>0.04203379120160666</v>
      </c>
      <c r="S895" s="1">
        <v>-0.008473915076972927</v>
      </c>
      <c r="T895" s="1">
        <v>0.0222345660162071</v>
      </c>
      <c r="U895" s="1">
        <v>0.03583681466099597</v>
      </c>
      <c r="V895" s="1">
        <v>0.006211658434426504</v>
      </c>
      <c r="W895" s="1">
        <v>-0.01791419298058183</v>
      </c>
      <c r="X895" s="1">
        <v>0.02076381295669294</v>
      </c>
      <c r="Y895" s="1">
        <v>0.008832051375719185</v>
      </c>
      <c r="Z895" s="1">
        <v>0.01587637833550803</v>
      </c>
    </row>
    <row r="896" spans="1:26">
      <c r="A896" s="11">
        <v>43671</v>
      </c>
      <c r="B896" s="1">
        <v>-0.02460680131888771</v>
      </c>
      <c r="C896" s="1">
        <v>-0.0369089910625463</v>
      </c>
      <c r="D896" s="1">
        <v>0.0146553522744568</v>
      </c>
      <c r="E896" s="1">
        <v>0.05019655740001405</v>
      </c>
      <c r="F896" s="1">
        <v>-0.00579436898355834</v>
      </c>
      <c r="G896" s="1">
        <v>0.004220899134683709</v>
      </c>
      <c r="H896" s="1">
        <v>-0.002961191913226191</v>
      </c>
      <c r="I896" s="1">
        <v>-0.001614977759997749</v>
      </c>
      <c r="J896" s="1">
        <v>-0.01112649008006739</v>
      </c>
      <c r="K896" s="1">
        <v>-0.00676337173600694</v>
      </c>
      <c r="L896" s="1">
        <v>-0.009586551603259719</v>
      </c>
      <c r="M896" s="1">
        <v>0.003472540406675328</v>
      </c>
      <c r="N896" s="1">
        <v>-0.003816554451019138</v>
      </c>
      <c r="O896" s="1">
        <v>-0.003330657874512255</v>
      </c>
      <c r="P896" s="1">
        <v>-0.003766238439420588</v>
      </c>
      <c r="Q896" s="1">
        <v>-0.002376195445703333</v>
      </c>
      <c r="R896" s="1">
        <v>-0.006515126449403552</v>
      </c>
      <c r="S896" s="1">
        <v>-0.0004540918885305167</v>
      </c>
      <c r="T896" s="1">
        <v>0.01630312301874315</v>
      </c>
      <c r="U896" s="1">
        <v>0.01714758331118404</v>
      </c>
      <c r="V896" s="1">
        <v>-0.01257183029262832</v>
      </c>
      <c r="W896" s="1">
        <v>0.00773308745272927</v>
      </c>
      <c r="X896" s="1">
        <v>-0.02533071630074968</v>
      </c>
      <c r="Y896" s="1">
        <v>0.006967827312534425</v>
      </c>
      <c r="Z896" s="1">
        <v>0.01700790031475674</v>
      </c>
    </row>
    <row r="897" spans="1:26">
      <c r="A897" s="11">
        <v>43672</v>
      </c>
      <c r="B897" s="1">
        <v>-0.01033925692706184</v>
      </c>
      <c r="C897" s="1">
        <v>-0.008876952860005338</v>
      </c>
      <c r="D897" s="1">
        <v>-0.0001176304139677287</v>
      </c>
      <c r="E897" s="1">
        <v>-0.0006604766950233376</v>
      </c>
      <c r="F897" s="1">
        <v>0.0004483270135249295</v>
      </c>
      <c r="G897" s="1">
        <v>0.008756456713769456</v>
      </c>
      <c r="H897" s="1">
        <v>0.01386113828931479</v>
      </c>
      <c r="I897" s="1">
        <v>0.02084952131899809</v>
      </c>
      <c r="J897" s="1">
        <v>0.008907808864373701</v>
      </c>
      <c r="K897" s="1">
        <v>0.001945535092893413</v>
      </c>
      <c r="L897" s="1">
        <v>0.004407308056771031</v>
      </c>
      <c r="M897" s="1">
        <v>-0.03023143580448029</v>
      </c>
      <c r="N897" s="1">
        <v>0.005444501949772196</v>
      </c>
      <c r="O897" s="1">
        <v>0.006978600445773031</v>
      </c>
      <c r="P897" s="1">
        <v>0.008203324162136205</v>
      </c>
      <c r="Q897" s="1">
        <v>0.003742856612201972</v>
      </c>
      <c r="R897" s="1">
        <v>0</v>
      </c>
      <c r="S897" s="1">
        <v>-0.01102851814707617</v>
      </c>
      <c r="T897" s="1">
        <v>0.005890498582261428</v>
      </c>
      <c r="U897" s="1">
        <v>0.010056395702571</v>
      </c>
      <c r="V897" s="1">
        <v>-0.01034421346007763</v>
      </c>
      <c r="W897" s="1">
        <v>-0.01163146958596772</v>
      </c>
      <c r="X897" s="1">
        <v>-0.01476667068630366</v>
      </c>
      <c r="Y897" s="1">
        <v>0.01277508967770236</v>
      </c>
      <c r="Z897" s="1">
        <v>0.02056469883348866</v>
      </c>
    </row>
    <row r="898" spans="1:26">
      <c r="A898" s="11">
        <v>43675</v>
      </c>
      <c r="B898" s="1">
        <v>-0.02507318981773732</v>
      </c>
      <c r="C898" s="1">
        <v>-0.01388404686873379</v>
      </c>
      <c r="D898" s="1">
        <v>0.009630181891818967</v>
      </c>
      <c r="E898" s="1">
        <v>0.0004408283445600514</v>
      </c>
      <c r="F898" s="1">
        <v>-0.008962745634011227</v>
      </c>
      <c r="G898" s="1">
        <v>-0.001388728981021714</v>
      </c>
      <c r="H898" s="1">
        <v>0.009277319932191386</v>
      </c>
      <c r="I898" s="1">
        <v>-0.0007631265460316117</v>
      </c>
      <c r="J898" s="1">
        <v>-0.000929409538315773</v>
      </c>
      <c r="K898" s="1">
        <v>-0.007038830225729931</v>
      </c>
      <c r="L898" s="1">
        <v>-0.003183360117375744</v>
      </c>
      <c r="M898" s="1">
        <v>-0.006948153916515043</v>
      </c>
      <c r="N898" s="1">
        <v>0.009025480166408473</v>
      </c>
      <c r="O898" s="1">
        <v>0.006637507526439324</v>
      </c>
      <c r="P898" s="1">
        <v>-0.002193430352970482</v>
      </c>
      <c r="Q898" s="1">
        <v>0.01050828612576438</v>
      </c>
      <c r="R898" s="1">
        <v>-0.00223228025727007</v>
      </c>
      <c r="S898" s="1">
        <v>0.0138661236220039</v>
      </c>
      <c r="T898" s="1">
        <v>-0.004216204552399128</v>
      </c>
      <c r="U898" s="1">
        <v>0.005563749686523067</v>
      </c>
      <c r="V898" s="1">
        <v>0.001952577509302778</v>
      </c>
      <c r="W898" s="1">
        <v>0.005953845615428888</v>
      </c>
      <c r="X898" s="1">
        <v>-0.003597195358503225</v>
      </c>
      <c r="Y898" s="1">
        <v>0.005080475401538109</v>
      </c>
      <c r="Z898" s="1">
        <v>-0.01129299266138806</v>
      </c>
    </row>
    <row r="899" spans="1:26">
      <c r="A899" s="11">
        <v>43676</v>
      </c>
      <c r="B899" s="1">
        <v>0.03300485789013874</v>
      </c>
      <c r="C899" s="1">
        <v>0.02131030580182891</v>
      </c>
      <c r="D899" s="1">
        <v>0.002209798334286583</v>
      </c>
      <c r="E899" s="1">
        <v>-0.01828631517319579</v>
      </c>
      <c r="F899" s="1">
        <v>-0.00339122876732656</v>
      </c>
      <c r="G899" s="1">
        <v>0.002781725855399486</v>
      </c>
      <c r="H899" s="1">
        <v>0.007740934228461782</v>
      </c>
      <c r="I899" s="1">
        <v>-0.001350805981889747</v>
      </c>
      <c r="J899" s="1">
        <v>0.001860433069459821</v>
      </c>
      <c r="K899" s="1">
        <v>0.008799902520178815</v>
      </c>
      <c r="L899" s="1">
        <v>-0.00224428632870477</v>
      </c>
      <c r="M899" s="1">
        <v>-0.00624054572570909</v>
      </c>
      <c r="N899" s="1">
        <v>-0.03597698011326778</v>
      </c>
      <c r="O899" s="1">
        <v>-0.02598679233060686</v>
      </c>
      <c r="P899" s="1">
        <v>-0.004821354066010142</v>
      </c>
      <c r="Q899" s="1">
        <v>-0.001013033724470369</v>
      </c>
      <c r="R899" s="1">
        <v>-0.007551343899262486</v>
      </c>
      <c r="S899" s="1">
        <v>0.001441917128469639</v>
      </c>
      <c r="T899" s="1">
        <v>0.009566131991488147</v>
      </c>
      <c r="U899" s="1">
        <v>-0.004659227173900882</v>
      </c>
      <c r="V899" s="1">
        <v>-0.004012549026307877</v>
      </c>
      <c r="W899" s="1">
        <v>-0.0173403879827394</v>
      </c>
      <c r="X899" s="1">
        <v>0.009626868604404093</v>
      </c>
      <c r="Y899" s="1">
        <v>-0.01289878416423373</v>
      </c>
      <c r="Z899" s="1">
        <v>0.0185885324052355</v>
      </c>
    </row>
    <row r="900" spans="1:26">
      <c r="A900" s="11">
        <v>43677</v>
      </c>
      <c r="B900" s="1">
        <v>0.01327767186443762</v>
      </c>
      <c r="C900" s="1">
        <v>-0.01807412825791077</v>
      </c>
      <c r="D900" s="1">
        <v>-0.02541763934695274</v>
      </c>
      <c r="E900" s="1">
        <v>-0.003366313218680528</v>
      </c>
      <c r="F900" s="1">
        <v>-0.02064426079004777</v>
      </c>
      <c r="G900" s="1">
        <v>0.005894395860808421</v>
      </c>
      <c r="H900" s="1">
        <v>-0.007681472455406735</v>
      </c>
      <c r="I900" s="1">
        <v>-0.02576003440154406</v>
      </c>
      <c r="J900" s="1">
        <v>-0.02321263108648586</v>
      </c>
      <c r="K900" s="1">
        <v>0.02834999056452747</v>
      </c>
      <c r="L900" s="1">
        <v>0.003546656910606627</v>
      </c>
      <c r="M900" s="1">
        <v>-0.01941021257259179</v>
      </c>
      <c r="N900" s="1">
        <v>-0.02948465603716444</v>
      </c>
      <c r="O900" s="1">
        <v>-0.01642586814746871</v>
      </c>
      <c r="P900" s="1">
        <v>-0.02907065098861727</v>
      </c>
      <c r="Q900" s="1">
        <v>0.003718926589299176</v>
      </c>
      <c r="R900" s="1">
        <v>-0.01169496200441511</v>
      </c>
      <c r="S900" s="1">
        <v>-0.001398479894732629</v>
      </c>
      <c r="T900" s="1">
        <v>-0.003844765666396133</v>
      </c>
      <c r="U900" s="1">
        <v>-0.003803566059824126</v>
      </c>
      <c r="V900" s="1">
        <v>-0.005524861286120175</v>
      </c>
      <c r="W900" s="1">
        <v>-0.02194362864432842</v>
      </c>
      <c r="X900" s="1">
        <v>-0.02065954731886555</v>
      </c>
      <c r="Y900" s="1">
        <v>-0.02401524083042961</v>
      </c>
      <c r="Z900" s="1">
        <v>-0.009014626428141215</v>
      </c>
    </row>
    <row r="901" spans="1:26">
      <c r="A901" s="11">
        <v>43678</v>
      </c>
      <c r="B901" s="1">
        <v>-0.01228457625482893</v>
      </c>
      <c r="C901" s="1">
        <v>-0.020194412704299</v>
      </c>
      <c r="D901" s="1">
        <v>0.01321896148215407</v>
      </c>
      <c r="E901" s="1">
        <v>0.01778902127245363</v>
      </c>
      <c r="F901" s="1">
        <v>-0.006717699276379552</v>
      </c>
      <c r="G901" s="1">
        <v>0.0027577540280177</v>
      </c>
      <c r="H901" s="1">
        <v>0.01862627430658415</v>
      </c>
      <c r="I901" s="1">
        <v>-0.0268034033870912</v>
      </c>
      <c r="J901" s="1">
        <v>-0.002376414439896668</v>
      </c>
      <c r="K901" s="1">
        <v>-0.01013235041970351</v>
      </c>
      <c r="L901" s="1">
        <v>-0.02637901788760311</v>
      </c>
      <c r="M901" s="1">
        <v>-0.01106163208522848</v>
      </c>
      <c r="N901" s="1">
        <v>0.01720824322684789</v>
      </c>
      <c r="O901" s="1">
        <v>-0.00192307808557135</v>
      </c>
      <c r="P901" s="1">
        <v>0.01313640465366772</v>
      </c>
      <c r="Q901" s="1">
        <v>0.01178854713261357</v>
      </c>
      <c r="R901" s="1">
        <v>-0.02851469547372709</v>
      </c>
      <c r="S901" s="1">
        <v>0.01487061859060734</v>
      </c>
      <c r="T901" s="1">
        <v>-0.0001754019803197338</v>
      </c>
      <c r="U901" s="1">
        <v>0.0020558477710102</v>
      </c>
      <c r="V901" s="1">
        <v>-0.04374983357160667</v>
      </c>
      <c r="W901" s="1">
        <v>0.0004681114878615222</v>
      </c>
      <c r="X901" s="1">
        <v>-0.02616630544407583</v>
      </c>
      <c r="Y901" s="1">
        <v>-0.0001810255141795336</v>
      </c>
      <c r="Z901" s="1">
        <v>-0.04725989777759576</v>
      </c>
    </row>
    <row r="902" spans="1:26">
      <c r="A902" s="11">
        <v>43679</v>
      </c>
      <c r="B902" s="1">
        <v>0.002902253975776814</v>
      </c>
      <c r="C902" s="1">
        <v>0.01576469667521252</v>
      </c>
      <c r="D902" s="1">
        <v>-0.004466642204161153</v>
      </c>
      <c r="E902" s="1">
        <v>0.01747799274679274</v>
      </c>
      <c r="F902" s="1">
        <v>-0.005364119971675518</v>
      </c>
      <c r="G902" s="1">
        <v>0.008250188573677653</v>
      </c>
      <c r="H902" s="1">
        <v>0.005461881114405598</v>
      </c>
      <c r="I902" s="1">
        <v>-0.01556987231999873</v>
      </c>
      <c r="J902" s="1">
        <v>-0.04049563309809989</v>
      </c>
      <c r="K902" s="1">
        <v>-0.001904003716521219</v>
      </c>
      <c r="L902" s="1">
        <v>-8.874024061067409E-05</v>
      </c>
      <c r="M902" s="1">
        <v>-0.006671972269120752</v>
      </c>
      <c r="N902" s="1">
        <v>0.001044480176803919</v>
      </c>
      <c r="O902" s="1">
        <v>0.003244876706279154</v>
      </c>
      <c r="P902" s="1">
        <v>-0.008402998629749803</v>
      </c>
      <c r="Q902" s="1">
        <v>-0.01098569446246922</v>
      </c>
      <c r="R902" s="1">
        <v>-0.01350191678416224</v>
      </c>
      <c r="S902" s="1">
        <v>0.01286685855613223</v>
      </c>
      <c r="T902" s="1">
        <v>-0.004834633452160508</v>
      </c>
      <c r="U902" s="1">
        <v>0.001465083450570948</v>
      </c>
      <c r="V902" s="1">
        <v>-0.01331405775997785</v>
      </c>
      <c r="W902" s="1">
        <v>-0.01076253477408817</v>
      </c>
      <c r="X902" s="1">
        <v>-0.02041228861951361</v>
      </c>
      <c r="Y902" s="1">
        <v>0.005971725400909955</v>
      </c>
      <c r="Z902" s="1">
        <v>-0.009082517395909484</v>
      </c>
    </row>
    <row r="903" spans="1:26">
      <c r="A903" s="11">
        <v>43682</v>
      </c>
      <c r="B903" s="1">
        <v>-0.03885942337043991</v>
      </c>
      <c r="C903" s="1">
        <v>-0.02503247465073966</v>
      </c>
      <c r="D903" s="1">
        <v>-0.03293958530023666</v>
      </c>
      <c r="E903" s="1">
        <v>-0.01326379063989136</v>
      </c>
      <c r="F903" s="1">
        <v>-0.0243841401935454</v>
      </c>
      <c r="G903" s="1">
        <v>-0.02659388862577838</v>
      </c>
      <c r="H903" s="1">
        <v>-0.02668852429982882</v>
      </c>
      <c r="I903" s="1">
        <v>-0.04814157961099397</v>
      </c>
      <c r="J903" s="1">
        <v>-0.04865929337369179</v>
      </c>
      <c r="K903" s="1">
        <v>-0.01264013733969105</v>
      </c>
      <c r="L903" s="1">
        <v>-0.02975278556214023</v>
      </c>
      <c r="M903" s="1">
        <v>-0.03279328301440354</v>
      </c>
      <c r="N903" s="1">
        <v>-0.0267054082110505</v>
      </c>
      <c r="O903" s="1">
        <v>-0.0323461439381284</v>
      </c>
      <c r="P903" s="1">
        <v>-0.03425808316147771</v>
      </c>
      <c r="Q903" s="1">
        <v>-0.05385374253289721</v>
      </c>
      <c r="R903" s="1">
        <v>-0.04150504160266255</v>
      </c>
      <c r="S903" s="1">
        <v>-0.01518815451929445</v>
      </c>
      <c r="T903" s="1">
        <v>-0.02960019742392384</v>
      </c>
      <c r="U903" s="1">
        <v>-0.01990023935120666</v>
      </c>
      <c r="V903" s="1">
        <v>-0.008954903607270359</v>
      </c>
      <c r="W903" s="1">
        <v>-0.02314264733441773</v>
      </c>
      <c r="X903" s="1">
        <v>-0.008080240723480125</v>
      </c>
      <c r="Y903" s="1">
        <v>-0.006655799288167952</v>
      </c>
      <c r="Z903" s="1">
        <v>-0.0321971524343897</v>
      </c>
    </row>
    <row r="904" spans="1:26">
      <c r="A904" s="11">
        <v>43683</v>
      </c>
      <c r="B904" s="1">
        <v>-0.01419335765584329</v>
      </c>
      <c r="C904" s="1">
        <v>0.004198703401496973</v>
      </c>
      <c r="D904" s="1">
        <v>0.01831279543638398</v>
      </c>
      <c r="E904" s="1">
        <v>0.006831334367632502</v>
      </c>
      <c r="F904" s="1">
        <v>0.01105448251558827</v>
      </c>
      <c r="G904" s="1">
        <v>0.01085811740305243</v>
      </c>
      <c r="H904" s="1">
        <v>0.001212851521487313</v>
      </c>
      <c r="I904" s="1">
        <v>0.01138662103739829</v>
      </c>
      <c r="J904" s="1">
        <v>0.004697302511181833</v>
      </c>
      <c r="K904" s="1">
        <v>0.01135269989788235</v>
      </c>
      <c r="L904" s="1">
        <v>0.00784883007956938</v>
      </c>
      <c r="M904" s="1">
        <v>0.0153186883674914</v>
      </c>
      <c r="N904" s="1">
        <v>-0.01050388050552975</v>
      </c>
      <c r="O904" s="1">
        <v>0.02016105097570864</v>
      </c>
      <c r="P904" s="1">
        <v>0.01875761106247698</v>
      </c>
      <c r="Q904" s="1">
        <v>-0.000355810715868321</v>
      </c>
      <c r="R904" s="1">
        <v>0.01707251837566948</v>
      </c>
      <c r="S904" s="1">
        <v>0.01761948256153323</v>
      </c>
      <c r="T904" s="1">
        <v>0.007085518274652092</v>
      </c>
      <c r="U904" s="1">
        <v>0.01403423416556326</v>
      </c>
      <c r="V904" s="1">
        <v>0.02450803777629762</v>
      </c>
      <c r="W904" s="1">
        <v>0.02793710025770824</v>
      </c>
      <c r="X904" s="1">
        <v>0.01779227543801332</v>
      </c>
      <c r="Y904" s="1">
        <v>-0.003078568593107844</v>
      </c>
      <c r="Z904" s="1">
        <v>0.02039802889577857</v>
      </c>
    </row>
    <row r="905" spans="1:26">
      <c r="A905" s="11">
        <v>43684</v>
      </c>
      <c r="B905" s="1">
        <v>-0.04057578059720413</v>
      </c>
      <c r="C905" s="1">
        <v>-0.003218503558933938</v>
      </c>
      <c r="D905" s="1">
        <v>0.00491553786421095</v>
      </c>
      <c r="E905" s="1">
        <v>0.01203754761767484</v>
      </c>
      <c r="F905" s="1">
        <v>-0.008081601064885424</v>
      </c>
      <c r="G905" s="1">
        <v>-0.02771990419981463</v>
      </c>
      <c r="H905" s="1">
        <v>0.00751340393941069</v>
      </c>
      <c r="I905" s="1">
        <v>-0.01007992916699485</v>
      </c>
      <c r="J905" s="1">
        <v>-0.008311931845015663</v>
      </c>
      <c r="K905" s="1">
        <v>0.000238954084288423</v>
      </c>
      <c r="L905" s="1">
        <v>-0.02173332018783836</v>
      </c>
      <c r="M905" s="1">
        <v>0.004425726765061144</v>
      </c>
      <c r="N905" s="1">
        <v>0.001516266014758516</v>
      </c>
      <c r="O905" s="1">
        <v>-0.006246233485214137</v>
      </c>
      <c r="P905" s="1">
        <v>0.004380847811700672</v>
      </c>
      <c r="Q905" s="1">
        <v>-0.01672606782275876</v>
      </c>
      <c r="R905" s="1">
        <v>-0.004120112511458718</v>
      </c>
      <c r="S905" s="1">
        <v>0.01655476907197051</v>
      </c>
      <c r="T905" s="1">
        <v>0.02830435768170259</v>
      </c>
      <c r="U905" s="1">
        <v>0.002944691130829291</v>
      </c>
      <c r="V905" s="1">
        <v>0.002899713269707727</v>
      </c>
      <c r="W905" s="1">
        <v>-0.004239826356343013</v>
      </c>
      <c r="X905" s="1">
        <v>-0.008003092007910384</v>
      </c>
      <c r="Y905" s="1">
        <v>0.0007267887412159002</v>
      </c>
      <c r="Z905" s="1">
        <v>-0.01665853639597092</v>
      </c>
    </row>
    <row r="906" spans="1:26">
      <c r="A906" s="11">
        <v>43685</v>
      </c>
      <c r="B906" s="1">
        <v>0.02091833963508072</v>
      </c>
      <c r="C906" s="1">
        <v>0.02133141482961132</v>
      </c>
      <c r="D906" s="1">
        <v>0.0229064032297448</v>
      </c>
      <c r="E906" s="1">
        <v>0.02270740156991846</v>
      </c>
      <c r="F906" s="1">
        <v>0.02228610610096893</v>
      </c>
      <c r="G906" s="1">
        <v>-0.008196856180687329</v>
      </c>
      <c r="H906" s="1">
        <v>0.01106578412553372</v>
      </c>
      <c r="I906" s="1">
        <v>0.02525759825097462</v>
      </c>
      <c r="J906" s="1">
        <v>0.02304884609784796</v>
      </c>
      <c r="K906" s="1">
        <v>0.01719174367762255</v>
      </c>
      <c r="L906" s="1">
        <v>0.01693990132440382</v>
      </c>
      <c r="M906" s="1">
        <v>0.01121558040710613</v>
      </c>
      <c r="N906" s="1">
        <v>0.005840354483017451</v>
      </c>
      <c r="O906" s="1">
        <v>0.02689330994354</v>
      </c>
      <c r="P906" s="1">
        <v>0.02668495747723543</v>
      </c>
      <c r="Q906" s="1">
        <v>0.04234525707471337</v>
      </c>
      <c r="R906" s="1">
        <v>0.01900062539752612</v>
      </c>
      <c r="S906" s="1">
        <v>0.007001983592768379</v>
      </c>
      <c r="T906" s="1">
        <v>0.02011722140831695</v>
      </c>
      <c r="U906" s="1">
        <v>0.01409264728145954</v>
      </c>
      <c r="V906" s="1">
        <v>0.009516801173452993</v>
      </c>
      <c r="W906" s="1">
        <v>0.02077978142781989</v>
      </c>
      <c r="X906" s="1">
        <v>0.02441605145882408</v>
      </c>
      <c r="Y906" s="1">
        <v>0.01325058774562526</v>
      </c>
      <c r="Z906" s="1">
        <v>0.01960277045888903</v>
      </c>
    </row>
    <row r="907" spans="1:26">
      <c r="A907" s="11">
        <v>43686</v>
      </c>
      <c r="B907" s="1">
        <v>-0.0213808167251841</v>
      </c>
      <c r="C907" s="1">
        <v>0.003567690505648757</v>
      </c>
      <c r="D907" s="1">
        <v>0.002682459947828564</v>
      </c>
      <c r="E907" s="1">
        <v>0.0006345011946524703</v>
      </c>
      <c r="F907" s="1">
        <v>0.00632954235768457</v>
      </c>
      <c r="G907" s="1">
        <v>-0.007545782408016066</v>
      </c>
      <c r="H907" s="1">
        <v>-0.005710197695450669</v>
      </c>
      <c r="I907" s="1">
        <v>-0.001418723859622606</v>
      </c>
      <c r="J907" s="1">
        <v>-0.01280069640598247</v>
      </c>
      <c r="K907" s="1">
        <v>-0.006807403636015952</v>
      </c>
      <c r="L907" s="1">
        <v>-0.001092391984087948</v>
      </c>
      <c r="M907" s="1">
        <v>-0.0007923523607417104</v>
      </c>
      <c r="N907" s="1">
        <v>-0.007311622448913591</v>
      </c>
      <c r="O907" s="1">
        <v>-0.003812881576026439</v>
      </c>
      <c r="P907" s="1">
        <v>-0.008496157995996456</v>
      </c>
      <c r="Q907" s="1">
        <v>-0.007986165199579176</v>
      </c>
      <c r="R907" s="1">
        <v>-0.01939808518320019</v>
      </c>
      <c r="S907" s="1">
        <v>0.004101617676530722</v>
      </c>
      <c r="T907" s="1">
        <v>-0.006783776523706875</v>
      </c>
      <c r="U907" s="1">
        <v>0</v>
      </c>
      <c r="V907" s="1">
        <v>-0.01658698868354036</v>
      </c>
      <c r="W907" s="1">
        <v>-0.01472379624456444</v>
      </c>
      <c r="X907" s="1">
        <v>-0.03067380600037206</v>
      </c>
      <c r="Y907" s="1">
        <v>-0.0007164569706564761</v>
      </c>
      <c r="Z907" s="1">
        <v>-0.006645948050101547</v>
      </c>
    </row>
    <row r="908" spans="1:26">
      <c r="A908" s="11">
        <v>43689</v>
      </c>
      <c r="B908" s="1">
        <v>-0.01911689857932131</v>
      </c>
      <c r="C908" s="1">
        <v>-0.01365716691839813</v>
      </c>
      <c r="D908" s="1">
        <v>-0.004303979376287903</v>
      </c>
      <c r="E908" s="1">
        <v>-0.01711751183186372</v>
      </c>
      <c r="F908" s="1">
        <v>-0.01094821482884389</v>
      </c>
      <c r="G908" s="1">
        <v>0.005068882003366637</v>
      </c>
      <c r="H908" s="1">
        <v>0.007657400447950824</v>
      </c>
      <c r="I908" s="1">
        <v>-0.05030957097314581</v>
      </c>
      <c r="J908" s="1">
        <v>-0.01970971943614197</v>
      </c>
      <c r="K908" s="1">
        <v>-0.01087236991933904</v>
      </c>
      <c r="L908" s="1">
        <v>-0.01877178315083272</v>
      </c>
      <c r="M908" s="1">
        <v>-0.007928391663530432</v>
      </c>
      <c r="N908" s="1">
        <v>-0.003899569921680501</v>
      </c>
      <c r="O908" s="1">
        <v>-0.01631745262385342</v>
      </c>
      <c r="P908" s="1">
        <v>-0.01394200119934241</v>
      </c>
      <c r="Q908" s="1">
        <v>0.002800151822542229</v>
      </c>
      <c r="R908" s="1">
        <v>-0.006594315908425963</v>
      </c>
      <c r="S908" s="1">
        <v>0.006379908382550203</v>
      </c>
      <c r="T908" s="1">
        <v>-0.007753649321841083</v>
      </c>
      <c r="U908" s="1">
        <v>-0.001737240541097695</v>
      </c>
      <c r="V908" s="1">
        <v>-0.004611296670898768</v>
      </c>
      <c r="W908" s="1">
        <v>-0.01581231015634288</v>
      </c>
      <c r="X908" s="1">
        <v>-0.02950590231633132</v>
      </c>
      <c r="Y908" s="1">
        <v>-0.00161341392294656</v>
      </c>
      <c r="Z908" s="1">
        <v>-0.01959389024665836</v>
      </c>
    </row>
    <row r="909" spans="1:26">
      <c r="A909" s="11">
        <v>43690</v>
      </c>
      <c r="B909" s="1">
        <v>0.01716951598925576</v>
      </c>
      <c r="C909" s="1">
        <v>-0.0002403006104062522</v>
      </c>
      <c r="D909" s="1">
        <v>0.03014015126922498</v>
      </c>
      <c r="E909" s="1">
        <v>-0.0004300233386173025</v>
      </c>
      <c r="F909" s="1">
        <v>0.0235513083374983</v>
      </c>
      <c r="G909" s="1">
        <v>0.008645460035190622</v>
      </c>
      <c r="H909" s="1">
        <v>0.003562254280076615</v>
      </c>
      <c r="I909" s="1">
        <v>0.0008158975896501719</v>
      </c>
      <c r="J909" s="1">
        <v>0.03386257997975517</v>
      </c>
      <c r="K909" s="1">
        <v>0.02437285898243458</v>
      </c>
      <c r="L909" s="1">
        <v>0.01541636229233423</v>
      </c>
      <c r="M909" s="1">
        <v>-0.00259748977567742</v>
      </c>
      <c r="N909" s="1">
        <v>0.01739882716350571</v>
      </c>
      <c r="O909" s="1">
        <v>0.01597386674317502</v>
      </c>
      <c r="P909" s="1">
        <v>0.02069364836912779</v>
      </c>
      <c r="Q909" s="1">
        <v>0.002094207780849899</v>
      </c>
      <c r="R909" s="1">
        <v>0.02916534102984092</v>
      </c>
      <c r="S909" s="1">
        <v>-0.001584686587925099</v>
      </c>
      <c r="T909" s="1">
        <v>0.01962283900626249</v>
      </c>
      <c r="U909" s="1">
        <v>0.01102076543976382</v>
      </c>
      <c r="V909" s="1">
        <v>0.02694159667658536</v>
      </c>
      <c r="W909" s="1">
        <v>0.01165439800616963</v>
      </c>
      <c r="X909" s="1">
        <v>0</v>
      </c>
      <c r="Y909" s="1">
        <v>0.01221055243643909</v>
      </c>
      <c r="Z909" s="1">
        <v>0.005118359542146456</v>
      </c>
    </row>
    <row r="910" spans="1:26">
      <c r="A910" s="11">
        <v>43691</v>
      </c>
      <c r="B910" s="1">
        <v>-0.0839415033597708</v>
      </c>
      <c r="C910" s="1">
        <v>-0.03737298971208669</v>
      </c>
      <c r="D910" s="1">
        <v>-0.02653656268326132</v>
      </c>
      <c r="E910" s="1">
        <v>-0.01828353300456387</v>
      </c>
      <c r="F910" s="1">
        <v>-0.02508014887676813</v>
      </c>
      <c r="G910" s="1">
        <v>-0.007649954396248271</v>
      </c>
      <c r="H910" s="1">
        <v>-0.01893094026424957</v>
      </c>
      <c r="I910" s="1">
        <v>-0.02717917354069344</v>
      </c>
      <c r="J910" s="1">
        <v>-0.01330600132899007</v>
      </c>
      <c r="K910" s="1">
        <v>-0.03172377079062838</v>
      </c>
      <c r="L910" s="1">
        <v>-0.04152187186411194</v>
      </c>
      <c r="M910" s="1">
        <v>-0.02323713958049267</v>
      </c>
      <c r="N910" s="1">
        <v>-0.01945264452556617</v>
      </c>
      <c r="O910" s="1">
        <v>-0.03114299740676385</v>
      </c>
      <c r="P910" s="1">
        <v>-0.0301140082040422</v>
      </c>
      <c r="Q910" s="1">
        <v>-0.0006964154326127847</v>
      </c>
      <c r="R910" s="1">
        <v>-0.04522142072781365</v>
      </c>
      <c r="S910" s="1">
        <v>-0.01022187958007759</v>
      </c>
      <c r="T910" s="1">
        <v>-0.02013928029230294</v>
      </c>
      <c r="U910" s="1">
        <v>-0.02208816602905528</v>
      </c>
      <c r="V910" s="1">
        <v>-0.02789668890604236</v>
      </c>
      <c r="W910" s="1">
        <v>-0.02067802862765422</v>
      </c>
      <c r="X910" s="1">
        <v>-0.04868931105905938</v>
      </c>
      <c r="Y910" s="1">
        <v>-0.0115310778608686</v>
      </c>
      <c r="Z910" s="1">
        <v>-0.03056221552754479</v>
      </c>
    </row>
    <row r="911" spans="1:26">
      <c r="A911" s="11">
        <v>43692</v>
      </c>
      <c r="B911" s="1">
        <v>-0.007470419831236086</v>
      </c>
      <c r="C911" s="1">
        <v>0.02365637177930213</v>
      </c>
      <c r="D911" s="1">
        <v>-0.0006992854199141529</v>
      </c>
      <c r="E911" s="1">
        <v>0.002410322189225989</v>
      </c>
      <c r="F911" s="1">
        <v>-0.0004722644125104702</v>
      </c>
      <c r="G911" s="1">
        <v>0.002545417162326924</v>
      </c>
      <c r="H911" s="1">
        <v>0.01688396866015585</v>
      </c>
      <c r="I911" s="1">
        <v>0.003771039739087767</v>
      </c>
      <c r="J911" s="1">
        <v>-0.03371372496743696</v>
      </c>
      <c r="K911" s="1">
        <v>0.0007227608508892924</v>
      </c>
      <c r="L911" s="1">
        <v>0.003816444300541511</v>
      </c>
      <c r="M911" s="1">
        <v>-0.01127988471805375</v>
      </c>
      <c r="N911" s="1">
        <v>-0.008284488884706454</v>
      </c>
      <c r="O911" s="1">
        <v>0.005513478644678216</v>
      </c>
      <c r="P911" s="1">
        <v>-0.002239324751869276</v>
      </c>
      <c r="Q911" s="1">
        <v>0.01185090872631989</v>
      </c>
      <c r="R911" s="1">
        <v>0.005683711260641822</v>
      </c>
      <c r="S911" s="1">
        <v>0.01686005809238456</v>
      </c>
      <c r="T911" s="1">
        <v>0.01180658286739655</v>
      </c>
      <c r="U911" s="1">
        <v>0.007333595563810302</v>
      </c>
      <c r="V911" s="1">
        <v>0.008181696681197614</v>
      </c>
      <c r="W911" s="1">
        <v>0.01421280580997819</v>
      </c>
      <c r="X911" s="1">
        <v>0.004168681884701764</v>
      </c>
      <c r="Y911" s="1">
        <v>0.01040916140441417</v>
      </c>
      <c r="Z911" s="1">
        <v>-0.01134934613964789</v>
      </c>
    </row>
    <row r="912" spans="1:26">
      <c r="A912" s="11">
        <v>43693</v>
      </c>
      <c r="B912" s="1">
        <v>0.04565975293714208</v>
      </c>
      <c r="C912" s="1">
        <v>0.007469537093739653</v>
      </c>
      <c r="D912" s="1">
        <v>0.01387297168597446</v>
      </c>
      <c r="E912" s="1">
        <v>0.02688499899416796</v>
      </c>
      <c r="F912" s="1">
        <v>0.01959881190343582</v>
      </c>
      <c r="G912" s="1">
        <v>0.01088089858446017</v>
      </c>
      <c r="H912" s="1">
        <v>0.01138506446450349</v>
      </c>
      <c r="I912" s="1">
        <v>0.03841095325798527</v>
      </c>
      <c r="J912" s="1">
        <v>0.0241545415162685</v>
      </c>
      <c r="K912" s="1">
        <v>0.01901768302128626</v>
      </c>
      <c r="L912" s="1">
        <v>0.02395457519884947</v>
      </c>
      <c r="M912" s="1">
        <v>0.03277339151459735</v>
      </c>
      <c r="N912" s="1">
        <v>0.02176331070160709</v>
      </c>
      <c r="O912" s="1">
        <v>0.01158684564483492</v>
      </c>
      <c r="P912" s="1">
        <v>0.01832747719505035</v>
      </c>
      <c r="Q912" s="1">
        <v>0.01343436926206132</v>
      </c>
      <c r="R912" s="1">
        <v>0.0122447829952026</v>
      </c>
      <c r="S912" s="1">
        <v>-0.004500916630278629</v>
      </c>
      <c r="T912" s="1">
        <v>0.01901220986595087</v>
      </c>
      <c r="U912" s="1">
        <v>0.01834595894027902</v>
      </c>
      <c r="V912" s="1">
        <v>0.0199856603002988</v>
      </c>
      <c r="W912" s="1">
        <v>0.01039069931189429</v>
      </c>
      <c r="X912" s="1">
        <v>0.02306264823331028</v>
      </c>
      <c r="Y912" s="1">
        <v>0.006216840697836679</v>
      </c>
      <c r="Z912" s="1">
        <v>0.02551011638760348</v>
      </c>
    </row>
    <row r="913" spans="1:26">
      <c r="A913" s="11">
        <v>43696</v>
      </c>
      <c r="B913" s="1">
        <v>0.05086385416011341</v>
      </c>
      <c r="C913" s="1">
        <v>0.0100771943568907</v>
      </c>
      <c r="D913" s="1">
        <v>0.01034812497254611</v>
      </c>
      <c r="E913" s="1">
        <v>0.01021720586244568</v>
      </c>
      <c r="F913" s="1">
        <v>0.01899014824697742</v>
      </c>
      <c r="G913" s="1">
        <v>0.00861178502385096</v>
      </c>
      <c r="H913" s="1">
        <v>0.01289898161793879</v>
      </c>
      <c r="I913" s="1">
        <v>0.02117546271589887</v>
      </c>
      <c r="J913" s="1">
        <v>0.006813203491628839</v>
      </c>
      <c r="K913" s="1">
        <v>0.00732343554559356</v>
      </c>
      <c r="L913" s="1">
        <v>0.009004851861822649</v>
      </c>
      <c r="M913" s="1">
        <v>0.01707171769577775</v>
      </c>
      <c r="N913" s="1">
        <v>0.004732927751096128</v>
      </c>
      <c r="O913" s="1">
        <v>0.008488592205349921</v>
      </c>
      <c r="P913" s="1">
        <v>0.01674857574522526</v>
      </c>
      <c r="Q913" s="1">
        <v>0.007137927657333121</v>
      </c>
      <c r="R913" s="1">
        <v>0.006203708814329856</v>
      </c>
      <c r="S913" s="1">
        <v>0.008810358728277734</v>
      </c>
      <c r="T913" s="1">
        <v>-0.00311285970698183</v>
      </c>
      <c r="U913" s="1">
        <v>0.01172439663651392</v>
      </c>
      <c r="V913" s="1">
        <v>0.02814422152040419</v>
      </c>
      <c r="W913" s="1">
        <v>0.01220351321625612</v>
      </c>
      <c r="X913" s="1">
        <v>0.01893613439252428</v>
      </c>
      <c r="Y913" s="1">
        <v>0.006178128473190769</v>
      </c>
      <c r="Z913" s="1">
        <v>0.01691527727491371</v>
      </c>
    </row>
    <row r="914" spans="1:26">
      <c r="A914" s="11">
        <v>43697</v>
      </c>
      <c r="B914" s="1">
        <v>-0.006849383051932612</v>
      </c>
      <c r="C914" s="1">
        <v>-0.006081854422559596</v>
      </c>
      <c r="D914" s="1">
        <v>-0.01024213804803886</v>
      </c>
      <c r="E914" s="1">
        <v>0.003581927984936506</v>
      </c>
      <c r="F914" s="1">
        <v>-0.001363627553075175</v>
      </c>
      <c r="G914" s="1">
        <v>-0.009960887470197632</v>
      </c>
      <c r="H914" s="1">
        <v>-0.002546943348157971</v>
      </c>
      <c r="I914" s="1">
        <v>-0.001902861627259944</v>
      </c>
      <c r="J914" s="1">
        <v>-0.01561673185808266</v>
      </c>
      <c r="K914" s="1">
        <v>-0.00633205001967041</v>
      </c>
      <c r="L914" s="1">
        <v>-0.01269638374401572</v>
      </c>
      <c r="M914" s="1">
        <v>-0.008719664804219041</v>
      </c>
      <c r="N914" s="1">
        <v>-0.0143464732830505</v>
      </c>
      <c r="O914" s="1">
        <v>-0.01419740631362698</v>
      </c>
      <c r="P914" s="1">
        <v>-0.008308914487788144</v>
      </c>
      <c r="Q914" s="1">
        <v>-0.0104625125754273</v>
      </c>
      <c r="R914" s="1">
        <v>-0.007707051790318165</v>
      </c>
      <c r="S914" s="1">
        <v>-0.001991841005042683</v>
      </c>
      <c r="T914" s="1">
        <v>-0.008402080675020795</v>
      </c>
      <c r="U914" s="1">
        <v>-0.01130601583196655</v>
      </c>
      <c r="V914" s="1">
        <v>-0.004539385847797117</v>
      </c>
      <c r="W914" s="1">
        <v>-0.01191321114295552</v>
      </c>
      <c r="X914" s="1">
        <v>-0.009734559551592636</v>
      </c>
      <c r="Y914" s="1">
        <v>-0.01280718095892874</v>
      </c>
      <c r="Z914" s="1">
        <v>-0.009784562635981264</v>
      </c>
    </row>
    <row r="915" spans="1:26">
      <c r="A915" s="11">
        <v>43698</v>
      </c>
      <c r="B915" s="1">
        <v>-0.0009197668339001597</v>
      </c>
      <c r="C915" s="1">
        <v>0.02483788309339618</v>
      </c>
      <c r="D915" s="1">
        <v>0.0039092430701273</v>
      </c>
      <c r="E915" s="1">
        <v>0.002939276252757805</v>
      </c>
      <c r="F915" s="1">
        <v>0.003868773614428278</v>
      </c>
      <c r="G915" s="1">
        <v>0.003234039151452706</v>
      </c>
      <c r="H915" s="1">
        <v>0.004410301276494444</v>
      </c>
      <c r="I915" s="1">
        <v>0.01814579649032222</v>
      </c>
      <c r="J915" s="1">
        <v>0.002644222455808753</v>
      </c>
      <c r="K915" s="1">
        <v>0.01250887453936911</v>
      </c>
      <c r="L915" s="1">
        <v>0.002795275107712047</v>
      </c>
      <c r="M915" s="1">
        <v>0.01139554542105059</v>
      </c>
      <c r="N915" s="1">
        <v>0.004779269932105201</v>
      </c>
      <c r="O915" s="1">
        <v>0.006069504795534586</v>
      </c>
      <c r="P915" s="1">
        <v>0.01114713839632153</v>
      </c>
      <c r="Q915" s="1">
        <v>0.01159626938568836</v>
      </c>
      <c r="R915" s="1">
        <v>0.01025202202174524</v>
      </c>
      <c r="S915" s="1">
        <v>0.001995816353894897</v>
      </c>
      <c r="T915" s="1">
        <v>0.006984897837326809</v>
      </c>
      <c r="U915" s="1">
        <v>0.005145816764414723</v>
      </c>
      <c r="V915" s="1">
        <v>0.2042554028490107</v>
      </c>
      <c r="W915" s="1">
        <v>0.00753086745254139</v>
      </c>
      <c r="X915" s="1">
        <v>0.007148946329837091</v>
      </c>
      <c r="Y915" s="1">
        <v>0.005686933457073273</v>
      </c>
      <c r="Z915" s="1">
        <v>0.01111676004509654</v>
      </c>
    </row>
    <row r="916" spans="1:26">
      <c r="A916" s="11">
        <v>43699</v>
      </c>
      <c r="B916" s="1">
        <v>-0.01242486122089803</v>
      </c>
      <c r="C916" s="1">
        <v>0.04241314517235728</v>
      </c>
      <c r="D916" s="1">
        <v>-0.00114506136725101</v>
      </c>
      <c r="E916" s="1">
        <v>0.001884064165770916</v>
      </c>
      <c r="F916" s="1">
        <v>-0.007707614705423804</v>
      </c>
      <c r="G916" s="1">
        <v>0.003581444171403714</v>
      </c>
      <c r="H916" s="1">
        <v>0.009475519560261159</v>
      </c>
      <c r="I916" s="1">
        <v>0.003293175428207284</v>
      </c>
      <c r="J916" s="1">
        <v>-0.001582349389696036</v>
      </c>
      <c r="K916" s="1">
        <v>-0.01794866657933869</v>
      </c>
      <c r="L916" s="1">
        <v>0.01031496260976783</v>
      </c>
      <c r="M916" s="1">
        <v>0.01185982712690614</v>
      </c>
      <c r="N916" s="1">
        <v>0.007351143412396732</v>
      </c>
      <c r="O916" s="1">
        <v>0.003783237568842024</v>
      </c>
      <c r="P916" s="1">
        <v>-0.007277475592184945</v>
      </c>
      <c r="Q916" s="1">
        <v>-0.0006743520311730533</v>
      </c>
      <c r="R916" s="1">
        <v>-0.009225440599581303</v>
      </c>
      <c r="S916" s="1">
        <v>0.003179510832830523</v>
      </c>
      <c r="T916" s="1">
        <v>-0.007883959258654705</v>
      </c>
      <c r="U916" s="1">
        <v>0.006541915387599406</v>
      </c>
      <c r="V916" s="1">
        <v>0.03223304630323476</v>
      </c>
      <c r="W916" s="1">
        <v>-0.0003592019900595655</v>
      </c>
      <c r="X916" s="1">
        <v>-0.004879725438054927</v>
      </c>
      <c r="Y916" s="1">
        <v>0.003357444026732548</v>
      </c>
      <c r="Z916" s="1">
        <v>0.005130453252776057</v>
      </c>
    </row>
    <row r="917" spans="1:26">
      <c r="A917" s="11">
        <v>43700</v>
      </c>
      <c r="B917" s="1">
        <v>-0.03588074928384677</v>
      </c>
      <c r="C917" s="1">
        <v>0.004514517314928579</v>
      </c>
      <c r="D917" s="1">
        <v>-0.02499753470613453</v>
      </c>
      <c r="E917" s="1">
        <v>-0.02674446119302376</v>
      </c>
      <c r="F917" s="1">
        <v>-0.03061505406142062</v>
      </c>
      <c r="G917" s="1">
        <v>-0.02141321467879598</v>
      </c>
      <c r="H917" s="1">
        <v>-0.02289394116849164</v>
      </c>
      <c r="I917" s="1">
        <v>-0.05374237434897111</v>
      </c>
      <c r="J917" s="1">
        <v>-0.05916525358631031</v>
      </c>
      <c r="K917" s="1">
        <v>-0.01993822815035018</v>
      </c>
      <c r="L917" s="1">
        <v>-0.02483434893151626</v>
      </c>
      <c r="M917" s="1">
        <v>-0.01230704108393721</v>
      </c>
      <c r="N917" s="1">
        <v>-0.003863436414520915</v>
      </c>
      <c r="O917" s="1">
        <v>-0.02556788676551047</v>
      </c>
      <c r="P917" s="1">
        <v>-0.03186215475765775</v>
      </c>
      <c r="Q917" s="1">
        <v>-0.02091764374880312</v>
      </c>
      <c r="R917" s="1">
        <v>-0.02963939318350439</v>
      </c>
      <c r="S917" s="1">
        <v>-0.009126253602049217</v>
      </c>
      <c r="T917" s="1">
        <v>-0.02082124059511858</v>
      </c>
      <c r="U917" s="1">
        <v>-0.01610658573722046</v>
      </c>
      <c r="V917" s="1">
        <v>-0.02661767700241824</v>
      </c>
      <c r="W917" s="1">
        <v>-0.03167125190405184</v>
      </c>
      <c r="X917" s="1">
        <v>-0.03990209683272683</v>
      </c>
      <c r="Y917" s="1">
        <v>-0.0151460476234655</v>
      </c>
      <c r="Z917" s="1">
        <v>-0.02698110082008487</v>
      </c>
    </row>
    <row r="918" spans="1:26">
      <c r="A918" s="11">
        <v>43703</v>
      </c>
      <c r="B918" s="1">
        <v>0.01498318036150992</v>
      </c>
      <c r="C918" s="1">
        <v>0.008510983389934834</v>
      </c>
      <c r="D918" s="1">
        <v>0.008703326174586135</v>
      </c>
      <c r="E918" s="1">
        <v>0.03284691628484082</v>
      </c>
      <c r="F918" s="1">
        <v>0.02168298918054545</v>
      </c>
      <c r="G918" s="1">
        <v>0.005835240679059384</v>
      </c>
      <c r="H918" s="1">
        <v>-0.0004685932158937645</v>
      </c>
      <c r="I918" s="1">
        <v>0.02577838772350582</v>
      </c>
      <c r="J918" s="1">
        <v>0.001684174655664616</v>
      </c>
      <c r="K918" s="1">
        <v>0.007265583911596485</v>
      </c>
      <c r="L918" s="1">
        <v>0.008017371042931876</v>
      </c>
      <c r="M918" s="1">
        <v>0.002571088137073518</v>
      </c>
      <c r="N918" s="1">
        <v>0.01529870227737784</v>
      </c>
      <c r="O918" s="1">
        <v>0.01379888243242644</v>
      </c>
      <c r="P918" s="1">
        <v>0.01544351073762829</v>
      </c>
      <c r="Q918" s="1">
        <v>0.01378373659456367</v>
      </c>
      <c r="R918" s="1">
        <v>0.01055485919700705</v>
      </c>
      <c r="S918" s="1">
        <v>0.006898263476505573</v>
      </c>
      <c r="T918" s="1">
        <v>0.001677349855660371</v>
      </c>
      <c r="U918" s="1">
        <v>0.003159135025135207</v>
      </c>
      <c r="V918" s="1">
        <v>0.0123685887132754</v>
      </c>
      <c r="W918" s="1">
        <v>0.005791540584454635</v>
      </c>
      <c r="X918" s="1">
        <v>0.005571692651572313</v>
      </c>
      <c r="Y918" s="1">
        <v>0.01412744644363984</v>
      </c>
      <c r="Z918" s="1">
        <v>0.004246944784227935</v>
      </c>
    </row>
    <row r="919" spans="1:26">
      <c r="A919" s="11">
        <v>43704</v>
      </c>
      <c r="B919" s="1">
        <v>-0.001904904068364299</v>
      </c>
      <c r="C919" s="1">
        <v>-0.01200421549381459</v>
      </c>
      <c r="D919" s="1">
        <v>0.007228519862507721</v>
      </c>
      <c r="E919" s="1">
        <v>-0.003741910840289187</v>
      </c>
      <c r="F919" s="1">
        <v>0.005766975531111163</v>
      </c>
      <c r="G919" s="1">
        <v>-0.0108776237621111</v>
      </c>
      <c r="H919" s="1">
        <v>-0.01429925597057047</v>
      </c>
      <c r="I919" s="1">
        <v>-0.004707689475055732</v>
      </c>
      <c r="J919" s="1">
        <v>-0.006165780542841115</v>
      </c>
      <c r="K919" s="1">
        <v>0.009617850567876562</v>
      </c>
      <c r="L919" s="1">
        <v>-0.01057360263584395</v>
      </c>
      <c r="M919" s="1">
        <v>-0.003945312796682754</v>
      </c>
      <c r="N919" s="1">
        <v>-0.03968623571915908</v>
      </c>
      <c r="O919" s="1">
        <v>0.005980260872219922</v>
      </c>
      <c r="P919" s="1">
        <v>0.00214074270599296</v>
      </c>
      <c r="Q919" s="1">
        <v>-0.006118351850775139</v>
      </c>
      <c r="R919" s="1">
        <v>0.003797862970422949</v>
      </c>
      <c r="S919" s="1">
        <v>0.003597644226318364</v>
      </c>
      <c r="T919" s="1">
        <v>0.003758893034229827</v>
      </c>
      <c r="U919" s="1">
        <v>-0.006011987608864455</v>
      </c>
      <c r="V919" s="1">
        <v>-0.0006681466531173186</v>
      </c>
      <c r="W919" s="1">
        <v>0.007419142375168608</v>
      </c>
      <c r="X919" s="1">
        <v>-0.0124676247693547</v>
      </c>
      <c r="Y919" s="1">
        <v>0.008287934316590029</v>
      </c>
      <c r="Z919" s="1">
        <v>-0.01766168880760566</v>
      </c>
    </row>
    <row r="920" spans="1:26">
      <c r="A920" s="11">
        <v>43705</v>
      </c>
      <c r="B920" s="1">
        <v>0.03196561026164013</v>
      </c>
      <c r="C920" s="1">
        <v>0.01477175926675489</v>
      </c>
      <c r="D920" s="1">
        <v>0.006250398941411994</v>
      </c>
      <c r="E920" s="1">
        <v>0.01523073657256413</v>
      </c>
      <c r="F920" s="1">
        <v>0.003899400767983341</v>
      </c>
      <c r="G920" s="1">
        <v>0.001099775527354963</v>
      </c>
      <c r="H920" s="1">
        <v>-0.001901986010336754</v>
      </c>
      <c r="I920" s="1">
        <v>0.01745466989574473</v>
      </c>
      <c r="J920" s="1">
        <v>0.003384246765827825</v>
      </c>
      <c r="K920" s="1">
        <v>0.01309851201222645</v>
      </c>
      <c r="L920" s="1">
        <v>0.01002459911656239</v>
      </c>
      <c r="M920" s="1">
        <v>0.01326993619231587</v>
      </c>
      <c r="N920" s="1">
        <v>0.01325973105024092</v>
      </c>
      <c r="O920" s="1">
        <v>0.001844849672955728</v>
      </c>
      <c r="P920" s="1">
        <v>-0.001325803629474098</v>
      </c>
      <c r="Q920" s="1">
        <v>-0.004787939921466422</v>
      </c>
      <c r="R920" s="1">
        <v>0.007252131135150108</v>
      </c>
      <c r="S920" s="1">
        <v>-0.001106075700458953</v>
      </c>
      <c r="T920" s="1">
        <v>0.01416413215256207</v>
      </c>
      <c r="U920" s="1">
        <v>0.006912349990267019</v>
      </c>
      <c r="V920" s="1">
        <v>0.01623676310049693</v>
      </c>
      <c r="W920" s="1">
        <v>0.01146805727597955</v>
      </c>
      <c r="X920" s="1">
        <v>0.01472984542537015</v>
      </c>
      <c r="Y920" s="1">
        <v>0.01346617752406698</v>
      </c>
      <c r="Z920" s="1">
        <v>0.01342103877549783</v>
      </c>
    </row>
    <row r="921" spans="1:26">
      <c r="A921" s="11">
        <v>43706</v>
      </c>
      <c r="B921" s="1">
        <v>0.01895543584332327</v>
      </c>
      <c r="C921" s="1">
        <v>0.0076949998713296</v>
      </c>
      <c r="D921" s="1">
        <v>0.009111051101666101</v>
      </c>
      <c r="E921" s="1">
        <v>-0.00801515545393694</v>
      </c>
      <c r="F921" s="1">
        <v>0.0091381622307527</v>
      </c>
      <c r="G921" s="1">
        <v>0.01135115840546841</v>
      </c>
      <c r="H921" s="1">
        <v>0.03192720314169484</v>
      </c>
      <c r="I921" s="1">
        <v>0.02462058282132618</v>
      </c>
      <c r="J921" s="1">
        <v>0.01686325624244467</v>
      </c>
      <c r="K921" s="1">
        <v>0.001880591797403852</v>
      </c>
      <c r="L921" s="1">
        <v>0.02265917677227347</v>
      </c>
      <c r="M921" s="1">
        <v>0.02228290814289968</v>
      </c>
      <c r="N921" s="1">
        <v>-0.03489624774673961</v>
      </c>
      <c r="O921" s="1">
        <v>0.0149378938619793</v>
      </c>
      <c r="P921" s="1">
        <v>0.01888456396534788</v>
      </c>
      <c r="Q921" s="1">
        <v>0.01168385429346608</v>
      </c>
      <c r="R921" s="1">
        <v>0.02332129319052112</v>
      </c>
      <c r="S921" s="1">
        <v>0.00114537202369247</v>
      </c>
      <c r="T921" s="1">
        <v>0.00380707052149809</v>
      </c>
      <c r="U921" s="1">
        <v>0.005434899700432982</v>
      </c>
      <c r="V921" s="1">
        <v>0.01438012974912417</v>
      </c>
      <c r="W921" s="1">
        <v>0.03517382652833478</v>
      </c>
      <c r="X921" s="1">
        <v>0.02741929932931719</v>
      </c>
      <c r="Y921" s="1">
        <v>-0.0001727520443473018</v>
      </c>
      <c r="Z921" s="1">
        <v>0.01874077950365738</v>
      </c>
    </row>
    <row r="922" spans="1:26">
      <c r="A922" s="11">
        <v>43707</v>
      </c>
      <c r="B922" s="1">
        <v>-0.02132497405894573</v>
      </c>
      <c r="C922" s="1">
        <v>0.003721757807638504</v>
      </c>
      <c r="D922" s="1">
        <v>0.005142713121835341</v>
      </c>
      <c r="E922" s="1">
        <v>-0.004143338313854605</v>
      </c>
      <c r="F922" s="1">
        <v>0.002037795247139318</v>
      </c>
      <c r="G922" s="1">
        <v>0.0025342751734867</v>
      </c>
      <c r="H922" s="1">
        <v>0.03902106028489616</v>
      </c>
      <c r="I922" s="1">
        <v>-0.01003332339027441</v>
      </c>
      <c r="J922" s="1">
        <v>0.01105598618575154</v>
      </c>
      <c r="K922" s="1">
        <v>0.001642416157354276</v>
      </c>
      <c r="L922" s="1">
        <v>0.005859837296025017</v>
      </c>
      <c r="M922" s="1">
        <v>0.0003825460427488991</v>
      </c>
      <c r="N922" s="1">
        <v>-0.01152558888676147</v>
      </c>
      <c r="O922" s="1">
        <v>0.006955681697574434</v>
      </c>
      <c r="P922" s="1">
        <v>-0.001882298370785684</v>
      </c>
      <c r="Q922" s="1">
        <v>0.003736366844890426</v>
      </c>
      <c r="R922" s="1">
        <v>0.002753239555234765</v>
      </c>
      <c r="S922" s="1">
        <v>0.009533087549826291</v>
      </c>
      <c r="T922" s="1">
        <v>0.003945473537145361</v>
      </c>
      <c r="U922" s="1">
        <v>0.003129244057523239</v>
      </c>
      <c r="V922" s="1">
        <v>-0.008246261626214002</v>
      </c>
      <c r="W922" s="1">
        <v>0.004513856825004714</v>
      </c>
      <c r="X922" s="1">
        <v>0.009194849765250979</v>
      </c>
      <c r="Y922" s="1">
        <v>0.003797069044470858</v>
      </c>
      <c r="Z922" s="1">
        <v>0.007848791613297212</v>
      </c>
    </row>
    <row r="923" spans="1:26">
      <c r="A923" s="11">
        <v>43711</v>
      </c>
      <c r="B923" s="1">
        <v>-0.007417733141939942</v>
      </c>
      <c r="C923" s="1">
        <v>-0.02655929327196627</v>
      </c>
      <c r="D923" s="1">
        <v>-0.001932753660807141</v>
      </c>
      <c r="E923" s="1">
        <v>-0.0006237912813642499</v>
      </c>
      <c r="F923" s="1">
        <v>-0.008585687905832917</v>
      </c>
      <c r="G923" s="1">
        <v>0.02166882850989338</v>
      </c>
      <c r="H923" s="1">
        <v>0.009555892091190898</v>
      </c>
      <c r="I923" s="1">
        <v>-0.02640222128908987</v>
      </c>
      <c r="J923" s="1">
        <v>-0.007654730902704299</v>
      </c>
      <c r="K923" s="1">
        <v>-0.01592932816369397</v>
      </c>
      <c r="L923" s="1">
        <v>-0.01183343669450232</v>
      </c>
      <c r="M923" s="1">
        <v>-0.01796654989916913</v>
      </c>
      <c r="N923" s="1">
        <v>0.006858971869714958</v>
      </c>
      <c r="O923" s="1">
        <v>-0.01091194747765256</v>
      </c>
      <c r="P923" s="1">
        <v>-0.01320240808476891</v>
      </c>
      <c r="Q923" s="1">
        <v>0.01725872969260944</v>
      </c>
      <c r="R923" s="1">
        <v>-0.02013420184157966</v>
      </c>
      <c r="S923" s="1">
        <v>-0.009783175742655414</v>
      </c>
      <c r="T923" s="1">
        <v>0.0008166083090936915</v>
      </c>
      <c r="U923" s="1">
        <v>0.003403533619824817</v>
      </c>
      <c r="V923" s="1">
        <v>-0.003083096896652537</v>
      </c>
      <c r="W923" s="1">
        <v>-0.01229713414494671</v>
      </c>
      <c r="X923" s="1">
        <v>-0.03022205379010756</v>
      </c>
      <c r="Y923" s="1">
        <v>-0.002063285188378505</v>
      </c>
      <c r="Z923" s="1">
        <v>-0.03163783400970333</v>
      </c>
    </row>
    <row r="924" spans="1:26">
      <c r="A924" s="11">
        <v>43712</v>
      </c>
      <c r="B924" s="1">
        <v>0.02942564221711552</v>
      </c>
      <c r="C924" s="1">
        <v>0.005953321159860803</v>
      </c>
      <c r="D924" s="1">
        <v>-0.003189812400373637</v>
      </c>
      <c r="E924" s="1">
        <v>0.001665414711588431</v>
      </c>
      <c r="F924" s="1">
        <v>0.03737464759020126</v>
      </c>
      <c r="G924" s="1">
        <v>-0.004948998783430247</v>
      </c>
      <c r="H924" s="1">
        <v>-0.00792464394103598</v>
      </c>
      <c r="I924" s="1">
        <v>0.00596716349379367</v>
      </c>
      <c r="J924" s="1">
        <v>0.01157042784562212</v>
      </c>
      <c r="K924" s="1">
        <v>0.009283749221265847</v>
      </c>
      <c r="L924" s="1">
        <v>0.01206695575138705</v>
      </c>
      <c r="M924" s="1">
        <v>0.01401320117928062</v>
      </c>
      <c r="N924" s="1">
        <v>0.005903395585583837</v>
      </c>
      <c r="O924" s="1">
        <v>0.01184183971620412</v>
      </c>
      <c r="P924" s="1">
        <v>0.01168840502563295</v>
      </c>
      <c r="Q924" s="1">
        <v>0.004990060821055131</v>
      </c>
      <c r="R924" s="1">
        <v>0.01899119662750093</v>
      </c>
      <c r="S924" s="1">
        <v>0.007324085004186465</v>
      </c>
      <c r="T924" s="1">
        <v>0.01420722394701524</v>
      </c>
      <c r="U924" s="1">
        <v>0.009609906319840489</v>
      </c>
      <c r="V924" s="1">
        <v>0.006091277075362278</v>
      </c>
      <c r="W924" s="1">
        <v>0.008358950516470509</v>
      </c>
      <c r="X924" s="1">
        <v>0.01856084593915663</v>
      </c>
      <c r="Y924" s="1">
        <v>0.002412323072324529</v>
      </c>
      <c r="Z924" s="1">
        <v>0.005528953080371268</v>
      </c>
    </row>
    <row r="925" spans="1:26">
      <c r="A925" s="11">
        <v>43713</v>
      </c>
      <c r="B925" s="1">
        <v>0.02858421278568257</v>
      </c>
      <c r="C925" s="1">
        <v>0.01057412789124124</v>
      </c>
      <c r="D925" s="1">
        <v>0.004685834862500959</v>
      </c>
      <c r="E925" s="1">
        <v>0.008104582847726638</v>
      </c>
      <c r="F925" s="1">
        <v>0.01955183065992983</v>
      </c>
      <c r="G925" s="1">
        <v>-0.005683754577038291</v>
      </c>
      <c r="H925" s="1">
        <v>-0.009984795133829882</v>
      </c>
      <c r="I925" s="1">
        <v>0.03018739413789406</v>
      </c>
      <c r="J925" s="1">
        <v>0.02995635422556231</v>
      </c>
      <c r="K925" s="1">
        <v>0.01061322152162036</v>
      </c>
      <c r="L925" s="1">
        <v>0.02275420310784138</v>
      </c>
      <c r="M925" s="1">
        <v>0.008061414702979386</v>
      </c>
      <c r="N925" s="1">
        <v>-0.01015779742506207</v>
      </c>
      <c r="O925" s="1">
        <v>0.01080336263548687</v>
      </c>
      <c r="P925" s="1">
        <v>0.01758322427851966</v>
      </c>
      <c r="Q925" s="1">
        <v>-0.01787483091757136</v>
      </c>
      <c r="R925" s="1">
        <v>0.04185751785171887</v>
      </c>
      <c r="S925" s="1">
        <v>-0.02200171094942083</v>
      </c>
      <c r="T925" s="1">
        <v>-0.000280380993758822</v>
      </c>
      <c r="U925" s="1">
        <v>0.004759274515820255</v>
      </c>
      <c r="V925" s="1">
        <v>0.01099123064106244</v>
      </c>
      <c r="W925" s="1">
        <v>0.02840159347250548</v>
      </c>
      <c r="X925" s="1">
        <v>0.04139481627510833</v>
      </c>
      <c r="Y925" s="1">
        <v>0.00704679828973509</v>
      </c>
      <c r="Z925" s="1">
        <v>0.02824295682515943</v>
      </c>
    </row>
    <row r="926" spans="1:26">
      <c r="A926" s="11">
        <v>43714</v>
      </c>
      <c r="B926" s="1">
        <v>-0.01411571749388107</v>
      </c>
      <c r="C926" s="1">
        <v>0.007493752135578013</v>
      </c>
      <c r="D926" s="1">
        <v>0.02127162550861206</v>
      </c>
      <c r="E926" s="1">
        <v>-0.004947734333132781</v>
      </c>
      <c r="F926" s="1">
        <v>-0.001292709159030792</v>
      </c>
      <c r="G926" s="1">
        <v>0.01822077608438422</v>
      </c>
      <c r="H926" s="1">
        <v>0.008068397402182903</v>
      </c>
      <c r="I926" s="1">
        <v>0.0014075753989502</v>
      </c>
      <c r="J926" s="1">
        <v>0.01004765233393723</v>
      </c>
      <c r="K926" s="1">
        <v>-0.0007002616003713991</v>
      </c>
      <c r="L926" s="1">
        <v>0.002135901274333385</v>
      </c>
      <c r="M926" s="1">
        <v>-0.007235379425362343</v>
      </c>
      <c r="N926" s="1">
        <v>0</v>
      </c>
      <c r="O926" s="1">
        <v>-0.001385644867773594</v>
      </c>
      <c r="P926" s="1">
        <v>-0.006783397540953251</v>
      </c>
      <c r="Q926" s="1">
        <v>-0.01145923146219574</v>
      </c>
      <c r="R926" s="1">
        <v>0.002052755791495997</v>
      </c>
      <c r="S926" s="1">
        <v>-0.002942646320144293</v>
      </c>
      <c r="T926" s="1">
        <v>0.0004117114545290068</v>
      </c>
      <c r="U926" s="1">
        <v>0.01003034434690919</v>
      </c>
      <c r="V926" s="1">
        <v>0.01206912850158282</v>
      </c>
      <c r="W926" s="1">
        <v>0.003503326519663119</v>
      </c>
      <c r="X926" s="1">
        <v>0.00410449902325305</v>
      </c>
      <c r="Y926" s="1">
        <v>0.008021900307440433</v>
      </c>
      <c r="Z926" s="1">
        <v>-0.004861362301454952</v>
      </c>
    </row>
    <row r="927" spans="1:26">
      <c r="A927" s="11">
        <v>43717</v>
      </c>
      <c r="B927" s="1">
        <v>0.05816565391007988</v>
      </c>
      <c r="C927" s="1">
        <v>-0.01162538373523192</v>
      </c>
      <c r="D927" s="1">
        <v>-0.02873703615999346</v>
      </c>
      <c r="E927" s="1">
        <v>-0.003728684645103342</v>
      </c>
      <c r="F927" s="1">
        <v>0.001510130756405159</v>
      </c>
      <c r="G927" s="1">
        <v>0.009824904858432904</v>
      </c>
      <c r="H927" s="1">
        <v>-0.008670438765615684</v>
      </c>
      <c r="I927" s="1">
        <v>0.01175529619768256</v>
      </c>
      <c r="J927" s="1">
        <v>-0.004711864248506337</v>
      </c>
      <c r="K927" s="1">
        <v>0.001634848552377166</v>
      </c>
      <c r="L927" s="1">
        <v>0.02477567468810871</v>
      </c>
      <c r="M927" s="1">
        <v>0.01802849945656382</v>
      </c>
      <c r="N927" s="1">
        <v>0.004333061756061518</v>
      </c>
      <c r="O927" s="1">
        <v>-0.01030601398204067</v>
      </c>
      <c r="P927" s="1">
        <v>-0.01135853373967388</v>
      </c>
      <c r="Q927" s="1">
        <v>-0.0143199882801659</v>
      </c>
      <c r="R927" s="1">
        <v>0.03116779543717341</v>
      </c>
      <c r="S927" s="1">
        <v>-0.01044664287294039</v>
      </c>
      <c r="T927" s="1">
        <v>-0.02189855439146859</v>
      </c>
      <c r="U927" s="1">
        <v>0.01489683351734183</v>
      </c>
      <c r="V927" s="1">
        <v>-0.01729641461377851</v>
      </c>
      <c r="W927" s="1">
        <v>-0.01026962336136017</v>
      </c>
      <c r="X927" s="1">
        <v>0.03162672742549777</v>
      </c>
      <c r="Y927" s="1">
        <v>-0.006772586243544376</v>
      </c>
      <c r="Z927" s="1">
        <v>0.03492910702684138</v>
      </c>
    </row>
    <row r="928" spans="1:26">
      <c r="A928" s="11">
        <v>43718</v>
      </c>
      <c r="B928" s="1">
        <v>0.002114153655008</v>
      </c>
      <c r="C928" s="1">
        <v>0.02985120870603297</v>
      </c>
      <c r="D928" s="1">
        <v>-0.0147932975121986</v>
      </c>
      <c r="E928" s="1">
        <v>0.009773219227350971</v>
      </c>
      <c r="F928" s="1">
        <v>0.0006464839471169714</v>
      </c>
      <c r="G928" s="1">
        <v>0.01841537336056875</v>
      </c>
      <c r="H928" s="1">
        <v>0.02915453765868214</v>
      </c>
      <c r="I928" s="1">
        <v>0.03586776406874304</v>
      </c>
      <c r="J928" s="1">
        <v>0.007426576043713329</v>
      </c>
      <c r="K928" s="1">
        <v>0.001865143257388846</v>
      </c>
      <c r="L928" s="1">
        <v>0.01273818959083561</v>
      </c>
      <c r="M928" s="1">
        <v>0.00565174057810669</v>
      </c>
      <c r="N928" s="1">
        <v>0.004541219529453189</v>
      </c>
      <c r="O928" s="1">
        <v>-0.0179231921044869</v>
      </c>
      <c r="P928" s="1">
        <v>-0.01047161874013947</v>
      </c>
      <c r="Q928" s="1">
        <v>0.00207537350955711</v>
      </c>
      <c r="R928" s="1">
        <v>0.02043426877575105</v>
      </c>
      <c r="S928" s="1">
        <v>-0.01887698862184539</v>
      </c>
      <c r="T928" s="1">
        <v>-0.002485599331336186</v>
      </c>
      <c r="U928" s="1">
        <v>0.02147328441530494</v>
      </c>
      <c r="V928" s="1">
        <v>0.008152087121144236</v>
      </c>
      <c r="W928" s="1">
        <v>-0.008629573181453298</v>
      </c>
      <c r="X928" s="1">
        <v>0.04754931929438633</v>
      </c>
      <c r="Y928" s="1">
        <v>0.01789968838795897</v>
      </c>
      <c r="Z928" s="1">
        <v>0.03044625777477439</v>
      </c>
    </row>
    <row r="929" spans="1:26">
      <c r="A929" s="11">
        <v>43719</v>
      </c>
      <c r="B929" s="1">
        <v>0.0122362605635522</v>
      </c>
      <c r="C929" s="1">
        <v>0.03640153310958283</v>
      </c>
      <c r="D929" s="1">
        <v>0.009311697093173033</v>
      </c>
      <c r="E929" s="1">
        <v>0.01400336120871426</v>
      </c>
      <c r="F929" s="1">
        <v>-0.00107684870839353</v>
      </c>
      <c r="G929" s="1">
        <v>0.03752993356251055</v>
      </c>
      <c r="H929" s="1">
        <v>0.01677920566185587</v>
      </c>
      <c r="I929" s="1">
        <v>0.006766772686952915</v>
      </c>
      <c r="J929" s="1">
        <v>0.003686270010466286</v>
      </c>
      <c r="K929" s="1">
        <v>0.02676313575550915</v>
      </c>
      <c r="L929" s="1">
        <v>0.002738292172853374</v>
      </c>
      <c r="M929" s="1">
        <v>0.02491579989278714</v>
      </c>
      <c r="N929" s="1">
        <v>0.01085003408939667</v>
      </c>
      <c r="O929" s="1">
        <v>0.006627123605485119</v>
      </c>
      <c r="P929" s="1">
        <v>0.0002940724369815406</v>
      </c>
      <c r="Q929" s="1">
        <v>0.005868225983965747</v>
      </c>
      <c r="R929" s="1">
        <v>0.005701582031028218</v>
      </c>
      <c r="S929" s="1">
        <v>0.006814821261662107</v>
      </c>
      <c r="T929" s="1">
        <v>0.01086736973625779</v>
      </c>
      <c r="U929" s="1">
        <v>0.03086722969993638</v>
      </c>
      <c r="V929" s="1">
        <v>0.001286186797164746</v>
      </c>
      <c r="W929" s="1">
        <v>0.01879077686940067</v>
      </c>
      <c r="X929" s="1">
        <v>0.01891318814376763</v>
      </c>
      <c r="Y929" s="1">
        <v>0.007033988588804441</v>
      </c>
      <c r="Z929" s="1">
        <v>0.01122292986725304</v>
      </c>
    </row>
    <row r="930" spans="1:26">
      <c r="A930" s="11">
        <v>43720</v>
      </c>
      <c r="B930" s="1">
        <v>-0.006252572213937602</v>
      </c>
      <c r="C930" s="1">
        <v>-0.01908908762329464</v>
      </c>
      <c r="D930" s="1">
        <v>0.01280126741008569</v>
      </c>
      <c r="E930" s="1">
        <v>0.007514158961671846</v>
      </c>
      <c r="F930" s="1">
        <v>0.01228472996070096</v>
      </c>
      <c r="G930" s="1">
        <v>-0.01742875211346084</v>
      </c>
      <c r="H930" s="1">
        <v>0.01050158534544288</v>
      </c>
      <c r="I930" s="1">
        <v>-0.01144400591400352</v>
      </c>
      <c r="J930" s="1">
        <v>-0.01626441912890086</v>
      </c>
      <c r="K930" s="1">
        <v>0.004079727254963528</v>
      </c>
      <c r="L930" s="1">
        <v>0.006143841582765042</v>
      </c>
      <c r="M930" s="1">
        <v>0.004935004856297498</v>
      </c>
      <c r="N930" s="1">
        <v>-0.005814003912389065</v>
      </c>
      <c r="O930" s="1">
        <v>0.009622209142382099</v>
      </c>
      <c r="P930" s="1">
        <v>0.01028533688278288</v>
      </c>
      <c r="Q930" s="1">
        <v>-0.001029455145386216</v>
      </c>
      <c r="R930" s="1">
        <v>-0.01562497934703377</v>
      </c>
      <c r="S930" s="1">
        <v>-0.0004407300729676322</v>
      </c>
      <c r="T930" s="1">
        <v>0.02190024305479543</v>
      </c>
      <c r="U930" s="1">
        <v>-0.009292545343984937</v>
      </c>
      <c r="V930" s="1">
        <v>-0.0002751786561797642</v>
      </c>
      <c r="W930" s="1">
        <v>0.0001024507571649735</v>
      </c>
      <c r="X930" s="1">
        <v>-0.005277673978357988</v>
      </c>
      <c r="Y930" s="1">
        <v>0.004989170157704725</v>
      </c>
      <c r="Z930" s="1">
        <v>0.01087192083036181</v>
      </c>
    </row>
    <row r="931" spans="1:26">
      <c r="A931" s="11">
        <v>43721</v>
      </c>
      <c r="B931" s="1">
        <v>0.0209731388224057</v>
      </c>
      <c r="C931" s="1">
        <v>0.0109947896616589</v>
      </c>
      <c r="D931" s="1">
        <v>-0.01013436801736267</v>
      </c>
      <c r="E931" s="1">
        <v>-0.003628371042699863</v>
      </c>
      <c r="F931" s="1">
        <v>-0.00191599827768274</v>
      </c>
      <c r="G931" s="1">
        <v>-0.001003692615641483</v>
      </c>
      <c r="H931" s="1">
        <v>-0.01845175896626705</v>
      </c>
      <c r="I931" s="1">
        <v>0.0132304476966556</v>
      </c>
      <c r="J931" s="1">
        <v>0.01760009998322487</v>
      </c>
      <c r="K931" s="1">
        <v>9.949192469882462E-08</v>
      </c>
      <c r="L931" s="1">
        <v>0.0196760844712105</v>
      </c>
      <c r="M931" s="1">
        <v>0.01473269111256315</v>
      </c>
      <c r="N931" s="1">
        <v>-0.03690983942016002</v>
      </c>
      <c r="O931" s="1">
        <v>0.001605151137395122</v>
      </c>
      <c r="P931" s="1">
        <v>-0.001454375102514227</v>
      </c>
      <c r="Q931" s="1">
        <v>-0.002404867028902191</v>
      </c>
      <c r="R931" s="1">
        <v>0.004775821865986352</v>
      </c>
      <c r="S931" s="1">
        <v>-0.02456114345521265</v>
      </c>
      <c r="T931" s="1">
        <v>0.004768398774783078</v>
      </c>
      <c r="U931" s="1">
        <v>-0.01224612893500554</v>
      </c>
      <c r="V931" s="1">
        <v>-0.008720575291878752</v>
      </c>
      <c r="W931" s="1">
        <v>0.009085216899583859</v>
      </c>
      <c r="X931" s="1">
        <v>0.01002169726873325</v>
      </c>
      <c r="Y931" s="1">
        <v>-0.007777739098047132</v>
      </c>
      <c r="Z931" s="1">
        <v>0.003137215772677227</v>
      </c>
    </row>
    <row r="932" spans="1:26">
      <c r="A932" s="11">
        <v>43724</v>
      </c>
      <c r="B932" s="1">
        <v>0.1688579483549406</v>
      </c>
      <c r="C932" s="1">
        <v>-0.002396288423977877</v>
      </c>
      <c r="D932" s="1">
        <v>-0.0001147453872255566</v>
      </c>
      <c r="E932" s="1">
        <v>0.0008093416545167376</v>
      </c>
      <c r="F932" s="1">
        <v>-0.0130118609487887</v>
      </c>
      <c r="G932" s="1">
        <v>0.01641524529240157</v>
      </c>
      <c r="H932" s="1">
        <v>0.009939384920677252</v>
      </c>
      <c r="I932" s="1">
        <v>-0.005017701465560687</v>
      </c>
      <c r="J932" s="1">
        <v>-0.01100574216552885</v>
      </c>
      <c r="K932" s="1">
        <v>-0.007493333046796669</v>
      </c>
      <c r="L932" s="1">
        <v>-0.008899574498638763</v>
      </c>
      <c r="M932" s="1">
        <v>0.0003584654976396262</v>
      </c>
      <c r="N932" s="1">
        <v>-0.01428216806470584</v>
      </c>
      <c r="O932" s="1">
        <v>0.001902875335472842</v>
      </c>
      <c r="P932" s="1">
        <v>-0.007209553651248757</v>
      </c>
      <c r="Q932" s="1">
        <v>0</v>
      </c>
      <c r="R932" s="1">
        <v>-0.008108587096328557</v>
      </c>
      <c r="S932" s="1">
        <v>0.01601957752463501</v>
      </c>
      <c r="T932" s="1">
        <v>-0.02590834167269984</v>
      </c>
      <c r="U932" s="1">
        <v>-0.01582701779441376</v>
      </c>
      <c r="V932" s="1">
        <v>-0.009537790328165152</v>
      </c>
      <c r="W932" s="1">
        <v>-0.007160726960522279</v>
      </c>
      <c r="X932" s="1">
        <v>0.02334636496761311</v>
      </c>
      <c r="Y932" s="1">
        <v>-0.007671840557155418</v>
      </c>
      <c r="Z932" s="1">
        <v>0.009157602023357025</v>
      </c>
    </row>
    <row r="933" spans="1:26">
      <c r="A933" s="11">
        <v>43725</v>
      </c>
      <c r="B933" s="1">
        <v>-0.08541301149160896</v>
      </c>
      <c r="C933" s="1">
        <v>0.01412178139415232</v>
      </c>
      <c r="D933" s="1">
        <v>0.007477953116022062</v>
      </c>
      <c r="E933" s="1">
        <v>0.005457556055418866</v>
      </c>
      <c r="F933" s="1">
        <v>0.008644637884119399</v>
      </c>
      <c r="G933" s="1">
        <v>-0.01417265443903992</v>
      </c>
      <c r="H933" s="1">
        <v>-0.001069512846555987</v>
      </c>
      <c r="I933" s="1">
        <v>-0.003645461437784658</v>
      </c>
      <c r="J933" s="1">
        <v>0</v>
      </c>
      <c r="K933" s="1">
        <v>0.003431821480726516</v>
      </c>
      <c r="L933" s="1">
        <v>-0.004951411919719595</v>
      </c>
      <c r="M933" s="1">
        <v>-0.001433273203092278</v>
      </c>
      <c r="N933" s="1">
        <v>-0.002414943067232</v>
      </c>
      <c r="O933" s="1">
        <v>0.0142958497554424</v>
      </c>
      <c r="P933" s="1">
        <v>0.007774937011202132</v>
      </c>
      <c r="Q933" s="1">
        <v>0.01342999453015459</v>
      </c>
      <c r="R933" s="1">
        <v>-0.0008454907608526074</v>
      </c>
      <c r="S933" s="1">
        <v>0.0140691232164456</v>
      </c>
      <c r="T933" s="1">
        <v>0.01901453064071501</v>
      </c>
      <c r="U933" s="1">
        <v>-0.00402000322351026</v>
      </c>
      <c r="V933" s="1">
        <v>0.002991809533587464</v>
      </c>
      <c r="W933" s="1">
        <v>-0.008871015298557716</v>
      </c>
      <c r="X933" s="1">
        <v>0.004562705486534924</v>
      </c>
      <c r="Y933" s="1">
        <v>0.006218610876044028</v>
      </c>
      <c r="Z933" s="1">
        <v>-0.01416556547180303</v>
      </c>
    </row>
    <row r="934" spans="1:26">
      <c r="A934" s="11">
        <v>43726</v>
      </c>
      <c r="B934" s="1">
        <v>-0.02267477863304823</v>
      </c>
      <c r="C934" s="1">
        <v>0.005752188847258921</v>
      </c>
      <c r="D934" s="1">
        <v>-0.00148443060892367</v>
      </c>
      <c r="E934" s="1">
        <v>0.002412792828224042</v>
      </c>
      <c r="F934" s="1">
        <v>0.00578526457259354</v>
      </c>
      <c r="G934" s="1">
        <v>0.002005911486040457</v>
      </c>
      <c r="H934" s="1">
        <v>-0.002356229331483828</v>
      </c>
      <c r="I934" s="1">
        <v>0.008476213601238625</v>
      </c>
      <c r="J934" s="1">
        <v>-0.008479604995405898</v>
      </c>
      <c r="K934" s="1">
        <v>0.005699907502377366</v>
      </c>
      <c r="L934" s="1">
        <v>0.01003631696359797</v>
      </c>
      <c r="M934" s="1">
        <v>0.008971659902003992</v>
      </c>
      <c r="N934" s="1">
        <v>-0.01137751041233137</v>
      </c>
      <c r="O934" s="1">
        <v>0.001576906526830513</v>
      </c>
      <c r="P934" s="1">
        <v>0.008224968891791917</v>
      </c>
      <c r="Q934" s="1">
        <v>0.001358999686234208</v>
      </c>
      <c r="R934" s="1">
        <v>-0.001974965241026694</v>
      </c>
      <c r="S934" s="1">
        <v>-0.001435071080469696</v>
      </c>
      <c r="T934" s="1">
        <v>0.009897258669176567</v>
      </c>
      <c r="U934" s="1">
        <v>-0.01076444568714385</v>
      </c>
      <c r="V934" s="1">
        <v>-0.002889570516730444</v>
      </c>
      <c r="W934" s="1">
        <v>0.007686612881873778</v>
      </c>
      <c r="X934" s="1">
        <v>-0.01040895095500105</v>
      </c>
      <c r="Y934" s="1">
        <v>0.00100212938210209</v>
      </c>
      <c r="Z934" s="1">
        <v>0.01212408741314674</v>
      </c>
    </row>
    <row r="935" spans="1:26">
      <c r="A935" s="11">
        <v>43727</v>
      </c>
      <c r="B935" s="1">
        <v>0.01297671007022871</v>
      </c>
      <c r="C935" s="1">
        <v>-0.005098224263852424</v>
      </c>
      <c r="D935" s="1">
        <v>0.0002286451899913278</v>
      </c>
      <c r="E935" s="1">
        <v>0.004211774750606745</v>
      </c>
      <c r="F935" s="1">
        <v>-0.005538844963448586</v>
      </c>
      <c r="G935" s="1">
        <v>0.002335712014070346</v>
      </c>
      <c r="H935" s="1">
        <v>0.0006442508738109254</v>
      </c>
      <c r="I935" s="1">
        <v>-0.005683707082411504</v>
      </c>
      <c r="J935" s="1">
        <v>0.002137784746403248</v>
      </c>
      <c r="K935" s="1">
        <v>-0.001813740141966225</v>
      </c>
      <c r="L935" s="1">
        <v>-0.003173256760605314</v>
      </c>
      <c r="M935" s="1">
        <v>-0.02045155861391679</v>
      </c>
      <c r="N935" s="1">
        <v>-0.01762962777327437</v>
      </c>
      <c r="O935" s="1">
        <v>0.006101396016536587</v>
      </c>
      <c r="P935" s="1">
        <v>0.01840862947046595</v>
      </c>
      <c r="Q935" s="1">
        <v>-0.001017846132404521</v>
      </c>
      <c r="R935" s="1">
        <v>-0.005653508405431218</v>
      </c>
      <c r="S935" s="1">
        <v>-0.0003193176574177725</v>
      </c>
      <c r="T935" s="1">
        <v>0.01278454373917604</v>
      </c>
      <c r="U935" s="1">
        <v>0.01060923024850591</v>
      </c>
      <c r="V935" s="1">
        <v>0.008413768657525633</v>
      </c>
      <c r="W935" s="1">
        <v>0.0009829799908798176</v>
      </c>
      <c r="X935" s="1">
        <v>-0.0164466758376427</v>
      </c>
      <c r="Y935" s="1">
        <v>0.0008345571538947993</v>
      </c>
      <c r="Z935" s="1">
        <v>-0.01109119486410826</v>
      </c>
    </row>
    <row r="936" spans="1:26">
      <c r="A936" s="11">
        <v>43728</v>
      </c>
      <c r="B936" s="1">
        <v>0.001552466906154182</v>
      </c>
      <c r="C936" s="1">
        <v>-0.0131359694320542</v>
      </c>
      <c r="D936" s="1">
        <v>-0.0006858773438783716</v>
      </c>
      <c r="E936" s="1">
        <v>0.009986312721053103</v>
      </c>
      <c r="F936" s="1">
        <v>-0.006855353975682155</v>
      </c>
      <c r="G936" s="1">
        <v>0.00965365402524565</v>
      </c>
      <c r="H936" s="1">
        <v>0.003218227832452847</v>
      </c>
      <c r="I936" s="1">
        <v>-0.00225037599964184</v>
      </c>
      <c r="J936" s="1">
        <v>-0.01493309462425751</v>
      </c>
      <c r="K936" s="1">
        <v>-0.00272540438723734</v>
      </c>
      <c r="L936" s="1">
        <v>-0.004020731261970001</v>
      </c>
      <c r="M936" s="1">
        <v>-0.01071176441806987</v>
      </c>
      <c r="N936" s="1">
        <v>0.01719843600779702</v>
      </c>
      <c r="O936" s="1">
        <v>-0.01310641965461412</v>
      </c>
      <c r="P936" s="1">
        <v>-0.01155421923464672</v>
      </c>
      <c r="Q936" s="1">
        <v>0.001358456604238167</v>
      </c>
      <c r="R936" s="1">
        <v>-0.0004265598019909111</v>
      </c>
      <c r="S936" s="1">
        <v>-0.01034411937234081</v>
      </c>
      <c r="T936" s="1">
        <v>0.001382516575399784</v>
      </c>
      <c r="U936" s="1">
        <v>0.02045760784689787</v>
      </c>
      <c r="V936" s="1">
        <v>-0.01112469994964738</v>
      </c>
      <c r="W936" s="1">
        <v>0.003657880954919035</v>
      </c>
      <c r="X936" s="1">
        <v>-0.009722084528772323</v>
      </c>
      <c r="Y936" s="1">
        <v>0.005168266888826878</v>
      </c>
      <c r="Z936" s="1">
        <v>-0.001570420833780228</v>
      </c>
    </row>
    <row r="937" spans="1:26">
      <c r="A937" s="11">
        <v>43731</v>
      </c>
      <c r="B937" s="1">
        <v>0.01472876735071349</v>
      </c>
      <c r="C937" s="1">
        <v>-0.006220587417809953</v>
      </c>
      <c r="D937" s="1">
        <v>-0.006407165008518234</v>
      </c>
      <c r="E937" s="1">
        <v>-0.0009887473850881401</v>
      </c>
      <c r="F937" s="1">
        <v>-0.003019610686676333</v>
      </c>
      <c r="G937" s="1">
        <v>0.002307836470649249</v>
      </c>
      <c r="H937" s="1">
        <v>-0.002138743380651453</v>
      </c>
      <c r="I937" s="1">
        <v>0.006948298976011014</v>
      </c>
      <c r="J937" s="1">
        <v>0.00270703677952655</v>
      </c>
      <c r="K937" s="1">
        <v>0.007515020111467541</v>
      </c>
      <c r="L937" s="1">
        <v>-0.0001681971081243239</v>
      </c>
      <c r="M937" s="1">
        <v>-0.0001833936018365012</v>
      </c>
      <c r="N937" s="1">
        <v>0.001715032441008901</v>
      </c>
      <c r="O937" s="1">
        <v>0.002180279999905332</v>
      </c>
      <c r="P937" s="1">
        <v>-0.002151698904133692</v>
      </c>
      <c r="Q937" s="1">
        <v>0.004749205908976428</v>
      </c>
      <c r="R937" s="1">
        <v>0.0008531699619340749</v>
      </c>
      <c r="S937" s="1">
        <v>-0.009483386278177686</v>
      </c>
      <c r="T937" s="1">
        <v>-0.01614782884568666</v>
      </c>
      <c r="U937" s="1">
        <v>-0.008176952438291862</v>
      </c>
      <c r="V937" s="1">
        <v>0.0197806980068953</v>
      </c>
      <c r="W937" s="1">
        <v>-0.01984241969465206</v>
      </c>
      <c r="X937" s="1">
        <v>-0.003730534996375878</v>
      </c>
      <c r="Y937" s="1">
        <v>-0.001327053296782843</v>
      </c>
      <c r="Z937" s="1">
        <v>-0.004718130240143892</v>
      </c>
    </row>
    <row r="938" spans="1:26">
      <c r="A938" s="11">
        <v>43732</v>
      </c>
      <c r="B938" s="1">
        <v>-0.03055769537674513</v>
      </c>
      <c r="C938" s="1">
        <v>0.01225369857031722</v>
      </c>
      <c r="D938" s="1">
        <v>-0.004491222315554211</v>
      </c>
      <c r="E938" s="1">
        <v>-0.01009530351366517</v>
      </c>
      <c r="F938" s="1">
        <v>-0.01103411289530676</v>
      </c>
      <c r="G938" s="1">
        <v>0.001645168737406166</v>
      </c>
      <c r="H938" s="1">
        <v>-0.01093010280718587</v>
      </c>
      <c r="I938" s="1">
        <v>0.004539904214664547</v>
      </c>
      <c r="J938" s="1">
        <v>-0.01997845522476049</v>
      </c>
      <c r="K938" s="1">
        <v>-0.01763069705492126</v>
      </c>
      <c r="L938" s="1">
        <v>-0.01303820419807922</v>
      </c>
      <c r="M938" s="1">
        <v>0.00458875351357646</v>
      </c>
      <c r="N938" s="1">
        <v>-0.003669419399920604</v>
      </c>
      <c r="O938" s="1">
        <v>-0.005834815810070171</v>
      </c>
      <c r="P938" s="1">
        <v>-0.01264879425106968</v>
      </c>
      <c r="Q938" s="1">
        <v>0.01147865511525015</v>
      </c>
      <c r="R938" s="1">
        <v>-0.03111661319788983</v>
      </c>
      <c r="S938" s="1">
        <v>0.009533461296648671</v>
      </c>
      <c r="T938" s="1">
        <v>0.001569220327042986</v>
      </c>
      <c r="U938" s="1">
        <v>-0.005851336550388164</v>
      </c>
      <c r="V938" s="1">
        <v>-0.01222647258240095</v>
      </c>
      <c r="W938" s="1">
        <v>-0.01821357608679008</v>
      </c>
      <c r="X938" s="1">
        <v>-0.002956303123264004</v>
      </c>
      <c r="Y938" s="1">
        <v>0.004982920624363896</v>
      </c>
      <c r="Z938" s="1">
        <v>-0.0119640843062635</v>
      </c>
    </row>
    <row r="939" spans="1:26">
      <c r="A939" s="11">
        <v>43733</v>
      </c>
      <c r="B939" s="1">
        <v>0.005516342575079269</v>
      </c>
      <c r="C939" s="1">
        <v>0.01192194605564767</v>
      </c>
      <c r="D939" s="1">
        <v>0.004048558367373056</v>
      </c>
      <c r="E939" s="1">
        <v>-0.003399087395871692</v>
      </c>
      <c r="F939" s="1">
        <v>0.00262522893011008</v>
      </c>
      <c r="G939" s="1">
        <v>0.005254134777606501</v>
      </c>
      <c r="H939" s="1">
        <v>0.008884090882852691</v>
      </c>
      <c r="I939" s="1">
        <v>-0.004640010289977847</v>
      </c>
      <c r="J939" s="1">
        <v>0.0143249781618433</v>
      </c>
      <c r="K939" s="1">
        <v>0.005522298495689304</v>
      </c>
      <c r="L939" s="1">
        <v>0.005710352115371631</v>
      </c>
      <c r="M939" s="1">
        <v>0.001644145525267815</v>
      </c>
      <c r="N939" s="1">
        <v>-0.00417326121565964</v>
      </c>
      <c r="O939" s="1">
        <v>-0.001392472906102893</v>
      </c>
      <c r="P939" s="1">
        <v>0.01441245613823705</v>
      </c>
      <c r="Q939" s="1">
        <v>0.003671517019583348</v>
      </c>
      <c r="R939" s="1">
        <v>0.003226185262917625</v>
      </c>
      <c r="S939" s="1">
        <v>-0.007223792131638596</v>
      </c>
      <c r="T939" s="1">
        <v>0.003760192235898963</v>
      </c>
      <c r="U939" s="1">
        <v>0</v>
      </c>
      <c r="V939" s="1">
        <v>-0.006049412135127663</v>
      </c>
      <c r="W939" s="1">
        <v>-0.009923764107260924</v>
      </c>
      <c r="X939" s="1">
        <v>0.00869751476106928</v>
      </c>
      <c r="Y939" s="1">
        <v>-0.003966684448377222</v>
      </c>
      <c r="Z939" s="1">
        <v>0.01370810942034573</v>
      </c>
    </row>
    <row r="940" spans="1:26">
      <c r="A940" s="11">
        <v>43734</v>
      </c>
      <c r="B940" s="1">
        <v>-0.009796275907084206</v>
      </c>
      <c r="C940" s="1">
        <v>0.001786656031695033</v>
      </c>
      <c r="D940" s="1">
        <v>0.0107143172849502</v>
      </c>
      <c r="E940" s="1">
        <v>0.002608196904777094</v>
      </c>
      <c r="F940" s="1">
        <v>-0.02029257887849301</v>
      </c>
      <c r="G940" s="1">
        <v>-0.01600768545024001</v>
      </c>
      <c r="H940" s="1">
        <v>0.003006806265913875</v>
      </c>
      <c r="I940" s="1">
        <v>0.007385729828973231</v>
      </c>
      <c r="J940" s="1">
        <v>0.0005433721012149118</v>
      </c>
      <c r="K940" s="1">
        <v>-0.002517077807423052</v>
      </c>
      <c r="L940" s="1">
        <v>-0.008220362301795014</v>
      </c>
      <c r="M940" s="1">
        <v>-0.004377471225445406</v>
      </c>
      <c r="N940" s="1">
        <v>0.002464904609396745</v>
      </c>
      <c r="O940" s="1">
        <v>-0.001195285353980946</v>
      </c>
      <c r="P940" s="1">
        <v>0.00129148101117682</v>
      </c>
      <c r="Q940" s="1">
        <v>0.01629519870788565</v>
      </c>
      <c r="R940" s="1">
        <v>0.005116189130242477</v>
      </c>
      <c r="S940" s="1">
        <v>0.001910422274528312</v>
      </c>
      <c r="T940" s="1">
        <v>0.00699672781608629</v>
      </c>
      <c r="U940" s="1">
        <v>0</v>
      </c>
      <c r="V940" s="1">
        <v>-0.004775250022719502</v>
      </c>
      <c r="W940" s="1">
        <v>0.01600969960374776</v>
      </c>
      <c r="X940" s="1">
        <v>-0.01273771805149015</v>
      </c>
      <c r="Y940" s="1">
        <v>0.002820806295994904</v>
      </c>
      <c r="Z940" s="1">
        <v>-0.009240379960783862</v>
      </c>
    </row>
    <row r="941" spans="1:26">
      <c r="A941" s="11">
        <v>43735</v>
      </c>
      <c r="B941" s="1">
        <v>0.01701611699104477</v>
      </c>
      <c r="C941" s="1">
        <v>-0.01041644884756066</v>
      </c>
      <c r="D941" s="1">
        <v>-0.0205175123010144</v>
      </c>
      <c r="E941" s="1">
        <v>0.005003098532537331</v>
      </c>
      <c r="F941" s="1">
        <v>-0.002003997330965679</v>
      </c>
      <c r="G941" s="1">
        <v>-0.003984082366154329</v>
      </c>
      <c r="H941" s="1">
        <v>0.003640176588548538</v>
      </c>
      <c r="I941" s="1">
        <v>0.003682153258177889</v>
      </c>
      <c r="J941" s="1">
        <v>0.005971846807877323</v>
      </c>
      <c r="K941" s="1">
        <v>0.001835175746449202</v>
      </c>
      <c r="L941" s="1">
        <v>0.005896032597215939</v>
      </c>
      <c r="M941" s="1">
        <v>-0.004397407772817274</v>
      </c>
      <c r="N941" s="1">
        <v>-0.01303460711505178</v>
      </c>
      <c r="O941" s="1">
        <v>-0.00508638238880943</v>
      </c>
      <c r="P941" s="1">
        <v>-0.01297083605751703</v>
      </c>
      <c r="Q941" s="1">
        <v>-0.01734275031837518</v>
      </c>
      <c r="R941" s="1">
        <v>0.003635972040230584</v>
      </c>
      <c r="S941" s="1">
        <v>-0.005923762654089781</v>
      </c>
      <c r="T941" s="1">
        <v>-0.007421852822634523</v>
      </c>
      <c r="U941" s="1">
        <v>0.00133774572309675</v>
      </c>
      <c r="V941" s="1">
        <v>-0.001599387482686176</v>
      </c>
      <c r="W941" s="1">
        <v>0.001916920091286967</v>
      </c>
      <c r="X941" s="1">
        <v>-0.02342185849681777</v>
      </c>
      <c r="Y941" s="1">
        <v>-0.002316343887411199</v>
      </c>
      <c r="Z941" s="1">
        <v>0.009099129387670768</v>
      </c>
    </row>
    <row r="942" spans="1:26">
      <c r="A942" s="11">
        <v>43738</v>
      </c>
      <c r="B942" s="1">
        <v>-0.003890941459506858</v>
      </c>
      <c r="C942" s="1">
        <v>-0.006242521068438034</v>
      </c>
      <c r="D942" s="1">
        <v>0.0179215755993356</v>
      </c>
      <c r="E942" s="1">
        <v>0.009756661604513051</v>
      </c>
      <c r="F942" s="1">
        <v>0.00602528853690365</v>
      </c>
      <c r="G942" s="1">
        <v>0.006000297403168764</v>
      </c>
      <c r="H942" s="1">
        <v>0.001066651734524804</v>
      </c>
      <c r="I942" s="1">
        <v>0.01455572918427772</v>
      </c>
      <c r="J942" s="1">
        <v>0.0210469133328004</v>
      </c>
      <c r="K942" s="1">
        <v>0.005037714379283686</v>
      </c>
      <c r="L942" s="1">
        <v>-0.0002548636545900429</v>
      </c>
      <c r="M942" s="1">
        <v>-0.006072775971038058</v>
      </c>
      <c r="N942" s="1">
        <v>0.01918764603596346</v>
      </c>
      <c r="O942" s="1">
        <v>0.002906933981321913</v>
      </c>
      <c r="P942" s="1">
        <v>0.009438611791566576</v>
      </c>
      <c r="Q942" s="1">
        <v>-0.003662798816732593</v>
      </c>
      <c r="R942" s="1">
        <v>0.01449077235637652</v>
      </c>
      <c r="S942" s="1">
        <v>0.001061305801560275</v>
      </c>
      <c r="T942" s="1">
        <v>0.01027023238465152</v>
      </c>
      <c r="U942" s="1">
        <v>0.01095340254458654</v>
      </c>
      <c r="V942" s="1">
        <v>0.007444174786457536</v>
      </c>
      <c r="W942" s="1">
        <v>0.01346580919999507</v>
      </c>
      <c r="X942" s="1">
        <v>-0.004878249464687734</v>
      </c>
      <c r="Y942" s="1">
        <v>0.000995266739427958</v>
      </c>
      <c r="Z942" s="1">
        <v>0.003607072252611143</v>
      </c>
    </row>
    <row r="943" spans="1:26">
      <c r="A943" s="11">
        <v>43739</v>
      </c>
      <c r="B943" s="1">
        <v>-0.05195301191433932</v>
      </c>
      <c r="C943" s="1">
        <v>-0.01453456191876445</v>
      </c>
      <c r="D943" s="1">
        <v>-0.01783451569077821</v>
      </c>
      <c r="E943" s="1">
        <v>-0.001182927193360106</v>
      </c>
      <c r="F943" s="1">
        <v>-0.007800544332086878</v>
      </c>
      <c r="G943" s="1">
        <v>-0.009609481793792396</v>
      </c>
      <c r="H943" s="1">
        <v>-0.002130820116556853</v>
      </c>
      <c r="I943" s="1">
        <v>-0.01885215876009549</v>
      </c>
      <c r="J943" s="1">
        <v>-0.01744176007476028</v>
      </c>
      <c r="K943" s="1">
        <v>-0.02141705082005962</v>
      </c>
      <c r="L943" s="1">
        <v>-0.01818321438879733</v>
      </c>
      <c r="M943" s="1">
        <v>-0.01184986789187104</v>
      </c>
      <c r="N943" s="1">
        <v>0.006356905541346825</v>
      </c>
      <c r="O943" s="1">
        <v>-0.01749099487420536</v>
      </c>
      <c r="P943" s="1">
        <v>-0.01409796112742601</v>
      </c>
      <c r="Q943" s="1">
        <v>-0.006350712785361923</v>
      </c>
      <c r="R943" s="1">
        <v>-0.03528073670389553</v>
      </c>
      <c r="S943" s="1">
        <v>-0.02058952109536105</v>
      </c>
      <c r="T943" s="1">
        <v>-0.009111366641202268</v>
      </c>
      <c r="U943" s="1">
        <v>-0.01136334047693488</v>
      </c>
      <c r="V943" s="1">
        <v>-0.009072745898095813</v>
      </c>
      <c r="W943" s="1">
        <v>-0.01328689046809062</v>
      </c>
      <c r="X943" s="1">
        <v>-0.02165012805782962</v>
      </c>
      <c r="Y943" s="1">
        <v>-0.008449514152936155</v>
      </c>
      <c r="Z943" s="1">
        <v>-0.034815731580915</v>
      </c>
    </row>
    <row r="944" spans="1:26">
      <c r="A944" s="11">
        <v>43740</v>
      </c>
      <c r="B944" s="1">
        <v>-0.0440876031321904</v>
      </c>
      <c r="C944" s="1">
        <v>-0.0202166653064314</v>
      </c>
      <c r="D944" s="1">
        <v>-0.01955546706705924</v>
      </c>
      <c r="E944" s="1">
        <v>-0.02843036548593392</v>
      </c>
      <c r="F944" s="1">
        <v>-0.01055709273341698</v>
      </c>
      <c r="G944" s="1">
        <v>-0.02576098579294495</v>
      </c>
      <c r="H944" s="1">
        <v>-0.01409664652257925</v>
      </c>
      <c r="I944" s="1">
        <v>-0.01359552229330019</v>
      </c>
      <c r="J944" s="1">
        <v>0</v>
      </c>
      <c r="K944" s="1">
        <v>-0.02537853102042065</v>
      </c>
      <c r="L944" s="1">
        <v>-0.01990479291407465</v>
      </c>
      <c r="M944" s="1">
        <v>-0.02492038872679436</v>
      </c>
      <c r="N944" s="1">
        <v>-0.02308079029755783</v>
      </c>
      <c r="O944" s="1">
        <v>-0.02258405344340919</v>
      </c>
      <c r="P944" s="1">
        <v>-0.01765518730637394</v>
      </c>
      <c r="Q944" s="1">
        <v>-0.01076318128389953</v>
      </c>
      <c r="R944" s="1">
        <v>-0.01954394592543685</v>
      </c>
      <c r="S944" s="1">
        <v>0.008575509554300087</v>
      </c>
      <c r="T944" s="1">
        <v>-0.007065850894012904</v>
      </c>
      <c r="U944" s="1">
        <v>-0.008821148554832625</v>
      </c>
      <c r="V944" s="1">
        <v>-0.00736267631010934</v>
      </c>
      <c r="W944" s="1">
        <v>-0.02738339314975302</v>
      </c>
      <c r="X944" s="1">
        <v>-0.02505241932244506</v>
      </c>
      <c r="Y944" s="1">
        <v>-0.01570603376924906</v>
      </c>
      <c r="Z944" s="1">
        <v>-0.01652326280768679</v>
      </c>
    </row>
    <row r="945" spans="1:26">
      <c r="A945" s="11">
        <v>43741</v>
      </c>
      <c r="B945" s="1">
        <v>0.007327962853744596</v>
      </c>
      <c r="C945" s="1">
        <v>0.01282127146733991</v>
      </c>
      <c r="D945" s="1">
        <v>0.01199117545126316</v>
      </c>
      <c r="E945" s="1">
        <v>0.01536901929800472</v>
      </c>
      <c r="F945" s="1">
        <v>0.0002267446689363517</v>
      </c>
      <c r="G945" s="1">
        <v>-0.007554756231217596</v>
      </c>
      <c r="H945" s="1">
        <v>0.01321482466302726</v>
      </c>
      <c r="I945" s="1">
        <v>0.009678475336506676</v>
      </c>
      <c r="J945" s="1">
        <v>-0.01022053485754637</v>
      </c>
      <c r="K945" s="1">
        <v>0.004061429420927354</v>
      </c>
      <c r="L945" s="1">
        <v>-0.001424083756018435</v>
      </c>
      <c r="M945" s="1">
        <v>0.00422758330646178</v>
      </c>
      <c r="N945" s="1">
        <v>0.0149219187034928</v>
      </c>
      <c r="O945" s="1">
        <v>0.004787909217184749</v>
      </c>
      <c r="P945" s="1">
        <v>0.01210547476079737</v>
      </c>
      <c r="Q945" s="1">
        <v>-0.00136033168077565</v>
      </c>
      <c r="R945" s="1">
        <v>0.0116275661028904</v>
      </c>
      <c r="S945" s="1">
        <v>0.01477623973968312</v>
      </c>
      <c r="T945" s="1">
        <v>0.004029272131166328</v>
      </c>
      <c r="U945" s="1">
        <v>0.002966478040519194</v>
      </c>
      <c r="V945" s="1">
        <v>0.01388331821009414</v>
      </c>
      <c r="W945" s="1">
        <v>0.01209186815886309</v>
      </c>
      <c r="X945" s="1">
        <v>0.01199157372925108</v>
      </c>
      <c r="Y945" s="1">
        <v>0.001697433536622217</v>
      </c>
      <c r="Z945" s="1">
        <v>0.01017501580345859</v>
      </c>
    </row>
    <row r="946" spans="1:26">
      <c r="A946" s="11">
        <v>43742</v>
      </c>
      <c r="B946" s="1">
        <v>-0.05177584849184147</v>
      </c>
      <c r="C946" s="1">
        <v>0.009756206055971717</v>
      </c>
      <c r="D946" s="1">
        <v>0.01642400880656258</v>
      </c>
      <c r="E946" s="1">
        <v>0.02421768235572852</v>
      </c>
      <c r="F946" s="1">
        <v>0.0147530896816368</v>
      </c>
      <c r="G946" s="1">
        <v>0.01211062855069334</v>
      </c>
      <c r="H946" s="1">
        <v>0.01218724055267617</v>
      </c>
      <c r="I946" s="1">
        <v>0.01735136317565589</v>
      </c>
      <c r="J946" s="1">
        <v>-0.0956521907452953</v>
      </c>
      <c r="K946" s="1">
        <v>0.009754873005881626</v>
      </c>
      <c r="L946" s="1">
        <v>0.02165946230822247</v>
      </c>
      <c r="M946" s="1">
        <v>0.01014166639240965</v>
      </c>
      <c r="N946" s="1">
        <v>0.02058328304763268</v>
      </c>
      <c r="O946" s="1">
        <v>0.01885189303288004</v>
      </c>
      <c r="P946" s="1">
        <v>0.01350188270703057</v>
      </c>
      <c r="Q946" s="1">
        <v>0.008852730238499085</v>
      </c>
      <c r="R946" s="1">
        <v>0.01268839263712107</v>
      </c>
      <c r="S946" s="1">
        <v>0.003904658754705803</v>
      </c>
      <c r="T946" s="1">
        <v>0.010401615178806</v>
      </c>
      <c r="U946" s="1">
        <v>0.008604458943888282</v>
      </c>
      <c r="V946" s="1">
        <v>0.02326044314977493</v>
      </c>
      <c r="W946" s="1">
        <v>0.03319032946951372</v>
      </c>
      <c r="X946" s="1">
        <v>0.006136361027092807</v>
      </c>
      <c r="Y946" s="1">
        <v>0.01508233142078952</v>
      </c>
      <c r="Z946" s="1">
        <v>0.01194667312312503</v>
      </c>
    </row>
    <row r="947" spans="1:26">
      <c r="A947" s="11">
        <v>43745</v>
      </c>
      <c r="B947" s="1">
        <v>-0.03429642083586348</v>
      </c>
      <c r="C947" s="1">
        <v>0.002235862080415263</v>
      </c>
      <c r="D947" s="1">
        <v>-0.009810679254681709</v>
      </c>
      <c r="E947" s="1">
        <v>0.002561595357267743</v>
      </c>
      <c r="F947" s="1">
        <v>-0.00268398951897264</v>
      </c>
      <c r="G947" s="1">
        <v>-0.01435908036871725</v>
      </c>
      <c r="H947" s="1">
        <v>-0.007181928359957235</v>
      </c>
      <c r="I947" s="1">
        <v>-0.006798484312260711</v>
      </c>
      <c r="J947" s="1">
        <v>0.009615406616005018</v>
      </c>
      <c r="K947" s="1">
        <v>-0.004712414099414142</v>
      </c>
      <c r="L947" s="1">
        <v>-0.002181123239437199</v>
      </c>
      <c r="M947" s="1">
        <v>0.004735815127069554</v>
      </c>
      <c r="N947" s="1">
        <v>0.01248471151718844</v>
      </c>
      <c r="O947" s="1">
        <v>-0.007421475846395409</v>
      </c>
      <c r="P947" s="1">
        <v>-0.007240286942117535</v>
      </c>
      <c r="Q947" s="1">
        <v>-0.01012479277112821</v>
      </c>
      <c r="R947" s="1">
        <v>-0.001621415386483083</v>
      </c>
      <c r="S947" s="1">
        <v>-0.0008101409809272431</v>
      </c>
      <c r="T947" s="1">
        <v>0.0008014948691545953</v>
      </c>
      <c r="U947" s="1">
        <v>0.00399878563519751</v>
      </c>
      <c r="V947" s="1">
        <v>-0.01054099833496747</v>
      </c>
      <c r="W947" s="1">
        <v>-0.01074190904285699</v>
      </c>
      <c r="X947" s="1">
        <v>0.0008412408897942036</v>
      </c>
      <c r="Y947" s="1">
        <v>0.005843016889566233</v>
      </c>
      <c r="Z947" s="1">
        <v>0.005555277289818861</v>
      </c>
    </row>
    <row r="948" spans="1:26">
      <c r="A948" s="11">
        <v>43746</v>
      </c>
      <c r="B948" s="1">
        <v>-0.05373794078567451</v>
      </c>
      <c r="C948" s="1">
        <v>-0.006480064534947982</v>
      </c>
      <c r="D948" s="1">
        <v>-0.00909198162268865</v>
      </c>
      <c r="E948" s="1">
        <v>-0.01022000727795747</v>
      </c>
      <c r="F948" s="1">
        <v>-0.01076496215402112</v>
      </c>
      <c r="G948" s="1">
        <v>-0.02254587255107576</v>
      </c>
      <c r="H948" s="1">
        <v>-0.004893718054327478</v>
      </c>
      <c r="I948" s="1">
        <v>-0.009486405999290404</v>
      </c>
      <c r="J948" s="1">
        <v>-0.02976201790151278</v>
      </c>
      <c r="K948" s="1">
        <v>-0.02201765885615969</v>
      </c>
      <c r="L948" s="1">
        <v>-0.02229605562518455</v>
      </c>
      <c r="M948" s="1">
        <v>-0.0001887227579843165</v>
      </c>
      <c r="N948" s="1">
        <v>-0.004031220763206167</v>
      </c>
      <c r="O948" s="1">
        <v>-0.02437780871247397</v>
      </c>
      <c r="P948" s="1">
        <v>-0.01057459734445099</v>
      </c>
      <c r="Q948" s="1">
        <v>-0.01704758172494392</v>
      </c>
      <c r="R948" s="1">
        <v>-0.01727425816130856</v>
      </c>
      <c r="S948" s="1">
        <v>0.0008107978414859662</v>
      </c>
      <c r="T948" s="1">
        <v>-0.00608041578719043</v>
      </c>
      <c r="U948" s="1">
        <v>-0.004779409220954878</v>
      </c>
      <c r="V948" s="1">
        <v>0.005280365160892808</v>
      </c>
      <c r="W948" s="1">
        <v>-0.05958640668897563</v>
      </c>
      <c r="X948" s="1">
        <v>-0.02626597367976968</v>
      </c>
      <c r="Y948" s="1">
        <v>-0.008796784873394414</v>
      </c>
      <c r="Z948" s="1">
        <v>-0.02831461858470607</v>
      </c>
    </row>
    <row r="949" spans="1:26">
      <c r="A949" s="11">
        <v>43747</v>
      </c>
      <c r="B949" s="1">
        <v>0.01382694990840783</v>
      </c>
      <c r="C949" s="1">
        <v>0.002298828184486901</v>
      </c>
      <c r="D949" s="1">
        <v>0.0222326634411345</v>
      </c>
      <c r="E949" s="1">
        <v>0.009332796315326908</v>
      </c>
      <c r="F949" s="1">
        <v>0.006121206644125854</v>
      </c>
      <c r="G949" s="1">
        <v>-0.00141958951636334</v>
      </c>
      <c r="H949" s="1">
        <v>0.008832350314419424</v>
      </c>
      <c r="I949" s="1">
        <v>0.008849964106828034</v>
      </c>
      <c r="J949" s="1">
        <v>0.006134993362585384</v>
      </c>
      <c r="K949" s="1">
        <v>0.007020678603725905</v>
      </c>
      <c r="L949" s="1">
        <v>0.007243657513053448</v>
      </c>
      <c r="M949" s="1">
        <v>0.00867428407741766</v>
      </c>
      <c r="N949" s="1">
        <v>0.01095214131998823</v>
      </c>
      <c r="O949" s="1">
        <v>0.003884521695760368</v>
      </c>
      <c r="P949" s="1">
        <v>0.01894293651339485</v>
      </c>
      <c r="Q949" s="1">
        <v>0.007284005220930423</v>
      </c>
      <c r="R949" s="1">
        <v>0.004957456617283196</v>
      </c>
      <c r="S949" s="1">
        <v>0.002066302540743914</v>
      </c>
      <c r="T949" s="1">
        <v>0.01780418978701603</v>
      </c>
      <c r="U949" s="1">
        <v>0.00666316955001367</v>
      </c>
      <c r="V949" s="1">
        <v>0.01695524498457202</v>
      </c>
      <c r="W949" s="1">
        <v>0.01684237781419173</v>
      </c>
      <c r="X949" s="1">
        <v>0.009063131264061886</v>
      </c>
      <c r="Y949" s="1">
        <v>0.001946001489595561</v>
      </c>
      <c r="Z949" s="1">
        <v>0.004975218309444251</v>
      </c>
    </row>
    <row r="950" spans="1:26">
      <c r="A950" s="11">
        <v>43748</v>
      </c>
      <c r="B950" s="1">
        <v>-0.00487067229365179</v>
      </c>
      <c r="C950" s="1">
        <v>-0.01056109475347178</v>
      </c>
      <c r="D950" s="1">
        <v>0.008170070647816718</v>
      </c>
      <c r="E950" s="1">
        <v>-0.0009835586459594481</v>
      </c>
      <c r="F950" s="1">
        <v>0.002703723635171018</v>
      </c>
      <c r="G950" s="1">
        <v>0.0007108858204851742</v>
      </c>
      <c r="H950" s="1">
        <v>0.01046368215549953</v>
      </c>
      <c r="I950" s="1">
        <v>0.008231969344147716</v>
      </c>
      <c r="J950" s="1">
        <v>-0.02256088373415244</v>
      </c>
      <c r="K950" s="1">
        <v>0.004567105569854846</v>
      </c>
      <c r="L950" s="1">
        <v>0.01402839790793209</v>
      </c>
      <c r="M950" s="1">
        <v>0.00336514630336171</v>
      </c>
      <c r="N950" s="1">
        <v>0.01224716683541205</v>
      </c>
      <c r="O950" s="1">
        <v>0.0111912384582713</v>
      </c>
      <c r="P950" s="1">
        <v>0.006221184308204952</v>
      </c>
      <c r="Q950" s="1">
        <v>-0.00103283501646112</v>
      </c>
      <c r="R950" s="1">
        <v>0.006428709861924453</v>
      </c>
      <c r="S950" s="1">
        <v>-0.002547223168913204</v>
      </c>
      <c r="T950" s="1">
        <v>0.005470845058628937</v>
      </c>
      <c r="U950" s="1">
        <v>0.009986707698204533</v>
      </c>
      <c r="V950" s="1">
        <v>0.001903077959105826</v>
      </c>
      <c r="W950" s="1">
        <v>0.01500872101785555</v>
      </c>
      <c r="X950" s="1">
        <v>0.014970233586173</v>
      </c>
      <c r="Y950" s="1">
        <v>0.01030020738947557</v>
      </c>
      <c r="Z950" s="1">
        <v>0.01862345642816443</v>
      </c>
    </row>
    <row r="951" spans="1:26">
      <c r="A951" s="11">
        <v>43749</v>
      </c>
      <c r="B951" s="1">
        <v>0.04845770573704611</v>
      </c>
      <c r="C951" s="1">
        <v>0.0105661224733371</v>
      </c>
      <c r="D951" s="1">
        <v>0.004794004055670209</v>
      </c>
      <c r="E951" s="1">
        <v>0.01634472352181149</v>
      </c>
      <c r="F951" s="1">
        <v>0.02359554773370642</v>
      </c>
      <c r="G951" s="1">
        <v>0.003906274970484125</v>
      </c>
      <c r="H951" s="1">
        <v>-0.009509948003482038</v>
      </c>
      <c r="I951" s="1">
        <v>0.01877204179856395</v>
      </c>
      <c r="J951" s="1">
        <v>0.01310016467338038</v>
      </c>
      <c r="K951" s="1">
        <v>0.02225422901753249</v>
      </c>
      <c r="L951" s="1">
        <v>0.01689871499129914</v>
      </c>
      <c r="M951" s="1">
        <v>0.004658164981471646</v>
      </c>
      <c r="N951" s="1">
        <v>-0.009539319957194592</v>
      </c>
      <c r="O951" s="1">
        <v>0.008936621857225546</v>
      </c>
      <c r="P951" s="1">
        <v>0.004169489393875958</v>
      </c>
      <c r="Q951" s="1">
        <v>0.004481127882008273</v>
      </c>
      <c r="R951" s="1">
        <v>0.02644078926744475</v>
      </c>
      <c r="S951" s="1">
        <v>-0.002999551359777586</v>
      </c>
      <c r="T951" s="1">
        <v>-0.01555402137556294</v>
      </c>
      <c r="U951" s="1">
        <v>0.004275732899979845</v>
      </c>
      <c r="V951" s="1">
        <v>0.01139560840378473</v>
      </c>
      <c r="W951" s="1">
        <v>0.01061785613094157</v>
      </c>
      <c r="X951" s="1">
        <v>0.02949870015114286</v>
      </c>
      <c r="Y951" s="1">
        <v>0.001671756185200879</v>
      </c>
      <c r="Z951" s="1">
        <v>0.02036515181982934</v>
      </c>
    </row>
    <row r="952" spans="1:26">
      <c r="A952" s="11">
        <v>43752</v>
      </c>
      <c r="B952" s="1">
        <v>0.02427670346583288</v>
      </c>
      <c r="C952" s="1">
        <v>-0.004641134060185181</v>
      </c>
      <c r="D952" s="1">
        <v>-0.009428559172623974</v>
      </c>
      <c r="E952" s="1">
        <v>-0.000968693951179489</v>
      </c>
      <c r="F952" s="1">
        <v>-0.007025063058711534</v>
      </c>
      <c r="G952" s="1">
        <v>-0.0134418595918061</v>
      </c>
      <c r="H952" s="1">
        <v>-0.0008534960011048476</v>
      </c>
      <c r="I952" s="1">
        <v>-0.01181632461507875</v>
      </c>
      <c r="J952" s="1">
        <v>0.0184730571912517</v>
      </c>
      <c r="K952" s="1">
        <v>-0.01123580985022377</v>
      </c>
      <c r="L952" s="1">
        <v>0.002669063834821905</v>
      </c>
      <c r="M952" s="1">
        <v>0.002040052265571024</v>
      </c>
      <c r="N952" s="1">
        <v>0.003523591014388261</v>
      </c>
      <c r="O952" s="1">
        <v>0.0003089071343116423</v>
      </c>
      <c r="P952" s="1">
        <v>-0.0009302316935642096</v>
      </c>
      <c r="Q952" s="1">
        <v>-0.02059017319858314</v>
      </c>
      <c r="R952" s="1">
        <v>0.005499378913581321</v>
      </c>
      <c r="S952" s="1">
        <v>-0.002561411168610306</v>
      </c>
      <c r="T952" s="1">
        <v>0.000618289280369666</v>
      </c>
      <c r="U952" s="1">
        <v>-0.002927044430902526</v>
      </c>
      <c r="V952" s="1">
        <v>-0.006080948326404267</v>
      </c>
      <c r="W952" s="1">
        <v>0.002150446618147672</v>
      </c>
      <c r="X952" s="1">
        <v>0.0141218026844554</v>
      </c>
      <c r="Y952" s="1">
        <v>-0.005506354724632345</v>
      </c>
      <c r="Z952" s="1">
        <v>0.001361004014326372</v>
      </c>
    </row>
    <row r="953" spans="1:26">
      <c r="A953" s="11">
        <v>43753</v>
      </c>
      <c r="B953" s="1">
        <v>0.01093880312772022</v>
      </c>
      <c r="C953" s="1">
        <v>-0.00594886040371656</v>
      </c>
      <c r="D953" s="1">
        <v>0.006192784566098286</v>
      </c>
      <c r="E953" s="1">
        <v>0.005236670775850216</v>
      </c>
      <c r="F953" s="1">
        <v>0.00972778639545524</v>
      </c>
      <c r="G953" s="1">
        <v>0.01039800617513764</v>
      </c>
      <c r="H953" s="1">
        <v>-0.004697715151799065</v>
      </c>
      <c r="I953" s="1">
        <v>0.02196198659514481</v>
      </c>
      <c r="J953" s="1">
        <v>0.0163240229221544</v>
      </c>
      <c r="K953" s="1">
        <v>-0.00094727715906473</v>
      </c>
      <c r="L953" s="1">
        <v>0.03014171371601138</v>
      </c>
      <c r="M953" s="1">
        <v>0.002406118694936676</v>
      </c>
      <c r="N953" s="1">
        <v>0.01661973881556289</v>
      </c>
      <c r="O953" s="1">
        <v>0.005766263611388878</v>
      </c>
      <c r="P953" s="1">
        <v>0.01447475128280318</v>
      </c>
      <c r="Q953" s="1">
        <v>-0.01401555698160195</v>
      </c>
      <c r="R953" s="1">
        <v>0.0125218516990615</v>
      </c>
      <c r="S953" s="1">
        <v>-0.009945780885058486</v>
      </c>
      <c r="T953" s="1">
        <v>0.01551717330633662</v>
      </c>
      <c r="U953" s="1">
        <v>0.01147590537886445</v>
      </c>
      <c r="V953" s="1">
        <v>0.006657715531024344</v>
      </c>
      <c r="W953" s="1">
        <v>0.006226775275917751</v>
      </c>
      <c r="X953" s="1">
        <v>0.02179609306330721</v>
      </c>
      <c r="Y953" s="1">
        <v>0.01593950995260851</v>
      </c>
      <c r="Z953" s="1">
        <v>0.01381668199872244</v>
      </c>
    </row>
    <row r="954" spans="1:26">
      <c r="A954" s="11">
        <v>43754</v>
      </c>
      <c r="B954" s="1">
        <v>-0.01893579659482469</v>
      </c>
      <c r="C954" s="1">
        <v>0.00396267134624706</v>
      </c>
      <c r="D954" s="1">
        <v>-0.00820632495344964</v>
      </c>
      <c r="E954" s="1">
        <v>-0.006173972941201478</v>
      </c>
      <c r="F954" s="1">
        <v>-0.001532215882435017</v>
      </c>
      <c r="G954" s="1">
        <v>0.01561409244382661</v>
      </c>
      <c r="H954" s="1">
        <v>0.01201454645691169</v>
      </c>
      <c r="I954" s="1">
        <v>-0.009152054179835112</v>
      </c>
      <c r="J954" s="1">
        <v>0.01368241535169479</v>
      </c>
      <c r="K954" s="1">
        <v>-0.004739111609956437</v>
      </c>
      <c r="L954" s="1">
        <v>-0.002334126901976985</v>
      </c>
      <c r="M954" s="1">
        <v>-0.009047376064685753</v>
      </c>
      <c r="N954" s="1">
        <v>0.00184209635822663</v>
      </c>
      <c r="O954" s="1">
        <v>0.005323497349465356</v>
      </c>
      <c r="P954" s="1">
        <v>-0.008193716599331324</v>
      </c>
      <c r="Q954" s="1">
        <v>-0.006041226125071741</v>
      </c>
      <c r="R954" s="1">
        <v>-0.003980458313996516</v>
      </c>
      <c r="S954" s="1">
        <v>-0.003458269227807786</v>
      </c>
      <c r="T954" s="1">
        <v>0.009572871989740772</v>
      </c>
      <c r="U954" s="1">
        <v>-0.00290254128222811</v>
      </c>
      <c r="V954" s="1">
        <v>0.00268129449289578</v>
      </c>
      <c r="W954" s="1">
        <v>-0.01908968368559294</v>
      </c>
      <c r="X954" s="1">
        <v>-0.003160185508414903</v>
      </c>
      <c r="Y954" s="1">
        <v>-0.004294301877755369</v>
      </c>
      <c r="Z954" s="1">
        <v>-0.002234097459264506</v>
      </c>
    </row>
    <row r="955" spans="1:26">
      <c r="A955" s="11">
        <v>43755</v>
      </c>
      <c r="B955" s="1">
        <v>0.01654388066845547</v>
      </c>
      <c r="C955" s="1">
        <v>-0.009048587874907144</v>
      </c>
      <c r="D955" s="1">
        <v>0.009538191055688205</v>
      </c>
      <c r="E955" s="1">
        <v>0.01766640872253222</v>
      </c>
      <c r="F955" s="1">
        <v>0.007236285459105041</v>
      </c>
      <c r="G955" s="1">
        <v>0.003144446409303558</v>
      </c>
      <c r="H955" s="1">
        <v>0.01674783343076935</v>
      </c>
      <c r="I955" s="1">
        <v>0.006313505637876027</v>
      </c>
      <c r="J955" s="1">
        <v>-0.004694954792167194</v>
      </c>
      <c r="K955" s="1">
        <v>0.01380952266692348</v>
      </c>
      <c r="L955" s="1">
        <v>0.005598441047849789</v>
      </c>
      <c r="M955" s="1">
        <v>0.0035402895949872</v>
      </c>
      <c r="N955" s="1">
        <v>0.01769716213905492</v>
      </c>
      <c r="O955" s="1">
        <v>0.002545704650874336</v>
      </c>
      <c r="P955" s="1">
        <v>-0.005127639115540927</v>
      </c>
      <c r="Q955" s="1">
        <v>-0.0007149261395952289</v>
      </c>
      <c r="R955" s="1">
        <v>0.01013279452392335</v>
      </c>
      <c r="S955" s="1">
        <v>-0.005618669676215937</v>
      </c>
      <c r="T955" s="1">
        <v>-0.006557557385211021</v>
      </c>
      <c r="U955" s="1">
        <v>0.0005291940666363182</v>
      </c>
      <c r="V955" s="1">
        <v>0.009269627719471041</v>
      </c>
      <c r="W955" s="1">
        <v>0.003671717994677026</v>
      </c>
      <c r="X955" s="1">
        <v>-0.05389331450582358</v>
      </c>
      <c r="Y955" s="1">
        <v>0.001990483040979596</v>
      </c>
      <c r="Z955" s="1">
        <v>-0.0138829812947997</v>
      </c>
    </row>
    <row r="956" spans="1:26">
      <c r="A956" s="11">
        <v>43756</v>
      </c>
      <c r="B956" s="1">
        <v>0.01446680200157746</v>
      </c>
      <c r="C956" s="1">
        <v>-0.06790231191519602</v>
      </c>
      <c r="D956" s="1">
        <v>0.001593635585326103</v>
      </c>
      <c r="E956" s="1">
        <v>0.01163690109990734</v>
      </c>
      <c r="F956" s="1">
        <v>-0.007837877624181755</v>
      </c>
      <c r="G956" s="1">
        <v>-0.002438300146363925</v>
      </c>
      <c r="H956" s="1">
        <v>-0.008340371783297384</v>
      </c>
      <c r="I956" s="1">
        <v>0.01034043862253831</v>
      </c>
      <c r="J956" s="1">
        <v>-0.006485715667824077</v>
      </c>
      <c r="K956" s="1">
        <v>-0.01714441598138194</v>
      </c>
      <c r="L956" s="1">
        <v>0.001744770278867325</v>
      </c>
      <c r="M956" s="1">
        <v>-0.007055367232691956</v>
      </c>
      <c r="N956" s="1">
        <v>0.001129024288172076</v>
      </c>
      <c r="O956" s="1">
        <v>0.006094435941017107</v>
      </c>
      <c r="P956" s="1">
        <v>-0.01632220059285661</v>
      </c>
      <c r="Q956" s="1">
        <v>0.001073113519307611</v>
      </c>
      <c r="R956" s="1">
        <v>0.01780200224087247</v>
      </c>
      <c r="S956" s="1">
        <v>0.003572930748374947</v>
      </c>
      <c r="T956" s="1">
        <v>0.0005708649081397343</v>
      </c>
      <c r="U956" s="1">
        <v>0.01745554218407719</v>
      </c>
      <c r="V956" s="1">
        <v>-0.003709193544292111</v>
      </c>
      <c r="W956" s="1">
        <v>-0.0006038976802068552</v>
      </c>
      <c r="X956" s="1">
        <v>-0.03643986135877519</v>
      </c>
      <c r="Y956" s="1">
        <v>0.01059447827347859</v>
      </c>
      <c r="Z956" s="1">
        <v>0.01544043272561479</v>
      </c>
    </row>
    <row r="957" spans="1:26">
      <c r="A957" s="11">
        <v>43759</v>
      </c>
      <c r="B957" s="1">
        <v>0.02613765292160442</v>
      </c>
      <c r="C957" s="1">
        <v>-0.03761623796688629</v>
      </c>
      <c r="D957" s="1">
        <v>0.005228123796374939</v>
      </c>
      <c r="E957" s="1">
        <v>0.003205812949200748</v>
      </c>
      <c r="F957" s="1">
        <v>0.01119176696600777</v>
      </c>
      <c r="G957" s="1">
        <v>0.003491650329563667</v>
      </c>
      <c r="H957" s="1">
        <v>0.006938621251060262</v>
      </c>
      <c r="I957" s="1">
        <v>0.0006324357984828222</v>
      </c>
      <c r="J957" s="1">
        <v>0.008901819986276482</v>
      </c>
      <c r="K957" s="1">
        <v>0.01290344060689019</v>
      </c>
      <c r="L957" s="1">
        <v>0.0248011367487444</v>
      </c>
      <c r="M957" s="1">
        <v>-0.004674791976725823</v>
      </c>
      <c r="N957" s="1">
        <v>0.0277465973035651</v>
      </c>
      <c r="O957" s="1">
        <v>0.006966159457308496</v>
      </c>
      <c r="P957" s="1">
        <v>0.007423193852272414</v>
      </c>
      <c r="Q957" s="1">
        <v>0.002501733301528253</v>
      </c>
      <c r="R957" s="1">
        <v>0.01332581816281442</v>
      </c>
      <c r="S957" s="1">
        <v>0.009273352044590899</v>
      </c>
      <c r="T957" s="1">
        <v>-0.01863217047169463</v>
      </c>
      <c r="U957" s="1">
        <v>-0.006238496641616909</v>
      </c>
      <c r="V957" s="1">
        <v>0.007712145243981894</v>
      </c>
      <c r="W957" s="1">
        <v>0.007533611830462528</v>
      </c>
      <c r="X957" s="1">
        <v>0.02608144307884208</v>
      </c>
      <c r="Y957" s="1">
        <v>-0.004914027167721824</v>
      </c>
      <c r="Z957" s="1">
        <v>0.02124367317738263</v>
      </c>
    </row>
    <row r="958" spans="1:26">
      <c r="A958" s="11">
        <v>43760</v>
      </c>
      <c r="B958" s="1">
        <v>0.007905346502816268</v>
      </c>
      <c r="C958" s="1">
        <v>0.01794235925683152</v>
      </c>
      <c r="D958" s="1">
        <v>-0.01594141082426381</v>
      </c>
      <c r="E958" s="1">
        <v>0.02293210101461129</v>
      </c>
      <c r="F958" s="1">
        <v>-0.006727505485954466</v>
      </c>
      <c r="G958" s="1">
        <v>0.0191370554544037</v>
      </c>
      <c r="H958" s="1">
        <v>-0.00459383827963411</v>
      </c>
      <c r="I958" s="1">
        <v>0.006435730901074521</v>
      </c>
      <c r="J958" s="1">
        <v>0.007059184927150852</v>
      </c>
      <c r="K958" s="1">
        <v>0.007077165268057906</v>
      </c>
      <c r="L958" s="1">
        <v>0.01003623366189355</v>
      </c>
      <c r="M958" s="1">
        <v>-0.005823706884793278</v>
      </c>
      <c r="N958" s="1">
        <v>0.0171201832181811</v>
      </c>
      <c r="O958" s="1">
        <v>-0.006917967790558976</v>
      </c>
      <c r="P958" s="1">
        <v>-0.01488094610096991</v>
      </c>
      <c r="Q958" s="1">
        <v>0.007843384786943464</v>
      </c>
      <c r="R958" s="1">
        <v>0.04616420884509553</v>
      </c>
      <c r="S958" s="1">
        <v>-0.01333120155285727</v>
      </c>
      <c r="T958" s="1">
        <v>0.02994124767369555</v>
      </c>
      <c r="U958" s="1">
        <v>-0.00156941495030094</v>
      </c>
      <c r="V958" s="1">
        <v>-0.004310370412954012</v>
      </c>
      <c r="W958" s="1">
        <v>-0.008993642578251415</v>
      </c>
      <c r="X958" s="1">
        <v>-0.01207362888906949</v>
      </c>
      <c r="Y958" s="1">
        <v>0.0003291576869650648</v>
      </c>
      <c r="Z958" s="1">
        <v>0.05276983047344941</v>
      </c>
    </row>
    <row r="959" spans="1:26">
      <c r="A959" s="11">
        <v>43761</v>
      </c>
      <c r="B959" s="1">
        <v>0.02570785630661154</v>
      </c>
      <c r="C959" s="1">
        <v>0.0103857387318016</v>
      </c>
      <c r="D959" s="1">
        <v>0.01045488019706897</v>
      </c>
      <c r="E959" s="1">
        <v>0.006431631820001726</v>
      </c>
      <c r="F959" s="1">
        <v>-0.001092420368390301</v>
      </c>
      <c r="G959" s="1">
        <v>0.01058390077169524</v>
      </c>
      <c r="H959" s="1">
        <v>0.002726951792969112</v>
      </c>
      <c r="I959" s="1">
        <v>-0.0008563039936493322</v>
      </c>
      <c r="J959" s="1">
        <v>0</v>
      </c>
      <c r="K959" s="1">
        <v>-0.007496179550307236</v>
      </c>
      <c r="L959" s="1">
        <v>0.002644501967371982</v>
      </c>
      <c r="M959" s="1">
        <v>0.006046892776126356</v>
      </c>
      <c r="N959" s="1">
        <v>0.008847718869831489</v>
      </c>
      <c r="O959" s="1">
        <v>-0.0006057604509751569</v>
      </c>
      <c r="P959" s="1">
        <v>0.006379555150648031</v>
      </c>
      <c r="Q959" s="1">
        <v>-0.004244799655792608</v>
      </c>
      <c r="R959" s="1">
        <v>-0.01649857542807687</v>
      </c>
      <c r="S959" s="1">
        <v>-0.0004987073461402147</v>
      </c>
      <c r="T959" s="1">
        <v>-0.005327233018703526</v>
      </c>
      <c r="U959" s="1">
        <v>-0.01126524079686564</v>
      </c>
      <c r="V959" s="1">
        <v>-0.01616726568869187</v>
      </c>
      <c r="W959" s="1">
        <v>0.05672744474097535</v>
      </c>
      <c r="X959" s="1">
        <v>0.003215853248117462</v>
      </c>
      <c r="Y959" s="1">
        <v>0.001810142965640971</v>
      </c>
      <c r="Z959" s="1">
        <v>-0.002911801525757429</v>
      </c>
    </row>
    <row r="960" spans="1:26">
      <c r="A960" s="11">
        <v>43762</v>
      </c>
      <c r="B960" s="1">
        <v>-0.01316902544944032</v>
      </c>
      <c r="C960" s="1">
        <v>0.01189417764864209</v>
      </c>
      <c r="D960" s="1">
        <v>-0.1008528445846285</v>
      </c>
      <c r="E960" s="1">
        <v>-0.007303424534691239</v>
      </c>
      <c r="F960" s="1">
        <v>-0.01924771184502805</v>
      </c>
      <c r="G960" s="1">
        <v>0.01891903439502651</v>
      </c>
      <c r="H960" s="1">
        <v>-0.01506239085595162</v>
      </c>
      <c r="I960" s="1">
        <v>-0.01651461510595231</v>
      </c>
      <c r="J960" s="1">
        <v>0</v>
      </c>
      <c r="K960" s="1">
        <v>-0.001652028846543585</v>
      </c>
      <c r="L960" s="1">
        <v>-0.0007194184232849343</v>
      </c>
      <c r="M960" s="1">
        <v>0.05728778409975166</v>
      </c>
      <c r="N960" s="1">
        <v>0.004491928793497912</v>
      </c>
      <c r="O960" s="1">
        <v>-0.002929502451231247</v>
      </c>
      <c r="P960" s="1">
        <v>0.01967382725319045</v>
      </c>
      <c r="Q960" s="1">
        <v>0.001776099630666828</v>
      </c>
      <c r="R960" s="1">
        <v>0.00252952301290299</v>
      </c>
      <c r="S960" s="1">
        <v>0.003951607116684519</v>
      </c>
      <c r="T960" s="1">
        <v>0.01805386662067732</v>
      </c>
      <c r="U960" s="1">
        <v>-0.02437750566655128</v>
      </c>
      <c r="V960" s="1">
        <v>-0.00996782257217721</v>
      </c>
      <c r="W960" s="1">
        <v>-0.011753325332858</v>
      </c>
      <c r="X960" s="1">
        <v>-0.0008548228820804971</v>
      </c>
      <c r="Y960" s="1">
        <v>-0.004927656526705126</v>
      </c>
      <c r="Z960" s="1">
        <v>-0.008969565397863088</v>
      </c>
    </row>
    <row r="961" spans="1:26">
      <c r="A961" s="11">
        <v>43763</v>
      </c>
      <c r="B961" s="1">
        <v>-0.04993525780096264</v>
      </c>
      <c r="C961" s="1">
        <v>-0.01369892723088484</v>
      </c>
      <c r="D961" s="1">
        <v>-0.02276167339100044</v>
      </c>
      <c r="E961" s="1">
        <v>0.01121944865513758</v>
      </c>
      <c r="F961" s="1">
        <v>0.01806465812437996</v>
      </c>
      <c r="G961" s="1">
        <v>-0.02055711132990667</v>
      </c>
      <c r="H961" s="1">
        <v>-0.0131693458040345</v>
      </c>
      <c r="I961" s="1">
        <v>0.005810500119087569</v>
      </c>
      <c r="J961" s="1">
        <v>0.01226624342492943</v>
      </c>
      <c r="K961" s="1">
        <v>0.006146601293791187</v>
      </c>
      <c r="L961" s="1">
        <v>0.007998165071424701</v>
      </c>
      <c r="M961" s="1">
        <v>0.007994314308420458</v>
      </c>
      <c r="N961" s="1">
        <v>-0.003407040901186154</v>
      </c>
      <c r="O961" s="1">
        <v>-0.01144882848996776</v>
      </c>
      <c r="P961" s="1">
        <v>0.00564476851787421</v>
      </c>
      <c r="Q961" s="1">
        <v>-0.005673697442731274</v>
      </c>
      <c r="R961" s="1">
        <v>0.02124816853071931</v>
      </c>
      <c r="S961" s="1">
        <v>-0.030533988503889</v>
      </c>
      <c r="T961" s="1">
        <v>0.001532847285262262</v>
      </c>
      <c r="U961" s="1">
        <v>0.002444326450216083</v>
      </c>
      <c r="V961" s="1">
        <v>-0.01115645106387264</v>
      </c>
      <c r="W961" s="1">
        <v>0.01104143606709429</v>
      </c>
      <c r="X961" s="1">
        <v>0.0109090983920288</v>
      </c>
      <c r="Y961" s="1">
        <v>-0.00346678561020386</v>
      </c>
      <c r="Z961" s="1">
        <v>0.009261082561974554</v>
      </c>
    </row>
    <row r="962" spans="1:26">
      <c r="A962" s="11">
        <v>43766</v>
      </c>
      <c r="B962" s="1">
        <v>-0.01540598686001249</v>
      </c>
      <c r="C962" s="1">
        <v>0.003089738531649067</v>
      </c>
      <c r="D962" s="1">
        <v>0.007375831267540489</v>
      </c>
      <c r="E962" s="1">
        <v>0.01109487939077236</v>
      </c>
      <c r="F962" s="1">
        <v>-0.004600072816452472</v>
      </c>
      <c r="G962" s="1">
        <v>-0.01354099901655237</v>
      </c>
      <c r="H962" s="1">
        <v>0.002152570168781454</v>
      </c>
      <c r="I962" s="1">
        <v>0.00138629000456203</v>
      </c>
      <c r="J962" s="1">
        <v>0.01731073398600658</v>
      </c>
      <c r="K962" s="1">
        <v>0.002584499673231377</v>
      </c>
      <c r="L962" s="1">
        <v>0.003808662762667891</v>
      </c>
      <c r="M962" s="1">
        <v>0.01586189796121262</v>
      </c>
      <c r="N962" s="1">
        <v>-0.01730771953646637</v>
      </c>
      <c r="O962" s="1">
        <v>0.003074570608382565</v>
      </c>
      <c r="P962" s="1">
        <v>0.02458604111187901</v>
      </c>
      <c r="Q962" s="1">
        <v>-0.02104147727637329</v>
      </c>
      <c r="R962" s="1">
        <v>0.007932681596350744</v>
      </c>
      <c r="S962" s="1">
        <v>-0.005983075452942965</v>
      </c>
      <c r="T962" s="1">
        <v>0.005757535415880533</v>
      </c>
      <c r="U962" s="1">
        <v>0.04280697109976472</v>
      </c>
      <c r="V962" s="1">
        <v>0.006420744583209403</v>
      </c>
      <c r="W962" s="1">
        <v>0.0108535566520227</v>
      </c>
      <c r="X962" s="1">
        <v>-0.00486671574365849</v>
      </c>
      <c r="Y962" s="1">
        <v>-0.00314705559358941</v>
      </c>
      <c r="Z962" s="1">
        <v>0.01772688561198943</v>
      </c>
    </row>
    <row r="963" spans="1:26">
      <c r="A963" s="11">
        <v>43767</v>
      </c>
      <c r="B963" s="1">
        <v>0.01472648361783868</v>
      </c>
      <c r="C963" s="1">
        <v>0.02361536327934699</v>
      </c>
      <c r="D963" s="1">
        <v>0.0001286823557995476</v>
      </c>
      <c r="E963" s="1">
        <v>0.003237995752856992</v>
      </c>
      <c r="F963" s="1">
        <v>-0.001981007542205759</v>
      </c>
      <c r="G963" s="1">
        <v>-0.003431500857914771</v>
      </c>
      <c r="H963" s="1">
        <v>-0.001503404850226375</v>
      </c>
      <c r="I963" s="1">
        <v>0.004384468445697065</v>
      </c>
      <c r="J963" s="1">
        <v>-0.001701331534704531</v>
      </c>
      <c r="K963" s="1">
        <v>0.01617083552568621</v>
      </c>
      <c r="L963" s="1">
        <v>-0.0006323445918624548</v>
      </c>
      <c r="M963" s="1">
        <v>-0.007460262018498254</v>
      </c>
      <c r="N963" s="1">
        <v>0.008480162857016582</v>
      </c>
      <c r="O963" s="1">
        <v>0.04311863396216786</v>
      </c>
      <c r="P963" s="1">
        <v>-0.009431594603944826</v>
      </c>
      <c r="Q963" s="1">
        <v>-0.005100159957377337</v>
      </c>
      <c r="R963" s="1">
        <v>-0.002451104557629535</v>
      </c>
      <c r="S963" s="1">
        <v>0.009028412482536163</v>
      </c>
      <c r="T963" s="1">
        <v>0.005827873291760488</v>
      </c>
      <c r="U963" s="1">
        <v>-0.01117189378630012</v>
      </c>
      <c r="V963" s="1">
        <v>-0.01430912054263234</v>
      </c>
      <c r="W963" s="1">
        <v>-0.006502254940492169</v>
      </c>
      <c r="X963" s="1">
        <v>0.001701166613604865</v>
      </c>
      <c r="Y963" s="1">
        <v>0.0001660439160373617</v>
      </c>
      <c r="Z963" s="1">
        <v>0.01188511216596866</v>
      </c>
    </row>
    <row r="964" spans="1:26">
      <c r="A964" s="11">
        <v>43768</v>
      </c>
      <c r="B964" s="1">
        <v>-0.03129224448901502</v>
      </c>
      <c r="C964" s="1">
        <v>-0.008225188176422482</v>
      </c>
      <c r="D964" s="1">
        <v>-0.01258699197632551</v>
      </c>
      <c r="E964" s="1">
        <v>0.01972382692771579</v>
      </c>
      <c r="F964" s="1">
        <v>-0.01455345150509724</v>
      </c>
      <c r="G964" s="1">
        <v>0.001377151804661692</v>
      </c>
      <c r="H964" s="1">
        <v>-0.004732386806822197</v>
      </c>
      <c r="I964" s="1">
        <v>-0.001665851599001344</v>
      </c>
      <c r="J964" s="1">
        <v>0.001136270302117603</v>
      </c>
      <c r="K964" s="1">
        <v>-0.003459421573071775</v>
      </c>
      <c r="L964" s="1">
        <v>-0.005536768916102219</v>
      </c>
      <c r="M964" s="1">
        <v>-0.002971365406114868</v>
      </c>
      <c r="N964" s="1">
        <v>-0.009056021236691247</v>
      </c>
      <c r="O964" s="1">
        <v>0.01410500116196989</v>
      </c>
      <c r="P964" s="1">
        <v>0.01246232240545808</v>
      </c>
      <c r="Q964" s="1">
        <v>0.01475502622536951</v>
      </c>
      <c r="R964" s="1">
        <v>-0.01099330725978054</v>
      </c>
      <c r="S964" s="1">
        <v>-0.04874330144828232</v>
      </c>
      <c r="T964" s="1">
        <v>0.007943576972715638</v>
      </c>
      <c r="U964" s="1">
        <v>0.003678710153040443</v>
      </c>
      <c r="V964" s="1">
        <v>-0.00203376155288959</v>
      </c>
      <c r="W964" s="1">
        <v>0.01312302288580613</v>
      </c>
      <c r="X964" s="1">
        <v>-0.009127455685991048</v>
      </c>
      <c r="Y964" s="1">
        <v>0.01046690434533493</v>
      </c>
      <c r="Z964" s="1">
        <v>-0.003240179279421773</v>
      </c>
    </row>
    <row r="965" spans="1:26">
      <c r="A965" s="11">
        <v>43769</v>
      </c>
      <c r="B965" s="1">
        <v>0.01404474386678523</v>
      </c>
      <c r="C965" s="1">
        <v>-0.01777139935047234</v>
      </c>
      <c r="D965" s="1">
        <v>-0.002341470241460808</v>
      </c>
      <c r="E965" s="1">
        <v>0.008792019949258378</v>
      </c>
      <c r="F965" s="1">
        <v>0.002908910349975757</v>
      </c>
      <c r="G965" s="1">
        <v>-0.000343794626042393</v>
      </c>
      <c r="H965" s="1">
        <v>0.0008646695350711386</v>
      </c>
      <c r="I965" s="1">
        <v>0.001841221767307166</v>
      </c>
      <c r="J965" s="1">
        <v>-0.01418833861917546</v>
      </c>
      <c r="K965" s="1">
        <v>0.002777022888687863</v>
      </c>
      <c r="L965" s="1">
        <v>-0.006442408852963988</v>
      </c>
      <c r="M965" s="1">
        <v>-0.01595366696565226</v>
      </c>
      <c r="N965" s="1">
        <v>-0.02545674639966711</v>
      </c>
      <c r="O965" s="1">
        <v>0.0008694856230990755</v>
      </c>
      <c r="P965" s="1">
        <v>-0.00857514229904166</v>
      </c>
      <c r="Q965" s="1">
        <v>0.01926553356361982</v>
      </c>
      <c r="R965" s="1">
        <v>-0.00536158897196215</v>
      </c>
      <c r="S965" s="1">
        <v>-0.001791357521618853</v>
      </c>
      <c r="T965" s="1">
        <v>-0.02372802333650526</v>
      </c>
      <c r="U965" s="1">
        <v>0.007591478127795481</v>
      </c>
      <c r="V965" s="1">
        <v>-0.009451020023637846</v>
      </c>
      <c r="W965" s="1">
        <v>0.0003976801442115985</v>
      </c>
      <c r="X965" s="1">
        <v>-0.01263929371702877</v>
      </c>
      <c r="Y965" s="1">
        <v>-0.005754558212185068</v>
      </c>
      <c r="Z965" s="1">
        <v>-0.01523773169432097</v>
      </c>
    </row>
    <row r="966" spans="1:26">
      <c r="A966" s="11">
        <v>43770</v>
      </c>
      <c r="B966" s="1">
        <v>0.09926106665964696</v>
      </c>
      <c r="C966" s="1">
        <v>0.0155335371295906</v>
      </c>
      <c r="D966" s="1">
        <v>0.01577626224148254</v>
      </c>
      <c r="E966" s="1">
        <v>-0.003660238229263868</v>
      </c>
      <c r="F966" s="1">
        <v>-0.001562048825904827</v>
      </c>
      <c r="G966" s="1">
        <v>-0.001719881862915273</v>
      </c>
      <c r="H966" s="1">
        <v>0.004966365067375689</v>
      </c>
      <c r="I966" s="1">
        <v>0.01131267629667598</v>
      </c>
      <c r="J966" s="1">
        <v>0.02360392073872575</v>
      </c>
      <c r="K966" s="1">
        <v>0.01130839376901216</v>
      </c>
      <c r="L966" s="1">
        <v>0.0230548146506655</v>
      </c>
      <c r="M966" s="1">
        <v>0.002315948831129511</v>
      </c>
      <c r="N966" s="1">
        <v>0.006028337213069834</v>
      </c>
      <c r="O966" s="1">
        <v>0.006272952085768058</v>
      </c>
      <c r="P966" s="1">
        <v>0.002441447424046617</v>
      </c>
      <c r="Q966" s="1">
        <v>-0.0139089260613473</v>
      </c>
      <c r="R966" s="1">
        <v>0.02616347558351784</v>
      </c>
      <c r="S966" s="1">
        <v>-0.01615380989145254</v>
      </c>
      <c r="T966" s="1">
        <v>0.01279000784786821</v>
      </c>
      <c r="U966" s="1">
        <v>0.01195104077563602</v>
      </c>
      <c r="V966" s="1">
        <v>0.008511870465529148</v>
      </c>
      <c r="W966" s="1">
        <v>0.005364385092593293</v>
      </c>
      <c r="X966" s="1">
        <v>0.02408339615335264</v>
      </c>
      <c r="Y966" s="1">
        <v>-0.001653968914229975</v>
      </c>
      <c r="Z966" s="1">
        <v>0.01815551676180149</v>
      </c>
    </row>
    <row r="967" spans="1:26">
      <c r="A967" s="11">
        <v>43773</v>
      </c>
      <c r="B967" s="1">
        <v>0.02981950474631656</v>
      </c>
      <c r="C967" s="1">
        <v>0.01709197572923693</v>
      </c>
      <c r="D967" s="1">
        <v>-0.001027116563344532</v>
      </c>
      <c r="E967" s="1">
        <v>-0.009097422156572832</v>
      </c>
      <c r="F967" s="1">
        <v>-0.01921742309880259</v>
      </c>
      <c r="G967" s="1">
        <v>-0.003790592903921031</v>
      </c>
      <c r="H967" s="1">
        <v>-0.004297213802088917</v>
      </c>
      <c r="I967" s="1">
        <v>0.01697799740689931</v>
      </c>
      <c r="J967" s="1">
        <v>0.01237326598132071</v>
      </c>
      <c r="K967" s="1">
        <v>0.01460515125956729</v>
      </c>
      <c r="L967" s="1">
        <v>0.00798119171212841</v>
      </c>
      <c r="M967" s="1">
        <v>0.01279769380579987</v>
      </c>
      <c r="N967" s="1">
        <v>0.01198384584685175</v>
      </c>
      <c r="O967" s="1">
        <v>-0.0151530019956162</v>
      </c>
      <c r="P967" s="1">
        <v>0.00577485919087839</v>
      </c>
      <c r="Q967" s="1">
        <v>-0.01229652890173083</v>
      </c>
      <c r="R967" s="1">
        <v>0.01601531881217966</v>
      </c>
      <c r="S967" s="1">
        <v>-0.01432102871719287</v>
      </c>
      <c r="T967" s="1">
        <v>-0.01490562842170784</v>
      </c>
      <c r="U967" s="1">
        <v>-0.001540403910800903</v>
      </c>
      <c r="V967" s="1">
        <v>0.008810991148629155</v>
      </c>
      <c r="W967" s="1">
        <v>-0.009321321884870337</v>
      </c>
      <c r="X967" s="1">
        <v>0.0205504837273478</v>
      </c>
      <c r="Y967" s="1">
        <v>-0.008282143366177497</v>
      </c>
      <c r="Z967" s="1">
        <v>0.01742639297565329</v>
      </c>
    </row>
    <row r="968" spans="1:26">
      <c r="A968" s="11">
        <v>43774</v>
      </c>
      <c r="B968" s="1">
        <v>-0.02283831056721364</v>
      </c>
      <c r="C968" s="1">
        <v>0.02050761298100756</v>
      </c>
      <c r="D968" s="1">
        <v>-0.004496842872028894</v>
      </c>
      <c r="E968" s="1">
        <v>-0.004413773379505548</v>
      </c>
      <c r="F968" s="1">
        <v>0.008885342357759507</v>
      </c>
      <c r="G968" s="1">
        <v>-0.005880392451914407</v>
      </c>
      <c r="H968" s="1">
        <v>0.003236951735026139</v>
      </c>
      <c r="I968" s="1">
        <v>-0.001005387821205406</v>
      </c>
      <c r="J968" s="1">
        <v>0.02222244814563079</v>
      </c>
      <c r="K968" s="1">
        <v>-0.01282034477657701</v>
      </c>
      <c r="L968" s="1">
        <v>0.002173731696303749</v>
      </c>
      <c r="M968" s="1">
        <v>0.01579494124459879</v>
      </c>
      <c r="N968" s="1">
        <v>0.01425424634750438</v>
      </c>
      <c r="O968" s="1">
        <v>-0.00964083965189122</v>
      </c>
      <c r="P968" s="1">
        <v>-0.0006220504245906255</v>
      </c>
      <c r="Q968" s="1">
        <v>-0.01354803198138166</v>
      </c>
      <c r="R968" s="1">
        <v>0.004665909337688179</v>
      </c>
      <c r="S968" s="1">
        <v>-0.003932880107164194</v>
      </c>
      <c r="T968" s="1">
        <v>-0.01066548623909103</v>
      </c>
      <c r="U968" s="1">
        <v>0.007199984620513744</v>
      </c>
      <c r="V968" s="1">
        <v>0.0118600477315125</v>
      </c>
      <c r="W968" s="1">
        <v>-0.02706414737709573</v>
      </c>
      <c r="X968" s="1">
        <v>-0.01806083179379991</v>
      </c>
      <c r="Y968" s="1">
        <v>-0.006180148545223751</v>
      </c>
      <c r="Z968" s="1">
        <v>0.00995838552257533</v>
      </c>
    </row>
    <row r="969" spans="1:26">
      <c r="A969" s="11">
        <v>43775</v>
      </c>
      <c r="B969" s="1">
        <v>-0.01419064581924512</v>
      </c>
      <c r="C969" s="1">
        <v>-0.01144321702468432</v>
      </c>
      <c r="D969" s="1">
        <v>0.01148672353873703</v>
      </c>
      <c r="E969" s="1">
        <v>0.01010805283750904</v>
      </c>
      <c r="F969" s="1">
        <v>-0.00135497116678307</v>
      </c>
      <c r="G969" s="1">
        <v>0.001044067149850836</v>
      </c>
      <c r="H969" s="1">
        <v>0.00236603542196745</v>
      </c>
      <c r="I969" s="1">
        <v>-0.01648767272654161</v>
      </c>
      <c r="J969" s="1">
        <v>0.06358683800672438</v>
      </c>
      <c r="K969" s="1">
        <v>0.007746560988544093</v>
      </c>
      <c r="L969" s="1">
        <v>0.001549146194492756</v>
      </c>
      <c r="M969" s="1">
        <v>-0.0003454493161939576</v>
      </c>
      <c r="N969" s="1">
        <v>-0.007351345830512446</v>
      </c>
      <c r="O969" s="1">
        <v>0.01720749902623875</v>
      </c>
      <c r="P969" s="1">
        <v>-0.002769347491944907</v>
      </c>
      <c r="Q969" s="1">
        <v>0.005567950880038586</v>
      </c>
      <c r="R969" s="1">
        <v>0.000125245599513768</v>
      </c>
      <c r="S969" s="1">
        <v>-0.00362330709068126</v>
      </c>
      <c r="T969" s="1">
        <v>0.01828591121709122</v>
      </c>
      <c r="U969" s="1">
        <v>0.002042607952677411</v>
      </c>
      <c r="V969" s="1">
        <v>0.004088563452941063</v>
      </c>
      <c r="W969" s="1">
        <v>0.006629575787281405</v>
      </c>
      <c r="X969" s="1">
        <v>-0.007822545459042152</v>
      </c>
      <c r="Y969" s="1">
        <v>0.01058847548958397</v>
      </c>
      <c r="Z969" s="1">
        <v>-0.006704710889464227</v>
      </c>
    </row>
    <row r="970" spans="1:26">
      <c r="A970" s="11">
        <v>43776</v>
      </c>
      <c r="B970" s="1">
        <v>0.01947507859528841</v>
      </c>
      <c r="C970" s="1">
        <v>0.01469602844301487</v>
      </c>
      <c r="D970" s="1">
        <v>-0.004721074754053811</v>
      </c>
      <c r="E970" s="1">
        <v>0.01088513148593417</v>
      </c>
      <c r="F970" s="1">
        <v>0.01085481362615837</v>
      </c>
      <c r="G970" s="1">
        <v>0.00799424107893465</v>
      </c>
      <c r="H970" s="1">
        <v>-0.003862670008387914</v>
      </c>
      <c r="I970" s="1">
        <v>0.01091111909164866</v>
      </c>
      <c r="J970" s="1">
        <v>-0.009197498993204767</v>
      </c>
      <c r="K970" s="1">
        <v>-0.04386132626831352</v>
      </c>
      <c r="L970" s="1">
        <v>0.005413801713210153</v>
      </c>
      <c r="M970" s="1">
        <v>0.006567613284765628</v>
      </c>
      <c r="N970" s="1">
        <v>0.001524800988105257</v>
      </c>
      <c r="O970" s="1">
        <v>-0.002513123987048949</v>
      </c>
      <c r="P970" s="1">
        <v>0.00138857536020498</v>
      </c>
      <c r="Q970" s="1">
        <v>-0.01513462011494282</v>
      </c>
      <c r="R970" s="1">
        <v>0.002384536311092145</v>
      </c>
      <c r="S970" s="1">
        <v>-9.338732009833706E-05</v>
      </c>
      <c r="T970" s="1">
        <v>-0.01004787554036468</v>
      </c>
      <c r="U970" s="1">
        <v>0.004330828127637298</v>
      </c>
      <c r="V970" s="1">
        <v>0.0007237789273182305</v>
      </c>
      <c r="W970" s="1">
        <v>-0.00349624287971495</v>
      </c>
      <c r="X970" s="1">
        <v>0.004261773852363149</v>
      </c>
      <c r="Y970" s="1">
        <v>0.00665215850776657</v>
      </c>
      <c r="Z970" s="1">
        <v>0.01330154185657761</v>
      </c>
    </row>
    <row r="971" spans="1:26">
      <c r="A971" s="11">
        <v>43777</v>
      </c>
      <c r="B971" s="1">
        <v>0.01453496457238046</v>
      </c>
      <c r="C971" s="1">
        <v>-0.01765972153309303</v>
      </c>
      <c r="D971" s="1">
        <v>0.006538572960347544</v>
      </c>
      <c r="E971" s="1">
        <v>0.007641318941911113</v>
      </c>
      <c r="F971" s="1">
        <v>0.01096214363898707</v>
      </c>
      <c r="G971" s="1">
        <v>-0.007585858278790103</v>
      </c>
      <c r="H971" s="1">
        <v>-0.003662363829545101</v>
      </c>
      <c r="I971" s="1">
        <v>0.002641833979056374</v>
      </c>
      <c r="J971" s="1">
        <v>0.006703903325050886</v>
      </c>
      <c r="K971" s="1">
        <v>0.005438642606312882</v>
      </c>
      <c r="L971" s="1">
        <v>0.002923035670165275</v>
      </c>
      <c r="M971" s="1">
        <v>-0.00103030108373825</v>
      </c>
      <c r="N971" s="1">
        <v>0.009351691268551399</v>
      </c>
      <c r="O971" s="1">
        <v>0.001163078902074677</v>
      </c>
      <c r="P971" s="1">
        <v>0.01178410557482312</v>
      </c>
      <c r="Q971" s="1">
        <v>-0.01012024666137457</v>
      </c>
      <c r="R971" s="1">
        <v>0.006536973062191365</v>
      </c>
      <c r="S971" s="1">
        <v>-0.01454729127652377</v>
      </c>
      <c r="T971" s="1">
        <v>0.02087943837144346</v>
      </c>
      <c r="U971" s="1">
        <v>-0.001014522798009843</v>
      </c>
      <c r="V971" s="1">
        <v>-0.003978615443497313</v>
      </c>
      <c r="W971" s="1">
        <v>0.003781214620639961</v>
      </c>
      <c r="X971" s="1">
        <v>-0.01103301781303945</v>
      </c>
      <c r="Y971" s="1">
        <v>-0.01949433830567149</v>
      </c>
      <c r="Z971" s="1">
        <v>0.0005879341491041856</v>
      </c>
    </row>
    <row r="972" spans="1:26">
      <c r="A972" s="11">
        <v>43780</v>
      </c>
      <c r="B972" s="1">
        <v>-0.02374126778592256</v>
      </c>
      <c r="C972" s="1">
        <v>0.04547007392809688</v>
      </c>
      <c r="D972" s="1">
        <v>0.004457893137067126</v>
      </c>
      <c r="E972" s="1">
        <v>0.002240622972007555</v>
      </c>
      <c r="F972" s="1">
        <v>0.001327795414706179</v>
      </c>
      <c r="G972" s="1">
        <v>-0.03752638514440287</v>
      </c>
      <c r="H972" s="1">
        <v>-0.003891689908115503</v>
      </c>
      <c r="I972" s="1">
        <v>0.008073754682884626</v>
      </c>
      <c r="J972" s="1">
        <v>0.006147478967354347</v>
      </c>
      <c r="K972" s="1">
        <v>-0.006585110620027534</v>
      </c>
      <c r="L972" s="1">
        <v>-0.003528231524367764</v>
      </c>
      <c r="M972" s="1">
        <v>0.001375103647052844</v>
      </c>
      <c r="N972" s="1">
        <v>0</v>
      </c>
      <c r="O972" s="1">
        <v>0.0009678324547632844</v>
      </c>
      <c r="P972" s="1">
        <v>0.00102751350293051</v>
      </c>
      <c r="Q972" s="1">
        <v>-0.01211631205085384</v>
      </c>
      <c r="R972" s="1">
        <v>-0.001873425853971988</v>
      </c>
      <c r="S972" s="1">
        <v>0.0005676814593300605</v>
      </c>
      <c r="T972" s="1">
        <v>-0.003337360155910574</v>
      </c>
      <c r="U972" s="1">
        <v>-0.0002542182307162522</v>
      </c>
      <c r="V972" s="1">
        <v>0.002723734200398953</v>
      </c>
      <c r="W972" s="1">
        <v>-0.00380085146841147</v>
      </c>
      <c r="X972" s="1">
        <v>-0.00965467580402446</v>
      </c>
      <c r="Y972" s="1">
        <v>0.004380558109988497</v>
      </c>
      <c r="Z972" s="1">
        <v>-0.001762482334746185</v>
      </c>
    </row>
    <row r="973" spans="1:26">
      <c r="A973" s="11">
        <v>43781</v>
      </c>
      <c r="B973" s="1">
        <v>-0.002096406822458041</v>
      </c>
      <c r="C973" s="1">
        <v>-0.01111840237267536</v>
      </c>
      <c r="D973" s="1">
        <v>0.01572393119598048</v>
      </c>
      <c r="E973" s="1">
        <v>0.004127175961057938</v>
      </c>
      <c r="F973" s="1">
        <v>-0.0004420115706319505</v>
      </c>
      <c r="G973" s="1">
        <v>0.008664134323075778</v>
      </c>
      <c r="H973" s="1">
        <v>0.00672887088628249</v>
      </c>
      <c r="I973" s="1">
        <v>-0.01896556007944417</v>
      </c>
      <c r="J973" s="1">
        <v>-0.0056007011851259</v>
      </c>
      <c r="K973" s="1">
        <v>0.007575520250383327</v>
      </c>
      <c r="L973" s="1">
        <v>-0.005849601591245701</v>
      </c>
      <c r="M973" s="1">
        <v>-0.007037531056804047</v>
      </c>
      <c r="N973" s="1">
        <v>0.0127130312740853</v>
      </c>
      <c r="O973" s="1">
        <v>0.007155856433541441</v>
      </c>
      <c r="P973" s="1">
        <v>0.006570580260204295</v>
      </c>
      <c r="Q973" s="1">
        <v>0</v>
      </c>
      <c r="R973" s="1">
        <v>-0.006131173350023778</v>
      </c>
      <c r="S973" s="1">
        <v>-0.01087619232458448</v>
      </c>
      <c r="T973" s="1">
        <v>0.01351396348437373</v>
      </c>
      <c r="U973" s="1">
        <v>-0.005079767542395586</v>
      </c>
      <c r="V973" s="1">
        <v>-0.01901309401482221</v>
      </c>
      <c r="W973" s="1">
        <v>0.008312174304135889</v>
      </c>
      <c r="X973" s="1">
        <v>0.00541593365062365</v>
      </c>
      <c r="Y973" s="1">
        <v>-0.004864820812528037</v>
      </c>
      <c r="Z973" s="1">
        <v>-0.005099815851825729</v>
      </c>
    </row>
    <row r="974" spans="1:26">
      <c r="A974" s="11">
        <v>43782</v>
      </c>
      <c r="B974" s="1">
        <v>-0.02100839497299833</v>
      </c>
      <c r="C974" s="1">
        <v>-0.001047161788019002</v>
      </c>
      <c r="D974" s="1">
        <v>0.009737735644150813</v>
      </c>
      <c r="E974" s="1">
        <v>0.006850551341073707</v>
      </c>
      <c r="F974" s="1">
        <v>-0.000663365424897977</v>
      </c>
      <c r="G974" s="1">
        <v>0.005368652540569618</v>
      </c>
      <c r="H974" s="1">
        <v>0.0213454570791527</v>
      </c>
      <c r="I974" s="1">
        <v>-0.004081914896442496</v>
      </c>
      <c r="J974" s="1">
        <v>0</v>
      </c>
      <c r="K974" s="1">
        <v>-0.01668239768762225</v>
      </c>
      <c r="L974" s="1">
        <v>-0.005264791537822555</v>
      </c>
      <c r="M974" s="1">
        <v>-0.004494255066137098</v>
      </c>
      <c r="N974" s="1">
        <v>-0.003616948273354237</v>
      </c>
      <c r="O974" s="1">
        <v>0.00806528541292395</v>
      </c>
      <c r="P974" s="1">
        <v>0.001631812048442205</v>
      </c>
      <c r="Q974" s="1">
        <v>0.01188162753423061</v>
      </c>
      <c r="R974" s="1">
        <v>-0.003650999250935261</v>
      </c>
      <c r="S974" s="1">
        <v>0.0119998252822624</v>
      </c>
      <c r="T974" s="1">
        <v>0.004257146481497109</v>
      </c>
      <c r="U974" s="1">
        <v>-0.0002555811669749941</v>
      </c>
      <c r="V974" s="1">
        <v>0.002122656278126467</v>
      </c>
      <c r="W974" s="1">
        <v>0.01368386908382657</v>
      </c>
      <c r="X974" s="1">
        <v>-0.003447701744985987</v>
      </c>
      <c r="Y974" s="1">
        <v>0.001517296966652149</v>
      </c>
      <c r="Z974" s="1">
        <v>-0.01488688307629427</v>
      </c>
    </row>
    <row r="975" spans="1:26">
      <c r="A975" s="11">
        <v>43783</v>
      </c>
      <c r="B975" s="1">
        <v>0.005579243435401615</v>
      </c>
      <c r="C975" s="1">
        <v>0.01362762737076828</v>
      </c>
      <c r="D975" s="1">
        <v>-0.001730757382500503</v>
      </c>
      <c r="E975" s="1">
        <v>-0.004762691213294645</v>
      </c>
      <c r="F975" s="1">
        <v>0.005530872734353709</v>
      </c>
      <c r="G975" s="1">
        <v>-0.04983957700780151</v>
      </c>
      <c r="H975" s="1">
        <v>-0.006333239995282458</v>
      </c>
      <c r="I975" s="1">
        <v>-0.007343044880131822</v>
      </c>
      <c r="J975" s="1">
        <v>0.03072196910383518</v>
      </c>
      <c r="K975" s="1">
        <v>0.01075272757463908</v>
      </c>
      <c r="L975" s="1">
        <v>0.0009339730844064587</v>
      </c>
      <c r="M975" s="1">
        <v>0.0006943776338901309</v>
      </c>
      <c r="N975" s="1">
        <v>-0.00427088611815607</v>
      </c>
      <c r="O975" s="1">
        <v>0.003333574621255497</v>
      </c>
      <c r="P975" s="1">
        <v>0.005091256394777588</v>
      </c>
      <c r="Q975" s="1">
        <v>-0.003030044976624069</v>
      </c>
      <c r="R975" s="1">
        <v>0.004927943710891336</v>
      </c>
      <c r="S975" s="1">
        <v>0.005999545597232148</v>
      </c>
      <c r="T975" s="1">
        <v>0.008223092334773918</v>
      </c>
      <c r="U975" s="1">
        <v>-0.005362552993815606</v>
      </c>
      <c r="V975" s="1">
        <v>0.02330078325358631</v>
      </c>
      <c r="W975" s="1">
        <v>0.002733041661004298</v>
      </c>
      <c r="X975" s="1">
        <v>0.001946015601904882</v>
      </c>
      <c r="Y975" s="1">
        <v>-0.001178416403237237</v>
      </c>
      <c r="Z975" s="1">
        <v>-0.002619351494698829</v>
      </c>
    </row>
    <row r="976" spans="1:26">
      <c r="A976" s="11">
        <v>43784</v>
      </c>
      <c r="B976" s="1">
        <v>0.02048667798586723</v>
      </c>
      <c r="C976" s="1">
        <v>0.01153925010999202</v>
      </c>
      <c r="D976" s="1">
        <v>0.00866996504614681</v>
      </c>
      <c r="E976" s="1">
        <v>0.001367317029237647</v>
      </c>
      <c r="F976" s="1">
        <v>-0.0195817084327643</v>
      </c>
      <c r="G976" s="1">
        <v>-0.04533544730775219</v>
      </c>
      <c r="H976" s="1">
        <v>0.004461347058847931</v>
      </c>
      <c r="I976" s="1">
        <v>0.0005732940352665139</v>
      </c>
      <c r="J976" s="1">
        <v>0.002483926351022347</v>
      </c>
      <c r="K976" s="1">
        <v>0.002127833023425785</v>
      </c>
      <c r="L976" s="1">
        <v>0.007231519593891012</v>
      </c>
      <c r="M976" s="1">
        <v>0.002776309368900387</v>
      </c>
      <c r="N976" s="1">
        <v>0.02873703917253301</v>
      </c>
      <c r="O976" s="1">
        <v>0.001519255048316737</v>
      </c>
      <c r="P976" s="1">
        <v>0.01290024251592259</v>
      </c>
      <c r="Q976" s="1">
        <v>0.006839203834695384</v>
      </c>
      <c r="R976" s="1">
        <v>0.008676071061732404</v>
      </c>
      <c r="S976" s="1">
        <v>0.001221087124595233</v>
      </c>
      <c r="T976" s="1">
        <v>-0.001145996101351798</v>
      </c>
      <c r="U976" s="1">
        <v>0.01412076265749707</v>
      </c>
      <c r="V976" s="1">
        <v>0.01890015638651477</v>
      </c>
      <c r="W976" s="1">
        <v>0.01984433130824614</v>
      </c>
      <c r="X976" s="1">
        <v>0.01553730655905938</v>
      </c>
      <c r="Y976" s="1">
        <v>0.002864796604575615</v>
      </c>
      <c r="Z976" s="1">
        <v>0.001010193034775675</v>
      </c>
    </row>
    <row r="977" spans="1:26">
      <c r="A977" s="11">
        <v>43787</v>
      </c>
      <c r="B977" s="1">
        <v>-0.0388958090113084</v>
      </c>
      <c r="C977" s="1">
        <v>-0.005972904003377799</v>
      </c>
      <c r="D977" s="1">
        <v>-0.003929327158565421</v>
      </c>
      <c r="E977" s="1">
        <v>-0.01604342668867709</v>
      </c>
      <c r="F977" s="1">
        <v>0.001122084260372969</v>
      </c>
      <c r="G977" s="1">
        <v>-0.01255877827416585</v>
      </c>
      <c r="H977" s="1">
        <v>0.01607445551674536</v>
      </c>
      <c r="I977" s="1">
        <v>0.002464662888642</v>
      </c>
      <c r="J977" s="1">
        <v>-0.008424010090261724</v>
      </c>
      <c r="K977" s="1">
        <v>0.003302497959841721</v>
      </c>
      <c r="L977" s="1">
        <v>0.008414944208984698</v>
      </c>
      <c r="M977" s="1">
        <v>-0.0001727764303404156</v>
      </c>
      <c r="N977" s="1">
        <v>0.007713130176432825</v>
      </c>
      <c r="O977" s="1">
        <v>0.00701393377751236</v>
      </c>
      <c r="P977" s="1">
        <v>0.002466770501073468</v>
      </c>
      <c r="Q977" s="1">
        <v>-0.009434175914933673</v>
      </c>
      <c r="R977" s="1">
        <v>-0.002368398540981809</v>
      </c>
      <c r="S977" s="1">
        <v>0.001547648822913583</v>
      </c>
      <c r="T977" s="1">
        <v>-0.0112861563722596</v>
      </c>
      <c r="U977" s="1">
        <v>0.003291356176803983</v>
      </c>
      <c r="V977" s="1">
        <v>-0.01104136207825956</v>
      </c>
      <c r="W977" s="1">
        <v>-0.01896901481603941</v>
      </c>
      <c r="X977" s="1">
        <v>-0.01126227583650596</v>
      </c>
      <c r="Y977" s="1">
        <v>-0.001176152017434928</v>
      </c>
      <c r="Z977" s="1">
        <v>-0.004844091251444027</v>
      </c>
    </row>
    <row r="978" spans="1:26">
      <c r="A978" s="11">
        <v>43788</v>
      </c>
      <c r="B978" s="1">
        <v>-0.0265446862332781</v>
      </c>
      <c r="C978" s="1">
        <v>-0.006658323681511535</v>
      </c>
      <c r="D978" s="1">
        <v>0.006780112788615344</v>
      </c>
      <c r="E978" s="1">
        <v>-0.02029519520726053</v>
      </c>
      <c r="F978" s="1">
        <v>0.004483528956819915</v>
      </c>
      <c r="G978" s="1">
        <v>0.00715429214876151</v>
      </c>
      <c r="H978" s="1">
        <v>0.002498026519299756</v>
      </c>
      <c r="I978" s="1">
        <v>-0.00720400791933884</v>
      </c>
      <c r="J978" s="1">
        <v>0.004997520941872668</v>
      </c>
      <c r="K978" s="1">
        <v>0.00893499113218077</v>
      </c>
      <c r="L978" s="1">
        <v>-0.0003058744174423422</v>
      </c>
      <c r="M978" s="1">
        <v>-0.003980773164009244</v>
      </c>
      <c r="N978" s="1">
        <v>-0.02916835781560534</v>
      </c>
      <c r="O978" s="1">
        <v>0.008847922200947433</v>
      </c>
      <c r="P978" s="1">
        <v>0.0003331018027543653</v>
      </c>
      <c r="Q978" s="1">
        <v>-0.00800030265824847</v>
      </c>
      <c r="R978" s="1">
        <v>-0.007497356885883044</v>
      </c>
      <c r="S978" s="1">
        <v>0.0009365920931334593</v>
      </c>
      <c r="T978" s="1">
        <v>-0.003207506921914294</v>
      </c>
      <c r="U978" s="1">
        <v>-0.04113056700257134</v>
      </c>
      <c r="V978" s="1">
        <v>-0.004043287357001324</v>
      </c>
      <c r="W978" s="1">
        <v>0.01804032291144764</v>
      </c>
      <c r="X978" s="1">
        <v>0.001934057136808054</v>
      </c>
      <c r="Y978" s="1">
        <v>0.001009236047610607</v>
      </c>
      <c r="Z978" s="1">
        <v>-0.0002025642178189457</v>
      </c>
    </row>
    <row r="979" spans="1:26">
      <c r="A979" s="11">
        <v>43789</v>
      </c>
      <c r="B979" s="1">
        <v>0.02235135081828932</v>
      </c>
      <c r="C979" s="1">
        <v>0.01065394288737109</v>
      </c>
      <c r="D979" s="1">
        <v>0.004040608127515943</v>
      </c>
      <c r="E979" s="1">
        <v>-0.001239392500057668</v>
      </c>
      <c r="F979" s="1">
        <v>-0.01316720794237869</v>
      </c>
      <c r="G979" s="1">
        <v>-0.02403009184986904</v>
      </c>
      <c r="H979" s="1">
        <v>0.002491700263139274</v>
      </c>
      <c r="I979" s="1">
        <v>-0.009098728507804466</v>
      </c>
      <c r="J979" s="1">
        <v>-0.02038750694703151</v>
      </c>
      <c r="K979" s="1">
        <v>-0.01165230223670122</v>
      </c>
      <c r="L979" s="1">
        <v>-0.007275410149901296</v>
      </c>
      <c r="M979" s="1">
        <v>-0.01251068540453004</v>
      </c>
      <c r="N979" s="1">
        <v>0.03238851992326963</v>
      </c>
      <c r="O979" s="1">
        <v>-0.0001864188814043599</v>
      </c>
      <c r="P979" s="1">
        <v>-0.001734876025638377</v>
      </c>
      <c r="Q979" s="1">
        <v>0.0007683266858122817</v>
      </c>
      <c r="R979" s="1">
        <v>-0.007301814093998549</v>
      </c>
      <c r="S979" s="1">
        <v>-0.001169429474480621</v>
      </c>
      <c r="T979" s="1">
        <v>-0.01400240918847706</v>
      </c>
      <c r="U979" s="1">
        <v>-0.02157915358357754</v>
      </c>
      <c r="V979" s="1">
        <v>0.1405503398310282</v>
      </c>
      <c r="W979" s="1">
        <v>0.002969678325783542</v>
      </c>
      <c r="X979" s="1">
        <v>-0.01351333950636335</v>
      </c>
      <c r="Y979" s="1">
        <v>-0.000336072839046464</v>
      </c>
      <c r="Z979" s="1">
        <v>-0.008316352248996184</v>
      </c>
    </row>
    <row r="980" spans="1:26">
      <c r="A980" s="11">
        <v>43790</v>
      </c>
      <c r="B980" s="1">
        <v>0.01530357641766211</v>
      </c>
      <c r="C980" s="1">
        <v>-0.01205147054806888</v>
      </c>
      <c r="D980" s="1">
        <v>0.003048986916271534</v>
      </c>
      <c r="E980" s="1">
        <v>0.007799984486180023</v>
      </c>
      <c r="F980" s="1">
        <v>0.003166375550214484</v>
      </c>
      <c r="G980" s="1">
        <v>0.003680805380074981</v>
      </c>
      <c r="H980" s="1">
        <v>-0.02982618690875649</v>
      </c>
      <c r="I980" s="1">
        <v>0.02301393375696859</v>
      </c>
      <c r="J980" s="1">
        <v>-0.002538516492158971</v>
      </c>
      <c r="K980" s="1">
        <v>-0.004244214236115318</v>
      </c>
      <c r="L980" s="1">
        <v>0.002314113266603801</v>
      </c>
      <c r="M980" s="1">
        <v>-0.004223086411898613</v>
      </c>
      <c r="N980" s="1">
        <v>0.007636648546524905</v>
      </c>
      <c r="O980" s="1">
        <v>-0.0003734619654780502</v>
      </c>
      <c r="P980" s="1">
        <v>-0.000936070189266669</v>
      </c>
      <c r="Q980" s="1">
        <v>0.006139518459679305</v>
      </c>
      <c r="R980" s="1">
        <v>0.01192123742793738</v>
      </c>
      <c r="S980" s="1">
        <v>-0.01241301226509472</v>
      </c>
      <c r="T980" s="1">
        <v>-0.01295068901758167</v>
      </c>
      <c r="U980" s="1">
        <v>0.01129669508171061</v>
      </c>
      <c r="V980" s="1">
        <v>0.009649757302440554</v>
      </c>
      <c r="W980" s="1">
        <v>-0.006572538303546205</v>
      </c>
      <c r="X980" s="1">
        <v>0.005001191915458003</v>
      </c>
      <c r="Y980" s="1">
        <v>0.002185587285042478</v>
      </c>
      <c r="Z980" s="1">
        <v>0.0051134958609238</v>
      </c>
    </row>
    <row r="981" spans="1:26">
      <c r="A981" s="11">
        <v>43791</v>
      </c>
      <c r="B981" s="1">
        <v>0.008182838937240478</v>
      </c>
      <c r="C981" s="1">
        <v>0.01337194100743377</v>
      </c>
      <c r="D981" s="1">
        <v>-0.002796646162889549</v>
      </c>
      <c r="E981" s="1">
        <v>-0.007036037878352164</v>
      </c>
      <c r="F981" s="1">
        <v>0.00991845670022351</v>
      </c>
      <c r="G981" s="1">
        <v>0.008557513929750016</v>
      </c>
      <c r="H981" s="1">
        <v>-0.0002133539056256017</v>
      </c>
      <c r="I981" s="1">
        <v>-0.003692290729637504</v>
      </c>
      <c r="J981" s="1">
        <v>0.01475827875354252</v>
      </c>
      <c r="K981" s="1">
        <v>0.01112961545153812</v>
      </c>
      <c r="L981" s="1">
        <v>0.006619234371617155</v>
      </c>
      <c r="M981" s="1">
        <v>0.007421651451478883</v>
      </c>
      <c r="N981" s="1">
        <v>0.003687117323746714</v>
      </c>
      <c r="O981" s="1">
        <v>0.007561763944420097</v>
      </c>
      <c r="P981" s="1">
        <v>0.000736250109950598</v>
      </c>
      <c r="Q981" s="1">
        <v>0.00533945688424442</v>
      </c>
      <c r="R981" s="1">
        <v>0.008146361343334574</v>
      </c>
      <c r="S981" s="1">
        <v>-0.008631890736070735</v>
      </c>
      <c r="T981" s="1">
        <v>0.0110274497005225</v>
      </c>
      <c r="U981" s="1">
        <v>0.003989116801288883</v>
      </c>
      <c r="V981" s="1">
        <v>-0.004935407778709489</v>
      </c>
      <c r="W981" s="1">
        <v>0.008057467953275665</v>
      </c>
      <c r="X981" s="1">
        <v>0.001297963670671143</v>
      </c>
      <c r="Y981" s="1">
        <v>0.00234883120209517</v>
      </c>
      <c r="Z981" s="1">
        <v>0.01668715262150244</v>
      </c>
    </row>
    <row r="982" spans="1:26">
      <c r="A982" s="11">
        <v>43794</v>
      </c>
      <c r="B982" s="1">
        <v>0.005980130922466076</v>
      </c>
      <c r="C982" s="1">
        <v>0.004820396258265358</v>
      </c>
      <c r="D982" s="1">
        <v>0.0002437543851350199</v>
      </c>
      <c r="E982" s="1">
        <v>-0.00496011740154767</v>
      </c>
      <c r="F982" s="1">
        <v>-0.03236590719304433</v>
      </c>
      <c r="G982" s="1">
        <v>0.002020443566504548</v>
      </c>
      <c r="H982" s="1">
        <v>-0.0006403028619990092</v>
      </c>
      <c r="I982" s="1">
        <v>0.007013074039156963</v>
      </c>
      <c r="J982" s="1">
        <v>0.01053180928043895</v>
      </c>
      <c r="K982" s="1">
        <v>-0.001873528898090449</v>
      </c>
      <c r="L982" s="1">
        <v>0.005351986216687976</v>
      </c>
      <c r="M982" s="1">
        <v>0.009647543734425668</v>
      </c>
      <c r="N982" s="1">
        <v>0.00530600350225563</v>
      </c>
      <c r="O982" s="1">
        <v>0.0006484434289362184</v>
      </c>
      <c r="P982" s="1">
        <v>0.01096308289623282</v>
      </c>
      <c r="Q982" s="1">
        <v>0.007207919396631235</v>
      </c>
      <c r="R982" s="1">
        <v>0.01342604023951721</v>
      </c>
      <c r="S982" s="1">
        <v>-0.00291864750459403</v>
      </c>
      <c r="T982" s="1">
        <v>0.009011357037146173</v>
      </c>
      <c r="U982" s="1">
        <v>-0.0129800519036859</v>
      </c>
      <c r="V982" s="1">
        <v>-0.01440703887231731</v>
      </c>
      <c r="W982" s="1">
        <v>0.009195226917453336</v>
      </c>
      <c r="X982" s="1">
        <v>0.008210889227246776</v>
      </c>
      <c r="Y982" s="1">
        <v>-0.006192559447701917</v>
      </c>
      <c r="Z982" s="1">
        <v>0.004203207827986111</v>
      </c>
    </row>
    <row r="983" spans="1:26">
      <c r="A983" s="11">
        <v>43795</v>
      </c>
      <c r="B983" s="1">
        <v>-0.02802512840230809</v>
      </c>
      <c r="C983" s="1">
        <v>0.001018395875932665</v>
      </c>
      <c r="D983" s="1">
        <v>-0.0003657001044767849</v>
      </c>
      <c r="E983" s="1">
        <v>0.009969685614198198</v>
      </c>
      <c r="F983" s="1">
        <v>0.00461350303066399</v>
      </c>
      <c r="G983" s="1">
        <v>-0.01250035075097511</v>
      </c>
      <c r="H983" s="1">
        <v>0.006409851330285266</v>
      </c>
      <c r="I983" s="1">
        <v>0.0002266116116660388</v>
      </c>
      <c r="J983" s="1">
        <v>-0.004466530309900296</v>
      </c>
      <c r="K983" s="1">
        <v>0.007742684580262615</v>
      </c>
      <c r="L983" s="1">
        <v>0.001368993926252449</v>
      </c>
      <c r="M983" s="1">
        <v>0.0005211273216991774</v>
      </c>
      <c r="N983" s="1">
        <v>-0.0008119075512197371</v>
      </c>
      <c r="O983" s="1">
        <v>0.001666603767057628</v>
      </c>
      <c r="P983" s="1">
        <v>0.005290347804810525</v>
      </c>
      <c r="Q983" s="1">
        <v>-0.003389664487889243</v>
      </c>
      <c r="R983" s="1">
        <v>0.003189590487594263</v>
      </c>
      <c r="S983" s="1">
        <v>0.01775360382250124</v>
      </c>
      <c r="T983" s="1">
        <v>0.01236218051714522</v>
      </c>
      <c r="U983" s="1">
        <v>0.003757264973772934</v>
      </c>
      <c r="V983" s="1">
        <v>0.01357915504755702</v>
      </c>
      <c r="W983" s="1">
        <v>0.009175626436257467</v>
      </c>
      <c r="X983" s="1">
        <v>0.007286897604396492</v>
      </c>
      <c r="Y983" s="1">
        <v>0.008588409784924478</v>
      </c>
      <c r="Z983" s="1">
        <v>-0.01016554268694081</v>
      </c>
    </row>
    <row r="984" spans="1:26">
      <c r="A984" s="11">
        <v>43796</v>
      </c>
      <c r="B984" s="1">
        <v>0.01441639332076528</v>
      </c>
      <c r="C984" s="1">
        <v>-0.0147519636860578</v>
      </c>
      <c r="D984" s="1">
        <v>0.005487298100165683</v>
      </c>
      <c r="E984" s="1">
        <v>0.01533551182097681</v>
      </c>
      <c r="F984" s="1">
        <v>0.01997732282330045</v>
      </c>
      <c r="G984" s="1">
        <v>0.007350147601070445</v>
      </c>
      <c r="H984" s="1">
        <v>-0.0008490164528515143</v>
      </c>
      <c r="I984" s="1">
        <v>-0.04296622708101816</v>
      </c>
      <c r="J984" s="1">
        <v>-0.01345995402857902</v>
      </c>
      <c r="K984" s="1">
        <v>0.003725553826596339</v>
      </c>
      <c r="L984" s="1">
        <v>0.002961821049121571</v>
      </c>
      <c r="M984" s="1">
        <v>0.002778237176030984</v>
      </c>
      <c r="N984" s="1">
        <v>0.01076791606883787</v>
      </c>
      <c r="O984" s="1">
        <v>0.001571600730525091</v>
      </c>
      <c r="P984" s="1">
        <v>0.00190724668638631</v>
      </c>
      <c r="Q984" s="1">
        <v>0.002645422641188722</v>
      </c>
      <c r="R984" s="1">
        <v>0.004646618842833794</v>
      </c>
      <c r="S984" s="1">
        <v>4.721758799264286E-05</v>
      </c>
      <c r="T984" s="1">
        <v>-0.003951128275647364</v>
      </c>
      <c r="U984" s="1">
        <v>0.006952009827077887</v>
      </c>
      <c r="V984" s="1">
        <v>-0.007801938307513523</v>
      </c>
      <c r="W984" s="1">
        <v>0.006284869017852968</v>
      </c>
      <c r="X984" s="1">
        <v>-0.00574480430731783</v>
      </c>
      <c r="Y984" s="1">
        <v>0.003506445740204089</v>
      </c>
      <c r="Z984" s="1">
        <v>0.008256161762458358</v>
      </c>
    </row>
    <row r="985" spans="1:26">
      <c r="A985" s="11">
        <v>43798</v>
      </c>
      <c r="B985" s="1">
        <v>-0.04048232912735383</v>
      </c>
      <c r="C985" s="1">
        <v>-0.004945649576055589</v>
      </c>
      <c r="D985" s="1">
        <v>-0.005942154870946403</v>
      </c>
      <c r="E985" s="1">
        <v>-0.01145809084692861</v>
      </c>
      <c r="F985" s="1">
        <v>-0.006078821164887782</v>
      </c>
      <c r="G985" s="1">
        <v>-0.004458982686424973</v>
      </c>
      <c r="H985" s="1">
        <v>-0.01041222848470835</v>
      </c>
      <c r="I985" s="1">
        <v>-0.005974408427966593</v>
      </c>
      <c r="J985" s="1">
        <v>0.01465437317274931</v>
      </c>
      <c r="K985" s="1">
        <v>-0.00649559601659544</v>
      </c>
      <c r="L985" s="1">
        <v>-0.002271739413742035</v>
      </c>
      <c r="M985" s="1">
        <v>-0.001904682816869729</v>
      </c>
      <c r="N985" s="1">
        <v>-0.001005020420535296</v>
      </c>
      <c r="O985" s="1">
        <v>-0.002584268104316445</v>
      </c>
      <c r="P985" s="1">
        <v>-0.006171011587860376</v>
      </c>
      <c r="Q985" s="1">
        <v>-0.003015286307673781</v>
      </c>
      <c r="R985" s="1">
        <v>-0.009615284332676555</v>
      </c>
      <c r="S985" s="1">
        <v>-0.00678908677691481</v>
      </c>
      <c r="T985" s="1">
        <v>-0.002957869974443694</v>
      </c>
      <c r="U985" s="1">
        <v>-0.007434927662487323</v>
      </c>
      <c r="V985" s="1">
        <v>-0.007069331296890247</v>
      </c>
      <c r="W985" s="1">
        <v>-0.004660376320433368</v>
      </c>
      <c r="X985" s="1">
        <v>-0.0104857245179848</v>
      </c>
      <c r="Y985" s="1">
        <v>0.002329681418061114</v>
      </c>
      <c r="Z985" s="1">
        <v>-0.005791998745956484</v>
      </c>
    </row>
    <row r="986" spans="1:26">
      <c r="A986" s="11">
        <v>43801</v>
      </c>
      <c r="B986" s="1">
        <v>-0.122980236122557</v>
      </c>
      <c r="C986" s="1">
        <v>-0.03003986077150456</v>
      </c>
      <c r="D986" s="1">
        <v>-0.001342045127424307</v>
      </c>
      <c r="E986" s="1">
        <v>0.008254296910269909</v>
      </c>
      <c r="F986" s="1">
        <v>-0.01177773712413666</v>
      </c>
      <c r="G986" s="1">
        <v>-0.006921834430582474</v>
      </c>
      <c r="H986" s="1">
        <v>0.01223945642602731</v>
      </c>
      <c r="I986" s="1">
        <v>-0.0164237048627639</v>
      </c>
      <c r="J986" s="1">
        <v>-0.01245048924497771</v>
      </c>
      <c r="K986" s="1">
        <v>-0.01307449244294911</v>
      </c>
      <c r="L986" s="1">
        <v>-0.002200827806722372</v>
      </c>
      <c r="M986" s="1">
        <v>-0.01596104171704871</v>
      </c>
      <c r="N986" s="1">
        <v>0.0181089630727298</v>
      </c>
      <c r="O986" s="1">
        <v>-0.01054866046186809</v>
      </c>
      <c r="P986" s="1">
        <v>-0.0120891811881495</v>
      </c>
      <c r="Q986" s="1">
        <v>-0.01020833734756643</v>
      </c>
      <c r="R986" s="1">
        <v>-0.008234433663971918</v>
      </c>
      <c r="S986" s="1">
        <v>-0.007831659248459522</v>
      </c>
      <c r="T986" s="1">
        <v>-0.0142339083111922</v>
      </c>
      <c r="U986" s="1">
        <v>-0.00160510227219246</v>
      </c>
      <c r="V986" s="1">
        <v>-0.008239246888965379</v>
      </c>
      <c r="W986" s="1">
        <v>-0.002898748267343376</v>
      </c>
      <c r="X986" s="1">
        <v>-0.004325451440283068</v>
      </c>
      <c r="Y986" s="1">
        <v>-0.00464806491574099</v>
      </c>
      <c r="Z986" s="1">
        <v>-0.005624415127325144</v>
      </c>
    </row>
    <row r="987" spans="1:26">
      <c r="A987" s="11">
        <v>43802</v>
      </c>
      <c r="B987" s="1">
        <v>-0.05936555481936234</v>
      </c>
      <c r="C987" s="1">
        <v>-0.008727968965838495</v>
      </c>
      <c r="D987" s="1">
        <v>-0.01038375830440008</v>
      </c>
      <c r="E987" s="1">
        <v>0.00592220468463478</v>
      </c>
      <c r="F987" s="1">
        <v>0.0004584236801943309</v>
      </c>
      <c r="G987" s="1">
        <v>0.000410015721479029</v>
      </c>
      <c r="H987" s="1">
        <v>0.009333956268769095</v>
      </c>
      <c r="I987" s="1">
        <v>-0.01082950304683528</v>
      </c>
      <c r="J987" s="1">
        <v>-0.01008589229265922</v>
      </c>
      <c r="K987" s="1">
        <v>-0.01135583727726097</v>
      </c>
      <c r="L987" s="1">
        <v>-0.0128547774188873</v>
      </c>
      <c r="M987" s="1">
        <v>-0.01392829178135246</v>
      </c>
      <c r="N987" s="1">
        <v>-0.009882086726719419</v>
      </c>
      <c r="O987" s="1">
        <v>-0.008416641043298867</v>
      </c>
      <c r="P987" s="1">
        <v>-0.001604392809344102</v>
      </c>
      <c r="Q987" s="1">
        <v>0.008785277310331185</v>
      </c>
      <c r="R987" s="1">
        <v>-0.007558900909616417</v>
      </c>
      <c r="S987" s="1">
        <v>0.01392156312479842</v>
      </c>
      <c r="T987" s="1">
        <v>0.005358376253721486</v>
      </c>
      <c r="U987" s="1">
        <v>0.006162694667864566</v>
      </c>
      <c r="V987" s="1">
        <v>0.0004838398383406606</v>
      </c>
      <c r="W987" s="1">
        <v>-0.0004786512406783627</v>
      </c>
      <c r="X987" s="1">
        <v>-0.01628998903575307</v>
      </c>
      <c r="Y987" s="1">
        <v>0.003002109465815028</v>
      </c>
      <c r="Z987" s="1">
        <v>-0.01878796219747758</v>
      </c>
    </row>
    <row r="988" spans="1:26">
      <c r="A988" s="11">
        <v>43803</v>
      </c>
      <c r="B988" s="1">
        <v>0.0174106426226861</v>
      </c>
      <c r="C988" s="1">
        <v>-0.009202507480781219</v>
      </c>
      <c r="D988" s="1">
        <v>0.01752861324647559</v>
      </c>
      <c r="E988" s="1">
        <v>0.01991337163813522</v>
      </c>
      <c r="F988" s="1">
        <v>-0.003207609098400677</v>
      </c>
      <c r="G988" s="1">
        <v>0.0131147516456791</v>
      </c>
      <c r="H988" s="1">
        <v>0.0187054169536518</v>
      </c>
      <c r="I988" s="1">
        <v>0.01082587875199992</v>
      </c>
      <c r="J988" s="1">
        <v>0.02088678441248448</v>
      </c>
      <c r="K988" s="1">
        <v>0.008135940038320078</v>
      </c>
      <c r="L988" s="1">
        <v>0.01972560035957582</v>
      </c>
      <c r="M988" s="1">
        <v>-0.002681948648745269</v>
      </c>
      <c r="N988" s="1">
        <v>0.0002002939915075608</v>
      </c>
      <c r="O988" s="1">
        <v>0.0102799109835725</v>
      </c>
      <c r="P988" s="1">
        <v>0.003616443009286208</v>
      </c>
      <c r="Q988" s="1">
        <v>0.003408355263211371</v>
      </c>
      <c r="R988" s="1">
        <v>-0.003121171062797523</v>
      </c>
      <c r="S988" s="1">
        <v>0.004765569471809172</v>
      </c>
      <c r="T988" s="1">
        <v>-0.01142036348068531</v>
      </c>
      <c r="U988" s="1">
        <v>0.01464744919628558</v>
      </c>
      <c r="V988" s="1">
        <v>0.003869883949412234</v>
      </c>
      <c r="W988" s="1">
        <v>0.008788718697588349</v>
      </c>
      <c r="X988" s="1">
        <v>-0.005520227252895471</v>
      </c>
      <c r="Y988" s="1">
        <v>0.006484804429481628</v>
      </c>
      <c r="Z988" s="1">
        <v>0.01111786186044039</v>
      </c>
    </row>
    <row r="989" spans="1:26">
      <c r="A989" s="11">
        <v>43804</v>
      </c>
      <c r="B989" s="1">
        <v>-0.006417118640407171</v>
      </c>
      <c r="C989" s="1">
        <v>-0.009058554994415768</v>
      </c>
      <c r="D989" s="1">
        <v>0.003284514649265935</v>
      </c>
      <c r="E989" s="1">
        <v>0.009847434072760786</v>
      </c>
      <c r="F989" s="1">
        <v>0.01218122185993309</v>
      </c>
      <c r="G989" s="1">
        <v>0.002831795448397179</v>
      </c>
      <c r="H989" s="1">
        <v>-0.01733024607019962</v>
      </c>
      <c r="I989" s="1">
        <v>-0.004175143213354882</v>
      </c>
      <c r="J989" s="1">
        <v>0.01397188732080856</v>
      </c>
      <c r="K989" s="1">
        <v>-0.009019719390899072</v>
      </c>
      <c r="L989" s="1">
        <v>0.005440736346606467</v>
      </c>
      <c r="M989" s="1">
        <v>-0.004481734674915416</v>
      </c>
      <c r="N989" s="1">
        <v>0.001196940822457471</v>
      </c>
      <c r="O989" s="1">
        <v>0.002334038258758664</v>
      </c>
      <c r="P989" s="1">
        <v>0.0005340146156822545</v>
      </c>
      <c r="Q989" s="1">
        <v>0.005659678754344144</v>
      </c>
      <c r="R989" s="1">
        <v>0.003381734286828308</v>
      </c>
      <c r="S989" s="1">
        <v>0.002394758981186129</v>
      </c>
      <c r="T989" s="1">
        <v>0.002082914677866921</v>
      </c>
      <c r="U989" s="1">
        <v>0.002361996753500684</v>
      </c>
      <c r="V989" s="1">
        <v>0.001285234547187208</v>
      </c>
      <c r="W989" s="1">
        <v>0.001140364213057632</v>
      </c>
      <c r="X989" s="1">
        <v>-0.001554192145173938</v>
      </c>
      <c r="Y989" s="1">
        <v>0.004790972758467626</v>
      </c>
      <c r="Z989" s="1">
        <v>0.003868886896895685</v>
      </c>
    </row>
    <row r="990" spans="1:26">
      <c r="A990" s="11">
        <v>43805</v>
      </c>
      <c r="B990" s="1">
        <v>0.07588794447456726</v>
      </c>
      <c r="C990" s="1">
        <v>0.02432886241305354</v>
      </c>
      <c r="D990" s="1">
        <v>0.008365272770753052</v>
      </c>
      <c r="E990" s="1">
        <v>0.007901726521349683</v>
      </c>
      <c r="F990" s="1">
        <v>0.004541559496458403</v>
      </c>
      <c r="G990" s="1">
        <v>0.009278104766156092</v>
      </c>
      <c r="H990" s="1">
        <v>0.002519220544569434</v>
      </c>
      <c r="I990" s="1">
        <v>0.003827986040568776</v>
      </c>
      <c r="J990" s="1">
        <v>0.00885832637347872</v>
      </c>
      <c r="K990" s="1">
        <v>0.008143839871189718</v>
      </c>
      <c r="L990" s="1">
        <v>0.01488042632190867</v>
      </c>
      <c r="M990" s="1">
        <v>0.007383287848751419</v>
      </c>
      <c r="N990" s="1">
        <v>0.004783935653270177</v>
      </c>
      <c r="O990" s="1">
        <v>0.008195901930406091</v>
      </c>
      <c r="P990" s="1">
        <v>0.01213878867975482</v>
      </c>
      <c r="Q990" s="1">
        <v>0.005628899419648503</v>
      </c>
      <c r="R990" s="1">
        <v>0.01260754227342575</v>
      </c>
      <c r="S990" s="1">
        <v>0.001827350604943545</v>
      </c>
      <c r="T990" s="1">
        <v>0.01055022965766961</v>
      </c>
      <c r="U990" s="1">
        <v>0.0002620350291526741</v>
      </c>
      <c r="V990" s="1">
        <v>0.002806994269710428</v>
      </c>
      <c r="W990" s="1">
        <v>0.01303813427920164</v>
      </c>
      <c r="X990" s="1">
        <v>0.004447693458021984</v>
      </c>
      <c r="Y990" s="1">
        <v>0.006083337098272246</v>
      </c>
      <c r="Z990" s="1">
        <v>0.008316644187408961</v>
      </c>
    </row>
    <row r="991" spans="1:26">
      <c r="A991" s="11">
        <v>43808</v>
      </c>
      <c r="B991" s="1">
        <v>0.03201596757587866</v>
      </c>
      <c r="C991" s="1">
        <v>-0.008133553478716693</v>
      </c>
      <c r="D991" s="1">
        <v>-0.01947796514357303</v>
      </c>
      <c r="E991" s="1">
        <v>0.02218543861974553</v>
      </c>
      <c r="F991" s="1">
        <v>-0.007911180054247846</v>
      </c>
      <c r="G991" s="1">
        <v>0.0007990181979540267</v>
      </c>
      <c r="H991" s="1">
        <v>0.01026187336945683</v>
      </c>
      <c r="I991" s="1">
        <v>0.01628240099054512</v>
      </c>
      <c r="J991" s="1">
        <v>-0.001463683853394127</v>
      </c>
      <c r="K991" s="1">
        <v>-0.002138240918956424</v>
      </c>
      <c r="L991" s="1">
        <v>-0.004665180140953962</v>
      </c>
      <c r="M991" s="1">
        <v>-0.008401836909224025</v>
      </c>
      <c r="N991" s="1">
        <v>0.002380546751369117</v>
      </c>
      <c r="O991" s="1">
        <v>0.0008311027435177198</v>
      </c>
      <c r="P991" s="1">
        <v>-0.002569713825192554</v>
      </c>
      <c r="Q991" s="1">
        <v>-0.002984997435413472</v>
      </c>
      <c r="R991" s="1">
        <v>-0.000616181661729498</v>
      </c>
      <c r="S991" s="1">
        <v>-0.002291491260457801</v>
      </c>
      <c r="T991" s="1">
        <v>-0.003405139101525068</v>
      </c>
      <c r="U991" s="1">
        <v>-0.00418884563251376</v>
      </c>
      <c r="V991" s="1">
        <v>0.0113572823719772</v>
      </c>
      <c r="W991" s="1">
        <v>-0.01152694972906543</v>
      </c>
      <c r="X991" s="1">
        <v>-0.01682540826539947</v>
      </c>
      <c r="Y991" s="1">
        <v>-0.002941579209680523</v>
      </c>
      <c r="Z991" s="1">
        <v>-0.001006118454837557</v>
      </c>
    </row>
    <row r="992" spans="1:26">
      <c r="A992" s="11">
        <v>43809</v>
      </c>
      <c r="B992" s="1">
        <v>0.01454194570992318</v>
      </c>
      <c r="C992" s="1">
        <v>-0.009424510475262049</v>
      </c>
      <c r="D992" s="1">
        <v>0.009074306832716372</v>
      </c>
      <c r="E992" s="1">
        <v>0.01321774389114139</v>
      </c>
      <c r="F992" s="1">
        <v>-0.0255185105172494</v>
      </c>
      <c r="G992" s="1">
        <v>-0.003194796769302566</v>
      </c>
      <c r="H992" s="1">
        <v>0.003109256994864085</v>
      </c>
      <c r="I992" s="1">
        <v>0.01191168889717553</v>
      </c>
      <c r="J992" s="1">
        <v>-0.004631723196985238</v>
      </c>
      <c r="K992" s="1">
        <v>0.002142822790328847</v>
      </c>
      <c r="L992" s="1">
        <v>0.0006693548184411036</v>
      </c>
      <c r="M992" s="1">
        <v>-0.00687269201837537</v>
      </c>
      <c r="N992" s="1">
        <v>-0.009499442988800011</v>
      </c>
      <c r="O992" s="1">
        <v>0.003323061141409456</v>
      </c>
      <c r="P992" s="1">
        <v>-0.001519601275088878</v>
      </c>
      <c r="Q992" s="1">
        <v>0.01047890381949235</v>
      </c>
      <c r="R992" s="1">
        <v>0.001603511790193135</v>
      </c>
      <c r="S992" s="1">
        <v>-0.009420572250572024</v>
      </c>
      <c r="T992" s="1">
        <v>-0.009920729298549813</v>
      </c>
      <c r="U992" s="1">
        <v>0.0005258213712386883</v>
      </c>
      <c r="V992" s="1">
        <v>-0.005377713482733304</v>
      </c>
      <c r="W992" s="1">
        <v>0.002085841370107699</v>
      </c>
      <c r="X992" s="1">
        <v>-0.006079843282390973</v>
      </c>
      <c r="Y992" s="1">
        <v>0.003605952637919296</v>
      </c>
      <c r="Z992" s="1">
        <v>0.005034209632951869</v>
      </c>
    </row>
    <row r="993" spans="1:26">
      <c r="A993" s="11">
        <v>43810</v>
      </c>
      <c r="B993" s="1">
        <v>0.01672239067226844</v>
      </c>
      <c r="C993" s="1">
        <v>0.006036234348420155</v>
      </c>
      <c r="D993" s="1">
        <v>0.008749666685335056</v>
      </c>
      <c r="E993" s="1">
        <v>0.005154079520197641</v>
      </c>
      <c r="F993" s="1">
        <v>-0.01636710070226299</v>
      </c>
      <c r="G993" s="1">
        <v>0.006009785680685775</v>
      </c>
      <c r="H993" s="1">
        <v>-0.008472576568685941</v>
      </c>
      <c r="I993" s="1">
        <v>-0.001177216015101124</v>
      </c>
      <c r="J993" s="1">
        <v>-0.006435453360609467</v>
      </c>
      <c r="K993" s="1">
        <v>0.01449288035521867</v>
      </c>
      <c r="L993" s="1">
        <v>-0.002378984940630269</v>
      </c>
      <c r="M993" s="1">
        <v>-0.01657290395152511</v>
      </c>
      <c r="N993" s="1">
        <v>0.004995046965671657</v>
      </c>
      <c r="O993" s="1">
        <v>0.002483845939682094</v>
      </c>
      <c r="P993" s="1">
        <v>0.0037716114567099</v>
      </c>
      <c r="Q993" s="1">
        <v>-0.004074002040176383</v>
      </c>
      <c r="R993" s="1">
        <v>0.002462839143214213</v>
      </c>
      <c r="S993" s="1">
        <v>-0.006766144058019119</v>
      </c>
      <c r="T993" s="1">
        <v>0.008128226670713445</v>
      </c>
      <c r="U993" s="1">
        <v>0.002890235041426381</v>
      </c>
      <c r="V993" s="1">
        <v>0.0002385498797570218</v>
      </c>
      <c r="W993" s="1">
        <v>0.003121906266507768</v>
      </c>
      <c r="X993" s="1">
        <v>-0.004304311407815731</v>
      </c>
      <c r="Y993" s="1">
        <v>-0.002449699109237979</v>
      </c>
      <c r="Z993" s="1">
        <v>-0.001402441228196327</v>
      </c>
    </row>
    <row r="994" spans="1:26">
      <c r="A994" s="11">
        <v>43811</v>
      </c>
      <c r="B994" s="1">
        <v>0.03571446798737687</v>
      </c>
      <c r="C994" s="1">
        <v>-0.01059997712474936</v>
      </c>
      <c r="D994" s="1">
        <v>0.006023134828871068</v>
      </c>
      <c r="E994" s="1">
        <v>0.02451496501338335</v>
      </c>
      <c r="F994" s="1">
        <v>0.02234404035417037</v>
      </c>
      <c r="G994" s="1">
        <v>-0.01154932718047674</v>
      </c>
      <c r="H994" s="1">
        <v>-0.005627459602638774</v>
      </c>
      <c r="I994" s="1">
        <v>0.02427820642460166</v>
      </c>
      <c r="J994" s="1">
        <v>0.01793714818035852</v>
      </c>
      <c r="K994" s="1">
        <v>-0.01615957154904046</v>
      </c>
      <c r="L994" s="1">
        <v>0.02861827760138214</v>
      </c>
      <c r="M994" s="1">
        <v>0.009074323527360262</v>
      </c>
      <c r="N994" s="1">
        <v>-0.007355777617997217</v>
      </c>
      <c r="O994" s="1">
        <v>0.01202182326193779</v>
      </c>
      <c r="P994" s="1">
        <v>0.01015153745867425</v>
      </c>
      <c r="Q994" s="1">
        <v>-0.008181511986422585</v>
      </c>
      <c r="R994" s="1">
        <v>0.01904186509346784</v>
      </c>
      <c r="S994" s="1">
        <v>-0.01765111619457271</v>
      </c>
      <c r="T994" s="1">
        <v>0.002293727981402816</v>
      </c>
      <c r="U994" s="1">
        <v>0.004715645655695377</v>
      </c>
      <c r="V994" s="1">
        <v>0.0136724779092674</v>
      </c>
      <c r="W994" s="1">
        <v>0.004024014834014489</v>
      </c>
      <c r="X994" s="1">
        <v>0.01092632931738713</v>
      </c>
      <c r="Y994" s="1">
        <v>0.001473484348466503</v>
      </c>
      <c r="Z994" s="1">
        <v>0.0395266086279531</v>
      </c>
    </row>
    <row r="995" spans="1:26">
      <c r="A995" s="11">
        <v>43812</v>
      </c>
      <c r="B995" s="1">
        <v>-0.0313071556983846</v>
      </c>
      <c r="C995" s="1">
        <v>-0.01334143844949143</v>
      </c>
      <c r="D995" s="1">
        <v>0.005388459152936509</v>
      </c>
      <c r="E995" s="1">
        <v>-0.001876761539750804</v>
      </c>
      <c r="F995" s="1">
        <v>0.01325277703395233</v>
      </c>
      <c r="G995" s="1">
        <v>0.04512516571985792</v>
      </c>
      <c r="H995" s="1">
        <v>0.00314410512616603</v>
      </c>
      <c r="I995" s="1">
        <v>-0.007593884694930719</v>
      </c>
      <c r="J995" s="1">
        <v>-0.003915735139176979</v>
      </c>
      <c r="K995" s="1">
        <v>-0.031377066213645</v>
      </c>
      <c r="L995" s="1">
        <v>-0.008766931396727684</v>
      </c>
      <c r="M995" s="1">
        <v>-0.006239797004891301</v>
      </c>
      <c r="N995" s="1">
        <v>0.00460647925346569</v>
      </c>
      <c r="O995" s="1">
        <v>0.002357554411128504</v>
      </c>
      <c r="P995" s="1">
        <v>0.008418116236999396</v>
      </c>
      <c r="Q995" s="1">
        <v>0.007873868092952652</v>
      </c>
      <c r="R995" s="1">
        <v>-0.01133209331219409</v>
      </c>
      <c r="S995" s="1">
        <v>0.005777446637986738</v>
      </c>
      <c r="T995" s="1">
        <v>-0.007940210560959726</v>
      </c>
      <c r="U995" s="1">
        <v>-0.002346808482246332</v>
      </c>
      <c r="V995" s="1">
        <v>-0.002352545608989898</v>
      </c>
      <c r="W995" s="1">
        <v>0.003569772408263283</v>
      </c>
      <c r="X995" s="1">
        <v>-0.02161629674525689</v>
      </c>
      <c r="Y995" s="1">
        <v>-0.005885173307437319</v>
      </c>
      <c r="Z995" s="1">
        <v>-0.01273884819499882</v>
      </c>
    </row>
    <row r="996" spans="1:26">
      <c r="A996" s="11">
        <v>43815</v>
      </c>
      <c r="B996" s="1">
        <v>0.0337241249579403</v>
      </c>
      <c r="C996" s="1">
        <v>-0.04293621752754473</v>
      </c>
      <c r="D996" s="1">
        <v>-0.001191017617536705</v>
      </c>
      <c r="E996" s="1">
        <v>-0.005014133518726149</v>
      </c>
      <c r="F996" s="1">
        <v>-0.001147431049623227</v>
      </c>
      <c r="G996" s="1">
        <v>0.01580553325599565</v>
      </c>
      <c r="H996" s="1">
        <v>0.0020892958626888</v>
      </c>
      <c r="I996" s="1">
        <v>0.00202873694829897</v>
      </c>
      <c r="J996" s="1">
        <v>0.008353670280756731</v>
      </c>
      <c r="K996" s="1">
        <v>0.003956527726974635</v>
      </c>
      <c r="L996" s="1">
        <v>0.003874202309265717</v>
      </c>
      <c r="M996" s="1">
        <v>0.003693483896074268</v>
      </c>
      <c r="N996" s="1">
        <v>0.008772043985262101</v>
      </c>
      <c r="O996" s="1">
        <v>0.01004155462460843</v>
      </c>
      <c r="P996" s="1">
        <v>0.00647124246327313</v>
      </c>
      <c r="Q996" s="1">
        <v>0.0107886458473061</v>
      </c>
      <c r="R996" s="1">
        <v>0.009876670439430857</v>
      </c>
      <c r="S996" s="1">
        <v>0.003651101745993035</v>
      </c>
      <c r="T996" s="1">
        <v>0.01272204476590066</v>
      </c>
      <c r="U996" s="1">
        <v>0.00862517130954954</v>
      </c>
      <c r="V996" s="1">
        <v>-0.009904106716661421</v>
      </c>
      <c r="W996" s="1">
        <v>0.003590357143550271</v>
      </c>
      <c r="X996" s="1">
        <v>0.01449909524505477</v>
      </c>
      <c r="Y996" s="1">
        <v>0.006906605227608775</v>
      </c>
      <c r="Z996" s="1">
        <v>0.0007818598754407713</v>
      </c>
    </row>
    <row r="997" spans="1:26">
      <c r="A997" s="11">
        <v>43816</v>
      </c>
      <c r="B997" s="1">
        <v>0.01812368934596864</v>
      </c>
      <c r="C997" s="1">
        <v>0</v>
      </c>
      <c r="D997" s="1">
        <v>-0.007273870775214797</v>
      </c>
      <c r="E997" s="1">
        <v>0.009606478681957853</v>
      </c>
      <c r="F997" s="1">
        <v>-0.003215995861629128</v>
      </c>
      <c r="G997" s="1">
        <v>0.002277190712622446</v>
      </c>
      <c r="H997" s="1">
        <v>-0.004170083798817115</v>
      </c>
      <c r="I997" s="1">
        <v>0.005727448046270345</v>
      </c>
      <c r="J997" s="1">
        <v>-0.007310017167648897</v>
      </c>
      <c r="K997" s="1">
        <v>0.001970145892043584</v>
      </c>
      <c r="L997" s="1">
        <v>0.006116180912593583</v>
      </c>
      <c r="M997" s="1">
        <v>-0.00312770505543325</v>
      </c>
      <c r="N997" s="1">
        <v>0.004545289229205496</v>
      </c>
      <c r="O997" s="1">
        <v>0.003582683501205164</v>
      </c>
      <c r="P997" s="1">
        <v>-0.005400818311476652</v>
      </c>
      <c r="Q997" s="1">
        <v>0.003312928907539758</v>
      </c>
      <c r="R997" s="1">
        <v>-0.008089385597377707</v>
      </c>
      <c r="S997" s="1">
        <v>-0.004559229181658964</v>
      </c>
      <c r="T997" s="1">
        <v>-0.002363992202425447</v>
      </c>
      <c r="U997" s="1">
        <v>-0.002331902399503538</v>
      </c>
      <c r="V997" s="1">
        <v>0.01921234310279707</v>
      </c>
      <c r="W997" s="1">
        <v>-0.005195181394807347</v>
      </c>
      <c r="X997" s="1">
        <v>0.008166861063800157</v>
      </c>
      <c r="Y997" s="1">
        <v>0.004246612012869688</v>
      </c>
      <c r="Z997" s="1">
        <v>0.006251304463794183</v>
      </c>
    </row>
    <row r="998" spans="1:26">
      <c r="A998" s="11">
        <v>43817</v>
      </c>
      <c r="B998" s="1">
        <v>0.01201644108127531</v>
      </c>
      <c r="C998" s="1">
        <v>0.01125381990827612</v>
      </c>
      <c r="D998" s="1">
        <v>0.004924714315548195</v>
      </c>
      <c r="E998" s="1">
        <v>-0.01497412333565007</v>
      </c>
      <c r="F998" s="1">
        <v>-0.004609364166770047</v>
      </c>
      <c r="G998" s="1">
        <v>0.01666013256988363</v>
      </c>
      <c r="H998" s="1">
        <v>0.009631376804217107</v>
      </c>
      <c r="I998" s="1">
        <v>-0.007075107594378682</v>
      </c>
      <c r="J998" s="1">
        <v>-0.001963604867707747</v>
      </c>
      <c r="K998" s="1">
        <v>-0.001966272049243156</v>
      </c>
      <c r="L998" s="1">
        <v>-0.001013177786470143</v>
      </c>
      <c r="M998" s="1">
        <v>-0.01070508552189364</v>
      </c>
      <c r="N998" s="1">
        <v>0.01042697907182477</v>
      </c>
      <c r="O998" s="1">
        <v>-0.004640854234253755</v>
      </c>
      <c r="P998" s="1">
        <v>-0.002068701550255847</v>
      </c>
      <c r="Q998" s="1">
        <v>0.0106378127262714</v>
      </c>
      <c r="R998" s="1">
        <v>0.005720910399565016</v>
      </c>
      <c r="S998" s="1">
        <v>0.0144704597491172</v>
      </c>
      <c r="T998" s="1">
        <v>-0.00956517577579119</v>
      </c>
      <c r="U998" s="1">
        <v>0.006233633311619302</v>
      </c>
      <c r="V998" s="1">
        <v>-0.002336571684450339</v>
      </c>
      <c r="W998" s="1">
        <v>-0.0005939393691996031</v>
      </c>
      <c r="X998" s="1">
        <v>-0.01395141395337007</v>
      </c>
      <c r="Y998" s="1">
        <v>-0.01024570589782792</v>
      </c>
      <c r="Z998" s="1">
        <v>-0.003106513629067109</v>
      </c>
    </row>
    <row r="999" spans="1:26">
      <c r="A999" s="11">
        <v>43818</v>
      </c>
      <c r="B999" s="1">
        <v>-0.001319461525174592</v>
      </c>
      <c r="C999" s="1">
        <v>0.008527861232566991</v>
      </c>
      <c r="D999" s="1">
        <v>-0.017212566501416</v>
      </c>
      <c r="E999" s="1">
        <v>-0.004750910547523524</v>
      </c>
      <c r="F999" s="1">
        <v>0.01041920971749999</v>
      </c>
      <c r="G999" s="1">
        <v>-0.002607065146547183</v>
      </c>
      <c r="H999" s="1">
        <v>0</v>
      </c>
      <c r="I999" s="1">
        <v>0.0008688076252676424</v>
      </c>
      <c r="J999" s="1">
        <v>-0.00147581077208303</v>
      </c>
      <c r="K999" s="1">
        <v>0.003940720799470165</v>
      </c>
      <c r="L999" s="1">
        <v>-0.004998602441685818</v>
      </c>
      <c r="M999" s="1">
        <v>0.008955038506805568</v>
      </c>
      <c r="N999" s="1">
        <v>-0.01109866415306104</v>
      </c>
      <c r="O999" s="1">
        <v>0.006096970457406758</v>
      </c>
      <c r="P999" s="1">
        <v>0.008680429327983408</v>
      </c>
      <c r="Q999" s="1">
        <v>0.00217804036359337</v>
      </c>
      <c r="R999" s="1">
        <v>-0.007843478273202642</v>
      </c>
      <c r="S999" s="1">
        <v>0.009173755294897834</v>
      </c>
      <c r="T999" s="1">
        <v>0.009151083315535269</v>
      </c>
      <c r="U999" s="1">
        <v>0.004904370351067833</v>
      </c>
      <c r="V999" s="1">
        <v>0.004840850918752304</v>
      </c>
      <c r="W999" s="1">
        <v>0.01142050749123436</v>
      </c>
      <c r="X999" s="1">
        <v>0.01939782239711518</v>
      </c>
      <c r="Y999" s="1">
        <v>-0.0009857810379413356</v>
      </c>
      <c r="Z999" s="1">
        <v>0.002726599791599726</v>
      </c>
    </row>
    <row r="1000" spans="1:26">
      <c r="A1000" s="11">
        <v>43819</v>
      </c>
      <c r="B1000" s="1">
        <v>-0.003962817365379512</v>
      </c>
      <c r="C1000" s="1">
        <v>-0.01649174901663764</v>
      </c>
      <c r="D1000" s="1">
        <v>0.003284324675248529</v>
      </c>
      <c r="E1000" s="1">
        <v>0.01050144101911177</v>
      </c>
      <c r="F1000" s="1">
        <v>0.01031131421166309</v>
      </c>
      <c r="G1000" s="1">
        <v>-0.001866862190775365</v>
      </c>
      <c r="H1000" s="1">
        <v>0.01970134971116777</v>
      </c>
      <c r="I1000" s="1">
        <v>0.01094001094969577</v>
      </c>
      <c r="J1000" s="1">
        <v>0.01280810444180958</v>
      </c>
      <c r="K1000" s="1">
        <v>0.01128539465709699</v>
      </c>
      <c r="L1000" s="1">
        <v>-0.0008008694166063979</v>
      </c>
      <c r="M1000" s="1">
        <v>0.01017009287118587</v>
      </c>
      <c r="N1000" s="1">
        <v>0.006694938303188902</v>
      </c>
      <c r="O1000" s="1">
        <v>0.0009803645578876363</v>
      </c>
      <c r="P1000" s="1">
        <v>0.01091783698514526</v>
      </c>
      <c r="Q1000" s="1">
        <v>0.005432922009975805</v>
      </c>
      <c r="R1000" s="1">
        <v>0.006023171183769493</v>
      </c>
      <c r="S1000" s="1">
        <v>0.006567483192526868</v>
      </c>
      <c r="T1000" s="1">
        <v>0.005416456464745201</v>
      </c>
      <c r="U1000" s="1">
        <v>0.005651186623898852</v>
      </c>
      <c r="V1000" s="1">
        <v>0.003496213155691708</v>
      </c>
      <c r="W1000" s="1">
        <v>0.01073473885683351</v>
      </c>
      <c r="X1000" s="1">
        <v>0.01186444078417992</v>
      </c>
      <c r="Y1000" s="1">
        <v>0.02088803569648778</v>
      </c>
      <c r="Z1000" s="1">
        <v>0.002719092486693553</v>
      </c>
    </row>
    <row r="1001" spans="1:26">
      <c r="A1001" s="11">
        <v>43822</v>
      </c>
      <c r="B1001" s="1">
        <v>0.1728557859160835</v>
      </c>
      <c r="C1001" s="1">
        <v>0.02911589724582764</v>
      </c>
      <c r="D1001" s="1">
        <v>0.02460891922052144</v>
      </c>
      <c r="E1001" s="1">
        <v>-0.004723747550974156</v>
      </c>
      <c r="F1001" s="1">
        <v>0.0002265389731479495</v>
      </c>
      <c r="G1001" s="1">
        <v>0</v>
      </c>
      <c r="H1001" s="1">
        <v>-0.001220259291656145</v>
      </c>
      <c r="I1001" s="1">
        <v>0.002290493689574458</v>
      </c>
      <c r="J1001" s="1">
        <v>0</v>
      </c>
      <c r="K1001" s="1">
        <v>-0.0002424452937248578</v>
      </c>
      <c r="L1001" s="1">
        <v>-0.00029151914137171</v>
      </c>
      <c r="M1001" s="1">
        <v>0.01134920571899434</v>
      </c>
      <c r="N1001" s="1">
        <v>0.008213941919660517</v>
      </c>
      <c r="O1001" s="1">
        <v>-0.009259321559665357</v>
      </c>
      <c r="P1001" s="1">
        <v>0</v>
      </c>
      <c r="Q1001" s="1">
        <v>-0.01116727587529542</v>
      </c>
      <c r="R1001" s="1">
        <v>-0.007733553676262162</v>
      </c>
      <c r="S1001" s="1">
        <v>-0.006004492313618104</v>
      </c>
      <c r="T1001" s="1">
        <v>0.00392441073367511</v>
      </c>
      <c r="U1001" s="1">
        <v>-0.002043549843478654</v>
      </c>
      <c r="V1001" s="1">
        <v>-0.006271784539995662</v>
      </c>
      <c r="W1001" s="1">
        <v>0.004040279314000195</v>
      </c>
      <c r="X1001" s="1">
        <v>0.008186173562299004</v>
      </c>
      <c r="Y1001" s="1">
        <v>-0.01079419337936749</v>
      </c>
      <c r="Z1001" s="1">
        <v>-0.005616900059915553</v>
      </c>
    </row>
    <row r="1002" spans="1:26">
      <c r="A1002" s="11">
        <v>43823</v>
      </c>
      <c r="B1002" s="1">
        <v>-0.01356955857144893</v>
      </c>
      <c r="C1002" s="1">
        <v>-0.01347952269940778</v>
      </c>
      <c r="D1002" s="1">
        <v>0.002011415996372667</v>
      </c>
      <c r="E1002" s="1">
        <v>-0.0007910799620500786</v>
      </c>
      <c r="F1002" s="1">
        <v>0.009750901841911963</v>
      </c>
      <c r="G1002" s="1">
        <v>0.001122280616247195</v>
      </c>
      <c r="H1002" s="1">
        <v>0.002443500287241829</v>
      </c>
      <c r="I1002" s="1">
        <v>-0.003142339090847379</v>
      </c>
      <c r="J1002" s="1">
        <v>0.001459241904879116</v>
      </c>
      <c r="K1002" s="1">
        <v>-0.002183910450795579</v>
      </c>
      <c r="L1002" s="1">
        <v>0.002769640507715998</v>
      </c>
      <c r="M1002" s="1">
        <v>-0.005610998832079939</v>
      </c>
      <c r="N1002" s="1">
        <v>-0.008479643897464584</v>
      </c>
      <c r="O1002" s="1">
        <v>0.002606267097547077</v>
      </c>
      <c r="P1002" s="1">
        <v>-0.00019089453611143</v>
      </c>
      <c r="Q1002" s="1">
        <v>-0.0007284268400824523</v>
      </c>
      <c r="R1002" s="1">
        <v>-0.0007545012308304289</v>
      </c>
      <c r="S1002" s="1">
        <v>-0.001760228372273631</v>
      </c>
      <c r="T1002" s="1">
        <v>-0.003634614677570536</v>
      </c>
      <c r="U1002" s="1">
        <v>-0.002815110481574234</v>
      </c>
      <c r="V1002" s="1">
        <v>0.001636267354329091</v>
      </c>
      <c r="W1002" s="1">
        <v>-0.004664419508586426</v>
      </c>
      <c r="X1002" s="1">
        <v>-0.01163079540419965</v>
      </c>
      <c r="Y1002" s="1">
        <v>-0.001954498208384337</v>
      </c>
      <c r="Z1002" s="1">
        <v>0.003700651132192645</v>
      </c>
    </row>
    <row r="1003" spans="1:26">
      <c r="A1003" s="11">
        <v>43825</v>
      </c>
      <c r="B1003" s="1">
        <v>0.003821288740391671</v>
      </c>
      <c r="C1003" s="1">
        <v>-0.009249202052583838</v>
      </c>
      <c r="D1003" s="1">
        <v>-0.004251008384753896</v>
      </c>
      <c r="E1003" s="1">
        <v>0.0126662055352349</v>
      </c>
      <c r="F1003" s="1">
        <v>0.009881263413996866</v>
      </c>
      <c r="G1003" s="1">
        <v>0.005605368357528118</v>
      </c>
      <c r="H1003" s="1">
        <v>-0.004265503339737853</v>
      </c>
      <c r="I1003" s="1">
        <v>0.001719179465269116</v>
      </c>
      <c r="J1003" s="1">
        <v>0.00485650013128236</v>
      </c>
      <c r="K1003" s="1">
        <v>-0.0002431407515971484</v>
      </c>
      <c r="L1003" s="1">
        <v>0.01061189775643667</v>
      </c>
      <c r="M1003" s="1">
        <v>-0.0007278622669276702</v>
      </c>
      <c r="N1003" s="1">
        <v>0.002386960643452563</v>
      </c>
      <c r="O1003" s="1">
        <v>0.002419647304744199</v>
      </c>
      <c r="P1003" s="1">
        <v>0.008196981584614127</v>
      </c>
      <c r="Q1003" s="1">
        <v>-0.002916786372551772</v>
      </c>
      <c r="R1003" s="1">
        <v>0.0002519590194431931</v>
      </c>
      <c r="S1003" s="1">
        <v>0.007147770791697594</v>
      </c>
      <c r="T1003" s="1">
        <v>0.0007915607242965361</v>
      </c>
      <c r="U1003" s="1">
        <v>0.005133224002701775</v>
      </c>
      <c r="V1003" s="1">
        <v>0.002645003212075503</v>
      </c>
      <c r="W1003" s="1">
        <v>-0.002449944017870131</v>
      </c>
      <c r="X1003" s="1">
        <v>0.0002223777993854981</v>
      </c>
      <c r="Y1003" s="1">
        <v>0.0001631554484713416</v>
      </c>
      <c r="Z1003" s="1">
        <v>0.00252277216882435</v>
      </c>
    </row>
    <row r="1004" spans="1:26">
      <c r="A1004" s="11">
        <v>43826</v>
      </c>
      <c r="B1004" s="1">
        <v>-0.005710026990333628</v>
      </c>
      <c r="C1004" s="1">
        <v>0.000666891352074428</v>
      </c>
      <c r="D1004" s="1">
        <v>-0.003320217231360556</v>
      </c>
      <c r="E1004" s="1">
        <v>0.00281441638444524</v>
      </c>
      <c r="F1004" s="1">
        <v>0.002890577325068477</v>
      </c>
      <c r="G1004" s="1">
        <v>0</v>
      </c>
      <c r="H1004" s="1">
        <v>0.008975682453020273</v>
      </c>
      <c r="I1004" s="1">
        <v>0.005778226079711901</v>
      </c>
      <c r="J1004" s="1">
        <v>-0.007733292907046274</v>
      </c>
      <c r="K1004" s="1">
        <v>-0.001216423110174891</v>
      </c>
      <c r="L1004" s="1">
        <v>0.0007192973815972614</v>
      </c>
      <c r="M1004" s="1">
        <v>-0.0105646914216766</v>
      </c>
      <c r="N1004" s="1">
        <v>0</v>
      </c>
      <c r="O1004" s="1">
        <v>0.001699049047304779</v>
      </c>
      <c r="P1004" s="1">
        <v>0.001827636481055217</v>
      </c>
      <c r="Q1004" s="1">
        <v>-0.002193532028040623</v>
      </c>
      <c r="R1004" s="1">
        <v>-0.001257776368507879</v>
      </c>
      <c r="S1004" s="1">
        <v>0.001324966495100055</v>
      </c>
      <c r="T1004" s="1">
        <v>0.0001547589894195234</v>
      </c>
      <c r="U1004" s="1">
        <v>0.002042925947763008</v>
      </c>
      <c r="V1004" s="1">
        <v>0.002482889585559311</v>
      </c>
      <c r="W1004" s="1">
        <v>0.002578868773129406</v>
      </c>
      <c r="X1004" s="1">
        <v>-0.01531640894279107</v>
      </c>
      <c r="Y1004" s="1">
        <v>0.003915736408845794</v>
      </c>
      <c r="Z1004" s="1">
        <v>-0.003096844101615703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B1004"/>
  <sheetViews>
    <sheetView showGridLines="0" workbookViewId="0"/>
  </sheetViews>
  <sheetFormatPr defaultRowHeight="15"/>
  <cols>
    <col min="1" max="1" width="10.7109375" style="10" customWidth="1"/>
  </cols>
  <sheetData>
    <row r="1" spans="1:2">
      <c r="A1" s="5" t="s">
        <v>26</v>
      </c>
      <c r="B1" s="5" t="s">
        <v>52</v>
      </c>
    </row>
    <row r="2" spans="1:2">
      <c r="A2" s="11">
        <f>Returns!A2</f>
        <v>0</v>
      </c>
      <c r="B2" s="1">
        <f t="array" ref="B2">MMULT(Returns!B2:Z2,Resume!$B$38:$B$62)</f>
        <v>0</v>
      </c>
    </row>
    <row r="3" spans="1:2">
      <c r="A3" s="11">
        <f>Returns!A3</f>
        <v>0</v>
      </c>
      <c r="B3" s="1">
        <f t="array" ref="B3">MMULT(Returns!B3:Z3,Resume!$B$38:$B$62)</f>
        <v>0</v>
      </c>
    </row>
    <row r="4" spans="1:2">
      <c r="A4" s="11">
        <f>Returns!A4</f>
        <v>0</v>
      </c>
      <c r="B4" s="1">
        <f t="array" ref="B4">MMULT(Returns!B4:Z4,Resume!$B$38:$B$62)</f>
        <v>0</v>
      </c>
    </row>
    <row r="5" spans="1:2">
      <c r="A5" s="11">
        <f>Returns!A5</f>
        <v>0</v>
      </c>
      <c r="B5" s="1">
        <f t="array" ref="B5">MMULT(Returns!B5:Z5,Resume!$B$38:$B$62)</f>
        <v>0</v>
      </c>
    </row>
    <row r="6" spans="1:2">
      <c r="A6" s="11">
        <f>Returns!A6</f>
        <v>0</v>
      </c>
      <c r="B6" s="1">
        <f t="array" ref="B6">MMULT(Returns!B6:Z6,Resume!$B$38:$B$62)</f>
        <v>0</v>
      </c>
    </row>
    <row r="7" spans="1:2">
      <c r="A7" s="11">
        <f>Returns!A7</f>
        <v>0</v>
      </c>
      <c r="B7" s="1">
        <f t="array" ref="B7">MMULT(Returns!B7:Z7,Resume!$B$38:$B$62)</f>
        <v>0</v>
      </c>
    </row>
    <row r="8" spans="1:2">
      <c r="A8" s="11">
        <f>Returns!A8</f>
        <v>0</v>
      </c>
      <c r="B8" s="1">
        <f t="array" ref="B8">MMULT(Returns!B8:Z8,Resume!$B$38:$B$62)</f>
        <v>0</v>
      </c>
    </row>
    <row r="9" spans="1:2">
      <c r="A9" s="11">
        <f>Returns!A9</f>
        <v>0</v>
      </c>
      <c r="B9" s="1">
        <f t="array" ref="B9">MMULT(Returns!B9:Z9,Resume!$B$38:$B$62)</f>
        <v>0</v>
      </c>
    </row>
    <row r="10" spans="1:2">
      <c r="A10" s="11">
        <f>Returns!A10</f>
        <v>0</v>
      </c>
      <c r="B10" s="1">
        <f t="array" ref="B10">MMULT(Returns!B10:Z10,Resume!$B$38:$B$62)</f>
        <v>0</v>
      </c>
    </row>
    <row r="11" spans="1:2">
      <c r="A11" s="11">
        <f>Returns!A11</f>
        <v>0</v>
      </c>
      <c r="B11" s="1">
        <f t="array" ref="B11">MMULT(Returns!B11:Z11,Resume!$B$38:$B$62)</f>
        <v>0</v>
      </c>
    </row>
    <row r="12" spans="1:2">
      <c r="A12" s="11">
        <f>Returns!A12</f>
        <v>0</v>
      </c>
      <c r="B12" s="1">
        <f t="array" ref="B12">MMULT(Returns!B12:Z12,Resume!$B$38:$B$62)</f>
        <v>0</v>
      </c>
    </row>
    <row r="13" spans="1:2">
      <c r="A13" s="11">
        <f>Returns!A13</f>
        <v>0</v>
      </c>
      <c r="B13" s="1">
        <f t="array" ref="B13">MMULT(Returns!B13:Z13,Resume!$B$38:$B$62)</f>
        <v>0</v>
      </c>
    </row>
    <row r="14" spans="1:2">
      <c r="A14" s="11">
        <f>Returns!A14</f>
        <v>0</v>
      </c>
      <c r="B14" s="1">
        <f t="array" ref="B14">MMULT(Returns!B14:Z14,Resume!$B$38:$B$62)</f>
        <v>0</v>
      </c>
    </row>
    <row r="15" spans="1:2">
      <c r="A15" s="11">
        <f>Returns!A15</f>
        <v>0</v>
      </c>
      <c r="B15" s="1">
        <f t="array" ref="B15">MMULT(Returns!B15:Z15,Resume!$B$38:$B$62)</f>
        <v>0</v>
      </c>
    </row>
    <row r="16" spans="1:2">
      <c r="A16" s="11">
        <f>Returns!A16</f>
        <v>0</v>
      </c>
      <c r="B16" s="1">
        <f t="array" ref="B16">MMULT(Returns!B16:Z16,Resume!$B$38:$B$62)</f>
        <v>0</v>
      </c>
    </row>
    <row r="17" spans="1:2">
      <c r="A17" s="11">
        <f>Returns!A17</f>
        <v>0</v>
      </c>
      <c r="B17" s="1">
        <f t="array" ref="B17">MMULT(Returns!B17:Z17,Resume!$B$38:$B$62)</f>
        <v>0</v>
      </c>
    </row>
    <row r="18" spans="1:2">
      <c r="A18" s="11">
        <f>Returns!A18</f>
        <v>0</v>
      </c>
      <c r="B18" s="1">
        <f t="array" ref="B18">MMULT(Returns!B18:Z18,Resume!$B$38:$B$62)</f>
        <v>0</v>
      </c>
    </row>
    <row r="19" spans="1:2">
      <c r="A19" s="11">
        <f>Returns!A19</f>
        <v>0</v>
      </c>
      <c r="B19" s="1">
        <f t="array" ref="B19">MMULT(Returns!B19:Z19,Resume!$B$38:$B$62)</f>
        <v>0</v>
      </c>
    </row>
    <row r="20" spans="1:2">
      <c r="A20" s="11">
        <f>Returns!A20</f>
        <v>0</v>
      </c>
      <c r="B20" s="1">
        <f t="array" ref="B20">MMULT(Returns!B20:Z20,Resume!$B$38:$B$62)</f>
        <v>0</v>
      </c>
    </row>
    <row r="21" spans="1:2">
      <c r="A21" s="11">
        <f>Returns!A21</f>
        <v>0</v>
      </c>
      <c r="B21" s="1">
        <f t="array" ref="B21">MMULT(Returns!B21:Z21,Resume!$B$38:$B$62)</f>
        <v>0</v>
      </c>
    </row>
    <row r="22" spans="1:2">
      <c r="A22" s="11">
        <f>Returns!A22</f>
        <v>0</v>
      </c>
      <c r="B22" s="1">
        <f t="array" ref="B22">MMULT(Returns!B22:Z22,Resume!$B$38:$B$62)</f>
        <v>0</v>
      </c>
    </row>
    <row r="23" spans="1:2">
      <c r="A23" s="11">
        <f>Returns!A23</f>
        <v>0</v>
      </c>
      <c r="B23" s="1">
        <f t="array" ref="B23">MMULT(Returns!B23:Z23,Resume!$B$38:$B$62)</f>
        <v>0</v>
      </c>
    </row>
    <row r="24" spans="1:2">
      <c r="A24" s="11">
        <f>Returns!A24</f>
        <v>0</v>
      </c>
      <c r="B24" s="1">
        <f t="array" ref="B24">MMULT(Returns!B24:Z24,Resume!$B$38:$B$62)</f>
        <v>0</v>
      </c>
    </row>
    <row r="25" spans="1:2">
      <c r="A25" s="11">
        <f>Returns!A25</f>
        <v>0</v>
      </c>
      <c r="B25" s="1">
        <f t="array" ref="B25">MMULT(Returns!B25:Z25,Resume!$B$38:$B$62)</f>
        <v>0</v>
      </c>
    </row>
    <row r="26" spans="1:2">
      <c r="A26" s="11">
        <f>Returns!A26</f>
        <v>0</v>
      </c>
      <c r="B26" s="1">
        <f t="array" ref="B26">MMULT(Returns!B26:Z26,Resume!$B$38:$B$62)</f>
        <v>0</v>
      </c>
    </row>
    <row r="27" spans="1:2">
      <c r="A27" s="11">
        <f>Returns!A27</f>
        <v>0</v>
      </c>
      <c r="B27" s="1">
        <f t="array" ref="B27">MMULT(Returns!B27:Z27,Resume!$B$38:$B$62)</f>
        <v>0</v>
      </c>
    </row>
    <row r="28" spans="1:2">
      <c r="A28" s="11">
        <f>Returns!A28</f>
        <v>0</v>
      </c>
      <c r="B28" s="1">
        <f t="array" ref="B28">MMULT(Returns!B28:Z28,Resume!$B$38:$B$62)</f>
        <v>0</v>
      </c>
    </row>
    <row r="29" spans="1:2">
      <c r="A29" s="11">
        <f>Returns!A29</f>
        <v>0</v>
      </c>
      <c r="B29" s="1">
        <f t="array" ref="B29">MMULT(Returns!B29:Z29,Resume!$B$38:$B$62)</f>
        <v>0</v>
      </c>
    </row>
    <row r="30" spans="1:2">
      <c r="A30" s="11">
        <f>Returns!A30</f>
        <v>0</v>
      </c>
      <c r="B30" s="1">
        <f t="array" ref="B30">MMULT(Returns!B30:Z30,Resume!$B$38:$B$62)</f>
        <v>0</v>
      </c>
    </row>
    <row r="31" spans="1:2">
      <c r="A31" s="11">
        <f>Returns!A31</f>
        <v>0</v>
      </c>
      <c r="B31" s="1">
        <f t="array" ref="B31">MMULT(Returns!B31:Z31,Resume!$B$38:$B$62)</f>
        <v>0</v>
      </c>
    </row>
    <row r="32" spans="1:2">
      <c r="A32" s="11">
        <f>Returns!A32</f>
        <v>0</v>
      </c>
      <c r="B32" s="1">
        <f t="array" ref="B32">MMULT(Returns!B32:Z32,Resume!$B$38:$B$62)</f>
        <v>0</v>
      </c>
    </row>
    <row r="33" spans="1:2">
      <c r="A33" s="11">
        <f>Returns!A33</f>
        <v>0</v>
      </c>
      <c r="B33" s="1">
        <f t="array" ref="B33">MMULT(Returns!B33:Z33,Resume!$B$38:$B$62)</f>
        <v>0</v>
      </c>
    </row>
    <row r="34" spans="1:2">
      <c r="A34" s="11">
        <f>Returns!A34</f>
        <v>0</v>
      </c>
      <c r="B34" s="1">
        <f t="array" ref="B34">MMULT(Returns!B34:Z34,Resume!$B$38:$B$62)</f>
        <v>0</v>
      </c>
    </row>
    <row r="35" spans="1:2">
      <c r="A35" s="11">
        <f>Returns!A35</f>
        <v>0</v>
      </c>
      <c r="B35" s="1">
        <f t="array" ref="B35">MMULT(Returns!B35:Z35,Resume!$B$38:$B$62)</f>
        <v>0</v>
      </c>
    </row>
    <row r="36" spans="1:2">
      <c r="A36" s="11">
        <f>Returns!A36</f>
        <v>0</v>
      </c>
      <c r="B36" s="1">
        <f t="array" ref="B36">MMULT(Returns!B36:Z36,Resume!$B$38:$B$62)</f>
        <v>0</v>
      </c>
    </row>
    <row r="37" spans="1:2">
      <c r="A37" s="11">
        <f>Returns!A37</f>
        <v>0</v>
      </c>
      <c r="B37" s="1">
        <f t="array" ref="B37">MMULT(Returns!B37:Z37,Resume!$B$38:$B$62)</f>
        <v>0</v>
      </c>
    </row>
    <row r="38" spans="1:2">
      <c r="A38" s="11">
        <f>Returns!A38</f>
        <v>0</v>
      </c>
      <c r="B38" s="1">
        <f t="array" ref="B38">MMULT(Returns!B38:Z38,Resume!$B$38:$B$62)</f>
        <v>0</v>
      </c>
    </row>
    <row r="39" spans="1:2">
      <c r="A39" s="11">
        <f>Returns!A39</f>
        <v>0</v>
      </c>
      <c r="B39" s="1">
        <f t="array" ref="B39">MMULT(Returns!B39:Z39,Resume!$B$38:$B$62)</f>
        <v>0</v>
      </c>
    </row>
    <row r="40" spans="1:2">
      <c r="A40" s="11">
        <f>Returns!A40</f>
        <v>0</v>
      </c>
      <c r="B40" s="1">
        <f t="array" ref="B40">MMULT(Returns!B40:Z40,Resume!$B$38:$B$62)</f>
        <v>0</v>
      </c>
    </row>
    <row r="41" spans="1:2">
      <c r="A41" s="11">
        <f>Returns!A41</f>
        <v>0</v>
      </c>
      <c r="B41" s="1">
        <f t="array" ref="B41">MMULT(Returns!B41:Z41,Resume!$B$38:$B$62)</f>
        <v>0</v>
      </c>
    </row>
    <row r="42" spans="1:2">
      <c r="A42" s="11">
        <f>Returns!A42</f>
        <v>0</v>
      </c>
      <c r="B42" s="1">
        <f t="array" ref="B42">MMULT(Returns!B42:Z42,Resume!$B$38:$B$62)</f>
        <v>0</v>
      </c>
    </row>
    <row r="43" spans="1:2">
      <c r="A43" s="11">
        <f>Returns!A43</f>
        <v>0</v>
      </c>
      <c r="B43" s="1">
        <f t="array" ref="B43">MMULT(Returns!B43:Z43,Resume!$B$38:$B$62)</f>
        <v>0</v>
      </c>
    </row>
    <row r="44" spans="1:2">
      <c r="A44" s="11">
        <f>Returns!A44</f>
        <v>0</v>
      </c>
      <c r="B44" s="1">
        <f t="array" ref="B44">MMULT(Returns!B44:Z44,Resume!$B$38:$B$62)</f>
        <v>0</v>
      </c>
    </row>
    <row r="45" spans="1:2">
      <c r="A45" s="11">
        <f>Returns!A45</f>
        <v>0</v>
      </c>
      <c r="B45" s="1">
        <f t="array" ref="B45">MMULT(Returns!B45:Z45,Resume!$B$38:$B$62)</f>
        <v>0</v>
      </c>
    </row>
    <row r="46" spans="1:2">
      <c r="A46" s="11">
        <f>Returns!A46</f>
        <v>0</v>
      </c>
      <c r="B46" s="1">
        <f t="array" ref="B46">MMULT(Returns!B46:Z46,Resume!$B$38:$B$62)</f>
        <v>0</v>
      </c>
    </row>
    <row r="47" spans="1:2">
      <c r="A47" s="11">
        <f>Returns!A47</f>
        <v>0</v>
      </c>
      <c r="B47" s="1">
        <f t="array" ref="B47">MMULT(Returns!B47:Z47,Resume!$B$38:$B$62)</f>
        <v>0</v>
      </c>
    </row>
    <row r="48" spans="1:2">
      <c r="A48" s="11">
        <f>Returns!A48</f>
        <v>0</v>
      </c>
      <c r="B48" s="1">
        <f t="array" ref="B48">MMULT(Returns!B48:Z48,Resume!$B$38:$B$62)</f>
        <v>0</v>
      </c>
    </row>
    <row r="49" spans="1:2">
      <c r="A49" s="11">
        <f>Returns!A49</f>
        <v>0</v>
      </c>
      <c r="B49" s="1">
        <f t="array" ref="B49">MMULT(Returns!B49:Z49,Resume!$B$38:$B$62)</f>
        <v>0</v>
      </c>
    </row>
    <row r="50" spans="1:2">
      <c r="A50" s="11">
        <f>Returns!A50</f>
        <v>0</v>
      </c>
      <c r="B50" s="1">
        <f t="array" ref="B50">MMULT(Returns!B50:Z50,Resume!$B$38:$B$62)</f>
        <v>0</v>
      </c>
    </row>
    <row r="51" spans="1:2">
      <c r="A51" s="11">
        <f>Returns!A51</f>
        <v>0</v>
      </c>
      <c r="B51" s="1">
        <f t="array" ref="B51">MMULT(Returns!B51:Z51,Resume!$B$38:$B$62)</f>
        <v>0</v>
      </c>
    </row>
    <row r="52" spans="1:2">
      <c r="A52" s="11">
        <f>Returns!A52</f>
        <v>0</v>
      </c>
      <c r="B52" s="1">
        <f t="array" ref="B52">MMULT(Returns!B52:Z52,Resume!$B$38:$B$62)</f>
        <v>0</v>
      </c>
    </row>
    <row r="53" spans="1:2">
      <c r="A53" s="11">
        <f>Returns!A53</f>
        <v>0</v>
      </c>
      <c r="B53" s="1">
        <f t="array" ref="B53">MMULT(Returns!B53:Z53,Resume!$B$38:$B$62)</f>
        <v>0</v>
      </c>
    </row>
    <row r="54" spans="1:2">
      <c r="A54" s="11">
        <f>Returns!A54</f>
        <v>0</v>
      </c>
      <c r="B54" s="1">
        <f t="array" ref="B54">MMULT(Returns!B54:Z54,Resume!$B$38:$B$62)</f>
        <v>0</v>
      </c>
    </row>
    <row r="55" spans="1:2">
      <c r="A55" s="11">
        <f>Returns!A55</f>
        <v>0</v>
      </c>
      <c r="B55" s="1">
        <f t="array" ref="B55">MMULT(Returns!B55:Z55,Resume!$B$38:$B$62)</f>
        <v>0</v>
      </c>
    </row>
    <row r="56" spans="1:2">
      <c r="A56" s="11">
        <f>Returns!A56</f>
        <v>0</v>
      </c>
      <c r="B56" s="1">
        <f t="array" ref="B56">MMULT(Returns!B56:Z56,Resume!$B$38:$B$62)</f>
        <v>0</v>
      </c>
    </row>
    <row r="57" spans="1:2">
      <c r="A57" s="11">
        <f>Returns!A57</f>
        <v>0</v>
      </c>
      <c r="B57" s="1">
        <f t="array" ref="B57">MMULT(Returns!B57:Z57,Resume!$B$38:$B$62)</f>
        <v>0</v>
      </c>
    </row>
    <row r="58" spans="1:2">
      <c r="A58" s="11">
        <f>Returns!A58</f>
        <v>0</v>
      </c>
      <c r="B58" s="1">
        <f t="array" ref="B58">MMULT(Returns!B58:Z58,Resume!$B$38:$B$62)</f>
        <v>0</v>
      </c>
    </row>
    <row r="59" spans="1:2">
      <c r="A59" s="11">
        <f>Returns!A59</f>
        <v>0</v>
      </c>
      <c r="B59" s="1">
        <f t="array" ref="B59">MMULT(Returns!B59:Z59,Resume!$B$38:$B$62)</f>
        <v>0</v>
      </c>
    </row>
    <row r="60" spans="1:2">
      <c r="A60" s="11">
        <f>Returns!A60</f>
        <v>0</v>
      </c>
      <c r="B60" s="1">
        <f t="array" ref="B60">MMULT(Returns!B60:Z60,Resume!$B$38:$B$62)</f>
        <v>0</v>
      </c>
    </row>
    <row r="61" spans="1:2">
      <c r="A61" s="11">
        <f>Returns!A61</f>
        <v>0</v>
      </c>
      <c r="B61" s="1">
        <f t="array" ref="B61">MMULT(Returns!B61:Z61,Resume!$B$38:$B$62)</f>
        <v>0</v>
      </c>
    </row>
    <row r="62" spans="1:2">
      <c r="A62" s="11">
        <f>Returns!A62</f>
        <v>0</v>
      </c>
      <c r="B62" s="1">
        <f t="array" ref="B62">MMULT(Returns!B62:Z62,Resume!$B$38:$B$62)</f>
        <v>0</v>
      </c>
    </row>
    <row r="63" spans="1:2">
      <c r="A63" s="11">
        <f>Returns!A63</f>
        <v>0</v>
      </c>
      <c r="B63" s="1">
        <f t="array" ref="B63">MMULT(Returns!B63:Z63,Resume!$B$38:$B$62)</f>
        <v>0</v>
      </c>
    </row>
    <row r="64" spans="1:2">
      <c r="A64" s="11">
        <f>Returns!A64</f>
        <v>0</v>
      </c>
      <c r="B64" s="1">
        <f t="array" ref="B64">MMULT(Returns!B64:Z64,Resume!$B$38:$B$62)</f>
        <v>0</v>
      </c>
    </row>
    <row r="65" spans="1:2">
      <c r="A65" s="11">
        <f>Returns!A65</f>
        <v>0</v>
      </c>
      <c r="B65" s="1">
        <f t="array" ref="B65">MMULT(Returns!B65:Z65,Resume!$B$38:$B$62)</f>
        <v>0</v>
      </c>
    </row>
    <row r="66" spans="1:2">
      <c r="A66" s="11">
        <f>Returns!A66</f>
        <v>0</v>
      </c>
      <c r="B66" s="1">
        <f t="array" ref="B66">MMULT(Returns!B66:Z66,Resume!$B$38:$B$62)</f>
        <v>0</v>
      </c>
    </row>
    <row r="67" spans="1:2">
      <c r="A67" s="11">
        <f>Returns!A67</f>
        <v>0</v>
      </c>
      <c r="B67" s="1">
        <f t="array" ref="B67">MMULT(Returns!B67:Z67,Resume!$B$38:$B$62)</f>
        <v>0</v>
      </c>
    </row>
    <row r="68" spans="1:2">
      <c r="A68" s="11">
        <f>Returns!A68</f>
        <v>0</v>
      </c>
      <c r="B68" s="1">
        <f t="array" ref="B68">MMULT(Returns!B68:Z68,Resume!$B$38:$B$62)</f>
        <v>0</v>
      </c>
    </row>
    <row r="69" spans="1:2">
      <c r="A69" s="11">
        <f>Returns!A69</f>
        <v>0</v>
      </c>
      <c r="B69" s="1">
        <f t="array" ref="B69">MMULT(Returns!B69:Z69,Resume!$B$38:$B$62)</f>
        <v>0</v>
      </c>
    </row>
    <row r="70" spans="1:2">
      <c r="A70" s="11">
        <f>Returns!A70</f>
        <v>0</v>
      </c>
      <c r="B70" s="1">
        <f t="array" ref="B70">MMULT(Returns!B70:Z70,Resume!$B$38:$B$62)</f>
        <v>0</v>
      </c>
    </row>
    <row r="71" spans="1:2">
      <c r="A71" s="11">
        <f>Returns!A71</f>
        <v>0</v>
      </c>
      <c r="B71" s="1">
        <f t="array" ref="B71">MMULT(Returns!B71:Z71,Resume!$B$38:$B$62)</f>
        <v>0</v>
      </c>
    </row>
    <row r="72" spans="1:2">
      <c r="A72" s="11">
        <f>Returns!A72</f>
        <v>0</v>
      </c>
      <c r="B72" s="1">
        <f t="array" ref="B72">MMULT(Returns!B72:Z72,Resume!$B$38:$B$62)</f>
        <v>0</v>
      </c>
    </row>
    <row r="73" spans="1:2">
      <c r="A73" s="11">
        <f>Returns!A73</f>
        <v>0</v>
      </c>
      <c r="B73" s="1">
        <f t="array" ref="B73">MMULT(Returns!B73:Z73,Resume!$B$38:$B$62)</f>
        <v>0</v>
      </c>
    </row>
    <row r="74" spans="1:2">
      <c r="A74" s="11">
        <f>Returns!A74</f>
        <v>0</v>
      </c>
      <c r="B74" s="1">
        <f t="array" ref="B74">MMULT(Returns!B74:Z74,Resume!$B$38:$B$62)</f>
        <v>0</v>
      </c>
    </row>
    <row r="75" spans="1:2">
      <c r="A75" s="11">
        <f>Returns!A75</f>
        <v>0</v>
      </c>
      <c r="B75" s="1">
        <f t="array" ref="B75">MMULT(Returns!B75:Z75,Resume!$B$38:$B$62)</f>
        <v>0</v>
      </c>
    </row>
    <row r="76" spans="1:2">
      <c r="A76" s="11">
        <f>Returns!A76</f>
        <v>0</v>
      </c>
      <c r="B76" s="1">
        <f t="array" ref="B76">MMULT(Returns!B76:Z76,Resume!$B$38:$B$62)</f>
        <v>0</v>
      </c>
    </row>
    <row r="77" spans="1:2">
      <c r="A77" s="11">
        <f>Returns!A77</f>
        <v>0</v>
      </c>
      <c r="B77" s="1">
        <f t="array" ref="B77">MMULT(Returns!B77:Z77,Resume!$B$38:$B$62)</f>
        <v>0</v>
      </c>
    </row>
    <row r="78" spans="1:2">
      <c r="A78" s="11">
        <f>Returns!A78</f>
        <v>0</v>
      </c>
      <c r="B78" s="1">
        <f t="array" ref="B78">MMULT(Returns!B78:Z78,Resume!$B$38:$B$62)</f>
        <v>0</v>
      </c>
    </row>
    <row r="79" spans="1:2">
      <c r="A79" s="11">
        <f>Returns!A79</f>
        <v>0</v>
      </c>
      <c r="B79" s="1">
        <f t="array" ref="B79">MMULT(Returns!B79:Z79,Resume!$B$38:$B$62)</f>
        <v>0</v>
      </c>
    </row>
    <row r="80" spans="1:2">
      <c r="A80" s="11">
        <f>Returns!A80</f>
        <v>0</v>
      </c>
      <c r="B80" s="1">
        <f t="array" ref="B80">MMULT(Returns!B80:Z80,Resume!$B$38:$B$62)</f>
        <v>0</v>
      </c>
    </row>
    <row r="81" spans="1:2">
      <c r="A81" s="11">
        <f>Returns!A81</f>
        <v>0</v>
      </c>
      <c r="B81" s="1">
        <f t="array" ref="B81">MMULT(Returns!B81:Z81,Resume!$B$38:$B$62)</f>
        <v>0</v>
      </c>
    </row>
    <row r="82" spans="1:2">
      <c r="A82" s="11">
        <f>Returns!A82</f>
        <v>0</v>
      </c>
      <c r="B82" s="1">
        <f t="array" ref="B82">MMULT(Returns!B82:Z82,Resume!$B$38:$B$62)</f>
        <v>0</v>
      </c>
    </row>
    <row r="83" spans="1:2">
      <c r="A83" s="11">
        <f>Returns!A83</f>
        <v>0</v>
      </c>
      <c r="B83" s="1">
        <f t="array" ref="B83">MMULT(Returns!B83:Z83,Resume!$B$38:$B$62)</f>
        <v>0</v>
      </c>
    </row>
    <row r="84" spans="1:2">
      <c r="A84" s="11">
        <f>Returns!A84</f>
        <v>0</v>
      </c>
      <c r="B84" s="1">
        <f t="array" ref="B84">MMULT(Returns!B84:Z84,Resume!$B$38:$B$62)</f>
        <v>0</v>
      </c>
    </row>
    <row r="85" spans="1:2">
      <c r="A85" s="11">
        <f>Returns!A85</f>
        <v>0</v>
      </c>
      <c r="B85" s="1">
        <f t="array" ref="B85">MMULT(Returns!B85:Z85,Resume!$B$38:$B$62)</f>
        <v>0</v>
      </c>
    </row>
    <row r="86" spans="1:2">
      <c r="A86" s="11">
        <f>Returns!A86</f>
        <v>0</v>
      </c>
      <c r="B86" s="1">
        <f t="array" ref="B86">MMULT(Returns!B86:Z86,Resume!$B$38:$B$62)</f>
        <v>0</v>
      </c>
    </row>
    <row r="87" spans="1:2">
      <c r="A87" s="11">
        <f>Returns!A87</f>
        <v>0</v>
      </c>
      <c r="B87" s="1">
        <f t="array" ref="B87">MMULT(Returns!B87:Z87,Resume!$B$38:$B$62)</f>
        <v>0</v>
      </c>
    </row>
    <row r="88" spans="1:2">
      <c r="A88" s="11">
        <f>Returns!A88</f>
        <v>0</v>
      </c>
      <c r="B88" s="1">
        <f t="array" ref="B88">MMULT(Returns!B88:Z88,Resume!$B$38:$B$62)</f>
        <v>0</v>
      </c>
    </row>
    <row r="89" spans="1:2">
      <c r="A89" s="11">
        <f>Returns!A89</f>
        <v>0</v>
      </c>
      <c r="B89" s="1">
        <f t="array" ref="B89">MMULT(Returns!B89:Z89,Resume!$B$38:$B$62)</f>
        <v>0</v>
      </c>
    </row>
    <row r="90" spans="1:2">
      <c r="A90" s="11">
        <f>Returns!A90</f>
        <v>0</v>
      </c>
      <c r="B90" s="1">
        <f t="array" ref="B90">MMULT(Returns!B90:Z90,Resume!$B$38:$B$62)</f>
        <v>0</v>
      </c>
    </row>
    <row r="91" spans="1:2">
      <c r="A91" s="11">
        <f>Returns!A91</f>
        <v>0</v>
      </c>
      <c r="B91" s="1">
        <f t="array" ref="B91">MMULT(Returns!B91:Z91,Resume!$B$38:$B$62)</f>
        <v>0</v>
      </c>
    </row>
    <row r="92" spans="1:2">
      <c r="A92" s="11">
        <f>Returns!A92</f>
        <v>0</v>
      </c>
      <c r="B92" s="1">
        <f t="array" ref="B92">MMULT(Returns!B92:Z92,Resume!$B$38:$B$62)</f>
        <v>0</v>
      </c>
    </row>
    <row r="93" spans="1:2">
      <c r="A93" s="11">
        <f>Returns!A93</f>
        <v>0</v>
      </c>
      <c r="B93" s="1">
        <f t="array" ref="B93">MMULT(Returns!B93:Z93,Resume!$B$38:$B$62)</f>
        <v>0</v>
      </c>
    </row>
    <row r="94" spans="1:2">
      <c r="A94" s="11">
        <f>Returns!A94</f>
        <v>0</v>
      </c>
      <c r="B94" s="1">
        <f t="array" ref="B94">MMULT(Returns!B94:Z94,Resume!$B$38:$B$62)</f>
        <v>0</v>
      </c>
    </row>
    <row r="95" spans="1:2">
      <c r="A95" s="11">
        <f>Returns!A95</f>
        <v>0</v>
      </c>
      <c r="B95" s="1">
        <f t="array" ref="B95">MMULT(Returns!B95:Z95,Resume!$B$38:$B$62)</f>
        <v>0</v>
      </c>
    </row>
    <row r="96" spans="1:2">
      <c r="A96" s="11">
        <f>Returns!A96</f>
        <v>0</v>
      </c>
      <c r="B96" s="1">
        <f t="array" ref="B96">MMULT(Returns!B96:Z96,Resume!$B$38:$B$62)</f>
        <v>0</v>
      </c>
    </row>
    <row r="97" spans="1:2">
      <c r="A97" s="11">
        <f>Returns!A97</f>
        <v>0</v>
      </c>
      <c r="B97" s="1">
        <f t="array" ref="B97">MMULT(Returns!B97:Z97,Resume!$B$38:$B$62)</f>
        <v>0</v>
      </c>
    </row>
    <row r="98" spans="1:2">
      <c r="A98" s="11">
        <f>Returns!A98</f>
        <v>0</v>
      </c>
      <c r="B98" s="1">
        <f t="array" ref="B98">MMULT(Returns!B98:Z98,Resume!$B$38:$B$62)</f>
        <v>0</v>
      </c>
    </row>
    <row r="99" spans="1:2">
      <c r="A99" s="11">
        <f>Returns!A99</f>
        <v>0</v>
      </c>
      <c r="B99" s="1">
        <f t="array" ref="B99">MMULT(Returns!B99:Z99,Resume!$B$38:$B$62)</f>
        <v>0</v>
      </c>
    </row>
    <row r="100" spans="1:2">
      <c r="A100" s="11">
        <f>Returns!A100</f>
        <v>0</v>
      </c>
      <c r="B100" s="1">
        <f t="array" ref="B100">MMULT(Returns!B100:Z100,Resume!$B$38:$B$62)</f>
        <v>0</v>
      </c>
    </row>
    <row r="101" spans="1:2">
      <c r="A101" s="11">
        <f>Returns!A101</f>
        <v>0</v>
      </c>
      <c r="B101" s="1">
        <f t="array" ref="B101">MMULT(Returns!B101:Z101,Resume!$B$38:$B$62)</f>
        <v>0</v>
      </c>
    </row>
    <row r="102" spans="1:2">
      <c r="A102" s="11">
        <f>Returns!A102</f>
        <v>0</v>
      </c>
      <c r="B102" s="1">
        <f t="array" ref="B102">MMULT(Returns!B102:Z102,Resume!$B$38:$B$62)</f>
        <v>0</v>
      </c>
    </row>
    <row r="103" spans="1:2">
      <c r="A103" s="11">
        <f>Returns!A103</f>
        <v>0</v>
      </c>
      <c r="B103" s="1">
        <f t="array" ref="B103">MMULT(Returns!B103:Z103,Resume!$B$38:$B$62)</f>
        <v>0</v>
      </c>
    </row>
    <row r="104" spans="1:2">
      <c r="A104" s="11">
        <f>Returns!A104</f>
        <v>0</v>
      </c>
      <c r="B104" s="1">
        <f t="array" ref="B104">MMULT(Returns!B104:Z104,Resume!$B$38:$B$62)</f>
        <v>0</v>
      </c>
    </row>
    <row r="105" spans="1:2">
      <c r="A105" s="11">
        <f>Returns!A105</f>
        <v>0</v>
      </c>
      <c r="B105" s="1">
        <f t="array" ref="B105">MMULT(Returns!B105:Z105,Resume!$B$38:$B$62)</f>
        <v>0</v>
      </c>
    </row>
    <row r="106" spans="1:2">
      <c r="A106" s="11">
        <f>Returns!A106</f>
        <v>0</v>
      </c>
      <c r="B106" s="1">
        <f t="array" ref="B106">MMULT(Returns!B106:Z106,Resume!$B$38:$B$62)</f>
        <v>0</v>
      </c>
    </row>
    <row r="107" spans="1:2">
      <c r="A107" s="11">
        <f>Returns!A107</f>
        <v>0</v>
      </c>
      <c r="B107" s="1">
        <f t="array" ref="B107">MMULT(Returns!B107:Z107,Resume!$B$38:$B$62)</f>
        <v>0</v>
      </c>
    </row>
    <row r="108" spans="1:2">
      <c r="A108" s="11">
        <f>Returns!A108</f>
        <v>0</v>
      </c>
      <c r="B108" s="1">
        <f t="array" ref="B108">MMULT(Returns!B108:Z108,Resume!$B$38:$B$62)</f>
        <v>0</v>
      </c>
    </row>
    <row r="109" spans="1:2">
      <c r="A109" s="11">
        <f>Returns!A109</f>
        <v>0</v>
      </c>
      <c r="B109" s="1">
        <f t="array" ref="B109">MMULT(Returns!B109:Z109,Resume!$B$38:$B$62)</f>
        <v>0</v>
      </c>
    </row>
    <row r="110" spans="1:2">
      <c r="A110" s="11">
        <f>Returns!A110</f>
        <v>0</v>
      </c>
      <c r="B110" s="1">
        <f t="array" ref="B110">MMULT(Returns!B110:Z110,Resume!$B$38:$B$62)</f>
        <v>0</v>
      </c>
    </row>
    <row r="111" spans="1:2">
      <c r="A111" s="11">
        <f>Returns!A111</f>
        <v>0</v>
      </c>
      <c r="B111" s="1">
        <f t="array" ref="B111">MMULT(Returns!B111:Z111,Resume!$B$38:$B$62)</f>
        <v>0</v>
      </c>
    </row>
    <row r="112" spans="1:2">
      <c r="A112" s="11">
        <f>Returns!A112</f>
        <v>0</v>
      </c>
      <c r="B112" s="1">
        <f t="array" ref="B112">MMULT(Returns!B112:Z112,Resume!$B$38:$B$62)</f>
        <v>0</v>
      </c>
    </row>
    <row r="113" spans="1:2">
      <c r="A113" s="11">
        <f>Returns!A113</f>
        <v>0</v>
      </c>
      <c r="B113" s="1">
        <f t="array" ref="B113">MMULT(Returns!B113:Z113,Resume!$B$38:$B$62)</f>
        <v>0</v>
      </c>
    </row>
    <row r="114" spans="1:2">
      <c r="A114" s="11">
        <f>Returns!A114</f>
        <v>0</v>
      </c>
      <c r="B114" s="1">
        <f t="array" ref="B114">MMULT(Returns!B114:Z114,Resume!$B$38:$B$62)</f>
        <v>0</v>
      </c>
    </row>
    <row r="115" spans="1:2">
      <c r="A115" s="11">
        <f>Returns!A115</f>
        <v>0</v>
      </c>
      <c r="B115" s="1">
        <f t="array" ref="B115">MMULT(Returns!B115:Z115,Resume!$B$38:$B$62)</f>
        <v>0</v>
      </c>
    </row>
    <row r="116" spans="1:2">
      <c r="A116" s="11">
        <f>Returns!A116</f>
        <v>0</v>
      </c>
      <c r="B116" s="1">
        <f t="array" ref="B116">MMULT(Returns!B116:Z116,Resume!$B$38:$B$62)</f>
        <v>0</v>
      </c>
    </row>
    <row r="117" spans="1:2">
      <c r="A117" s="11">
        <f>Returns!A117</f>
        <v>0</v>
      </c>
      <c r="B117" s="1">
        <f t="array" ref="B117">MMULT(Returns!B117:Z117,Resume!$B$38:$B$62)</f>
        <v>0</v>
      </c>
    </row>
    <row r="118" spans="1:2">
      <c r="A118" s="11">
        <f>Returns!A118</f>
        <v>0</v>
      </c>
      <c r="B118" s="1">
        <f t="array" ref="B118">MMULT(Returns!B118:Z118,Resume!$B$38:$B$62)</f>
        <v>0</v>
      </c>
    </row>
    <row r="119" spans="1:2">
      <c r="A119" s="11">
        <f>Returns!A119</f>
        <v>0</v>
      </c>
      <c r="B119" s="1">
        <f t="array" ref="B119">MMULT(Returns!B119:Z119,Resume!$B$38:$B$62)</f>
        <v>0</v>
      </c>
    </row>
    <row r="120" spans="1:2">
      <c r="A120" s="11">
        <f>Returns!A120</f>
        <v>0</v>
      </c>
      <c r="B120" s="1">
        <f t="array" ref="B120">MMULT(Returns!B120:Z120,Resume!$B$38:$B$62)</f>
        <v>0</v>
      </c>
    </row>
    <row r="121" spans="1:2">
      <c r="A121" s="11">
        <f>Returns!A121</f>
        <v>0</v>
      </c>
      <c r="B121" s="1">
        <f t="array" ref="B121">MMULT(Returns!B121:Z121,Resume!$B$38:$B$62)</f>
        <v>0</v>
      </c>
    </row>
    <row r="122" spans="1:2">
      <c r="A122" s="11">
        <f>Returns!A122</f>
        <v>0</v>
      </c>
      <c r="B122" s="1">
        <f t="array" ref="B122">MMULT(Returns!B122:Z122,Resume!$B$38:$B$62)</f>
        <v>0</v>
      </c>
    </row>
    <row r="123" spans="1:2">
      <c r="A123" s="11">
        <f>Returns!A123</f>
        <v>0</v>
      </c>
      <c r="B123" s="1">
        <f t="array" ref="B123">MMULT(Returns!B123:Z123,Resume!$B$38:$B$62)</f>
        <v>0</v>
      </c>
    </row>
    <row r="124" spans="1:2">
      <c r="A124" s="11">
        <f>Returns!A124</f>
        <v>0</v>
      </c>
      <c r="B124" s="1">
        <f t="array" ref="B124">MMULT(Returns!B124:Z124,Resume!$B$38:$B$62)</f>
        <v>0</v>
      </c>
    </row>
    <row r="125" spans="1:2">
      <c r="A125" s="11">
        <f>Returns!A125</f>
        <v>0</v>
      </c>
      <c r="B125" s="1">
        <f t="array" ref="B125">MMULT(Returns!B125:Z125,Resume!$B$38:$B$62)</f>
        <v>0</v>
      </c>
    </row>
    <row r="126" spans="1:2">
      <c r="A126" s="11">
        <f>Returns!A126</f>
        <v>0</v>
      </c>
      <c r="B126" s="1">
        <f t="array" ref="B126">MMULT(Returns!B126:Z126,Resume!$B$38:$B$62)</f>
        <v>0</v>
      </c>
    </row>
    <row r="127" spans="1:2">
      <c r="A127" s="11">
        <f>Returns!A127</f>
        <v>0</v>
      </c>
      <c r="B127" s="1">
        <f t="array" ref="B127">MMULT(Returns!B127:Z127,Resume!$B$38:$B$62)</f>
        <v>0</v>
      </c>
    </row>
    <row r="128" spans="1:2">
      <c r="A128" s="11">
        <f>Returns!A128</f>
        <v>0</v>
      </c>
      <c r="B128" s="1">
        <f t="array" ref="B128">MMULT(Returns!B128:Z128,Resume!$B$38:$B$62)</f>
        <v>0</v>
      </c>
    </row>
    <row r="129" spans="1:2">
      <c r="A129" s="11">
        <f>Returns!A129</f>
        <v>0</v>
      </c>
      <c r="B129" s="1">
        <f t="array" ref="B129">MMULT(Returns!B129:Z129,Resume!$B$38:$B$62)</f>
        <v>0</v>
      </c>
    </row>
    <row r="130" spans="1:2">
      <c r="A130" s="11">
        <f>Returns!A130</f>
        <v>0</v>
      </c>
      <c r="B130" s="1">
        <f t="array" ref="B130">MMULT(Returns!B130:Z130,Resume!$B$38:$B$62)</f>
        <v>0</v>
      </c>
    </row>
    <row r="131" spans="1:2">
      <c r="A131" s="11">
        <f>Returns!A131</f>
        <v>0</v>
      </c>
      <c r="B131" s="1">
        <f t="array" ref="B131">MMULT(Returns!B131:Z131,Resume!$B$38:$B$62)</f>
        <v>0</v>
      </c>
    </row>
    <row r="132" spans="1:2">
      <c r="A132" s="11">
        <f>Returns!A132</f>
        <v>0</v>
      </c>
      <c r="B132" s="1">
        <f t="array" ref="B132">MMULT(Returns!B132:Z132,Resume!$B$38:$B$62)</f>
        <v>0</v>
      </c>
    </row>
    <row r="133" spans="1:2">
      <c r="A133" s="11">
        <f>Returns!A133</f>
        <v>0</v>
      </c>
      <c r="B133" s="1">
        <f t="array" ref="B133">MMULT(Returns!B133:Z133,Resume!$B$38:$B$62)</f>
        <v>0</v>
      </c>
    </row>
    <row r="134" spans="1:2">
      <c r="A134" s="11">
        <f>Returns!A134</f>
        <v>0</v>
      </c>
      <c r="B134" s="1">
        <f t="array" ref="B134">MMULT(Returns!B134:Z134,Resume!$B$38:$B$62)</f>
        <v>0</v>
      </c>
    </row>
    <row r="135" spans="1:2">
      <c r="A135" s="11">
        <f>Returns!A135</f>
        <v>0</v>
      </c>
      <c r="B135" s="1">
        <f t="array" ref="B135">MMULT(Returns!B135:Z135,Resume!$B$38:$B$62)</f>
        <v>0</v>
      </c>
    </row>
    <row r="136" spans="1:2">
      <c r="A136" s="11">
        <f>Returns!A136</f>
        <v>0</v>
      </c>
      <c r="B136" s="1">
        <f t="array" ref="B136">MMULT(Returns!B136:Z136,Resume!$B$38:$B$62)</f>
        <v>0</v>
      </c>
    </row>
    <row r="137" spans="1:2">
      <c r="A137" s="11">
        <f>Returns!A137</f>
        <v>0</v>
      </c>
      <c r="B137" s="1">
        <f t="array" ref="B137">MMULT(Returns!B137:Z137,Resume!$B$38:$B$62)</f>
        <v>0</v>
      </c>
    </row>
    <row r="138" spans="1:2">
      <c r="A138" s="11">
        <f>Returns!A138</f>
        <v>0</v>
      </c>
      <c r="B138" s="1">
        <f t="array" ref="B138">MMULT(Returns!B138:Z138,Resume!$B$38:$B$62)</f>
        <v>0</v>
      </c>
    </row>
    <row r="139" spans="1:2">
      <c r="A139" s="11">
        <f>Returns!A139</f>
        <v>0</v>
      </c>
      <c r="B139" s="1">
        <f t="array" ref="B139">MMULT(Returns!B139:Z139,Resume!$B$38:$B$62)</f>
        <v>0</v>
      </c>
    </row>
    <row r="140" spans="1:2">
      <c r="A140" s="11">
        <f>Returns!A140</f>
        <v>0</v>
      </c>
      <c r="B140" s="1">
        <f t="array" ref="B140">MMULT(Returns!B140:Z140,Resume!$B$38:$B$62)</f>
        <v>0</v>
      </c>
    </row>
    <row r="141" spans="1:2">
      <c r="A141" s="11">
        <f>Returns!A141</f>
        <v>0</v>
      </c>
      <c r="B141" s="1">
        <f t="array" ref="B141">MMULT(Returns!B141:Z141,Resume!$B$38:$B$62)</f>
        <v>0</v>
      </c>
    </row>
    <row r="142" spans="1:2">
      <c r="A142" s="11">
        <f>Returns!A142</f>
        <v>0</v>
      </c>
      <c r="B142" s="1">
        <f t="array" ref="B142">MMULT(Returns!B142:Z142,Resume!$B$38:$B$62)</f>
        <v>0</v>
      </c>
    </row>
    <row r="143" spans="1:2">
      <c r="A143" s="11">
        <f>Returns!A143</f>
        <v>0</v>
      </c>
      <c r="B143" s="1">
        <f t="array" ref="B143">MMULT(Returns!B143:Z143,Resume!$B$38:$B$62)</f>
        <v>0</v>
      </c>
    </row>
    <row r="144" spans="1:2">
      <c r="A144" s="11">
        <f>Returns!A144</f>
        <v>0</v>
      </c>
      <c r="B144" s="1">
        <f t="array" ref="B144">MMULT(Returns!B144:Z144,Resume!$B$38:$B$62)</f>
        <v>0</v>
      </c>
    </row>
    <row r="145" spans="1:2">
      <c r="A145" s="11">
        <f>Returns!A145</f>
        <v>0</v>
      </c>
      <c r="B145" s="1">
        <f t="array" ref="B145">MMULT(Returns!B145:Z145,Resume!$B$38:$B$62)</f>
        <v>0</v>
      </c>
    </row>
    <row r="146" spans="1:2">
      <c r="A146" s="11">
        <f>Returns!A146</f>
        <v>0</v>
      </c>
      <c r="B146" s="1">
        <f t="array" ref="B146">MMULT(Returns!B146:Z146,Resume!$B$38:$B$62)</f>
        <v>0</v>
      </c>
    </row>
    <row r="147" spans="1:2">
      <c r="A147" s="11">
        <f>Returns!A147</f>
        <v>0</v>
      </c>
      <c r="B147" s="1">
        <f t="array" ref="B147">MMULT(Returns!B147:Z147,Resume!$B$38:$B$62)</f>
        <v>0</v>
      </c>
    </row>
    <row r="148" spans="1:2">
      <c r="A148" s="11">
        <f>Returns!A148</f>
        <v>0</v>
      </c>
      <c r="B148" s="1">
        <f t="array" ref="B148">MMULT(Returns!B148:Z148,Resume!$B$38:$B$62)</f>
        <v>0</v>
      </c>
    </row>
    <row r="149" spans="1:2">
      <c r="A149" s="11">
        <f>Returns!A149</f>
        <v>0</v>
      </c>
      <c r="B149" s="1">
        <f t="array" ref="B149">MMULT(Returns!B149:Z149,Resume!$B$38:$B$62)</f>
        <v>0</v>
      </c>
    </row>
    <row r="150" spans="1:2">
      <c r="A150" s="11">
        <f>Returns!A150</f>
        <v>0</v>
      </c>
      <c r="B150" s="1">
        <f t="array" ref="B150">MMULT(Returns!B150:Z150,Resume!$B$38:$B$62)</f>
        <v>0</v>
      </c>
    </row>
    <row r="151" spans="1:2">
      <c r="A151" s="11">
        <f>Returns!A151</f>
        <v>0</v>
      </c>
      <c r="B151" s="1">
        <f t="array" ref="B151">MMULT(Returns!B151:Z151,Resume!$B$38:$B$62)</f>
        <v>0</v>
      </c>
    </row>
    <row r="152" spans="1:2">
      <c r="A152" s="11">
        <f>Returns!A152</f>
        <v>0</v>
      </c>
      <c r="B152" s="1">
        <f t="array" ref="B152">MMULT(Returns!B152:Z152,Resume!$B$38:$B$62)</f>
        <v>0</v>
      </c>
    </row>
    <row r="153" spans="1:2">
      <c r="A153" s="11">
        <f>Returns!A153</f>
        <v>0</v>
      </c>
      <c r="B153" s="1">
        <f t="array" ref="B153">MMULT(Returns!B153:Z153,Resume!$B$38:$B$62)</f>
        <v>0</v>
      </c>
    </row>
    <row r="154" spans="1:2">
      <c r="A154" s="11">
        <f>Returns!A154</f>
        <v>0</v>
      </c>
      <c r="B154" s="1">
        <f t="array" ref="B154">MMULT(Returns!B154:Z154,Resume!$B$38:$B$62)</f>
        <v>0</v>
      </c>
    </row>
    <row r="155" spans="1:2">
      <c r="A155" s="11">
        <f>Returns!A155</f>
        <v>0</v>
      </c>
      <c r="B155" s="1">
        <f t="array" ref="B155">MMULT(Returns!B155:Z155,Resume!$B$38:$B$62)</f>
        <v>0</v>
      </c>
    </row>
    <row r="156" spans="1:2">
      <c r="A156" s="11">
        <f>Returns!A156</f>
        <v>0</v>
      </c>
      <c r="B156" s="1">
        <f t="array" ref="B156">MMULT(Returns!B156:Z156,Resume!$B$38:$B$62)</f>
        <v>0</v>
      </c>
    </row>
    <row r="157" spans="1:2">
      <c r="A157" s="11">
        <f>Returns!A157</f>
        <v>0</v>
      </c>
      <c r="B157" s="1">
        <f t="array" ref="B157">MMULT(Returns!B157:Z157,Resume!$B$38:$B$62)</f>
        <v>0</v>
      </c>
    </row>
    <row r="158" spans="1:2">
      <c r="A158" s="11">
        <f>Returns!A158</f>
        <v>0</v>
      </c>
      <c r="B158" s="1">
        <f t="array" ref="B158">MMULT(Returns!B158:Z158,Resume!$B$38:$B$62)</f>
        <v>0</v>
      </c>
    </row>
    <row r="159" spans="1:2">
      <c r="A159" s="11">
        <f>Returns!A159</f>
        <v>0</v>
      </c>
      <c r="B159" s="1">
        <f t="array" ref="B159">MMULT(Returns!B159:Z159,Resume!$B$38:$B$62)</f>
        <v>0</v>
      </c>
    </row>
    <row r="160" spans="1:2">
      <c r="A160" s="11">
        <f>Returns!A160</f>
        <v>0</v>
      </c>
      <c r="B160" s="1">
        <f t="array" ref="B160">MMULT(Returns!B160:Z160,Resume!$B$38:$B$62)</f>
        <v>0</v>
      </c>
    </row>
    <row r="161" spans="1:2">
      <c r="A161" s="11">
        <f>Returns!A161</f>
        <v>0</v>
      </c>
      <c r="B161" s="1">
        <f t="array" ref="B161">MMULT(Returns!B161:Z161,Resume!$B$38:$B$62)</f>
        <v>0</v>
      </c>
    </row>
    <row r="162" spans="1:2">
      <c r="A162" s="11">
        <f>Returns!A162</f>
        <v>0</v>
      </c>
      <c r="B162" s="1">
        <f t="array" ref="B162">MMULT(Returns!B162:Z162,Resume!$B$38:$B$62)</f>
        <v>0</v>
      </c>
    </row>
    <row r="163" spans="1:2">
      <c r="A163" s="11">
        <f>Returns!A163</f>
        <v>0</v>
      </c>
      <c r="B163" s="1">
        <f t="array" ref="B163">MMULT(Returns!B163:Z163,Resume!$B$38:$B$62)</f>
        <v>0</v>
      </c>
    </row>
    <row r="164" spans="1:2">
      <c r="A164" s="11">
        <f>Returns!A164</f>
        <v>0</v>
      </c>
      <c r="B164" s="1">
        <f t="array" ref="B164">MMULT(Returns!B164:Z164,Resume!$B$38:$B$62)</f>
        <v>0</v>
      </c>
    </row>
    <row r="165" spans="1:2">
      <c r="A165" s="11">
        <f>Returns!A165</f>
        <v>0</v>
      </c>
      <c r="B165" s="1">
        <f t="array" ref="B165">MMULT(Returns!B165:Z165,Resume!$B$38:$B$62)</f>
        <v>0</v>
      </c>
    </row>
    <row r="166" spans="1:2">
      <c r="A166" s="11">
        <f>Returns!A166</f>
        <v>0</v>
      </c>
      <c r="B166" s="1">
        <f t="array" ref="B166">MMULT(Returns!B166:Z166,Resume!$B$38:$B$62)</f>
        <v>0</v>
      </c>
    </row>
    <row r="167" spans="1:2">
      <c r="A167" s="11">
        <f>Returns!A167</f>
        <v>0</v>
      </c>
      <c r="B167" s="1">
        <f t="array" ref="B167">MMULT(Returns!B167:Z167,Resume!$B$38:$B$62)</f>
        <v>0</v>
      </c>
    </row>
    <row r="168" spans="1:2">
      <c r="A168" s="11">
        <f>Returns!A168</f>
        <v>0</v>
      </c>
      <c r="B168" s="1">
        <f t="array" ref="B168">MMULT(Returns!B168:Z168,Resume!$B$38:$B$62)</f>
        <v>0</v>
      </c>
    </row>
    <row r="169" spans="1:2">
      <c r="A169" s="11">
        <f>Returns!A169</f>
        <v>0</v>
      </c>
      <c r="B169" s="1">
        <f t="array" ref="B169">MMULT(Returns!B169:Z169,Resume!$B$38:$B$62)</f>
        <v>0</v>
      </c>
    </row>
    <row r="170" spans="1:2">
      <c r="A170" s="11">
        <f>Returns!A170</f>
        <v>0</v>
      </c>
      <c r="B170" s="1">
        <f t="array" ref="B170">MMULT(Returns!B170:Z170,Resume!$B$38:$B$62)</f>
        <v>0</v>
      </c>
    </row>
    <row r="171" spans="1:2">
      <c r="A171" s="11">
        <f>Returns!A171</f>
        <v>0</v>
      </c>
      <c r="B171" s="1">
        <f t="array" ref="B171">MMULT(Returns!B171:Z171,Resume!$B$38:$B$62)</f>
        <v>0</v>
      </c>
    </row>
    <row r="172" spans="1:2">
      <c r="A172" s="11">
        <f>Returns!A172</f>
        <v>0</v>
      </c>
      <c r="B172" s="1">
        <f t="array" ref="B172">MMULT(Returns!B172:Z172,Resume!$B$38:$B$62)</f>
        <v>0</v>
      </c>
    </row>
    <row r="173" spans="1:2">
      <c r="A173" s="11">
        <f>Returns!A173</f>
        <v>0</v>
      </c>
      <c r="B173" s="1">
        <f t="array" ref="B173">MMULT(Returns!B173:Z173,Resume!$B$38:$B$62)</f>
        <v>0</v>
      </c>
    </row>
    <row r="174" spans="1:2">
      <c r="A174" s="11">
        <f>Returns!A174</f>
        <v>0</v>
      </c>
      <c r="B174" s="1">
        <f t="array" ref="B174">MMULT(Returns!B174:Z174,Resume!$B$38:$B$62)</f>
        <v>0</v>
      </c>
    </row>
    <row r="175" spans="1:2">
      <c r="A175" s="11">
        <f>Returns!A175</f>
        <v>0</v>
      </c>
      <c r="B175" s="1">
        <f t="array" ref="B175">MMULT(Returns!B175:Z175,Resume!$B$38:$B$62)</f>
        <v>0</v>
      </c>
    </row>
    <row r="176" spans="1:2">
      <c r="A176" s="11">
        <f>Returns!A176</f>
        <v>0</v>
      </c>
      <c r="B176" s="1">
        <f t="array" ref="B176">MMULT(Returns!B176:Z176,Resume!$B$38:$B$62)</f>
        <v>0</v>
      </c>
    </row>
    <row r="177" spans="1:2">
      <c r="A177" s="11">
        <f>Returns!A177</f>
        <v>0</v>
      </c>
      <c r="B177" s="1">
        <f t="array" ref="B177">MMULT(Returns!B177:Z177,Resume!$B$38:$B$62)</f>
        <v>0</v>
      </c>
    </row>
    <row r="178" spans="1:2">
      <c r="A178" s="11">
        <f>Returns!A178</f>
        <v>0</v>
      </c>
      <c r="B178" s="1">
        <f t="array" ref="B178">MMULT(Returns!B178:Z178,Resume!$B$38:$B$62)</f>
        <v>0</v>
      </c>
    </row>
    <row r="179" spans="1:2">
      <c r="A179" s="11">
        <f>Returns!A179</f>
        <v>0</v>
      </c>
      <c r="B179" s="1">
        <f t="array" ref="B179">MMULT(Returns!B179:Z179,Resume!$B$38:$B$62)</f>
        <v>0</v>
      </c>
    </row>
    <row r="180" spans="1:2">
      <c r="A180" s="11">
        <f>Returns!A180</f>
        <v>0</v>
      </c>
      <c r="B180" s="1">
        <f t="array" ref="B180">MMULT(Returns!B180:Z180,Resume!$B$38:$B$62)</f>
        <v>0</v>
      </c>
    </row>
    <row r="181" spans="1:2">
      <c r="A181" s="11">
        <f>Returns!A181</f>
        <v>0</v>
      </c>
      <c r="B181" s="1">
        <f t="array" ref="B181">MMULT(Returns!B181:Z181,Resume!$B$38:$B$62)</f>
        <v>0</v>
      </c>
    </row>
    <row r="182" spans="1:2">
      <c r="A182" s="11">
        <f>Returns!A182</f>
        <v>0</v>
      </c>
      <c r="B182" s="1">
        <f t="array" ref="B182">MMULT(Returns!B182:Z182,Resume!$B$38:$B$62)</f>
        <v>0</v>
      </c>
    </row>
    <row r="183" spans="1:2">
      <c r="A183" s="11">
        <f>Returns!A183</f>
        <v>0</v>
      </c>
      <c r="B183" s="1">
        <f t="array" ref="B183">MMULT(Returns!B183:Z183,Resume!$B$38:$B$62)</f>
        <v>0</v>
      </c>
    </row>
    <row r="184" spans="1:2">
      <c r="A184" s="11">
        <f>Returns!A184</f>
        <v>0</v>
      </c>
      <c r="B184" s="1">
        <f t="array" ref="B184">MMULT(Returns!B184:Z184,Resume!$B$38:$B$62)</f>
        <v>0</v>
      </c>
    </row>
    <row r="185" spans="1:2">
      <c r="A185" s="11">
        <f>Returns!A185</f>
        <v>0</v>
      </c>
      <c r="B185" s="1">
        <f t="array" ref="B185">MMULT(Returns!B185:Z185,Resume!$B$38:$B$62)</f>
        <v>0</v>
      </c>
    </row>
    <row r="186" spans="1:2">
      <c r="A186" s="11">
        <f>Returns!A186</f>
        <v>0</v>
      </c>
      <c r="B186" s="1">
        <f t="array" ref="B186">MMULT(Returns!B186:Z186,Resume!$B$38:$B$62)</f>
        <v>0</v>
      </c>
    </row>
    <row r="187" spans="1:2">
      <c r="A187" s="11">
        <f>Returns!A187</f>
        <v>0</v>
      </c>
      <c r="B187" s="1">
        <f t="array" ref="B187">MMULT(Returns!B187:Z187,Resume!$B$38:$B$62)</f>
        <v>0</v>
      </c>
    </row>
    <row r="188" spans="1:2">
      <c r="A188" s="11">
        <f>Returns!A188</f>
        <v>0</v>
      </c>
      <c r="B188" s="1">
        <f t="array" ref="B188">MMULT(Returns!B188:Z188,Resume!$B$38:$B$62)</f>
        <v>0</v>
      </c>
    </row>
    <row r="189" spans="1:2">
      <c r="A189" s="11">
        <f>Returns!A189</f>
        <v>0</v>
      </c>
      <c r="B189" s="1">
        <f t="array" ref="B189">MMULT(Returns!B189:Z189,Resume!$B$38:$B$62)</f>
        <v>0</v>
      </c>
    </row>
    <row r="190" spans="1:2">
      <c r="A190" s="11">
        <f>Returns!A190</f>
        <v>0</v>
      </c>
      <c r="B190" s="1">
        <f t="array" ref="B190">MMULT(Returns!B190:Z190,Resume!$B$38:$B$62)</f>
        <v>0</v>
      </c>
    </row>
    <row r="191" spans="1:2">
      <c r="A191" s="11">
        <f>Returns!A191</f>
        <v>0</v>
      </c>
      <c r="B191" s="1">
        <f t="array" ref="B191">MMULT(Returns!B191:Z191,Resume!$B$38:$B$62)</f>
        <v>0</v>
      </c>
    </row>
    <row r="192" spans="1:2">
      <c r="A192" s="11">
        <f>Returns!A192</f>
        <v>0</v>
      </c>
      <c r="B192" s="1">
        <f t="array" ref="B192">MMULT(Returns!B192:Z192,Resume!$B$38:$B$62)</f>
        <v>0</v>
      </c>
    </row>
    <row r="193" spans="1:2">
      <c r="A193" s="11">
        <f>Returns!A193</f>
        <v>0</v>
      </c>
      <c r="B193" s="1">
        <f t="array" ref="B193">MMULT(Returns!B193:Z193,Resume!$B$38:$B$62)</f>
        <v>0</v>
      </c>
    </row>
    <row r="194" spans="1:2">
      <c r="A194" s="11">
        <f>Returns!A194</f>
        <v>0</v>
      </c>
      <c r="B194" s="1">
        <f t="array" ref="B194">MMULT(Returns!B194:Z194,Resume!$B$38:$B$62)</f>
        <v>0</v>
      </c>
    </row>
    <row r="195" spans="1:2">
      <c r="A195" s="11">
        <f>Returns!A195</f>
        <v>0</v>
      </c>
      <c r="B195" s="1">
        <f t="array" ref="B195">MMULT(Returns!B195:Z195,Resume!$B$38:$B$62)</f>
        <v>0</v>
      </c>
    </row>
    <row r="196" spans="1:2">
      <c r="A196" s="11">
        <f>Returns!A196</f>
        <v>0</v>
      </c>
      <c r="B196" s="1">
        <f t="array" ref="B196">MMULT(Returns!B196:Z196,Resume!$B$38:$B$62)</f>
        <v>0</v>
      </c>
    </row>
    <row r="197" spans="1:2">
      <c r="A197" s="11">
        <f>Returns!A197</f>
        <v>0</v>
      </c>
      <c r="B197" s="1">
        <f t="array" ref="B197">MMULT(Returns!B197:Z197,Resume!$B$38:$B$62)</f>
        <v>0</v>
      </c>
    </row>
    <row r="198" spans="1:2">
      <c r="A198" s="11">
        <f>Returns!A198</f>
        <v>0</v>
      </c>
      <c r="B198" s="1">
        <f t="array" ref="B198">MMULT(Returns!B198:Z198,Resume!$B$38:$B$62)</f>
        <v>0</v>
      </c>
    </row>
    <row r="199" spans="1:2">
      <c r="A199" s="11">
        <f>Returns!A199</f>
        <v>0</v>
      </c>
      <c r="B199" s="1">
        <f t="array" ref="B199">MMULT(Returns!B199:Z199,Resume!$B$38:$B$62)</f>
        <v>0</v>
      </c>
    </row>
    <row r="200" spans="1:2">
      <c r="A200" s="11">
        <f>Returns!A200</f>
        <v>0</v>
      </c>
      <c r="B200" s="1">
        <f t="array" ref="B200">MMULT(Returns!B200:Z200,Resume!$B$38:$B$62)</f>
        <v>0</v>
      </c>
    </row>
    <row r="201" spans="1:2">
      <c r="A201" s="11">
        <f>Returns!A201</f>
        <v>0</v>
      </c>
      <c r="B201" s="1">
        <f t="array" ref="B201">MMULT(Returns!B201:Z201,Resume!$B$38:$B$62)</f>
        <v>0</v>
      </c>
    </row>
    <row r="202" spans="1:2">
      <c r="A202" s="11">
        <f>Returns!A202</f>
        <v>0</v>
      </c>
      <c r="B202" s="1">
        <f t="array" ref="B202">MMULT(Returns!B202:Z202,Resume!$B$38:$B$62)</f>
        <v>0</v>
      </c>
    </row>
    <row r="203" spans="1:2">
      <c r="A203" s="11">
        <f>Returns!A203</f>
        <v>0</v>
      </c>
      <c r="B203" s="1">
        <f t="array" ref="B203">MMULT(Returns!B203:Z203,Resume!$B$38:$B$62)</f>
        <v>0</v>
      </c>
    </row>
    <row r="204" spans="1:2">
      <c r="A204" s="11">
        <f>Returns!A204</f>
        <v>0</v>
      </c>
      <c r="B204" s="1">
        <f t="array" ref="B204">MMULT(Returns!B204:Z204,Resume!$B$38:$B$62)</f>
        <v>0</v>
      </c>
    </row>
    <row r="205" spans="1:2">
      <c r="A205" s="11">
        <f>Returns!A205</f>
        <v>0</v>
      </c>
      <c r="B205" s="1">
        <f t="array" ref="B205">MMULT(Returns!B205:Z205,Resume!$B$38:$B$62)</f>
        <v>0</v>
      </c>
    </row>
    <row r="206" spans="1:2">
      <c r="A206" s="11">
        <f>Returns!A206</f>
        <v>0</v>
      </c>
      <c r="B206" s="1">
        <f t="array" ref="B206">MMULT(Returns!B206:Z206,Resume!$B$38:$B$62)</f>
        <v>0</v>
      </c>
    </row>
    <row r="207" spans="1:2">
      <c r="A207" s="11">
        <f>Returns!A207</f>
        <v>0</v>
      </c>
      <c r="B207" s="1">
        <f t="array" ref="B207">MMULT(Returns!B207:Z207,Resume!$B$38:$B$62)</f>
        <v>0</v>
      </c>
    </row>
    <row r="208" spans="1:2">
      <c r="A208" s="11">
        <f>Returns!A208</f>
        <v>0</v>
      </c>
      <c r="B208" s="1">
        <f t="array" ref="B208">MMULT(Returns!B208:Z208,Resume!$B$38:$B$62)</f>
        <v>0</v>
      </c>
    </row>
    <row r="209" spans="1:2">
      <c r="A209" s="11">
        <f>Returns!A209</f>
        <v>0</v>
      </c>
      <c r="B209" s="1">
        <f t="array" ref="B209">MMULT(Returns!B209:Z209,Resume!$B$38:$B$62)</f>
        <v>0</v>
      </c>
    </row>
    <row r="210" spans="1:2">
      <c r="A210" s="11">
        <f>Returns!A210</f>
        <v>0</v>
      </c>
      <c r="B210" s="1">
        <f t="array" ref="B210">MMULT(Returns!B210:Z210,Resume!$B$38:$B$62)</f>
        <v>0</v>
      </c>
    </row>
    <row r="211" spans="1:2">
      <c r="A211" s="11">
        <f>Returns!A211</f>
        <v>0</v>
      </c>
      <c r="B211" s="1">
        <f t="array" ref="B211">MMULT(Returns!B211:Z211,Resume!$B$38:$B$62)</f>
        <v>0</v>
      </c>
    </row>
    <row r="212" spans="1:2">
      <c r="A212" s="11">
        <f>Returns!A212</f>
        <v>0</v>
      </c>
      <c r="B212" s="1">
        <f t="array" ref="B212">MMULT(Returns!B212:Z212,Resume!$B$38:$B$62)</f>
        <v>0</v>
      </c>
    </row>
    <row r="213" spans="1:2">
      <c r="A213" s="11">
        <f>Returns!A213</f>
        <v>0</v>
      </c>
      <c r="B213" s="1">
        <f t="array" ref="B213">MMULT(Returns!B213:Z213,Resume!$B$38:$B$62)</f>
        <v>0</v>
      </c>
    </row>
    <row r="214" spans="1:2">
      <c r="A214" s="11">
        <f>Returns!A214</f>
        <v>0</v>
      </c>
      <c r="B214" s="1">
        <f t="array" ref="B214">MMULT(Returns!B214:Z214,Resume!$B$38:$B$62)</f>
        <v>0</v>
      </c>
    </row>
    <row r="215" spans="1:2">
      <c r="A215" s="11">
        <f>Returns!A215</f>
        <v>0</v>
      </c>
      <c r="B215" s="1">
        <f t="array" ref="B215">MMULT(Returns!B215:Z215,Resume!$B$38:$B$62)</f>
        <v>0</v>
      </c>
    </row>
    <row r="216" spans="1:2">
      <c r="A216" s="11">
        <f>Returns!A216</f>
        <v>0</v>
      </c>
      <c r="B216" s="1">
        <f t="array" ref="B216">MMULT(Returns!B216:Z216,Resume!$B$38:$B$62)</f>
        <v>0</v>
      </c>
    </row>
    <row r="217" spans="1:2">
      <c r="A217" s="11">
        <f>Returns!A217</f>
        <v>0</v>
      </c>
      <c r="B217" s="1">
        <f t="array" ref="B217">MMULT(Returns!B217:Z217,Resume!$B$38:$B$62)</f>
        <v>0</v>
      </c>
    </row>
    <row r="218" spans="1:2">
      <c r="A218" s="11">
        <f>Returns!A218</f>
        <v>0</v>
      </c>
      <c r="B218" s="1">
        <f t="array" ref="B218">MMULT(Returns!B218:Z218,Resume!$B$38:$B$62)</f>
        <v>0</v>
      </c>
    </row>
    <row r="219" spans="1:2">
      <c r="A219" s="11">
        <f>Returns!A219</f>
        <v>0</v>
      </c>
      <c r="B219" s="1">
        <f t="array" ref="B219">MMULT(Returns!B219:Z219,Resume!$B$38:$B$62)</f>
        <v>0</v>
      </c>
    </row>
    <row r="220" spans="1:2">
      <c r="A220" s="11">
        <f>Returns!A220</f>
        <v>0</v>
      </c>
      <c r="B220" s="1">
        <f t="array" ref="B220">MMULT(Returns!B220:Z220,Resume!$B$38:$B$62)</f>
        <v>0</v>
      </c>
    </row>
    <row r="221" spans="1:2">
      <c r="A221" s="11">
        <f>Returns!A221</f>
        <v>0</v>
      </c>
      <c r="B221" s="1">
        <f t="array" ref="B221">MMULT(Returns!B221:Z221,Resume!$B$38:$B$62)</f>
        <v>0</v>
      </c>
    </row>
    <row r="222" spans="1:2">
      <c r="A222" s="11">
        <f>Returns!A222</f>
        <v>0</v>
      </c>
      <c r="B222" s="1">
        <f t="array" ref="B222">MMULT(Returns!B222:Z222,Resume!$B$38:$B$62)</f>
        <v>0</v>
      </c>
    </row>
    <row r="223" spans="1:2">
      <c r="A223" s="11">
        <f>Returns!A223</f>
        <v>0</v>
      </c>
      <c r="B223" s="1">
        <f t="array" ref="B223">MMULT(Returns!B223:Z223,Resume!$B$38:$B$62)</f>
        <v>0</v>
      </c>
    </row>
    <row r="224" spans="1:2">
      <c r="A224" s="11">
        <f>Returns!A224</f>
        <v>0</v>
      </c>
      <c r="B224" s="1">
        <f t="array" ref="B224">MMULT(Returns!B224:Z224,Resume!$B$38:$B$62)</f>
        <v>0</v>
      </c>
    </row>
    <row r="225" spans="1:2">
      <c r="A225" s="11">
        <f>Returns!A225</f>
        <v>0</v>
      </c>
      <c r="B225" s="1">
        <f t="array" ref="B225">MMULT(Returns!B225:Z225,Resume!$B$38:$B$62)</f>
        <v>0</v>
      </c>
    </row>
    <row r="226" spans="1:2">
      <c r="A226" s="11">
        <f>Returns!A226</f>
        <v>0</v>
      </c>
      <c r="B226" s="1">
        <f t="array" ref="B226">MMULT(Returns!B226:Z226,Resume!$B$38:$B$62)</f>
        <v>0</v>
      </c>
    </row>
    <row r="227" spans="1:2">
      <c r="A227" s="11">
        <f>Returns!A227</f>
        <v>0</v>
      </c>
      <c r="B227" s="1">
        <f t="array" ref="B227">MMULT(Returns!B227:Z227,Resume!$B$38:$B$62)</f>
        <v>0</v>
      </c>
    </row>
    <row r="228" spans="1:2">
      <c r="A228" s="11">
        <f>Returns!A228</f>
        <v>0</v>
      </c>
      <c r="B228" s="1">
        <f t="array" ref="B228">MMULT(Returns!B228:Z228,Resume!$B$38:$B$62)</f>
        <v>0</v>
      </c>
    </row>
    <row r="229" spans="1:2">
      <c r="A229" s="11">
        <f>Returns!A229</f>
        <v>0</v>
      </c>
      <c r="B229" s="1">
        <f t="array" ref="B229">MMULT(Returns!B229:Z229,Resume!$B$38:$B$62)</f>
        <v>0</v>
      </c>
    </row>
    <row r="230" spans="1:2">
      <c r="A230" s="11">
        <f>Returns!A230</f>
        <v>0</v>
      </c>
      <c r="B230" s="1">
        <f t="array" ref="B230">MMULT(Returns!B230:Z230,Resume!$B$38:$B$62)</f>
        <v>0</v>
      </c>
    </row>
    <row r="231" spans="1:2">
      <c r="A231" s="11">
        <f>Returns!A231</f>
        <v>0</v>
      </c>
      <c r="B231" s="1">
        <f t="array" ref="B231">MMULT(Returns!B231:Z231,Resume!$B$38:$B$62)</f>
        <v>0</v>
      </c>
    </row>
    <row r="232" spans="1:2">
      <c r="A232" s="11">
        <f>Returns!A232</f>
        <v>0</v>
      </c>
      <c r="B232" s="1">
        <f t="array" ref="B232">MMULT(Returns!B232:Z232,Resume!$B$38:$B$62)</f>
        <v>0</v>
      </c>
    </row>
    <row r="233" spans="1:2">
      <c r="A233" s="11">
        <f>Returns!A233</f>
        <v>0</v>
      </c>
      <c r="B233" s="1">
        <f t="array" ref="B233">MMULT(Returns!B233:Z233,Resume!$B$38:$B$62)</f>
        <v>0</v>
      </c>
    </row>
    <row r="234" spans="1:2">
      <c r="A234" s="11">
        <f>Returns!A234</f>
        <v>0</v>
      </c>
      <c r="B234" s="1">
        <f t="array" ref="B234">MMULT(Returns!B234:Z234,Resume!$B$38:$B$62)</f>
        <v>0</v>
      </c>
    </row>
    <row r="235" spans="1:2">
      <c r="A235" s="11">
        <f>Returns!A235</f>
        <v>0</v>
      </c>
      <c r="B235" s="1">
        <f t="array" ref="B235">MMULT(Returns!B235:Z235,Resume!$B$38:$B$62)</f>
        <v>0</v>
      </c>
    </row>
    <row r="236" spans="1:2">
      <c r="A236" s="11">
        <f>Returns!A236</f>
        <v>0</v>
      </c>
      <c r="B236" s="1">
        <f t="array" ref="B236">MMULT(Returns!B236:Z236,Resume!$B$38:$B$62)</f>
        <v>0</v>
      </c>
    </row>
    <row r="237" spans="1:2">
      <c r="A237" s="11">
        <f>Returns!A237</f>
        <v>0</v>
      </c>
      <c r="B237" s="1">
        <f t="array" ref="B237">MMULT(Returns!B237:Z237,Resume!$B$38:$B$62)</f>
        <v>0</v>
      </c>
    </row>
    <row r="238" spans="1:2">
      <c r="A238" s="11">
        <f>Returns!A238</f>
        <v>0</v>
      </c>
      <c r="B238" s="1">
        <f t="array" ref="B238">MMULT(Returns!B238:Z238,Resume!$B$38:$B$62)</f>
        <v>0</v>
      </c>
    </row>
    <row r="239" spans="1:2">
      <c r="A239" s="11">
        <f>Returns!A239</f>
        <v>0</v>
      </c>
      <c r="B239" s="1">
        <f t="array" ref="B239">MMULT(Returns!B239:Z239,Resume!$B$38:$B$62)</f>
        <v>0</v>
      </c>
    </row>
    <row r="240" spans="1:2">
      <c r="A240" s="11">
        <f>Returns!A240</f>
        <v>0</v>
      </c>
      <c r="B240" s="1">
        <f t="array" ref="B240">MMULT(Returns!B240:Z240,Resume!$B$38:$B$62)</f>
        <v>0</v>
      </c>
    </row>
    <row r="241" spans="1:2">
      <c r="A241" s="11">
        <f>Returns!A241</f>
        <v>0</v>
      </c>
      <c r="B241" s="1">
        <f t="array" ref="B241">MMULT(Returns!B241:Z241,Resume!$B$38:$B$62)</f>
        <v>0</v>
      </c>
    </row>
    <row r="242" spans="1:2">
      <c r="A242" s="11">
        <f>Returns!A242</f>
        <v>0</v>
      </c>
      <c r="B242" s="1">
        <f t="array" ref="B242">MMULT(Returns!B242:Z242,Resume!$B$38:$B$62)</f>
        <v>0</v>
      </c>
    </row>
    <row r="243" spans="1:2">
      <c r="A243" s="11">
        <f>Returns!A243</f>
        <v>0</v>
      </c>
      <c r="B243" s="1">
        <f t="array" ref="B243">MMULT(Returns!B243:Z243,Resume!$B$38:$B$62)</f>
        <v>0</v>
      </c>
    </row>
    <row r="244" spans="1:2">
      <c r="A244" s="11">
        <f>Returns!A244</f>
        <v>0</v>
      </c>
      <c r="B244" s="1">
        <f t="array" ref="B244">MMULT(Returns!B244:Z244,Resume!$B$38:$B$62)</f>
        <v>0</v>
      </c>
    </row>
    <row r="245" spans="1:2">
      <c r="A245" s="11">
        <f>Returns!A245</f>
        <v>0</v>
      </c>
      <c r="B245" s="1">
        <f t="array" ref="B245">MMULT(Returns!B245:Z245,Resume!$B$38:$B$62)</f>
        <v>0</v>
      </c>
    </row>
    <row r="246" spans="1:2">
      <c r="A246" s="11">
        <f>Returns!A246</f>
        <v>0</v>
      </c>
      <c r="B246" s="1">
        <f t="array" ref="B246">MMULT(Returns!B246:Z246,Resume!$B$38:$B$62)</f>
        <v>0</v>
      </c>
    </row>
    <row r="247" spans="1:2">
      <c r="A247" s="11">
        <f>Returns!A247</f>
        <v>0</v>
      </c>
      <c r="B247" s="1">
        <f t="array" ref="B247">MMULT(Returns!B247:Z247,Resume!$B$38:$B$62)</f>
        <v>0</v>
      </c>
    </row>
    <row r="248" spans="1:2">
      <c r="A248" s="11">
        <f>Returns!A248</f>
        <v>0</v>
      </c>
      <c r="B248" s="1">
        <f t="array" ref="B248">MMULT(Returns!B248:Z248,Resume!$B$38:$B$62)</f>
        <v>0</v>
      </c>
    </row>
    <row r="249" spans="1:2">
      <c r="A249" s="11">
        <f>Returns!A249</f>
        <v>0</v>
      </c>
      <c r="B249" s="1">
        <f t="array" ref="B249">MMULT(Returns!B249:Z249,Resume!$B$38:$B$62)</f>
        <v>0</v>
      </c>
    </row>
    <row r="250" spans="1:2">
      <c r="A250" s="11">
        <f>Returns!A250</f>
        <v>0</v>
      </c>
      <c r="B250" s="1">
        <f t="array" ref="B250">MMULT(Returns!B250:Z250,Resume!$B$38:$B$62)</f>
        <v>0</v>
      </c>
    </row>
    <row r="251" spans="1:2">
      <c r="A251" s="11">
        <f>Returns!A251</f>
        <v>0</v>
      </c>
      <c r="B251" s="1">
        <f t="array" ref="B251">MMULT(Returns!B251:Z251,Resume!$B$38:$B$62)</f>
        <v>0</v>
      </c>
    </row>
    <row r="252" spans="1:2">
      <c r="A252" s="11">
        <f>Returns!A252</f>
        <v>0</v>
      </c>
      <c r="B252" s="1">
        <f t="array" ref="B252">MMULT(Returns!B252:Z252,Resume!$B$38:$B$62)</f>
        <v>0</v>
      </c>
    </row>
    <row r="253" spans="1:2">
      <c r="A253" s="11">
        <f>Returns!A253</f>
        <v>0</v>
      </c>
      <c r="B253" s="1">
        <f t="array" ref="B253">MMULT(Returns!B253:Z253,Resume!$B$38:$B$62)</f>
        <v>0</v>
      </c>
    </row>
    <row r="254" spans="1:2">
      <c r="A254" s="11">
        <f>Returns!A254</f>
        <v>0</v>
      </c>
      <c r="B254" s="1">
        <f t="array" ref="B254">MMULT(Returns!B254:Z254,Resume!$B$38:$B$62)</f>
        <v>0</v>
      </c>
    </row>
    <row r="255" spans="1:2">
      <c r="A255" s="11">
        <f>Returns!A255</f>
        <v>0</v>
      </c>
      <c r="B255" s="1">
        <f t="array" ref="B255">MMULT(Returns!B255:Z255,Resume!$B$38:$B$62)</f>
        <v>0</v>
      </c>
    </row>
    <row r="256" spans="1:2">
      <c r="A256" s="11">
        <f>Returns!A256</f>
        <v>0</v>
      </c>
      <c r="B256" s="1">
        <f t="array" ref="B256">MMULT(Returns!B256:Z256,Resume!$B$38:$B$62)</f>
        <v>0</v>
      </c>
    </row>
    <row r="257" spans="1:2">
      <c r="A257" s="11">
        <f>Returns!A257</f>
        <v>0</v>
      </c>
      <c r="B257" s="1">
        <f t="array" ref="B257">MMULT(Returns!B257:Z257,Resume!$B$38:$B$62)</f>
        <v>0</v>
      </c>
    </row>
    <row r="258" spans="1:2">
      <c r="A258" s="11">
        <f>Returns!A258</f>
        <v>0</v>
      </c>
      <c r="B258" s="1">
        <f t="array" ref="B258">MMULT(Returns!B258:Z258,Resume!$B$38:$B$62)</f>
        <v>0</v>
      </c>
    </row>
    <row r="259" spans="1:2">
      <c r="A259" s="11">
        <f>Returns!A259</f>
        <v>0</v>
      </c>
      <c r="B259" s="1">
        <f t="array" ref="B259">MMULT(Returns!B259:Z259,Resume!$B$38:$B$62)</f>
        <v>0</v>
      </c>
    </row>
    <row r="260" spans="1:2">
      <c r="A260" s="11">
        <f>Returns!A260</f>
        <v>0</v>
      </c>
      <c r="B260" s="1">
        <f t="array" ref="B260">MMULT(Returns!B260:Z260,Resume!$B$38:$B$62)</f>
        <v>0</v>
      </c>
    </row>
    <row r="261" spans="1:2">
      <c r="A261" s="11">
        <f>Returns!A261</f>
        <v>0</v>
      </c>
      <c r="B261" s="1">
        <f t="array" ref="B261">MMULT(Returns!B261:Z261,Resume!$B$38:$B$62)</f>
        <v>0</v>
      </c>
    </row>
    <row r="262" spans="1:2">
      <c r="A262" s="11">
        <f>Returns!A262</f>
        <v>0</v>
      </c>
      <c r="B262" s="1">
        <f t="array" ref="B262">MMULT(Returns!B262:Z262,Resume!$B$38:$B$62)</f>
        <v>0</v>
      </c>
    </row>
    <row r="263" spans="1:2">
      <c r="A263" s="11">
        <f>Returns!A263</f>
        <v>0</v>
      </c>
      <c r="B263" s="1">
        <f t="array" ref="B263">MMULT(Returns!B263:Z263,Resume!$B$38:$B$62)</f>
        <v>0</v>
      </c>
    </row>
    <row r="264" spans="1:2">
      <c r="A264" s="11">
        <f>Returns!A264</f>
        <v>0</v>
      </c>
      <c r="B264" s="1">
        <f t="array" ref="B264">MMULT(Returns!B264:Z264,Resume!$B$38:$B$62)</f>
        <v>0</v>
      </c>
    </row>
    <row r="265" spans="1:2">
      <c r="A265" s="11">
        <f>Returns!A265</f>
        <v>0</v>
      </c>
      <c r="B265" s="1">
        <f t="array" ref="B265">MMULT(Returns!B265:Z265,Resume!$B$38:$B$62)</f>
        <v>0</v>
      </c>
    </row>
    <row r="266" spans="1:2">
      <c r="A266" s="11">
        <f>Returns!A266</f>
        <v>0</v>
      </c>
      <c r="B266" s="1">
        <f t="array" ref="B266">MMULT(Returns!B266:Z266,Resume!$B$38:$B$62)</f>
        <v>0</v>
      </c>
    </row>
    <row r="267" spans="1:2">
      <c r="A267" s="11">
        <f>Returns!A267</f>
        <v>0</v>
      </c>
      <c r="B267" s="1">
        <f t="array" ref="B267">MMULT(Returns!B267:Z267,Resume!$B$38:$B$62)</f>
        <v>0</v>
      </c>
    </row>
    <row r="268" spans="1:2">
      <c r="A268" s="11">
        <f>Returns!A268</f>
        <v>0</v>
      </c>
      <c r="B268" s="1">
        <f t="array" ref="B268">MMULT(Returns!B268:Z268,Resume!$B$38:$B$62)</f>
        <v>0</v>
      </c>
    </row>
    <row r="269" spans="1:2">
      <c r="A269" s="11">
        <f>Returns!A269</f>
        <v>0</v>
      </c>
      <c r="B269" s="1">
        <f t="array" ref="B269">MMULT(Returns!B269:Z269,Resume!$B$38:$B$62)</f>
        <v>0</v>
      </c>
    </row>
    <row r="270" spans="1:2">
      <c r="A270" s="11">
        <f>Returns!A270</f>
        <v>0</v>
      </c>
      <c r="B270" s="1">
        <f t="array" ref="B270">MMULT(Returns!B270:Z270,Resume!$B$38:$B$62)</f>
        <v>0</v>
      </c>
    </row>
    <row r="271" spans="1:2">
      <c r="A271" s="11">
        <f>Returns!A271</f>
        <v>0</v>
      </c>
      <c r="B271" s="1">
        <f t="array" ref="B271">MMULT(Returns!B271:Z271,Resume!$B$38:$B$62)</f>
        <v>0</v>
      </c>
    </row>
    <row r="272" spans="1:2">
      <c r="A272" s="11">
        <f>Returns!A272</f>
        <v>0</v>
      </c>
      <c r="B272" s="1">
        <f t="array" ref="B272">MMULT(Returns!B272:Z272,Resume!$B$38:$B$62)</f>
        <v>0</v>
      </c>
    </row>
    <row r="273" spans="1:2">
      <c r="A273" s="11">
        <f>Returns!A273</f>
        <v>0</v>
      </c>
      <c r="B273" s="1">
        <f t="array" ref="B273">MMULT(Returns!B273:Z273,Resume!$B$38:$B$62)</f>
        <v>0</v>
      </c>
    </row>
    <row r="274" spans="1:2">
      <c r="A274" s="11">
        <f>Returns!A274</f>
        <v>0</v>
      </c>
      <c r="B274" s="1">
        <f t="array" ref="B274">MMULT(Returns!B274:Z274,Resume!$B$38:$B$62)</f>
        <v>0</v>
      </c>
    </row>
    <row r="275" spans="1:2">
      <c r="A275" s="11">
        <f>Returns!A275</f>
        <v>0</v>
      </c>
      <c r="B275" s="1">
        <f t="array" ref="B275">MMULT(Returns!B275:Z275,Resume!$B$38:$B$62)</f>
        <v>0</v>
      </c>
    </row>
    <row r="276" spans="1:2">
      <c r="A276" s="11">
        <f>Returns!A276</f>
        <v>0</v>
      </c>
      <c r="B276" s="1">
        <f t="array" ref="B276">MMULT(Returns!B276:Z276,Resume!$B$38:$B$62)</f>
        <v>0</v>
      </c>
    </row>
    <row r="277" spans="1:2">
      <c r="A277" s="11">
        <f>Returns!A277</f>
        <v>0</v>
      </c>
      <c r="B277" s="1">
        <f t="array" ref="B277">MMULT(Returns!B277:Z277,Resume!$B$38:$B$62)</f>
        <v>0</v>
      </c>
    </row>
    <row r="278" spans="1:2">
      <c r="A278" s="11">
        <f>Returns!A278</f>
        <v>0</v>
      </c>
      <c r="B278" s="1">
        <f t="array" ref="B278">MMULT(Returns!B278:Z278,Resume!$B$38:$B$62)</f>
        <v>0</v>
      </c>
    </row>
    <row r="279" spans="1:2">
      <c r="A279" s="11">
        <f>Returns!A279</f>
        <v>0</v>
      </c>
      <c r="B279" s="1">
        <f t="array" ref="B279">MMULT(Returns!B279:Z279,Resume!$B$38:$B$62)</f>
        <v>0</v>
      </c>
    </row>
    <row r="280" spans="1:2">
      <c r="A280" s="11">
        <f>Returns!A280</f>
        <v>0</v>
      </c>
      <c r="B280" s="1">
        <f t="array" ref="B280">MMULT(Returns!B280:Z280,Resume!$B$38:$B$62)</f>
        <v>0</v>
      </c>
    </row>
    <row r="281" spans="1:2">
      <c r="A281" s="11">
        <f>Returns!A281</f>
        <v>0</v>
      </c>
      <c r="B281" s="1">
        <f t="array" ref="B281">MMULT(Returns!B281:Z281,Resume!$B$38:$B$62)</f>
        <v>0</v>
      </c>
    </row>
    <row r="282" spans="1:2">
      <c r="A282" s="11">
        <f>Returns!A282</f>
        <v>0</v>
      </c>
      <c r="B282" s="1">
        <f t="array" ref="B282">MMULT(Returns!B282:Z282,Resume!$B$38:$B$62)</f>
        <v>0</v>
      </c>
    </row>
    <row r="283" spans="1:2">
      <c r="A283" s="11">
        <f>Returns!A283</f>
        <v>0</v>
      </c>
      <c r="B283" s="1">
        <f t="array" ref="B283">MMULT(Returns!B283:Z283,Resume!$B$38:$B$62)</f>
        <v>0</v>
      </c>
    </row>
    <row r="284" spans="1:2">
      <c r="A284" s="11">
        <f>Returns!A284</f>
        <v>0</v>
      </c>
      <c r="B284" s="1">
        <f t="array" ref="B284">MMULT(Returns!B284:Z284,Resume!$B$38:$B$62)</f>
        <v>0</v>
      </c>
    </row>
    <row r="285" spans="1:2">
      <c r="A285" s="11">
        <f>Returns!A285</f>
        <v>0</v>
      </c>
      <c r="B285" s="1">
        <f t="array" ref="B285">MMULT(Returns!B285:Z285,Resume!$B$38:$B$62)</f>
        <v>0</v>
      </c>
    </row>
    <row r="286" spans="1:2">
      <c r="A286" s="11">
        <f>Returns!A286</f>
        <v>0</v>
      </c>
      <c r="B286" s="1">
        <f t="array" ref="B286">MMULT(Returns!B286:Z286,Resume!$B$38:$B$62)</f>
        <v>0</v>
      </c>
    </row>
    <row r="287" spans="1:2">
      <c r="A287" s="11">
        <f>Returns!A287</f>
        <v>0</v>
      </c>
      <c r="B287" s="1">
        <f t="array" ref="B287">MMULT(Returns!B287:Z287,Resume!$B$38:$B$62)</f>
        <v>0</v>
      </c>
    </row>
    <row r="288" spans="1:2">
      <c r="A288" s="11">
        <f>Returns!A288</f>
        <v>0</v>
      </c>
      <c r="B288" s="1">
        <f t="array" ref="B288">MMULT(Returns!B288:Z288,Resume!$B$38:$B$62)</f>
        <v>0</v>
      </c>
    </row>
    <row r="289" spans="1:2">
      <c r="A289" s="11">
        <f>Returns!A289</f>
        <v>0</v>
      </c>
      <c r="B289" s="1">
        <f t="array" ref="B289">MMULT(Returns!B289:Z289,Resume!$B$38:$B$62)</f>
        <v>0</v>
      </c>
    </row>
    <row r="290" spans="1:2">
      <c r="A290" s="11">
        <f>Returns!A290</f>
        <v>0</v>
      </c>
      <c r="B290" s="1">
        <f t="array" ref="B290">MMULT(Returns!B290:Z290,Resume!$B$38:$B$62)</f>
        <v>0</v>
      </c>
    </row>
    <row r="291" spans="1:2">
      <c r="A291" s="11">
        <f>Returns!A291</f>
        <v>0</v>
      </c>
      <c r="B291" s="1">
        <f t="array" ref="B291">MMULT(Returns!B291:Z291,Resume!$B$38:$B$62)</f>
        <v>0</v>
      </c>
    </row>
    <row r="292" spans="1:2">
      <c r="A292" s="11">
        <f>Returns!A292</f>
        <v>0</v>
      </c>
      <c r="B292" s="1">
        <f t="array" ref="B292">MMULT(Returns!B292:Z292,Resume!$B$38:$B$62)</f>
        <v>0</v>
      </c>
    </row>
    <row r="293" spans="1:2">
      <c r="A293" s="11">
        <f>Returns!A293</f>
        <v>0</v>
      </c>
      <c r="B293" s="1">
        <f t="array" ref="B293">MMULT(Returns!B293:Z293,Resume!$B$38:$B$62)</f>
        <v>0</v>
      </c>
    </row>
    <row r="294" spans="1:2">
      <c r="A294" s="11">
        <f>Returns!A294</f>
        <v>0</v>
      </c>
      <c r="B294" s="1">
        <f t="array" ref="B294">MMULT(Returns!B294:Z294,Resume!$B$38:$B$62)</f>
        <v>0</v>
      </c>
    </row>
    <row r="295" spans="1:2">
      <c r="A295" s="11">
        <f>Returns!A295</f>
        <v>0</v>
      </c>
      <c r="B295" s="1">
        <f t="array" ref="B295">MMULT(Returns!B295:Z295,Resume!$B$38:$B$62)</f>
        <v>0</v>
      </c>
    </row>
    <row r="296" spans="1:2">
      <c r="A296" s="11">
        <f>Returns!A296</f>
        <v>0</v>
      </c>
      <c r="B296" s="1">
        <f t="array" ref="B296">MMULT(Returns!B296:Z296,Resume!$B$38:$B$62)</f>
        <v>0</v>
      </c>
    </row>
    <row r="297" spans="1:2">
      <c r="A297" s="11">
        <f>Returns!A297</f>
        <v>0</v>
      </c>
      <c r="B297" s="1">
        <f t="array" ref="B297">MMULT(Returns!B297:Z297,Resume!$B$38:$B$62)</f>
        <v>0</v>
      </c>
    </row>
    <row r="298" spans="1:2">
      <c r="A298" s="11">
        <f>Returns!A298</f>
        <v>0</v>
      </c>
      <c r="B298" s="1">
        <f t="array" ref="B298">MMULT(Returns!B298:Z298,Resume!$B$38:$B$62)</f>
        <v>0</v>
      </c>
    </row>
    <row r="299" spans="1:2">
      <c r="A299" s="11">
        <f>Returns!A299</f>
        <v>0</v>
      </c>
      <c r="B299" s="1">
        <f t="array" ref="B299">MMULT(Returns!B299:Z299,Resume!$B$38:$B$62)</f>
        <v>0</v>
      </c>
    </row>
    <row r="300" spans="1:2">
      <c r="A300" s="11">
        <f>Returns!A300</f>
        <v>0</v>
      </c>
      <c r="B300" s="1">
        <f t="array" ref="B300">MMULT(Returns!B300:Z300,Resume!$B$38:$B$62)</f>
        <v>0</v>
      </c>
    </row>
    <row r="301" spans="1:2">
      <c r="A301" s="11">
        <f>Returns!A301</f>
        <v>0</v>
      </c>
      <c r="B301" s="1">
        <f t="array" ref="B301">MMULT(Returns!B301:Z301,Resume!$B$38:$B$62)</f>
        <v>0</v>
      </c>
    </row>
    <row r="302" spans="1:2">
      <c r="A302" s="11">
        <f>Returns!A302</f>
        <v>0</v>
      </c>
      <c r="B302" s="1">
        <f t="array" ref="B302">MMULT(Returns!B302:Z302,Resume!$B$38:$B$62)</f>
        <v>0</v>
      </c>
    </row>
    <row r="303" spans="1:2">
      <c r="A303" s="11">
        <f>Returns!A303</f>
        <v>0</v>
      </c>
      <c r="B303" s="1">
        <f t="array" ref="B303">MMULT(Returns!B303:Z303,Resume!$B$38:$B$62)</f>
        <v>0</v>
      </c>
    </row>
    <row r="304" spans="1:2">
      <c r="A304" s="11">
        <f>Returns!A304</f>
        <v>0</v>
      </c>
      <c r="B304" s="1">
        <f t="array" ref="B304">MMULT(Returns!B304:Z304,Resume!$B$38:$B$62)</f>
        <v>0</v>
      </c>
    </row>
    <row r="305" spans="1:2">
      <c r="A305" s="11">
        <f>Returns!A305</f>
        <v>0</v>
      </c>
      <c r="B305" s="1">
        <f t="array" ref="B305">MMULT(Returns!B305:Z305,Resume!$B$38:$B$62)</f>
        <v>0</v>
      </c>
    </row>
    <row r="306" spans="1:2">
      <c r="A306" s="11">
        <f>Returns!A306</f>
        <v>0</v>
      </c>
      <c r="B306" s="1">
        <f t="array" ref="B306">MMULT(Returns!B306:Z306,Resume!$B$38:$B$62)</f>
        <v>0</v>
      </c>
    </row>
    <row r="307" spans="1:2">
      <c r="A307" s="11">
        <f>Returns!A307</f>
        <v>0</v>
      </c>
      <c r="B307" s="1">
        <f t="array" ref="B307">MMULT(Returns!B307:Z307,Resume!$B$38:$B$62)</f>
        <v>0</v>
      </c>
    </row>
    <row r="308" spans="1:2">
      <c r="A308" s="11">
        <f>Returns!A308</f>
        <v>0</v>
      </c>
      <c r="B308" s="1">
        <f t="array" ref="B308">MMULT(Returns!B308:Z308,Resume!$B$38:$B$62)</f>
        <v>0</v>
      </c>
    </row>
    <row r="309" spans="1:2">
      <c r="A309" s="11">
        <f>Returns!A309</f>
        <v>0</v>
      </c>
      <c r="B309" s="1">
        <f t="array" ref="B309">MMULT(Returns!B309:Z309,Resume!$B$38:$B$62)</f>
        <v>0</v>
      </c>
    </row>
    <row r="310" spans="1:2">
      <c r="A310" s="11">
        <f>Returns!A310</f>
        <v>0</v>
      </c>
      <c r="B310" s="1">
        <f t="array" ref="B310">MMULT(Returns!B310:Z310,Resume!$B$38:$B$62)</f>
        <v>0</v>
      </c>
    </row>
    <row r="311" spans="1:2">
      <c r="A311" s="11">
        <f>Returns!A311</f>
        <v>0</v>
      </c>
      <c r="B311" s="1">
        <f t="array" ref="B311">MMULT(Returns!B311:Z311,Resume!$B$38:$B$62)</f>
        <v>0</v>
      </c>
    </row>
    <row r="312" spans="1:2">
      <c r="A312" s="11">
        <f>Returns!A312</f>
        <v>0</v>
      </c>
      <c r="B312" s="1">
        <f t="array" ref="B312">MMULT(Returns!B312:Z312,Resume!$B$38:$B$62)</f>
        <v>0</v>
      </c>
    </row>
    <row r="313" spans="1:2">
      <c r="A313" s="11">
        <f>Returns!A313</f>
        <v>0</v>
      </c>
      <c r="B313" s="1">
        <f t="array" ref="B313">MMULT(Returns!B313:Z313,Resume!$B$38:$B$62)</f>
        <v>0</v>
      </c>
    </row>
    <row r="314" spans="1:2">
      <c r="A314" s="11">
        <f>Returns!A314</f>
        <v>0</v>
      </c>
      <c r="B314" s="1">
        <f t="array" ref="B314">MMULT(Returns!B314:Z314,Resume!$B$38:$B$62)</f>
        <v>0</v>
      </c>
    </row>
    <row r="315" spans="1:2">
      <c r="A315" s="11">
        <f>Returns!A315</f>
        <v>0</v>
      </c>
      <c r="B315" s="1">
        <f t="array" ref="B315">MMULT(Returns!B315:Z315,Resume!$B$38:$B$62)</f>
        <v>0</v>
      </c>
    </row>
    <row r="316" spans="1:2">
      <c r="A316" s="11">
        <f>Returns!A316</f>
        <v>0</v>
      </c>
      <c r="B316" s="1">
        <f t="array" ref="B316">MMULT(Returns!B316:Z316,Resume!$B$38:$B$62)</f>
        <v>0</v>
      </c>
    </row>
    <row r="317" spans="1:2">
      <c r="A317" s="11">
        <f>Returns!A317</f>
        <v>0</v>
      </c>
      <c r="B317" s="1">
        <f t="array" ref="B317">MMULT(Returns!B317:Z317,Resume!$B$38:$B$62)</f>
        <v>0</v>
      </c>
    </row>
    <row r="318" spans="1:2">
      <c r="A318" s="11">
        <f>Returns!A318</f>
        <v>0</v>
      </c>
      <c r="B318" s="1">
        <f t="array" ref="B318">MMULT(Returns!B318:Z318,Resume!$B$38:$B$62)</f>
        <v>0</v>
      </c>
    </row>
    <row r="319" spans="1:2">
      <c r="A319" s="11">
        <f>Returns!A319</f>
        <v>0</v>
      </c>
      <c r="B319" s="1">
        <f t="array" ref="B319">MMULT(Returns!B319:Z319,Resume!$B$38:$B$62)</f>
        <v>0</v>
      </c>
    </row>
    <row r="320" spans="1:2">
      <c r="A320" s="11">
        <f>Returns!A320</f>
        <v>0</v>
      </c>
      <c r="B320" s="1">
        <f t="array" ref="B320">MMULT(Returns!B320:Z320,Resume!$B$38:$B$62)</f>
        <v>0</v>
      </c>
    </row>
    <row r="321" spans="1:2">
      <c r="A321" s="11">
        <f>Returns!A321</f>
        <v>0</v>
      </c>
      <c r="B321" s="1">
        <f t="array" ref="B321">MMULT(Returns!B321:Z321,Resume!$B$38:$B$62)</f>
        <v>0</v>
      </c>
    </row>
    <row r="322" spans="1:2">
      <c r="A322" s="11">
        <f>Returns!A322</f>
        <v>0</v>
      </c>
      <c r="B322" s="1">
        <f t="array" ref="B322">MMULT(Returns!B322:Z322,Resume!$B$38:$B$62)</f>
        <v>0</v>
      </c>
    </row>
    <row r="323" spans="1:2">
      <c r="A323" s="11">
        <f>Returns!A323</f>
        <v>0</v>
      </c>
      <c r="B323" s="1">
        <f t="array" ref="B323">MMULT(Returns!B323:Z323,Resume!$B$38:$B$62)</f>
        <v>0</v>
      </c>
    </row>
    <row r="324" spans="1:2">
      <c r="A324" s="11">
        <f>Returns!A324</f>
        <v>0</v>
      </c>
      <c r="B324" s="1">
        <f t="array" ref="B324">MMULT(Returns!B324:Z324,Resume!$B$38:$B$62)</f>
        <v>0</v>
      </c>
    </row>
    <row r="325" spans="1:2">
      <c r="A325" s="11">
        <f>Returns!A325</f>
        <v>0</v>
      </c>
      <c r="B325" s="1">
        <f t="array" ref="B325">MMULT(Returns!B325:Z325,Resume!$B$38:$B$62)</f>
        <v>0</v>
      </c>
    </row>
    <row r="326" spans="1:2">
      <c r="A326" s="11">
        <f>Returns!A326</f>
        <v>0</v>
      </c>
      <c r="B326" s="1">
        <f t="array" ref="B326">MMULT(Returns!B326:Z326,Resume!$B$38:$B$62)</f>
        <v>0</v>
      </c>
    </row>
    <row r="327" spans="1:2">
      <c r="A327" s="11">
        <f>Returns!A327</f>
        <v>0</v>
      </c>
      <c r="B327" s="1">
        <f t="array" ref="B327">MMULT(Returns!B327:Z327,Resume!$B$38:$B$62)</f>
        <v>0</v>
      </c>
    </row>
    <row r="328" spans="1:2">
      <c r="A328" s="11">
        <f>Returns!A328</f>
        <v>0</v>
      </c>
      <c r="B328" s="1">
        <f t="array" ref="B328">MMULT(Returns!B328:Z328,Resume!$B$38:$B$62)</f>
        <v>0</v>
      </c>
    </row>
    <row r="329" spans="1:2">
      <c r="A329" s="11">
        <f>Returns!A329</f>
        <v>0</v>
      </c>
      <c r="B329" s="1">
        <f t="array" ref="B329">MMULT(Returns!B329:Z329,Resume!$B$38:$B$62)</f>
        <v>0</v>
      </c>
    </row>
    <row r="330" spans="1:2">
      <c r="A330" s="11">
        <f>Returns!A330</f>
        <v>0</v>
      </c>
      <c r="B330" s="1">
        <f t="array" ref="B330">MMULT(Returns!B330:Z330,Resume!$B$38:$B$62)</f>
        <v>0</v>
      </c>
    </row>
    <row r="331" spans="1:2">
      <c r="A331" s="11">
        <f>Returns!A331</f>
        <v>0</v>
      </c>
      <c r="B331" s="1">
        <f t="array" ref="B331">MMULT(Returns!B331:Z331,Resume!$B$38:$B$62)</f>
        <v>0</v>
      </c>
    </row>
    <row r="332" spans="1:2">
      <c r="A332" s="11">
        <f>Returns!A332</f>
        <v>0</v>
      </c>
      <c r="B332" s="1">
        <f t="array" ref="B332">MMULT(Returns!B332:Z332,Resume!$B$38:$B$62)</f>
        <v>0</v>
      </c>
    </row>
    <row r="333" spans="1:2">
      <c r="A333" s="11">
        <f>Returns!A333</f>
        <v>0</v>
      </c>
      <c r="B333" s="1">
        <f t="array" ref="B333">MMULT(Returns!B333:Z333,Resume!$B$38:$B$62)</f>
        <v>0</v>
      </c>
    </row>
    <row r="334" spans="1:2">
      <c r="A334" s="11">
        <f>Returns!A334</f>
        <v>0</v>
      </c>
      <c r="B334" s="1">
        <f t="array" ref="B334">MMULT(Returns!B334:Z334,Resume!$B$38:$B$62)</f>
        <v>0</v>
      </c>
    </row>
    <row r="335" spans="1:2">
      <c r="A335" s="11">
        <f>Returns!A335</f>
        <v>0</v>
      </c>
      <c r="B335" s="1">
        <f t="array" ref="B335">MMULT(Returns!B335:Z335,Resume!$B$38:$B$62)</f>
        <v>0</v>
      </c>
    </row>
    <row r="336" spans="1:2">
      <c r="A336" s="11">
        <f>Returns!A336</f>
        <v>0</v>
      </c>
      <c r="B336" s="1">
        <f t="array" ref="B336">MMULT(Returns!B336:Z336,Resume!$B$38:$B$62)</f>
        <v>0</v>
      </c>
    </row>
    <row r="337" spans="1:2">
      <c r="A337" s="11">
        <f>Returns!A337</f>
        <v>0</v>
      </c>
      <c r="B337" s="1">
        <f t="array" ref="B337">MMULT(Returns!B337:Z337,Resume!$B$38:$B$62)</f>
        <v>0</v>
      </c>
    </row>
    <row r="338" spans="1:2">
      <c r="A338" s="11">
        <f>Returns!A338</f>
        <v>0</v>
      </c>
      <c r="B338" s="1">
        <f t="array" ref="B338">MMULT(Returns!B338:Z338,Resume!$B$38:$B$62)</f>
        <v>0</v>
      </c>
    </row>
    <row r="339" spans="1:2">
      <c r="A339" s="11">
        <f>Returns!A339</f>
        <v>0</v>
      </c>
      <c r="B339" s="1">
        <f t="array" ref="B339">MMULT(Returns!B339:Z339,Resume!$B$38:$B$62)</f>
        <v>0</v>
      </c>
    </row>
    <row r="340" spans="1:2">
      <c r="A340" s="11">
        <f>Returns!A340</f>
        <v>0</v>
      </c>
      <c r="B340" s="1">
        <f t="array" ref="B340">MMULT(Returns!B340:Z340,Resume!$B$38:$B$62)</f>
        <v>0</v>
      </c>
    </row>
    <row r="341" spans="1:2">
      <c r="A341" s="11">
        <f>Returns!A341</f>
        <v>0</v>
      </c>
      <c r="B341" s="1">
        <f t="array" ref="B341">MMULT(Returns!B341:Z341,Resume!$B$38:$B$62)</f>
        <v>0</v>
      </c>
    </row>
    <row r="342" spans="1:2">
      <c r="A342" s="11">
        <f>Returns!A342</f>
        <v>0</v>
      </c>
      <c r="B342" s="1">
        <f t="array" ref="B342">MMULT(Returns!B342:Z342,Resume!$B$38:$B$62)</f>
        <v>0</v>
      </c>
    </row>
    <row r="343" spans="1:2">
      <c r="A343" s="11">
        <f>Returns!A343</f>
        <v>0</v>
      </c>
      <c r="B343" s="1">
        <f t="array" ref="B343">MMULT(Returns!B343:Z343,Resume!$B$38:$B$62)</f>
        <v>0</v>
      </c>
    </row>
    <row r="344" spans="1:2">
      <c r="A344" s="11">
        <f>Returns!A344</f>
        <v>0</v>
      </c>
      <c r="B344" s="1">
        <f t="array" ref="B344">MMULT(Returns!B344:Z344,Resume!$B$38:$B$62)</f>
        <v>0</v>
      </c>
    </row>
    <row r="345" spans="1:2">
      <c r="A345" s="11">
        <f>Returns!A345</f>
        <v>0</v>
      </c>
      <c r="B345" s="1">
        <f t="array" ref="B345">MMULT(Returns!B345:Z345,Resume!$B$38:$B$62)</f>
        <v>0</v>
      </c>
    </row>
    <row r="346" spans="1:2">
      <c r="A346" s="11">
        <f>Returns!A346</f>
        <v>0</v>
      </c>
      <c r="B346" s="1">
        <f t="array" ref="B346">MMULT(Returns!B346:Z346,Resume!$B$38:$B$62)</f>
        <v>0</v>
      </c>
    </row>
    <row r="347" spans="1:2">
      <c r="A347" s="11">
        <f>Returns!A347</f>
        <v>0</v>
      </c>
      <c r="B347" s="1">
        <f t="array" ref="B347">MMULT(Returns!B347:Z347,Resume!$B$38:$B$62)</f>
        <v>0</v>
      </c>
    </row>
    <row r="348" spans="1:2">
      <c r="A348" s="11">
        <f>Returns!A348</f>
        <v>0</v>
      </c>
      <c r="B348" s="1">
        <f t="array" ref="B348">MMULT(Returns!B348:Z348,Resume!$B$38:$B$62)</f>
        <v>0</v>
      </c>
    </row>
    <row r="349" spans="1:2">
      <c r="A349" s="11">
        <f>Returns!A349</f>
        <v>0</v>
      </c>
      <c r="B349" s="1">
        <f t="array" ref="B349">MMULT(Returns!B349:Z349,Resume!$B$38:$B$62)</f>
        <v>0</v>
      </c>
    </row>
    <row r="350" spans="1:2">
      <c r="A350" s="11">
        <f>Returns!A350</f>
        <v>0</v>
      </c>
      <c r="B350" s="1">
        <f t="array" ref="B350">MMULT(Returns!B350:Z350,Resume!$B$38:$B$62)</f>
        <v>0</v>
      </c>
    </row>
    <row r="351" spans="1:2">
      <c r="A351" s="11">
        <f>Returns!A351</f>
        <v>0</v>
      </c>
      <c r="B351" s="1">
        <f t="array" ref="B351">MMULT(Returns!B351:Z351,Resume!$B$38:$B$62)</f>
        <v>0</v>
      </c>
    </row>
    <row r="352" spans="1:2">
      <c r="A352" s="11">
        <f>Returns!A352</f>
        <v>0</v>
      </c>
      <c r="B352" s="1">
        <f t="array" ref="B352">MMULT(Returns!B352:Z352,Resume!$B$38:$B$62)</f>
        <v>0</v>
      </c>
    </row>
    <row r="353" spans="1:2">
      <c r="A353" s="11">
        <f>Returns!A353</f>
        <v>0</v>
      </c>
      <c r="B353" s="1">
        <f t="array" ref="B353">MMULT(Returns!B353:Z353,Resume!$B$38:$B$62)</f>
        <v>0</v>
      </c>
    </row>
    <row r="354" spans="1:2">
      <c r="A354" s="11">
        <f>Returns!A354</f>
        <v>0</v>
      </c>
      <c r="B354" s="1">
        <f t="array" ref="B354">MMULT(Returns!B354:Z354,Resume!$B$38:$B$62)</f>
        <v>0</v>
      </c>
    </row>
    <row r="355" spans="1:2">
      <c r="A355" s="11">
        <f>Returns!A355</f>
        <v>0</v>
      </c>
      <c r="B355" s="1">
        <f t="array" ref="B355">MMULT(Returns!B355:Z355,Resume!$B$38:$B$62)</f>
        <v>0</v>
      </c>
    </row>
    <row r="356" spans="1:2">
      <c r="A356" s="11">
        <f>Returns!A356</f>
        <v>0</v>
      </c>
      <c r="B356" s="1">
        <f t="array" ref="B356">MMULT(Returns!B356:Z356,Resume!$B$38:$B$62)</f>
        <v>0</v>
      </c>
    </row>
    <row r="357" spans="1:2">
      <c r="A357" s="11">
        <f>Returns!A357</f>
        <v>0</v>
      </c>
      <c r="B357" s="1">
        <f t="array" ref="B357">MMULT(Returns!B357:Z357,Resume!$B$38:$B$62)</f>
        <v>0</v>
      </c>
    </row>
    <row r="358" spans="1:2">
      <c r="A358" s="11">
        <f>Returns!A358</f>
        <v>0</v>
      </c>
      <c r="B358" s="1">
        <f t="array" ref="B358">MMULT(Returns!B358:Z358,Resume!$B$38:$B$62)</f>
        <v>0</v>
      </c>
    </row>
    <row r="359" spans="1:2">
      <c r="A359" s="11">
        <f>Returns!A359</f>
        <v>0</v>
      </c>
      <c r="B359" s="1">
        <f t="array" ref="B359">MMULT(Returns!B359:Z359,Resume!$B$38:$B$62)</f>
        <v>0</v>
      </c>
    </row>
    <row r="360" spans="1:2">
      <c r="A360" s="11">
        <f>Returns!A360</f>
        <v>0</v>
      </c>
      <c r="B360" s="1">
        <f t="array" ref="B360">MMULT(Returns!B360:Z360,Resume!$B$38:$B$62)</f>
        <v>0</v>
      </c>
    </row>
    <row r="361" spans="1:2">
      <c r="A361" s="11">
        <f>Returns!A361</f>
        <v>0</v>
      </c>
      <c r="B361" s="1">
        <f t="array" ref="B361">MMULT(Returns!B361:Z361,Resume!$B$38:$B$62)</f>
        <v>0</v>
      </c>
    </row>
    <row r="362" spans="1:2">
      <c r="A362" s="11">
        <f>Returns!A362</f>
        <v>0</v>
      </c>
      <c r="B362" s="1">
        <f t="array" ref="B362">MMULT(Returns!B362:Z362,Resume!$B$38:$B$62)</f>
        <v>0</v>
      </c>
    </row>
    <row r="363" spans="1:2">
      <c r="A363" s="11">
        <f>Returns!A363</f>
        <v>0</v>
      </c>
      <c r="B363" s="1">
        <f t="array" ref="B363">MMULT(Returns!B363:Z363,Resume!$B$38:$B$62)</f>
        <v>0</v>
      </c>
    </row>
    <row r="364" spans="1:2">
      <c r="A364" s="11">
        <f>Returns!A364</f>
        <v>0</v>
      </c>
      <c r="B364" s="1">
        <f t="array" ref="B364">MMULT(Returns!B364:Z364,Resume!$B$38:$B$62)</f>
        <v>0</v>
      </c>
    </row>
    <row r="365" spans="1:2">
      <c r="A365" s="11">
        <f>Returns!A365</f>
        <v>0</v>
      </c>
      <c r="B365" s="1">
        <f t="array" ref="B365">MMULT(Returns!B365:Z365,Resume!$B$38:$B$62)</f>
        <v>0</v>
      </c>
    </row>
    <row r="366" spans="1:2">
      <c r="A366" s="11">
        <f>Returns!A366</f>
        <v>0</v>
      </c>
      <c r="B366" s="1">
        <f t="array" ref="B366">MMULT(Returns!B366:Z366,Resume!$B$38:$B$62)</f>
        <v>0</v>
      </c>
    </row>
    <row r="367" spans="1:2">
      <c r="A367" s="11">
        <f>Returns!A367</f>
        <v>0</v>
      </c>
      <c r="B367" s="1">
        <f t="array" ref="B367">MMULT(Returns!B367:Z367,Resume!$B$38:$B$62)</f>
        <v>0</v>
      </c>
    </row>
    <row r="368" spans="1:2">
      <c r="A368" s="11">
        <f>Returns!A368</f>
        <v>0</v>
      </c>
      <c r="B368" s="1">
        <f t="array" ref="B368">MMULT(Returns!B368:Z368,Resume!$B$38:$B$62)</f>
        <v>0</v>
      </c>
    </row>
    <row r="369" spans="1:2">
      <c r="A369" s="11">
        <f>Returns!A369</f>
        <v>0</v>
      </c>
      <c r="B369" s="1">
        <f t="array" ref="B369">MMULT(Returns!B369:Z369,Resume!$B$38:$B$62)</f>
        <v>0</v>
      </c>
    </row>
    <row r="370" spans="1:2">
      <c r="A370" s="11">
        <f>Returns!A370</f>
        <v>0</v>
      </c>
      <c r="B370" s="1">
        <f t="array" ref="B370">MMULT(Returns!B370:Z370,Resume!$B$38:$B$62)</f>
        <v>0</v>
      </c>
    </row>
    <row r="371" spans="1:2">
      <c r="A371" s="11">
        <f>Returns!A371</f>
        <v>0</v>
      </c>
      <c r="B371" s="1">
        <f t="array" ref="B371">MMULT(Returns!B371:Z371,Resume!$B$38:$B$62)</f>
        <v>0</v>
      </c>
    </row>
    <row r="372" spans="1:2">
      <c r="A372" s="11">
        <f>Returns!A372</f>
        <v>0</v>
      </c>
      <c r="B372" s="1">
        <f t="array" ref="B372">MMULT(Returns!B372:Z372,Resume!$B$38:$B$62)</f>
        <v>0</v>
      </c>
    </row>
    <row r="373" spans="1:2">
      <c r="A373" s="11">
        <f>Returns!A373</f>
        <v>0</v>
      </c>
      <c r="B373" s="1">
        <f t="array" ref="B373">MMULT(Returns!B373:Z373,Resume!$B$38:$B$62)</f>
        <v>0</v>
      </c>
    </row>
    <row r="374" spans="1:2">
      <c r="A374" s="11">
        <f>Returns!A374</f>
        <v>0</v>
      </c>
      <c r="B374" s="1">
        <f t="array" ref="B374">MMULT(Returns!B374:Z374,Resume!$B$38:$B$62)</f>
        <v>0</v>
      </c>
    </row>
    <row r="375" spans="1:2">
      <c r="A375" s="11">
        <f>Returns!A375</f>
        <v>0</v>
      </c>
      <c r="B375" s="1">
        <f t="array" ref="B375">MMULT(Returns!B375:Z375,Resume!$B$38:$B$62)</f>
        <v>0</v>
      </c>
    </row>
    <row r="376" spans="1:2">
      <c r="A376" s="11">
        <f>Returns!A376</f>
        <v>0</v>
      </c>
      <c r="B376" s="1">
        <f t="array" ref="B376">MMULT(Returns!B376:Z376,Resume!$B$38:$B$62)</f>
        <v>0</v>
      </c>
    </row>
    <row r="377" spans="1:2">
      <c r="A377" s="11">
        <f>Returns!A377</f>
        <v>0</v>
      </c>
      <c r="B377" s="1">
        <f t="array" ref="B377">MMULT(Returns!B377:Z377,Resume!$B$38:$B$62)</f>
        <v>0</v>
      </c>
    </row>
    <row r="378" spans="1:2">
      <c r="A378" s="11">
        <f>Returns!A378</f>
        <v>0</v>
      </c>
      <c r="B378" s="1">
        <f t="array" ref="B378">MMULT(Returns!B378:Z378,Resume!$B$38:$B$62)</f>
        <v>0</v>
      </c>
    </row>
    <row r="379" spans="1:2">
      <c r="A379" s="11">
        <f>Returns!A379</f>
        <v>0</v>
      </c>
      <c r="B379" s="1">
        <f t="array" ref="B379">MMULT(Returns!B379:Z379,Resume!$B$38:$B$62)</f>
        <v>0</v>
      </c>
    </row>
    <row r="380" spans="1:2">
      <c r="A380" s="11">
        <f>Returns!A380</f>
        <v>0</v>
      </c>
      <c r="B380" s="1">
        <f t="array" ref="B380">MMULT(Returns!B380:Z380,Resume!$B$38:$B$62)</f>
        <v>0</v>
      </c>
    </row>
    <row r="381" spans="1:2">
      <c r="A381" s="11">
        <f>Returns!A381</f>
        <v>0</v>
      </c>
      <c r="B381" s="1">
        <f t="array" ref="B381">MMULT(Returns!B381:Z381,Resume!$B$38:$B$62)</f>
        <v>0</v>
      </c>
    </row>
    <row r="382" spans="1:2">
      <c r="A382" s="11">
        <f>Returns!A382</f>
        <v>0</v>
      </c>
      <c r="B382" s="1">
        <f t="array" ref="B382">MMULT(Returns!B382:Z382,Resume!$B$38:$B$62)</f>
        <v>0</v>
      </c>
    </row>
    <row r="383" spans="1:2">
      <c r="A383" s="11">
        <f>Returns!A383</f>
        <v>0</v>
      </c>
      <c r="B383" s="1">
        <f t="array" ref="B383">MMULT(Returns!B383:Z383,Resume!$B$38:$B$62)</f>
        <v>0</v>
      </c>
    </row>
    <row r="384" spans="1:2">
      <c r="A384" s="11">
        <f>Returns!A384</f>
        <v>0</v>
      </c>
      <c r="B384" s="1">
        <f t="array" ref="B384">MMULT(Returns!B384:Z384,Resume!$B$38:$B$62)</f>
        <v>0</v>
      </c>
    </row>
    <row r="385" spans="1:2">
      <c r="A385" s="11">
        <f>Returns!A385</f>
        <v>0</v>
      </c>
      <c r="B385" s="1">
        <f t="array" ref="B385">MMULT(Returns!B385:Z385,Resume!$B$38:$B$62)</f>
        <v>0</v>
      </c>
    </row>
    <row r="386" spans="1:2">
      <c r="A386" s="11">
        <f>Returns!A386</f>
        <v>0</v>
      </c>
      <c r="B386" s="1">
        <f t="array" ref="B386">MMULT(Returns!B386:Z386,Resume!$B$38:$B$62)</f>
        <v>0</v>
      </c>
    </row>
    <row r="387" spans="1:2">
      <c r="A387" s="11">
        <f>Returns!A387</f>
        <v>0</v>
      </c>
      <c r="B387" s="1">
        <f t="array" ref="B387">MMULT(Returns!B387:Z387,Resume!$B$38:$B$62)</f>
        <v>0</v>
      </c>
    </row>
    <row r="388" spans="1:2">
      <c r="A388" s="11">
        <f>Returns!A388</f>
        <v>0</v>
      </c>
      <c r="B388" s="1">
        <f t="array" ref="B388">MMULT(Returns!B388:Z388,Resume!$B$38:$B$62)</f>
        <v>0</v>
      </c>
    </row>
    <row r="389" spans="1:2">
      <c r="A389" s="11">
        <f>Returns!A389</f>
        <v>0</v>
      </c>
      <c r="B389" s="1">
        <f t="array" ref="B389">MMULT(Returns!B389:Z389,Resume!$B$38:$B$62)</f>
        <v>0</v>
      </c>
    </row>
    <row r="390" spans="1:2">
      <c r="A390" s="11">
        <f>Returns!A390</f>
        <v>0</v>
      </c>
      <c r="B390" s="1">
        <f t="array" ref="B390">MMULT(Returns!B390:Z390,Resume!$B$38:$B$62)</f>
        <v>0</v>
      </c>
    </row>
    <row r="391" spans="1:2">
      <c r="A391" s="11">
        <f>Returns!A391</f>
        <v>0</v>
      </c>
      <c r="B391" s="1">
        <f t="array" ref="B391">MMULT(Returns!B391:Z391,Resume!$B$38:$B$62)</f>
        <v>0</v>
      </c>
    </row>
    <row r="392" spans="1:2">
      <c r="A392" s="11">
        <f>Returns!A392</f>
        <v>0</v>
      </c>
      <c r="B392" s="1">
        <f t="array" ref="B392">MMULT(Returns!B392:Z392,Resume!$B$38:$B$62)</f>
        <v>0</v>
      </c>
    </row>
    <row r="393" spans="1:2">
      <c r="A393" s="11">
        <f>Returns!A393</f>
        <v>0</v>
      </c>
      <c r="B393" s="1">
        <f t="array" ref="B393">MMULT(Returns!B393:Z393,Resume!$B$38:$B$62)</f>
        <v>0</v>
      </c>
    </row>
    <row r="394" spans="1:2">
      <c r="A394" s="11">
        <f>Returns!A394</f>
        <v>0</v>
      </c>
      <c r="B394" s="1">
        <f t="array" ref="B394">MMULT(Returns!B394:Z394,Resume!$B$38:$B$62)</f>
        <v>0</v>
      </c>
    </row>
    <row r="395" spans="1:2">
      <c r="A395" s="11">
        <f>Returns!A395</f>
        <v>0</v>
      </c>
      <c r="B395" s="1">
        <f t="array" ref="B395">MMULT(Returns!B395:Z395,Resume!$B$38:$B$62)</f>
        <v>0</v>
      </c>
    </row>
    <row r="396" spans="1:2">
      <c r="A396" s="11">
        <f>Returns!A396</f>
        <v>0</v>
      </c>
      <c r="B396" s="1">
        <f t="array" ref="B396">MMULT(Returns!B396:Z396,Resume!$B$38:$B$62)</f>
        <v>0</v>
      </c>
    </row>
    <row r="397" spans="1:2">
      <c r="A397" s="11">
        <f>Returns!A397</f>
        <v>0</v>
      </c>
      <c r="B397" s="1">
        <f t="array" ref="B397">MMULT(Returns!B397:Z397,Resume!$B$38:$B$62)</f>
        <v>0</v>
      </c>
    </row>
    <row r="398" spans="1:2">
      <c r="A398" s="11">
        <f>Returns!A398</f>
        <v>0</v>
      </c>
      <c r="B398" s="1">
        <f t="array" ref="B398">MMULT(Returns!B398:Z398,Resume!$B$38:$B$62)</f>
        <v>0</v>
      </c>
    </row>
    <row r="399" spans="1:2">
      <c r="A399" s="11">
        <f>Returns!A399</f>
        <v>0</v>
      </c>
      <c r="B399" s="1">
        <f t="array" ref="B399">MMULT(Returns!B399:Z399,Resume!$B$38:$B$62)</f>
        <v>0</v>
      </c>
    </row>
    <row r="400" spans="1:2">
      <c r="A400" s="11">
        <f>Returns!A400</f>
        <v>0</v>
      </c>
      <c r="B400" s="1">
        <f t="array" ref="B400">MMULT(Returns!B400:Z400,Resume!$B$38:$B$62)</f>
        <v>0</v>
      </c>
    </row>
    <row r="401" spans="1:2">
      <c r="A401" s="11">
        <f>Returns!A401</f>
        <v>0</v>
      </c>
      <c r="B401" s="1">
        <f t="array" ref="B401">MMULT(Returns!B401:Z401,Resume!$B$38:$B$62)</f>
        <v>0</v>
      </c>
    </row>
    <row r="402" spans="1:2">
      <c r="A402" s="11">
        <f>Returns!A402</f>
        <v>0</v>
      </c>
      <c r="B402" s="1">
        <f t="array" ref="B402">MMULT(Returns!B402:Z402,Resume!$B$38:$B$62)</f>
        <v>0</v>
      </c>
    </row>
    <row r="403" spans="1:2">
      <c r="A403" s="11">
        <f>Returns!A403</f>
        <v>0</v>
      </c>
      <c r="B403" s="1">
        <f t="array" ref="B403">MMULT(Returns!B403:Z403,Resume!$B$38:$B$62)</f>
        <v>0</v>
      </c>
    </row>
    <row r="404" spans="1:2">
      <c r="A404" s="11">
        <f>Returns!A404</f>
        <v>0</v>
      </c>
      <c r="B404" s="1">
        <f t="array" ref="B404">MMULT(Returns!B404:Z404,Resume!$B$38:$B$62)</f>
        <v>0</v>
      </c>
    </row>
    <row r="405" spans="1:2">
      <c r="A405" s="11">
        <f>Returns!A405</f>
        <v>0</v>
      </c>
      <c r="B405" s="1">
        <f t="array" ref="B405">MMULT(Returns!B405:Z405,Resume!$B$38:$B$62)</f>
        <v>0</v>
      </c>
    </row>
    <row r="406" spans="1:2">
      <c r="A406" s="11">
        <f>Returns!A406</f>
        <v>0</v>
      </c>
      <c r="B406" s="1">
        <f t="array" ref="B406">MMULT(Returns!B406:Z406,Resume!$B$38:$B$62)</f>
        <v>0</v>
      </c>
    </row>
    <row r="407" spans="1:2">
      <c r="A407" s="11">
        <f>Returns!A407</f>
        <v>0</v>
      </c>
      <c r="B407" s="1">
        <f t="array" ref="B407">MMULT(Returns!B407:Z407,Resume!$B$38:$B$62)</f>
        <v>0</v>
      </c>
    </row>
    <row r="408" spans="1:2">
      <c r="A408" s="11">
        <f>Returns!A408</f>
        <v>0</v>
      </c>
      <c r="B408" s="1">
        <f t="array" ref="B408">MMULT(Returns!B408:Z408,Resume!$B$38:$B$62)</f>
        <v>0</v>
      </c>
    </row>
    <row r="409" spans="1:2">
      <c r="A409" s="11">
        <f>Returns!A409</f>
        <v>0</v>
      </c>
      <c r="B409" s="1">
        <f t="array" ref="B409">MMULT(Returns!B409:Z409,Resume!$B$38:$B$62)</f>
        <v>0</v>
      </c>
    </row>
    <row r="410" spans="1:2">
      <c r="A410" s="11">
        <f>Returns!A410</f>
        <v>0</v>
      </c>
      <c r="B410" s="1">
        <f t="array" ref="B410">MMULT(Returns!B410:Z410,Resume!$B$38:$B$62)</f>
        <v>0</v>
      </c>
    </row>
    <row r="411" spans="1:2">
      <c r="A411" s="11">
        <f>Returns!A411</f>
        <v>0</v>
      </c>
      <c r="B411" s="1">
        <f t="array" ref="B411">MMULT(Returns!B411:Z411,Resume!$B$38:$B$62)</f>
        <v>0</v>
      </c>
    </row>
    <row r="412" spans="1:2">
      <c r="A412" s="11">
        <f>Returns!A412</f>
        <v>0</v>
      </c>
      <c r="B412" s="1">
        <f t="array" ref="B412">MMULT(Returns!B412:Z412,Resume!$B$38:$B$62)</f>
        <v>0</v>
      </c>
    </row>
    <row r="413" spans="1:2">
      <c r="A413" s="11">
        <f>Returns!A413</f>
        <v>0</v>
      </c>
      <c r="B413" s="1">
        <f t="array" ref="B413">MMULT(Returns!B413:Z413,Resume!$B$38:$B$62)</f>
        <v>0</v>
      </c>
    </row>
    <row r="414" spans="1:2">
      <c r="A414" s="11">
        <f>Returns!A414</f>
        <v>0</v>
      </c>
      <c r="B414" s="1">
        <f t="array" ref="B414">MMULT(Returns!B414:Z414,Resume!$B$38:$B$62)</f>
        <v>0</v>
      </c>
    </row>
    <row r="415" spans="1:2">
      <c r="A415" s="11">
        <f>Returns!A415</f>
        <v>0</v>
      </c>
      <c r="B415" s="1">
        <f t="array" ref="B415">MMULT(Returns!B415:Z415,Resume!$B$38:$B$62)</f>
        <v>0</v>
      </c>
    </row>
    <row r="416" spans="1:2">
      <c r="A416" s="11">
        <f>Returns!A416</f>
        <v>0</v>
      </c>
      <c r="B416" s="1">
        <f t="array" ref="B416">MMULT(Returns!B416:Z416,Resume!$B$38:$B$62)</f>
        <v>0</v>
      </c>
    </row>
    <row r="417" spans="1:2">
      <c r="A417" s="11">
        <f>Returns!A417</f>
        <v>0</v>
      </c>
      <c r="B417" s="1">
        <f t="array" ref="B417">MMULT(Returns!B417:Z417,Resume!$B$38:$B$62)</f>
        <v>0</v>
      </c>
    </row>
    <row r="418" spans="1:2">
      <c r="A418" s="11">
        <f>Returns!A418</f>
        <v>0</v>
      </c>
      <c r="B418" s="1">
        <f t="array" ref="B418">MMULT(Returns!B418:Z418,Resume!$B$38:$B$62)</f>
        <v>0</v>
      </c>
    </row>
    <row r="419" spans="1:2">
      <c r="A419" s="11">
        <f>Returns!A419</f>
        <v>0</v>
      </c>
      <c r="B419" s="1">
        <f t="array" ref="B419">MMULT(Returns!B419:Z419,Resume!$B$38:$B$62)</f>
        <v>0</v>
      </c>
    </row>
    <row r="420" spans="1:2">
      <c r="A420" s="11">
        <f>Returns!A420</f>
        <v>0</v>
      </c>
      <c r="B420" s="1">
        <f t="array" ref="B420">MMULT(Returns!B420:Z420,Resume!$B$38:$B$62)</f>
        <v>0</v>
      </c>
    </row>
    <row r="421" spans="1:2">
      <c r="A421" s="11">
        <f>Returns!A421</f>
        <v>0</v>
      </c>
      <c r="B421" s="1">
        <f t="array" ref="B421">MMULT(Returns!B421:Z421,Resume!$B$38:$B$62)</f>
        <v>0</v>
      </c>
    </row>
    <row r="422" spans="1:2">
      <c r="A422" s="11">
        <f>Returns!A422</f>
        <v>0</v>
      </c>
      <c r="B422" s="1">
        <f t="array" ref="B422">MMULT(Returns!B422:Z422,Resume!$B$38:$B$62)</f>
        <v>0</v>
      </c>
    </row>
    <row r="423" spans="1:2">
      <c r="A423" s="11">
        <f>Returns!A423</f>
        <v>0</v>
      </c>
      <c r="B423" s="1">
        <f t="array" ref="B423">MMULT(Returns!B423:Z423,Resume!$B$38:$B$62)</f>
        <v>0</v>
      </c>
    </row>
    <row r="424" spans="1:2">
      <c r="A424" s="11">
        <f>Returns!A424</f>
        <v>0</v>
      </c>
      <c r="B424" s="1">
        <f t="array" ref="B424">MMULT(Returns!B424:Z424,Resume!$B$38:$B$62)</f>
        <v>0</v>
      </c>
    </row>
    <row r="425" spans="1:2">
      <c r="A425" s="11">
        <f>Returns!A425</f>
        <v>0</v>
      </c>
      <c r="B425" s="1">
        <f t="array" ref="B425">MMULT(Returns!B425:Z425,Resume!$B$38:$B$62)</f>
        <v>0</v>
      </c>
    </row>
    <row r="426" spans="1:2">
      <c r="A426" s="11">
        <f>Returns!A426</f>
        <v>0</v>
      </c>
      <c r="B426" s="1">
        <f t="array" ref="B426">MMULT(Returns!B426:Z426,Resume!$B$38:$B$62)</f>
        <v>0</v>
      </c>
    </row>
    <row r="427" spans="1:2">
      <c r="A427" s="11">
        <f>Returns!A427</f>
        <v>0</v>
      </c>
      <c r="B427" s="1">
        <f t="array" ref="B427">MMULT(Returns!B427:Z427,Resume!$B$38:$B$62)</f>
        <v>0</v>
      </c>
    </row>
    <row r="428" spans="1:2">
      <c r="A428" s="11">
        <f>Returns!A428</f>
        <v>0</v>
      </c>
      <c r="B428" s="1">
        <f t="array" ref="B428">MMULT(Returns!B428:Z428,Resume!$B$38:$B$62)</f>
        <v>0</v>
      </c>
    </row>
    <row r="429" spans="1:2">
      <c r="A429" s="11">
        <f>Returns!A429</f>
        <v>0</v>
      </c>
      <c r="B429" s="1">
        <f t="array" ref="B429">MMULT(Returns!B429:Z429,Resume!$B$38:$B$62)</f>
        <v>0</v>
      </c>
    </row>
    <row r="430" spans="1:2">
      <c r="A430" s="11">
        <f>Returns!A430</f>
        <v>0</v>
      </c>
      <c r="B430" s="1">
        <f t="array" ref="B430">MMULT(Returns!B430:Z430,Resume!$B$38:$B$62)</f>
        <v>0</v>
      </c>
    </row>
    <row r="431" spans="1:2">
      <c r="A431" s="11">
        <f>Returns!A431</f>
        <v>0</v>
      </c>
      <c r="B431" s="1">
        <f t="array" ref="B431">MMULT(Returns!B431:Z431,Resume!$B$38:$B$62)</f>
        <v>0</v>
      </c>
    </row>
    <row r="432" spans="1:2">
      <c r="A432" s="11">
        <f>Returns!A432</f>
        <v>0</v>
      </c>
      <c r="B432" s="1">
        <f t="array" ref="B432">MMULT(Returns!B432:Z432,Resume!$B$38:$B$62)</f>
        <v>0</v>
      </c>
    </row>
    <row r="433" spans="1:2">
      <c r="A433" s="11">
        <f>Returns!A433</f>
        <v>0</v>
      </c>
      <c r="B433" s="1">
        <f t="array" ref="B433">MMULT(Returns!B433:Z433,Resume!$B$38:$B$62)</f>
        <v>0</v>
      </c>
    </row>
    <row r="434" spans="1:2">
      <c r="A434" s="11">
        <f>Returns!A434</f>
        <v>0</v>
      </c>
      <c r="B434" s="1">
        <f t="array" ref="B434">MMULT(Returns!B434:Z434,Resume!$B$38:$B$62)</f>
        <v>0</v>
      </c>
    </row>
    <row r="435" spans="1:2">
      <c r="A435" s="11">
        <f>Returns!A435</f>
        <v>0</v>
      </c>
      <c r="B435" s="1">
        <f t="array" ref="B435">MMULT(Returns!B435:Z435,Resume!$B$38:$B$62)</f>
        <v>0</v>
      </c>
    </row>
    <row r="436" spans="1:2">
      <c r="A436" s="11">
        <f>Returns!A436</f>
        <v>0</v>
      </c>
      <c r="B436" s="1">
        <f t="array" ref="B436">MMULT(Returns!B436:Z436,Resume!$B$38:$B$62)</f>
        <v>0</v>
      </c>
    </row>
    <row r="437" spans="1:2">
      <c r="A437" s="11">
        <f>Returns!A437</f>
        <v>0</v>
      </c>
      <c r="B437" s="1">
        <f t="array" ref="B437">MMULT(Returns!B437:Z437,Resume!$B$38:$B$62)</f>
        <v>0</v>
      </c>
    </row>
    <row r="438" spans="1:2">
      <c r="A438" s="11">
        <f>Returns!A438</f>
        <v>0</v>
      </c>
      <c r="B438" s="1">
        <f t="array" ref="B438">MMULT(Returns!B438:Z438,Resume!$B$38:$B$62)</f>
        <v>0</v>
      </c>
    </row>
    <row r="439" spans="1:2">
      <c r="A439" s="11">
        <f>Returns!A439</f>
        <v>0</v>
      </c>
      <c r="B439" s="1">
        <f t="array" ref="B439">MMULT(Returns!B439:Z439,Resume!$B$38:$B$62)</f>
        <v>0</v>
      </c>
    </row>
    <row r="440" spans="1:2">
      <c r="A440" s="11">
        <f>Returns!A440</f>
        <v>0</v>
      </c>
      <c r="B440" s="1">
        <f t="array" ref="B440">MMULT(Returns!B440:Z440,Resume!$B$38:$B$62)</f>
        <v>0</v>
      </c>
    </row>
    <row r="441" spans="1:2">
      <c r="A441" s="11">
        <f>Returns!A441</f>
        <v>0</v>
      </c>
      <c r="B441" s="1">
        <f t="array" ref="B441">MMULT(Returns!B441:Z441,Resume!$B$38:$B$62)</f>
        <v>0</v>
      </c>
    </row>
    <row r="442" spans="1:2">
      <c r="A442" s="11">
        <f>Returns!A442</f>
        <v>0</v>
      </c>
      <c r="B442" s="1">
        <f t="array" ref="B442">MMULT(Returns!B442:Z442,Resume!$B$38:$B$62)</f>
        <v>0</v>
      </c>
    </row>
    <row r="443" spans="1:2">
      <c r="A443" s="11">
        <f>Returns!A443</f>
        <v>0</v>
      </c>
      <c r="B443" s="1">
        <f t="array" ref="B443">MMULT(Returns!B443:Z443,Resume!$B$38:$B$62)</f>
        <v>0</v>
      </c>
    </row>
    <row r="444" spans="1:2">
      <c r="A444" s="11">
        <f>Returns!A444</f>
        <v>0</v>
      </c>
      <c r="B444" s="1">
        <f t="array" ref="B444">MMULT(Returns!B444:Z444,Resume!$B$38:$B$62)</f>
        <v>0</v>
      </c>
    </row>
    <row r="445" spans="1:2">
      <c r="A445" s="11">
        <f>Returns!A445</f>
        <v>0</v>
      </c>
      <c r="B445" s="1">
        <f t="array" ref="B445">MMULT(Returns!B445:Z445,Resume!$B$38:$B$62)</f>
        <v>0</v>
      </c>
    </row>
    <row r="446" spans="1:2">
      <c r="A446" s="11">
        <f>Returns!A446</f>
        <v>0</v>
      </c>
      <c r="B446" s="1">
        <f t="array" ref="B446">MMULT(Returns!B446:Z446,Resume!$B$38:$B$62)</f>
        <v>0</v>
      </c>
    </row>
    <row r="447" spans="1:2">
      <c r="A447" s="11">
        <f>Returns!A447</f>
        <v>0</v>
      </c>
      <c r="B447" s="1">
        <f t="array" ref="B447">MMULT(Returns!B447:Z447,Resume!$B$38:$B$62)</f>
        <v>0</v>
      </c>
    </row>
    <row r="448" spans="1:2">
      <c r="A448" s="11">
        <f>Returns!A448</f>
        <v>0</v>
      </c>
      <c r="B448" s="1">
        <f t="array" ref="B448">MMULT(Returns!B448:Z448,Resume!$B$38:$B$62)</f>
        <v>0</v>
      </c>
    </row>
    <row r="449" spans="1:2">
      <c r="A449" s="11">
        <f>Returns!A449</f>
        <v>0</v>
      </c>
      <c r="B449" s="1">
        <f t="array" ref="B449">MMULT(Returns!B449:Z449,Resume!$B$38:$B$62)</f>
        <v>0</v>
      </c>
    </row>
    <row r="450" spans="1:2">
      <c r="A450" s="11">
        <f>Returns!A450</f>
        <v>0</v>
      </c>
      <c r="B450" s="1">
        <f t="array" ref="B450">MMULT(Returns!B450:Z450,Resume!$B$38:$B$62)</f>
        <v>0</v>
      </c>
    </row>
    <row r="451" spans="1:2">
      <c r="A451" s="11">
        <f>Returns!A451</f>
        <v>0</v>
      </c>
      <c r="B451" s="1">
        <f t="array" ref="B451">MMULT(Returns!B451:Z451,Resume!$B$38:$B$62)</f>
        <v>0</v>
      </c>
    </row>
    <row r="452" spans="1:2">
      <c r="A452" s="11">
        <f>Returns!A452</f>
        <v>0</v>
      </c>
      <c r="B452" s="1">
        <f t="array" ref="B452">MMULT(Returns!B452:Z452,Resume!$B$38:$B$62)</f>
        <v>0</v>
      </c>
    </row>
    <row r="453" spans="1:2">
      <c r="A453" s="11">
        <f>Returns!A453</f>
        <v>0</v>
      </c>
      <c r="B453" s="1">
        <f t="array" ref="B453">MMULT(Returns!B453:Z453,Resume!$B$38:$B$62)</f>
        <v>0</v>
      </c>
    </row>
    <row r="454" spans="1:2">
      <c r="A454" s="11">
        <f>Returns!A454</f>
        <v>0</v>
      </c>
      <c r="B454" s="1">
        <f t="array" ref="B454">MMULT(Returns!B454:Z454,Resume!$B$38:$B$62)</f>
        <v>0</v>
      </c>
    </row>
    <row r="455" spans="1:2">
      <c r="A455" s="11">
        <f>Returns!A455</f>
        <v>0</v>
      </c>
      <c r="B455" s="1">
        <f t="array" ref="B455">MMULT(Returns!B455:Z455,Resume!$B$38:$B$62)</f>
        <v>0</v>
      </c>
    </row>
    <row r="456" spans="1:2">
      <c r="A456" s="11">
        <f>Returns!A456</f>
        <v>0</v>
      </c>
      <c r="B456" s="1">
        <f t="array" ref="B456">MMULT(Returns!B456:Z456,Resume!$B$38:$B$62)</f>
        <v>0</v>
      </c>
    </row>
    <row r="457" spans="1:2">
      <c r="A457" s="11">
        <f>Returns!A457</f>
        <v>0</v>
      </c>
      <c r="B457" s="1">
        <f t="array" ref="B457">MMULT(Returns!B457:Z457,Resume!$B$38:$B$62)</f>
        <v>0</v>
      </c>
    </row>
    <row r="458" spans="1:2">
      <c r="A458" s="11">
        <f>Returns!A458</f>
        <v>0</v>
      </c>
      <c r="B458" s="1">
        <f t="array" ref="B458">MMULT(Returns!B458:Z458,Resume!$B$38:$B$62)</f>
        <v>0</v>
      </c>
    </row>
    <row r="459" spans="1:2">
      <c r="A459" s="11">
        <f>Returns!A459</f>
        <v>0</v>
      </c>
      <c r="B459" s="1">
        <f t="array" ref="B459">MMULT(Returns!B459:Z459,Resume!$B$38:$B$62)</f>
        <v>0</v>
      </c>
    </row>
    <row r="460" spans="1:2">
      <c r="A460" s="11">
        <f>Returns!A460</f>
        <v>0</v>
      </c>
      <c r="B460" s="1">
        <f t="array" ref="B460">MMULT(Returns!B460:Z460,Resume!$B$38:$B$62)</f>
        <v>0</v>
      </c>
    </row>
    <row r="461" spans="1:2">
      <c r="A461" s="11">
        <f>Returns!A461</f>
        <v>0</v>
      </c>
      <c r="B461" s="1">
        <f t="array" ref="B461">MMULT(Returns!B461:Z461,Resume!$B$38:$B$62)</f>
        <v>0</v>
      </c>
    </row>
    <row r="462" spans="1:2">
      <c r="A462" s="11">
        <f>Returns!A462</f>
        <v>0</v>
      </c>
      <c r="B462" s="1">
        <f t="array" ref="B462">MMULT(Returns!B462:Z462,Resume!$B$38:$B$62)</f>
        <v>0</v>
      </c>
    </row>
    <row r="463" spans="1:2">
      <c r="A463" s="11">
        <f>Returns!A463</f>
        <v>0</v>
      </c>
      <c r="B463" s="1">
        <f t="array" ref="B463">MMULT(Returns!B463:Z463,Resume!$B$38:$B$62)</f>
        <v>0</v>
      </c>
    </row>
    <row r="464" spans="1:2">
      <c r="A464" s="11">
        <f>Returns!A464</f>
        <v>0</v>
      </c>
      <c r="B464" s="1">
        <f t="array" ref="B464">MMULT(Returns!B464:Z464,Resume!$B$38:$B$62)</f>
        <v>0</v>
      </c>
    </row>
    <row r="465" spans="1:2">
      <c r="A465" s="11">
        <f>Returns!A465</f>
        <v>0</v>
      </c>
      <c r="B465" s="1">
        <f t="array" ref="B465">MMULT(Returns!B465:Z465,Resume!$B$38:$B$62)</f>
        <v>0</v>
      </c>
    </row>
    <row r="466" spans="1:2">
      <c r="A466" s="11">
        <f>Returns!A466</f>
        <v>0</v>
      </c>
      <c r="B466" s="1">
        <f t="array" ref="B466">MMULT(Returns!B466:Z466,Resume!$B$38:$B$62)</f>
        <v>0</v>
      </c>
    </row>
    <row r="467" spans="1:2">
      <c r="A467" s="11">
        <f>Returns!A467</f>
        <v>0</v>
      </c>
      <c r="B467" s="1">
        <f t="array" ref="B467">MMULT(Returns!B467:Z467,Resume!$B$38:$B$62)</f>
        <v>0</v>
      </c>
    </row>
    <row r="468" spans="1:2">
      <c r="A468" s="11">
        <f>Returns!A468</f>
        <v>0</v>
      </c>
      <c r="B468" s="1">
        <f t="array" ref="B468">MMULT(Returns!B468:Z468,Resume!$B$38:$B$62)</f>
        <v>0</v>
      </c>
    </row>
    <row r="469" spans="1:2">
      <c r="A469" s="11">
        <f>Returns!A469</f>
        <v>0</v>
      </c>
      <c r="B469" s="1">
        <f t="array" ref="B469">MMULT(Returns!B469:Z469,Resume!$B$38:$B$62)</f>
        <v>0</v>
      </c>
    </row>
    <row r="470" spans="1:2">
      <c r="A470" s="11">
        <f>Returns!A470</f>
        <v>0</v>
      </c>
      <c r="B470" s="1">
        <f t="array" ref="B470">MMULT(Returns!B470:Z470,Resume!$B$38:$B$62)</f>
        <v>0</v>
      </c>
    </row>
    <row r="471" spans="1:2">
      <c r="A471" s="11">
        <f>Returns!A471</f>
        <v>0</v>
      </c>
      <c r="B471" s="1">
        <f t="array" ref="B471">MMULT(Returns!B471:Z471,Resume!$B$38:$B$62)</f>
        <v>0</v>
      </c>
    </row>
    <row r="472" spans="1:2">
      <c r="A472" s="11">
        <f>Returns!A472</f>
        <v>0</v>
      </c>
      <c r="B472" s="1">
        <f t="array" ref="B472">MMULT(Returns!B472:Z472,Resume!$B$38:$B$62)</f>
        <v>0</v>
      </c>
    </row>
    <row r="473" spans="1:2">
      <c r="A473" s="11">
        <f>Returns!A473</f>
        <v>0</v>
      </c>
      <c r="B473" s="1">
        <f t="array" ref="B473">MMULT(Returns!B473:Z473,Resume!$B$38:$B$62)</f>
        <v>0</v>
      </c>
    </row>
    <row r="474" spans="1:2">
      <c r="A474" s="11">
        <f>Returns!A474</f>
        <v>0</v>
      </c>
      <c r="B474" s="1">
        <f t="array" ref="B474">MMULT(Returns!B474:Z474,Resume!$B$38:$B$62)</f>
        <v>0</v>
      </c>
    </row>
    <row r="475" spans="1:2">
      <c r="A475" s="11">
        <f>Returns!A475</f>
        <v>0</v>
      </c>
      <c r="B475" s="1">
        <f t="array" ref="B475">MMULT(Returns!B475:Z475,Resume!$B$38:$B$62)</f>
        <v>0</v>
      </c>
    </row>
    <row r="476" spans="1:2">
      <c r="A476" s="11">
        <f>Returns!A476</f>
        <v>0</v>
      </c>
      <c r="B476" s="1">
        <f t="array" ref="B476">MMULT(Returns!B476:Z476,Resume!$B$38:$B$62)</f>
        <v>0</v>
      </c>
    </row>
    <row r="477" spans="1:2">
      <c r="A477" s="11">
        <f>Returns!A477</f>
        <v>0</v>
      </c>
      <c r="B477" s="1">
        <f t="array" ref="B477">MMULT(Returns!B477:Z477,Resume!$B$38:$B$62)</f>
        <v>0</v>
      </c>
    </row>
    <row r="478" spans="1:2">
      <c r="A478" s="11">
        <f>Returns!A478</f>
        <v>0</v>
      </c>
      <c r="B478" s="1">
        <f t="array" ref="B478">MMULT(Returns!B478:Z478,Resume!$B$38:$B$62)</f>
        <v>0</v>
      </c>
    </row>
    <row r="479" spans="1:2">
      <c r="A479" s="11">
        <f>Returns!A479</f>
        <v>0</v>
      </c>
      <c r="B479" s="1">
        <f t="array" ref="B479">MMULT(Returns!B479:Z479,Resume!$B$38:$B$62)</f>
        <v>0</v>
      </c>
    </row>
    <row r="480" spans="1:2">
      <c r="A480" s="11">
        <f>Returns!A480</f>
        <v>0</v>
      </c>
      <c r="B480" s="1">
        <f t="array" ref="B480">MMULT(Returns!B480:Z480,Resume!$B$38:$B$62)</f>
        <v>0</v>
      </c>
    </row>
    <row r="481" spans="1:2">
      <c r="A481" s="11">
        <f>Returns!A481</f>
        <v>0</v>
      </c>
      <c r="B481" s="1">
        <f t="array" ref="B481">MMULT(Returns!B481:Z481,Resume!$B$38:$B$62)</f>
        <v>0</v>
      </c>
    </row>
    <row r="482" spans="1:2">
      <c r="A482" s="11">
        <f>Returns!A482</f>
        <v>0</v>
      </c>
      <c r="B482" s="1">
        <f t="array" ref="B482">MMULT(Returns!B482:Z482,Resume!$B$38:$B$62)</f>
        <v>0</v>
      </c>
    </row>
    <row r="483" spans="1:2">
      <c r="A483" s="11">
        <f>Returns!A483</f>
        <v>0</v>
      </c>
      <c r="B483" s="1">
        <f t="array" ref="B483">MMULT(Returns!B483:Z483,Resume!$B$38:$B$62)</f>
        <v>0</v>
      </c>
    </row>
    <row r="484" spans="1:2">
      <c r="A484" s="11">
        <f>Returns!A484</f>
        <v>0</v>
      </c>
      <c r="B484" s="1">
        <f t="array" ref="B484">MMULT(Returns!B484:Z484,Resume!$B$38:$B$62)</f>
        <v>0</v>
      </c>
    </row>
    <row r="485" spans="1:2">
      <c r="A485" s="11">
        <f>Returns!A485</f>
        <v>0</v>
      </c>
      <c r="B485" s="1">
        <f t="array" ref="B485">MMULT(Returns!B485:Z485,Resume!$B$38:$B$62)</f>
        <v>0</v>
      </c>
    </row>
    <row r="486" spans="1:2">
      <c r="A486" s="11">
        <f>Returns!A486</f>
        <v>0</v>
      </c>
      <c r="B486" s="1">
        <f t="array" ref="B486">MMULT(Returns!B486:Z486,Resume!$B$38:$B$62)</f>
        <v>0</v>
      </c>
    </row>
    <row r="487" spans="1:2">
      <c r="A487" s="11">
        <f>Returns!A487</f>
        <v>0</v>
      </c>
      <c r="B487" s="1">
        <f t="array" ref="B487">MMULT(Returns!B487:Z487,Resume!$B$38:$B$62)</f>
        <v>0</v>
      </c>
    </row>
    <row r="488" spans="1:2">
      <c r="A488" s="11">
        <f>Returns!A488</f>
        <v>0</v>
      </c>
      <c r="B488" s="1">
        <f t="array" ref="B488">MMULT(Returns!B488:Z488,Resume!$B$38:$B$62)</f>
        <v>0</v>
      </c>
    </row>
    <row r="489" spans="1:2">
      <c r="A489" s="11">
        <f>Returns!A489</f>
        <v>0</v>
      </c>
      <c r="B489" s="1">
        <f t="array" ref="B489">MMULT(Returns!B489:Z489,Resume!$B$38:$B$62)</f>
        <v>0</v>
      </c>
    </row>
    <row r="490" spans="1:2">
      <c r="A490" s="11">
        <f>Returns!A490</f>
        <v>0</v>
      </c>
      <c r="B490" s="1">
        <f t="array" ref="B490">MMULT(Returns!B490:Z490,Resume!$B$38:$B$62)</f>
        <v>0</v>
      </c>
    </row>
    <row r="491" spans="1:2">
      <c r="A491" s="11">
        <f>Returns!A491</f>
        <v>0</v>
      </c>
      <c r="B491" s="1">
        <f t="array" ref="B491">MMULT(Returns!B491:Z491,Resume!$B$38:$B$62)</f>
        <v>0</v>
      </c>
    </row>
    <row r="492" spans="1:2">
      <c r="A492" s="11">
        <f>Returns!A492</f>
        <v>0</v>
      </c>
      <c r="B492" s="1">
        <f t="array" ref="B492">MMULT(Returns!B492:Z492,Resume!$B$38:$B$62)</f>
        <v>0</v>
      </c>
    </row>
    <row r="493" spans="1:2">
      <c r="A493" s="11">
        <f>Returns!A493</f>
        <v>0</v>
      </c>
      <c r="B493" s="1">
        <f t="array" ref="B493">MMULT(Returns!B493:Z493,Resume!$B$38:$B$62)</f>
        <v>0</v>
      </c>
    </row>
    <row r="494" spans="1:2">
      <c r="A494" s="11">
        <f>Returns!A494</f>
        <v>0</v>
      </c>
      <c r="B494" s="1">
        <f t="array" ref="B494">MMULT(Returns!B494:Z494,Resume!$B$38:$B$62)</f>
        <v>0</v>
      </c>
    </row>
    <row r="495" spans="1:2">
      <c r="A495" s="11">
        <f>Returns!A495</f>
        <v>0</v>
      </c>
      <c r="B495" s="1">
        <f t="array" ref="B495">MMULT(Returns!B495:Z495,Resume!$B$38:$B$62)</f>
        <v>0</v>
      </c>
    </row>
    <row r="496" spans="1:2">
      <c r="A496" s="11">
        <f>Returns!A496</f>
        <v>0</v>
      </c>
      <c r="B496" s="1">
        <f t="array" ref="B496">MMULT(Returns!B496:Z496,Resume!$B$38:$B$62)</f>
        <v>0</v>
      </c>
    </row>
    <row r="497" spans="1:2">
      <c r="A497" s="11">
        <f>Returns!A497</f>
        <v>0</v>
      </c>
      <c r="B497" s="1">
        <f t="array" ref="B497">MMULT(Returns!B497:Z497,Resume!$B$38:$B$62)</f>
        <v>0</v>
      </c>
    </row>
    <row r="498" spans="1:2">
      <c r="A498" s="11">
        <f>Returns!A498</f>
        <v>0</v>
      </c>
      <c r="B498" s="1">
        <f t="array" ref="B498">MMULT(Returns!B498:Z498,Resume!$B$38:$B$62)</f>
        <v>0</v>
      </c>
    </row>
    <row r="499" spans="1:2">
      <c r="A499" s="11">
        <f>Returns!A499</f>
        <v>0</v>
      </c>
      <c r="B499" s="1">
        <f t="array" ref="B499">MMULT(Returns!B499:Z499,Resume!$B$38:$B$62)</f>
        <v>0</v>
      </c>
    </row>
    <row r="500" spans="1:2">
      <c r="A500" s="11">
        <f>Returns!A500</f>
        <v>0</v>
      </c>
      <c r="B500" s="1">
        <f t="array" ref="B500">MMULT(Returns!B500:Z500,Resume!$B$38:$B$62)</f>
        <v>0</v>
      </c>
    </row>
    <row r="501" spans="1:2">
      <c r="A501" s="11">
        <f>Returns!A501</f>
        <v>0</v>
      </c>
      <c r="B501" s="1">
        <f t="array" ref="B501">MMULT(Returns!B501:Z501,Resume!$B$38:$B$62)</f>
        <v>0</v>
      </c>
    </row>
    <row r="502" spans="1:2">
      <c r="A502" s="11">
        <f>Returns!A502</f>
        <v>0</v>
      </c>
      <c r="B502" s="1">
        <f t="array" ref="B502">MMULT(Returns!B502:Z502,Resume!$B$38:$B$62)</f>
        <v>0</v>
      </c>
    </row>
    <row r="503" spans="1:2">
      <c r="A503" s="11">
        <f>Returns!A503</f>
        <v>0</v>
      </c>
      <c r="B503" s="1">
        <f t="array" ref="B503">MMULT(Returns!B503:Z503,Resume!$B$38:$B$62)</f>
        <v>0</v>
      </c>
    </row>
    <row r="504" spans="1:2">
      <c r="A504" s="11">
        <f>Returns!A504</f>
        <v>0</v>
      </c>
      <c r="B504" s="1">
        <f t="array" ref="B504">MMULT(Returns!B504:Z504,Resume!$B$38:$B$62)</f>
        <v>0</v>
      </c>
    </row>
    <row r="505" spans="1:2">
      <c r="A505" s="11">
        <f>Returns!A505</f>
        <v>0</v>
      </c>
      <c r="B505" s="1">
        <f t="array" ref="B505">MMULT(Returns!B505:Z505,Resume!$B$38:$B$62)</f>
        <v>0</v>
      </c>
    </row>
    <row r="506" spans="1:2">
      <c r="A506" s="11">
        <f>Returns!A506</f>
        <v>0</v>
      </c>
      <c r="B506" s="1">
        <f t="array" ref="B506">MMULT(Returns!B506:Z506,Resume!$B$38:$B$62)</f>
        <v>0</v>
      </c>
    </row>
    <row r="507" spans="1:2">
      <c r="A507" s="11">
        <f>Returns!A507</f>
        <v>0</v>
      </c>
      <c r="B507" s="1">
        <f t="array" ref="B507">MMULT(Returns!B507:Z507,Resume!$B$38:$B$62)</f>
        <v>0</v>
      </c>
    </row>
    <row r="508" spans="1:2">
      <c r="A508" s="11">
        <f>Returns!A508</f>
        <v>0</v>
      </c>
      <c r="B508" s="1">
        <f t="array" ref="B508">MMULT(Returns!B508:Z508,Resume!$B$38:$B$62)</f>
        <v>0</v>
      </c>
    </row>
    <row r="509" spans="1:2">
      <c r="A509" s="11">
        <f>Returns!A509</f>
        <v>0</v>
      </c>
      <c r="B509" s="1">
        <f t="array" ref="B509">MMULT(Returns!B509:Z509,Resume!$B$38:$B$62)</f>
        <v>0</v>
      </c>
    </row>
    <row r="510" spans="1:2">
      <c r="A510" s="11">
        <f>Returns!A510</f>
        <v>0</v>
      </c>
      <c r="B510" s="1">
        <f t="array" ref="B510">MMULT(Returns!B510:Z510,Resume!$B$38:$B$62)</f>
        <v>0</v>
      </c>
    </row>
    <row r="511" spans="1:2">
      <c r="A511" s="11">
        <f>Returns!A511</f>
        <v>0</v>
      </c>
      <c r="B511" s="1">
        <f t="array" ref="B511">MMULT(Returns!B511:Z511,Resume!$B$38:$B$62)</f>
        <v>0</v>
      </c>
    </row>
    <row r="512" spans="1:2">
      <c r="A512" s="11">
        <f>Returns!A512</f>
        <v>0</v>
      </c>
      <c r="B512" s="1">
        <f t="array" ref="B512">MMULT(Returns!B512:Z512,Resume!$B$38:$B$62)</f>
        <v>0</v>
      </c>
    </row>
    <row r="513" spans="1:2">
      <c r="A513" s="11">
        <f>Returns!A513</f>
        <v>0</v>
      </c>
      <c r="B513" s="1">
        <f t="array" ref="B513">MMULT(Returns!B513:Z513,Resume!$B$38:$B$62)</f>
        <v>0</v>
      </c>
    </row>
    <row r="514" spans="1:2">
      <c r="A514" s="11">
        <f>Returns!A514</f>
        <v>0</v>
      </c>
      <c r="B514" s="1">
        <f t="array" ref="B514">MMULT(Returns!B514:Z514,Resume!$B$38:$B$62)</f>
        <v>0</v>
      </c>
    </row>
    <row r="515" spans="1:2">
      <c r="A515" s="11">
        <f>Returns!A515</f>
        <v>0</v>
      </c>
      <c r="B515" s="1">
        <f t="array" ref="B515">MMULT(Returns!B515:Z515,Resume!$B$38:$B$62)</f>
        <v>0</v>
      </c>
    </row>
    <row r="516" spans="1:2">
      <c r="A516" s="11">
        <f>Returns!A516</f>
        <v>0</v>
      </c>
      <c r="B516" s="1">
        <f t="array" ref="B516">MMULT(Returns!B516:Z516,Resume!$B$38:$B$62)</f>
        <v>0</v>
      </c>
    </row>
    <row r="517" spans="1:2">
      <c r="A517" s="11">
        <f>Returns!A517</f>
        <v>0</v>
      </c>
      <c r="B517" s="1">
        <f t="array" ref="B517">MMULT(Returns!B517:Z517,Resume!$B$38:$B$62)</f>
        <v>0</v>
      </c>
    </row>
    <row r="518" spans="1:2">
      <c r="A518" s="11">
        <f>Returns!A518</f>
        <v>0</v>
      </c>
      <c r="B518" s="1">
        <f t="array" ref="B518">MMULT(Returns!B518:Z518,Resume!$B$38:$B$62)</f>
        <v>0</v>
      </c>
    </row>
    <row r="519" spans="1:2">
      <c r="A519" s="11">
        <f>Returns!A519</f>
        <v>0</v>
      </c>
      <c r="B519" s="1">
        <f t="array" ref="B519">MMULT(Returns!B519:Z519,Resume!$B$38:$B$62)</f>
        <v>0</v>
      </c>
    </row>
    <row r="520" spans="1:2">
      <c r="A520" s="11">
        <f>Returns!A520</f>
        <v>0</v>
      </c>
      <c r="B520" s="1">
        <f t="array" ref="B520">MMULT(Returns!B520:Z520,Resume!$B$38:$B$62)</f>
        <v>0</v>
      </c>
    </row>
    <row r="521" spans="1:2">
      <c r="A521" s="11">
        <f>Returns!A521</f>
        <v>0</v>
      </c>
      <c r="B521" s="1">
        <f t="array" ref="B521">MMULT(Returns!B521:Z521,Resume!$B$38:$B$62)</f>
        <v>0</v>
      </c>
    </row>
    <row r="522" spans="1:2">
      <c r="A522" s="11">
        <f>Returns!A522</f>
        <v>0</v>
      </c>
      <c r="B522" s="1">
        <f t="array" ref="B522">MMULT(Returns!B522:Z522,Resume!$B$38:$B$62)</f>
        <v>0</v>
      </c>
    </row>
    <row r="523" spans="1:2">
      <c r="A523" s="11">
        <f>Returns!A523</f>
        <v>0</v>
      </c>
      <c r="B523" s="1">
        <f t="array" ref="B523">MMULT(Returns!B523:Z523,Resume!$B$38:$B$62)</f>
        <v>0</v>
      </c>
    </row>
    <row r="524" spans="1:2">
      <c r="A524" s="11">
        <f>Returns!A524</f>
        <v>0</v>
      </c>
      <c r="B524" s="1">
        <f t="array" ref="B524">MMULT(Returns!B524:Z524,Resume!$B$38:$B$62)</f>
        <v>0</v>
      </c>
    </row>
    <row r="525" spans="1:2">
      <c r="A525" s="11">
        <f>Returns!A525</f>
        <v>0</v>
      </c>
      <c r="B525" s="1">
        <f t="array" ref="B525">MMULT(Returns!B525:Z525,Resume!$B$38:$B$62)</f>
        <v>0</v>
      </c>
    </row>
    <row r="526" spans="1:2">
      <c r="A526" s="11">
        <f>Returns!A526</f>
        <v>0</v>
      </c>
      <c r="B526" s="1">
        <f t="array" ref="B526">MMULT(Returns!B526:Z526,Resume!$B$38:$B$62)</f>
        <v>0</v>
      </c>
    </row>
    <row r="527" spans="1:2">
      <c r="A527" s="11">
        <f>Returns!A527</f>
        <v>0</v>
      </c>
      <c r="B527" s="1">
        <f t="array" ref="B527">MMULT(Returns!B527:Z527,Resume!$B$38:$B$62)</f>
        <v>0</v>
      </c>
    </row>
    <row r="528" spans="1:2">
      <c r="A528" s="11">
        <f>Returns!A528</f>
        <v>0</v>
      </c>
      <c r="B528" s="1">
        <f t="array" ref="B528">MMULT(Returns!B528:Z528,Resume!$B$38:$B$62)</f>
        <v>0</v>
      </c>
    </row>
    <row r="529" spans="1:2">
      <c r="A529" s="11">
        <f>Returns!A529</f>
        <v>0</v>
      </c>
      <c r="B529" s="1">
        <f t="array" ref="B529">MMULT(Returns!B529:Z529,Resume!$B$38:$B$62)</f>
        <v>0</v>
      </c>
    </row>
    <row r="530" spans="1:2">
      <c r="A530" s="11">
        <f>Returns!A530</f>
        <v>0</v>
      </c>
      <c r="B530" s="1">
        <f t="array" ref="B530">MMULT(Returns!B530:Z530,Resume!$B$38:$B$62)</f>
        <v>0</v>
      </c>
    </row>
    <row r="531" spans="1:2">
      <c r="A531" s="11">
        <f>Returns!A531</f>
        <v>0</v>
      </c>
      <c r="B531" s="1">
        <f t="array" ref="B531">MMULT(Returns!B531:Z531,Resume!$B$38:$B$62)</f>
        <v>0</v>
      </c>
    </row>
    <row r="532" spans="1:2">
      <c r="A532" s="11">
        <f>Returns!A532</f>
        <v>0</v>
      </c>
      <c r="B532" s="1">
        <f t="array" ref="B532">MMULT(Returns!B532:Z532,Resume!$B$38:$B$62)</f>
        <v>0</v>
      </c>
    </row>
    <row r="533" spans="1:2">
      <c r="A533" s="11">
        <f>Returns!A533</f>
        <v>0</v>
      </c>
      <c r="B533" s="1">
        <f t="array" ref="B533">MMULT(Returns!B533:Z533,Resume!$B$38:$B$62)</f>
        <v>0</v>
      </c>
    </row>
    <row r="534" spans="1:2">
      <c r="A534" s="11">
        <f>Returns!A534</f>
        <v>0</v>
      </c>
      <c r="B534" s="1">
        <f t="array" ref="B534">MMULT(Returns!B534:Z534,Resume!$B$38:$B$62)</f>
        <v>0</v>
      </c>
    </row>
    <row r="535" spans="1:2">
      <c r="A535" s="11">
        <f>Returns!A535</f>
        <v>0</v>
      </c>
      <c r="B535" s="1">
        <f t="array" ref="B535">MMULT(Returns!B535:Z535,Resume!$B$38:$B$62)</f>
        <v>0</v>
      </c>
    </row>
    <row r="536" spans="1:2">
      <c r="A536" s="11">
        <f>Returns!A536</f>
        <v>0</v>
      </c>
      <c r="B536" s="1">
        <f t="array" ref="B536">MMULT(Returns!B536:Z536,Resume!$B$38:$B$62)</f>
        <v>0</v>
      </c>
    </row>
    <row r="537" spans="1:2">
      <c r="A537" s="11">
        <f>Returns!A537</f>
        <v>0</v>
      </c>
      <c r="B537" s="1">
        <f t="array" ref="B537">MMULT(Returns!B537:Z537,Resume!$B$38:$B$62)</f>
        <v>0</v>
      </c>
    </row>
    <row r="538" spans="1:2">
      <c r="A538" s="11">
        <f>Returns!A538</f>
        <v>0</v>
      </c>
      <c r="B538" s="1">
        <f t="array" ref="B538">MMULT(Returns!B538:Z538,Resume!$B$38:$B$62)</f>
        <v>0</v>
      </c>
    </row>
    <row r="539" spans="1:2">
      <c r="A539" s="11">
        <f>Returns!A539</f>
        <v>0</v>
      </c>
      <c r="B539" s="1">
        <f t="array" ref="B539">MMULT(Returns!B539:Z539,Resume!$B$38:$B$62)</f>
        <v>0</v>
      </c>
    </row>
    <row r="540" spans="1:2">
      <c r="A540" s="11">
        <f>Returns!A540</f>
        <v>0</v>
      </c>
      <c r="B540" s="1">
        <f t="array" ref="B540">MMULT(Returns!B540:Z540,Resume!$B$38:$B$62)</f>
        <v>0</v>
      </c>
    </row>
    <row r="541" spans="1:2">
      <c r="A541" s="11">
        <f>Returns!A541</f>
        <v>0</v>
      </c>
      <c r="B541" s="1">
        <f t="array" ref="B541">MMULT(Returns!B541:Z541,Resume!$B$38:$B$62)</f>
        <v>0</v>
      </c>
    </row>
    <row r="542" spans="1:2">
      <c r="A542" s="11">
        <f>Returns!A542</f>
        <v>0</v>
      </c>
      <c r="B542" s="1">
        <f t="array" ref="B542">MMULT(Returns!B542:Z542,Resume!$B$38:$B$62)</f>
        <v>0</v>
      </c>
    </row>
    <row r="543" spans="1:2">
      <c r="A543" s="11">
        <f>Returns!A543</f>
        <v>0</v>
      </c>
      <c r="B543" s="1">
        <f t="array" ref="B543">MMULT(Returns!B543:Z543,Resume!$B$38:$B$62)</f>
        <v>0</v>
      </c>
    </row>
    <row r="544" spans="1:2">
      <c r="A544" s="11">
        <f>Returns!A544</f>
        <v>0</v>
      </c>
      <c r="B544" s="1">
        <f t="array" ref="B544">MMULT(Returns!B544:Z544,Resume!$B$38:$B$62)</f>
        <v>0</v>
      </c>
    </row>
    <row r="545" spans="1:2">
      <c r="A545" s="11">
        <f>Returns!A545</f>
        <v>0</v>
      </c>
      <c r="B545" s="1">
        <f t="array" ref="B545">MMULT(Returns!B545:Z545,Resume!$B$38:$B$62)</f>
        <v>0</v>
      </c>
    </row>
    <row r="546" spans="1:2">
      <c r="A546" s="11">
        <f>Returns!A546</f>
        <v>0</v>
      </c>
      <c r="B546" s="1">
        <f t="array" ref="B546">MMULT(Returns!B546:Z546,Resume!$B$38:$B$62)</f>
        <v>0</v>
      </c>
    </row>
    <row r="547" spans="1:2">
      <c r="A547" s="11">
        <f>Returns!A547</f>
        <v>0</v>
      </c>
      <c r="B547" s="1">
        <f t="array" ref="B547">MMULT(Returns!B547:Z547,Resume!$B$38:$B$62)</f>
        <v>0</v>
      </c>
    </row>
    <row r="548" spans="1:2">
      <c r="A548" s="11">
        <f>Returns!A548</f>
        <v>0</v>
      </c>
      <c r="B548" s="1">
        <f t="array" ref="B548">MMULT(Returns!B548:Z548,Resume!$B$38:$B$62)</f>
        <v>0</v>
      </c>
    </row>
    <row r="549" spans="1:2">
      <c r="A549" s="11">
        <f>Returns!A549</f>
        <v>0</v>
      </c>
      <c r="B549" s="1">
        <f t="array" ref="B549">MMULT(Returns!B549:Z549,Resume!$B$38:$B$62)</f>
        <v>0</v>
      </c>
    </row>
    <row r="550" spans="1:2">
      <c r="A550" s="11">
        <f>Returns!A550</f>
        <v>0</v>
      </c>
      <c r="B550" s="1">
        <f t="array" ref="B550">MMULT(Returns!B550:Z550,Resume!$B$38:$B$62)</f>
        <v>0</v>
      </c>
    </row>
    <row r="551" spans="1:2">
      <c r="A551" s="11">
        <f>Returns!A551</f>
        <v>0</v>
      </c>
      <c r="B551" s="1">
        <f t="array" ref="B551">MMULT(Returns!B551:Z551,Resume!$B$38:$B$62)</f>
        <v>0</v>
      </c>
    </row>
    <row r="552" spans="1:2">
      <c r="A552" s="11">
        <f>Returns!A552</f>
        <v>0</v>
      </c>
      <c r="B552" s="1">
        <f t="array" ref="B552">MMULT(Returns!B552:Z552,Resume!$B$38:$B$62)</f>
        <v>0</v>
      </c>
    </row>
    <row r="553" spans="1:2">
      <c r="A553" s="11">
        <f>Returns!A553</f>
        <v>0</v>
      </c>
      <c r="B553" s="1">
        <f t="array" ref="B553">MMULT(Returns!B553:Z553,Resume!$B$38:$B$62)</f>
        <v>0</v>
      </c>
    </row>
    <row r="554" spans="1:2">
      <c r="A554" s="11">
        <f>Returns!A554</f>
        <v>0</v>
      </c>
      <c r="B554" s="1">
        <f t="array" ref="B554">MMULT(Returns!B554:Z554,Resume!$B$38:$B$62)</f>
        <v>0</v>
      </c>
    </row>
    <row r="555" spans="1:2">
      <c r="A555" s="11">
        <f>Returns!A555</f>
        <v>0</v>
      </c>
      <c r="B555" s="1">
        <f t="array" ref="B555">MMULT(Returns!B555:Z555,Resume!$B$38:$B$62)</f>
        <v>0</v>
      </c>
    </row>
    <row r="556" spans="1:2">
      <c r="A556" s="11">
        <f>Returns!A556</f>
        <v>0</v>
      </c>
      <c r="B556" s="1">
        <f t="array" ref="B556">MMULT(Returns!B556:Z556,Resume!$B$38:$B$62)</f>
        <v>0</v>
      </c>
    </row>
    <row r="557" spans="1:2">
      <c r="A557" s="11">
        <f>Returns!A557</f>
        <v>0</v>
      </c>
      <c r="B557" s="1">
        <f t="array" ref="B557">MMULT(Returns!B557:Z557,Resume!$B$38:$B$62)</f>
        <v>0</v>
      </c>
    </row>
    <row r="558" spans="1:2">
      <c r="A558" s="11">
        <f>Returns!A558</f>
        <v>0</v>
      </c>
      <c r="B558" s="1">
        <f t="array" ref="B558">MMULT(Returns!B558:Z558,Resume!$B$38:$B$62)</f>
        <v>0</v>
      </c>
    </row>
    <row r="559" spans="1:2">
      <c r="A559" s="11">
        <f>Returns!A559</f>
        <v>0</v>
      </c>
      <c r="B559" s="1">
        <f t="array" ref="B559">MMULT(Returns!B559:Z559,Resume!$B$38:$B$62)</f>
        <v>0</v>
      </c>
    </row>
    <row r="560" spans="1:2">
      <c r="A560" s="11">
        <f>Returns!A560</f>
        <v>0</v>
      </c>
      <c r="B560" s="1">
        <f t="array" ref="B560">MMULT(Returns!B560:Z560,Resume!$B$38:$B$62)</f>
        <v>0</v>
      </c>
    </row>
    <row r="561" spans="1:2">
      <c r="A561" s="11">
        <f>Returns!A561</f>
        <v>0</v>
      </c>
      <c r="B561" s="1">
        <f t="array" ref="B561">MMULT(Returns!B561:Z561,Resume!$B$38:$B$62)</f>
        <v>0</v>
      </c>
    </row>
    <row r="562" spans="1:2">
      <c r="A562" s="11">
        <f>Returns!A562</f>
        <v>0</v>
      </c>
      <c r="B562" s="1">
        <f t="array" ref="B562">MMULT(Returns!B562:Z562,Resume!$B$38:$B$62)</f>
        <v>0</v>
      </c>
    </row>
    <row r="563" spans="1:2">
      <c r="A563" s="11">
        <f>Returns!A563</f>
        <v>0</v>
      </c>
      <c r="B563" s="1">
        <f t="array" ref="B563">MMULT(Returns!B563:Z563,Resume!$B$38:$B$62)</f>
        <v>0</v>
      </c>
    </row>
    <row r="564" spans="1:2">
      <c r="A564" s="11">
        <f>Returns!A564</f>
        <v>0</v>
      </c>
      <c r="B564" s="1">
        <f t="array" ref="B564">MMULT(Returns!B564:Z564,Resume!$B$38:$B$62)</f>
        <v>0</v>
      </c>
    </row>
    <row r="565" spans="1:2">
      <c r="A565" s="11">
        <f>Returns!A565</f>
        <v>0</v>
      </c>
      <c r="B565" s="1">
        <f t="array" ref="B565">MMULT(Returns!B565:Z565,Resume!$B$38:$B$62)</f>
        <v>0</v>
      </c>
    </row>
    <row r="566" spans="1:2">
      <c r="A566" s="11">
        <f>Returns!A566</f>
        <v>0</v>
      </c>
      <c r="B566" s="1">
        <f t="array" ref="B566">MMULT(Returns!B566:Z566,Resume!$B$38:$B$62)</f>
        <v>0</v>
      </c>
    </row>
    <row r="567" spans="1:2">
      <c r="A567" s="11">
        <f>Returns!A567</f>
        <v>0</v>
      </c>
      <c r="B567" s="1">
        <f t="array" ref="B567">MMULT(Returns!B567:Z567,Resume!$B$38:$B$62)</f>
        <v>0</v>
      </c>
    </row>
    <row r="568" spans="1:2">
      <c r="A568" s="11">
        <f>Returns!A568</f>
        <v>0</v>
      </c>
      <c r="B568" s="1">
        <f t="array" ref="B568">MMULT(Returns!B568:Z568,Resume!$B$38:$B$62)</f>
        <v>0</v>
      </c>
    </row>
    <row r="569" spans="1:2">
      <c r="A569" s="11">
        <f>Returns!A569</f>
        <v>0</v>
      </c>
      <c r="B569" s="1">
        <f t="array" ref="B569">MMULT(Returns!B569:Z569,Resume!$B$38:$B$62)</f>
        <v>0</v>
      </c>
    </row>
    <row r="570" spans="1:2">
      <c r="A570" s="11">
        <f>Returns!A570</f>
        <v>0</v>
      </c>
      <c r="B570" s="1">
        <f t="array" ref="B570">MMULT(Returns!B570:Z570,Resume!$B$38:$B$62)</f>
        <v>0</v>
      </c>
    </row>
    <row r="571" spans="1:2">
      <c r="A571" s="11">
        <f>Returns!A571</f>
        <v>0</v>
      </c>
      <c r="B571" s="1">
        <f t="array" ref="B571">MMULT(Returns!B571:Z571,Resume!$B$38:$B$62)</f>
        <v>0</v>
      </c>
    </row>
    <row r="572" spans="1:2">
      <c r="A572" s="11">
        <f>Returns!A572</f>
        <v>0</v>
      </c>
      <c r="B572" s="1">
        <f t="array" ref="B572">MMULT(Returns!B572:Z572,Resume!$B$38:$B$62)</f>
        <v>0</v>
      </c>
    </row>
    <row r="573" spans="1:2">
      <c r="A573" s="11">
        <f>Returns!A573</f>
        <v>0</v>
      </c>
      <c r="B573" s="1">
        <f t="array" ref="B573">MMULT(Returns!B573:Z573,Resume!$B$38:$B$62)</f>
        <v>0</v>
      </c>
    </row>
    <row r="574" spans="1:2">
      <c r="A574" s="11">
        <f>Returns!A574</f>
        <v>0</v>
      </c>
      <c r="B574" s="1">
        <f t="array" ref="B574">MMULT(Returns!B574:Z574,Resume!$B$38:$B$62)</f>
        <v>0</v>
      </c>
    </row>
    <row r="575" spans="1:2">
      <c r="A575" s="11">
        <f>Returns!A575</f>
        <v>0</v>
      </c>
      <c r="B575" s="1">
        <f t="array" ref="B575">MMULT(Returns!B575:Z575,Resume!$B$38:$B$62)</f>
        <v>0</v>
      </c>
    </row>
    <row r="576" spans="1:2">
      <c r="A576" s="11">
        <f>Returns!A576</f>
        <v>0</v>
      </c>
      <c r="B576" s="1">
        <f t="array" ref="B576">MMULT(Returns!B576:Z576,Resume!$B$38:$B$62)</f>
        <v>0</v>
      </c>
    </row>
    <row r="577" spans="1:2">
      <c r="A577" s="11">
        <f>Returns!A577</f>
        <v>0</v>
      </c>
      <c r="B577" s="1">
        <f t="array" ref="B577">MMULT(Returns!B577:Z577,Resume!$B$38:$B$62)</f>
        <v>0</v>
      </c>
    </row>
    <row r="578" spans="1:2">
      <c r="A578" s="11">
        <f>Returns!A578</f>
        <v>0</v>
      </c>
      <c r="B578" s="1">
        <f t="array" ref="B578">MMULT(Returns!B578:Z578,Resume!$B$38:$B$62)</f>
        <v>0</v>
      </c>
    </row>
    <row r="579" spans="1:2">
      <c r="A579" s="11">
        <f>Returns!A579</f>
        <v>0</v>
      </c>
      <c r="B579" s="1">
        <f t="array" ref="B579">MMULT(Returns!B579:Z579,Resume!$B$38:$B$62)</f>
        <v>0</v>
      </c>
    </row>
    <row r="580" spans="1:2">
      <c r="A580" s="11">
        <f>Returns!A580</f>
        <v>0</v>
      </c>
      <c r="B580" s="1">
        <f t="array" ref="B580">MMULT(Returns!B580:Z580,Resume!$B$38:$B$62)</f>
        <v>0</v>
      </c>
    </row>
    <row r="581" spans="1:2">
      <c r="A581" s="11">
        <f>Returns!A581</f>
        <v>0</v>
      </c>
      <c r="B581" s="1">
        <f t="array" ref="B581">MMULT(Returns!B581:Z581,Resume!$B$38:$B$62)</f>
        <v>0</v>
      </c>
    </row>
    <row r="582" spans="1:2">
      <c r="A582" s="11">
        <f>Returns!A582</f>
        <v>0</v>
      </c>
      <c r="B582" s="1">
        <f t="array" ref="B582">MMULT(Returns!B582:Z582,Resume!$B$38:$B$62)</f>
        <v>0</v>
      </c>
    </row>
    <row r="583" spans="1:2">
      <c r="A583" s="11">
        <f>Returns!A583</f>
        <v>0</v>
      </c>
      <c r="B583" s="1">
        <f t="array" ref="B583">MMULT(Returns!B583:Z583,Resume!$B$38:$B$62)</f>
        <v>0</v>
      </c>
    </row>
    <row r="584" spans="1:2">
      <c r="A584" s="11">
        <f>Returns!A584</f>
        <v>0</v>
      </c>
      <c r="B584" s="1">
        <f t="array" ref="B584">MMULT(Returns!B584:Z584,Resume!$B$38:$B$62)</f>
        <v>0</v>
      </c>
    </row>
    <row r="585" spans="1:2">
      <c r="A585" s="11">
        <f>Returns!A585</f>
        <v>0</v>
      </c>
      <c r="B585" s="1">
        <f t="array" ref="B585">MMULT(Returns!B585:Z585,Resume!$B$38:$B$62)</f>
        <v>0</v>
      </c>
    </row>
    <row r="586" spans="1:2">
      <c r="A586" s="11">
        <f>Returns!A586</f>
        <v>0</v>
      </c>
      <c r="B586" s="1">
        <f t="array" ref="B586">MMULT(Returns!B586:Z586,Resume!$B$38:$B$62)</f>
        <v>0</v>
      </c>
    </row>
    <row r="587" spans="1:2">
      <c r="A587" s="11">
        <f>Returns!A587</f>
        <v>0</v>
      </c>
      <c r="B587" s="1">
        <f t="array" ref="B587">MMULT(Returns!B587:Z587,Resume!$B$38:$B$62)</f>
        <v>0</v>
      </c>
    </row>
    <row r="588" spans="1:2">
      <c r="A588" s="11">
        <f>Returns!A588</f>
        <v>0</v>
      </c>
      <c r="B588" s="1">
        <f t="array" ref="B588">MMULT(Returns!B588:Z588,Resume!$B$38:$B$62)</f>
        <v>0</v>
      </c>
    </row>
    <row r="589" spans="1:2">
      <c r="A589" s="11">
        <f>Returns!A589</f>
        <v>0</v>
      </c>
      <c r="B589" s="1">
        <f t="array" ref="B589">MMULT(Returns!B589:Z589,Resume!$B$38:$B$62)</f>
        <v>0</v>
      </c>
    </row>
    <row r="590" spans="1:2">
      <c r="A590" s="11">
        <f>Returns!A590</f>
        <v>0</v>
      </c>
      <c r="B590" s="1">
        <f t="array" ref="B590">MMULT(Returns!B590:Z590,Resume!$B$38:$B$62)</f>
        <v>0</v>
      </c>
    </row>
    <row r="591" spans="1:2">
      <c r="A591" s="11">
        <f>Returns!A591</f>
        <v>0</v>
      </c>
      <c r="B591" s="1">
        <f t="array" ref="B591">MMULT(Returns!B591:Z591,Resume!$B$38:$B$62)</f>
        <v>0</v>
      </c>
    </row>
    <row r="592" spans="1:2">
      <c r="A592" s="11">
        <f>Returns!A592</f>
        <v>0</v>
      </c>
      <c r="B592" s="1">
        <f t="array" ref="B592">MMULT(Returns!B592:Z592,Resume!$B$38:$B$62)</f>
        <v>0</v>
      </c>
    </row>
    <row r="593" spans="1:2">
      <c r="A593" s="11">
        <f>Returns!A593</f>
        <v>0</v>
      </c>
      <c r="B593" s="1">
        <f t="array" ref="B593">MMULT(Returns!B593:Z593,Resume!$B$38:$B$62)</f>
        <v>0</v>
      </c>
    </row>
    <row r="594" spans="1:2">
      <c r="A594" s="11">
        <f>Returns!A594</f>
        <v>0</v>
      </c>
      <c r="B594" s="1">
        <f t="array" ref="B594">MMULT(Returns!B594:Z594,Resume!$B$38:$B$62)</f>
        <v>0</v>
      </c>
    </row>
    <row r="595" spans="1:2">
      <c r="A595" s="11">
        <f>Returns!A595</f>
        <v>0</v>
      </c>
      <c r="B595" s="1">
        <f t="array" ref="B595">MMULT(Returns!B595:Z595,Resume!$B$38:$B$62)</f>
        <v>0</v>
      </c>
    </row>
    <row r="596" spans="1:2">
      <c r="A596" s="11">
        <f>Returns!A596</f>
        <v>0</v>
      </c>
      <c r="B596" s="1">
        <f t="array" ref="B596">MMULT(Returns!B596:Z596,Resume!$B$38:$B$62)</f>
        <v>0</v>
      </c>
    </row>
    <row r="597" spans="1:2">
      <c r="A597" s="11">
        <f>Returns!A597</f>
        <v>0</v>
      </c>
      <c r="B597" s="1">
        <f t="array" ref="B597">MMULT(Returns!B597:Z597,Resume!$B$38:$B$62)</f>
        <v>0</v>
      </c>
    </row>
    <row r="598" spans="1:2">
      <c r="A598" s="11">
        <f>Returns!A598</f>
        <v>0</v>
      </c>
      <c r="B598" s="1">
        <f t="array" ref="B598">MMULT(Returns!B598:Z598,Resume!$B$38:$B$62)</f>
        <v>0</v>
      </c>
    </row>
    <row r="599" spans="1:2">
      <c r="A599" s="11">
        <f>Returns!A599</f>
        <v>0</v>
      </c>
      <c r="B599" s="1">
        <f t="array" ref="B599">MMULT(Returns!B599:Z599,Resume!$B$38:$B$62)</f>
        <v>0</v>
      </c>
    </row>
    <row r="600" spans="1:2">
      <c r="A600" s="11">
        <f>Returns!A600</f>
        <v>0</v>
      </c>
      <c r="B600" s="1">
        <f t="array" ref="B600">MMULT(Returns!B600:Z600,Resume!$B$38:$B$62)</f>
        <v>0</v>
      </c>
    </row>
    <row r="601" spans="1:2">
      <c r="A601" s="11">
        <f>Returns!A601</f>
        <v>0</v>
      </c>
      <c r="B601" s="1">
        <f t="array" ref="B601">MMULT(Returns!B601:Z601,Resume!$B$38:$B$62)</f>
        <v>0</v>
      </c>
    </row>
    <row r="602" spans="1:2">
      <c r="A602" s="11">
        <f>Returns!A602</f>
        <v>0</v>
      </c>
      <c r="B602" s="1">
        <f t="array" ref="B602">MMULT(Returns!B602:Z602,Resume!$B$38:$B$62)</f>
        <v>0</v>
      </c>
    </row>
    <row r="603" spans="1:2">
      <c r="A603" s="11">
        <f>Returns!A603</f>
        <v>0</v>
      </c>
      <c r="B603" s="1">
        <f t="array" ref="B603">MMULT(Returns!B603:Z603,Resume!$B$38:$B$62)</f>
        <v>0</v>
      </c>
    </row>
    <row r="604" spans="1:2">
      <c r="A604" s="11">
        <f>Returns!A604</f>
        <v>0</v>
      </c>
      <c r="B604" s="1">
        <f t="array" ref="B604">MMULT(Returns!B604:Z604,Resume!$B$38:$B$62)</f>
        <v>0</v>
      </c>
    </row>
    <row r="605" spans="1:2">
      <c r="A605" s="11">
        <f>Returns!A605</f>
        <v>0</v>
      </c>
      <c r="B605" s="1">
        <f t="array" ref="B605">MMULT(Returns!B605:Z605,Resume!$B$38:$B$62)</f>
        <v>0</v>
      </c>
    </row>
    <row r="606" spans="1:2">
      <c r="A606" s="11">
        <f>Returns!A606</f>
        <v>0</v>
      </c>
      <c r="B606" s="1">
        <f t="array" ref="B606">MMULT(Returns!B606:Z606,Resume!$B$38:$B$62)</f>
        <v>0</v>
      </c>
    </row>
    <row r="607" spans="1:2">
      <c r="A607" s="11">
        <f>Returns!A607</f>
        <v>0</v>
      </c>
      <c r="B607" s="1">
        <f t="array" ref="B607">MMULT(Returns!B607:Z607,Resume!$B$38:$B$62)</f>
        <v>0</v>
      </c>
    </row>
    <row r="608" spans="1:2">
      <c r="A608" s="11">
        <f>Returns!A608</f>
        <v>0</v>
      </c>
      <c r="B608" s="1">
        <f t="array" ref="B608">MMULT(Returns!B608:Z608,Resume!$B$38:$B$62)</f>
        <v>0</v>
      </c>
    </row>
    <row r="609" spans="1:2">
      <c r="A609" s="11">
        <f>Returns!A609</f>
        <v>0</v>
      </c>
      <c r="B609" s="1">
        <f t="array" ref="B609">MMULT(Returns!B609:Z609,Resume!$B$38:$B$62)</f>
        <v>0</v>
      </c>
    </row>
    <row r="610" spans="1:2">
      <c r="A610" s="11">
        <f>Returns!A610</f>
        <v>0</v>
      </c>
      <c r="B610" s="1">
        <f t="array" ref="B610">MMULT(Returns!B610:Z610,Resume!$B$38:$B$62)</f>
        <v>0</v>
      </c>
    </row>
    <row r="611" spans="1:2">
      <c r="A611" s="11">
        <f>Returns!A611</f>
        <v>0</v>
      </c>
      <c r="B611" s="1">
        <f t="array" ref="B611">MMULT(Returns!B611:Z611,Resume!$B$38:$B$62)</f>
        <v>0</v>
      </c>
    </row>
    <row r="612" spans="1:2">
      <c r="A612" s="11">
        <f>Returns!A612</f>
        <v>0</v>
      </c>
      <c r="B612" s="1">
        <f t="array" ref="B612">MMULT(Returns!B612:Z612,Resume!$B$38:$B$62)</f>
        <v>0</v>
      </c>
    </row>
    <row r="613" spans="1:2">
      <c r="A613" s="11">
        <f>Returns!A613</f>
        <v>0</v>
      </c>
      <c r="B613" s="1">
        <f t="array" ref="B613">MMULT(Returns!B613:Z613,Resume!$B$38:$B$62)</f>
        <v>0</v>
      </c>
    </row>
    <row r="614" spans="1:2">
      <c r="A614" s="11">
        <f>Returns!A614</f>
        <v>0</v>
      </c>
      <c r="B614" s="1">
        <f t="array" ref="B614">MMULT(Returns!B614:Z614,Resume!$B$38:$B$62)</f>
        <v>0</v>
      </c>
    </row>
    <row r="615" spans="1:2">
      <c r="A615" s="11">
        <f>Returns!A615</f>
        <v>0</v>
      </c>
      <c r="B615" s="1">
        <f t="array" ref="B615">MMULT(Returns!B615:Z615,Resume!$B$38:$B$62)</f>
        <v>0</v>
      </c>
    </row>
    <row r="616" spans="1:2">
      <c r="A616" s="11">
        <f>Returns!A616</f>
        <v>0</v>
      </c>
      <c r="B616" s="1">
        <f t="array" ref="B616">MMULT(Returns!B616:Z616,Resume!$B$38:$B$62)</f>
        <v>0</v>
      </c>
    </row>
    <row r="617" spans="1:2">
      <c r="A617" s="11">
        <f>Returns!A617</f>
        <v>0</v>
      </c>
      <c r="B617" s="1">
        <f t="array" ref="B617">MMULT(Returns!B617:Z617,Resume!$B$38:$B$62)</f>
        <v>0</v>
      </c>
    </row>
    <row r="618" spans="1:2">
      <c r="A618" s="11">
        <f>Returns!A618</f>
        <v>0</v>
      </c>
      <c r="B618" s="1">
        <f t="array" ref="B618">MMULT(Returns!B618:Z618,Resume!$B$38:$B$62)</f>
        <v>0</v>
      </c>
    </row>
    <row r="619" spans="1:2">
      <c r="A619" s="11">
        <f>Returns!A619</f>
        <v>0</v>
      </c>
      <c r="B619" s="1">
        <f t="array" ref="B619">MMULT(Returns!B619:Z619,Resume!$B$38:$B$62)</f>
        <v>0</v>
      </c>
    </row>
    <row r="620" spans="1:2">
      <c r="A620" s="11">
        <f>Returns!A620</f>
        <v>0</v>
      </c>
      <c r="B620" s="1">
        <f t="array" ref="B620">MMULT(Returns!B620:Z620,Resume!$B$38:$B$62)</f>
        <v>0</v>
      </c>
    </row>
    <row r="621" spans="1:2">
      <c r="A621" s="11">
        <f>Returns!A621</f>
        <v>0</v>
      </c>
      <c r="B621" s="1">
        <f t="array" ref="B621">MMULT(Returns!B621:Z621,Resume!$B$38:$B$62)</f>
        <v>0</v>
      </c>
    </row>
    <row r="622" spans="1:2">
      <c r="A622" s="11">
        <f>Returns!A622</f>
        <v>0</v>
      </c>
      <c r="B622" s="1">
        <f t="array" ref="B622">MMULT(Returns!B622:Z622,Resume!$B$38:$B$62)</f>
        <v>0</v>
      </c>
    </row>
    <row r="623" spans="1:2">
      <c r="A623" s="11">
        <f>Returns!A623</f>
        <v>0</v>
      </c>
      <c r="B623" s="1">
        <f t="array" ref="B623">MMULT(Returns!B623:Z623,Resume!$B$38:$B$62)</f>
        <v>0</v>
      </c>
    </row>
    <row r="624" spans="1:2">
      <c r="A624" s="11">
        <f>Returns!A624</f>
        <v>0</v>
      </c>
      <c r="B624" s="1">
        <f t="array" ref="B624">MMULT(Returns!B624:Z624,Resume!$B$38:$B$62)</f>
        <v>0</v>
      </c>
    </row>
    <row r="625" spans="1:2">
      <c r="A625" s="11">
        <f>Returns!A625</f>
        <v>0</v>
      </c>
      <c r="B625" s="1">
        <f t="array" ref="B625">MMULT(Returns!B625:Z625,Resume!$B$38:$B$62)</f>
        <v>0</v>
      </c>
    </row>
    <row r="626" spans="1:2">
      <c r="A626" s="11">
        <f>Returns!A626</f>
        <v>0</v>
      </c>
      <c r="B626" s="1">
        <f t="array" ref="B626">MMULT(Returns!B626:Z626,Resume!$B$38:$B$62)</f>
        <v>0</v>
      </c>
    </row>
    <row r="627" spans="1:2">
      <c r="A627" s="11">
        <f>Returns!A627</f>
        <v>0</v>
      </c>
      <c r="B627" s="1">
        <f t="array" ref="B627">MMULT(Returns!B627:Z627,Resume!$B$38:$B$62)</f>
        <v>0</v>
      </c>
    </row>
    <row r="628" spans="1:2">
      <c r="A628" s="11">
        <f>Returns!A628</f>
        <v>0</v>
      </c>
      <c r="B628" s="1">
        <f t="array" ref="B628">MMULT(Returns!B628:Z628,Resume!$B$38:$B$62)</f>
        <v>0</v>
      </c>
    </row>
    <row r="629" spans="1:2">
      <c r="A629" s="11">
        <f>Returns!A629</f>
        <v>0</v>
      </c>
      <c r="B629" s="1">
        <f t="array" ref="B629">MMULT(Returns!B629:Z629,Resume!$B$38:$B$62)</f>
        <v>0</v>
      </c>
    </row>
    <row r="630" spans="1:2">
      <c r="A630" s="11">
        <f>Returns!A630</f>
        <v>0</v>
      </c>
      <c r="B630" s="1">
        <f t="array" ref="B630">MMULT(Returns!B630:Z630,Resume!$B$38:$B$62)</f>
        <v>0</v>
      </c>
    </row>
    <row r="631" spans="1:2">
      <c r="A631" s="11">
        <f>Returns!A631</f>
        <v>0</v>
      </c>
      <c r="B631" s="1">
        <f t="array" ref="B631">MMULT(Returns!B631:Z631,Resume!$B$38:$B$62)</f>
        <v>0</v>
      </c>
    </row>
    <row r="632" spans="1:2">
      <c r="A632" s="11">
        <f>Returns!A632</f>
        <v>0</v>
      </c>
      <c r="B632" s="1">
        <f t="array" ref="B632">MMULT(Returns!B632:Z632,Resume!$B$38:$B$62)</f>
        <v>0</v>
      </c>
    </row>
    <row r="633" spans="1:2">
      <c r="A633" s="11">
        <f>Returns!A633</f>
        <v>0</v>
      </c>
      <c r="B633" s="1">
        <f t="array" ref="B633">MMULT(Returns!B633:Z633,Resume!$B$38:$B$62)</f>
        <v>0</v>
      </c>
    </row>
    <row r="634" spans="1:2">
      <c r="A634" s="11">
        <f>Returns!A634</f>
        <v>0</v>
      </c>
      <c r="B634" s="1">
        <f t="array" ref="B634">MMULT(Returns!B634:Z634,Resume!$B$38:$B$62)</f>
        <v>0</v>
      </c>
    </row>
    <row r="635" spans="1:2">
      <c r="A635" s="11">
        <f>Returns!A635</f>
        <v>0</v>
      </c>
      <c r="B635" s="1">
        <f t="array" ref="B635">MMULT(Returns!B635:Z635,Resume!$B$38:$B$62)</f>
        <v>0</v>
      </c>
    </row>
    <row r="636" spans="1:2">
      <c r="A636" s="11">
        <f>Returns!A636</f>
        <v>0</v>
      </c>
      <c r="B636" s="1">
        <f t="array" ref="B636">MMULT(Returns!B636:Z636,Resume!$B$38:$B$62)</f>
        <v>0</v>
      </c>
    </row>
    <row r="637" spans="1:2">
      <c r="A637" s="11">
        <f>Returns!A637</f>
        <v>0</v>
      </c>
      <c r="B637" s="1">
        <f t="array" ref="B637">MMULT(Returns!B637:Z637,Resume!$B$38:$B$62)</f>
        <v>0</v>
      </c>
    </row>
    <row r="638" spans="1:2">
      <c r="A638" s="11">
        <f>Returns!A638</f>
        <v>0</v>
      </c>
      <c r="B638" s="1">
        <f t="array" ref="B638">MMULT(Returns!B638:Z638,Resume!$B$38:$B$62)</f>
        <v>0</v>
      </c>
    </row>
    <row r="639" spans="1:2">
      <c r="A639" s="11">
        <f>Returns!A639</f>
        <v>0</v>
      </c>
      <c r="B639" s="1">
        <f t="array" ref="B639">MMULT(Returns!B639:Z639,Resume!$B$38:$B$62)</f>
        <v>0</v>
      </c>
    </row>
    <row r="640" spans="1:2">
      <c r="A640" s="11">
        <f>Returns!A640</f>
        <v>0</v>
      </c>
      <c r="B640" s="1">
        <f t="array" ref="B640">MMULT(Returns!B640:Z640,Resume!$B$38:$B$62)</f>
        <v>0</v>
      </c>
    </row>
    <row r="641" spans="1:2">
      <c r="A641" s="11">
        <f>Returns!A641</f>
        <v>0</v>
      </c>
      <c r="B641" s="1">
        <f t="array" ref="B641">MMULT(Returns!B641:Z641,Resume!$B$38:$B$62)</f>
        <v>0</v>
      </c>
    </row>
    <row r="642" spans="1:2">
      <c r="A642" s="11">
        <f>Returns!A642</f>
        <v>0</v>
      </c>
      <c r="B642" s="1">
        <f t="array" ref="B642">MMULT(Returns!B642:Z642,Resume!$B$38:$B$62)</f>
        <v>0</v>
      </c>
    </row>
    <row r="643" spans="1:2">
      <c r="A643" s="11">
        <f>Returns!A643</f>
        <v>0</v>
      </c>
      <c r="B643" s="1">
        <f t="array" ref="B643">MMULT(Returns!B643:Z643,Resume!$B$38:$B$62)</f>
        <v>0</v>
      </c>
    </row>
    <row r="644" spans="1:2">
      <c r="A644" s="11">
        <f>Returns!A644</f>
        <v>0</v>
      </c>
      <c r="B644" s="1">
        <f t="array" ref="B644">MMULT(Returns!B644:Z644,Resume!$B$38:$B$62)</f>
        <v>0</v>
      </c>
    </row>
    <row r="645" spans="1:2">
      <c r="A645" s="11">
        <f>Returns!A645</f>
        <v>0</v>
      </c>
      <c r="B645" s="1">
        <f t="array" ref="B645">MMULT(Returns!B645:Z645,Resume!$B$38:$B$62)</f>
        <v>0</v>
      </c>
    </row>
    <row r="646" spans="1:2">
      <c r="A646" s="11">
        <f>Returns!A646</f>
        <v>0</v>
      </c>
      <c r="B646" s="1">
        <f t="array" ref="B646">MMULT(Returns!B646:Z646,Resume!$B$38:$B$62)</f>
        <v>0</v>
      </c>
    </row>
    <row r="647" spans="1:2">
      <c r="A647" s="11">
        <f>Returns!A647</f>
        <v>0</v>
      </c>
      <c r="B647" s="1">
        <f t="array" ref="B647">MMULT(Returns!B647:Z647,Resume!$B$38:$B$62)</f>
        <v>0</v>
      </c>
    </row>
    <row r="648" spans="1:2">
      <c r="A648" s="11">
        <f>Returns!A648</f>
        <v>0</v>
      </c>
      <c r="B648" s="1">
        <f t="array" ref="B648">MMULT(Returns!B648:Z648,Resume!$B$38:$B$62)</f>
        <v>0</v>
      </c>
    </row>
    <row r="649" spans="1:2">
      <c r="A649" s="11">
        <f>Returns!A649</f>
        <v>0</v>
      </c>
      <c r="B649" s="1">
        <f t="array" ref="B649">MMULT(Returns!B649:Z649,Resume!$B$38:$B$62)</f>
        <v>0</v>
      </c>
    </row>
    <row r="650" spans="1:2">
      <c r="A650" s="11">
        <f>Returns!A650</f>
        <v>0</v>
      </c>
      <c r="B650" s="1">
        <f t="array" ref="B650">MMULT(Returns!B650:Z650,Resume!$B$38:$B$62)</f>
        <v>0</v>
      </c>
    </row>
    <row r="651" spans="1:2">
      <c r="A651" s="11">
        <f>Returns!A651</f>
        <v>0</v>
      </c>
      <c r="B651" s="1">
        <f t="array" ref="B651">MMULT(Returns!B651:Z651,Resume!$B$38:$B$62)</f>
        <v>0</v>
      </c>
    </row>
    <row r="652" spans="1:2">
      <c r="A652" s="11">
        <f>Returns!A652</f>
        <v>0</v>
      </c>
      <c r="B652" s="1">
        <f t="array" ref="B652">MMULT(Returns!B652:Z652,Resume!$B$38:$B$62)</f>
        <v>0</v>
      </c>
    </row>
    <row r="653" spans="1:2">
      <c r="A653" s="11">
        <f>Returns!A653</f>
        <v>0</v>
      </c>
      <c r="B653" s="1">
        <f t="array" ref="B653">MMULT(Returns!B653:Z653,Resume!$B$38:$B$62)</f>
        <v>0</v>
      </c>
    </row>
    <row r="654" spans="1:2">
      <c r="A654" s="11">
        <f>Returns!A654</f>
        <v>0</v>
      </c>
      <c r="B654" s="1">
        <f t="array" ref="B654">MMULT(Returns!B654:Z654,Resume!$B$38:$B$62)</f>
        <v>0</v>
      </c>
    </row>
    <row r="655" spans="1:2">
      <c r="A655" s="11">
        <f>Returns!A655</f>
        <v>0</v>
      </c>
      <c r="B655" s="1">
        <f t="array" ref="B655">MMULT(Returns!B655:Z655,Resume!$B$38:$B$62)</f>
        <v>0</v>
      </c>
    </row>
    <row r="656" spans="1:2">
      <c r="A656" s="11">
        <f>Returns!A656</f>
        <v>0</v>
      </c>
      <c r="B656" s="1">
        <f t="array" ref="B656">MMULT(Returns!B656:Z656,Resume!$B$38:$B$62)</f>
        <v>0</v>
      </c>
    </row>
    <row r="657" spans="1:2">
      <c r="A657" s="11">
        <f>Returns!A657</f>
        <v>0</v>
      </c>
      <c r="B657" s="1">
        <f t="array" ref="B657">MMULT(Returns!B657:Z657,Resume!$B$38:$B$62)</f>
        <v>0</v>
      </c>
    </row>
    <row r="658" spans="1:2">
      <c r="A658" s="11">
        <f>Returns!A658</f>
        <v>0</v>
      </c>
      <c r="B658" s="1">
        <f t="array" ref="B658">MMULT(Returns!B658:Z658,Resume!$B$38:$B$62)</f>
        <v>0</v>
      </c>
    </row>
    <row r="659" spans="1:2">
      <c r="A659" s="11">
        <f>Returns!A659</f>
        <v>0</v>
      </c>
      <c r="B659" s="1">
        <f t="array" ref="B659">MMULT(Returns!B659:Z659,Resume!$B$38:$B$62)</f>
        <v>0</v>
      </c>
    </row>
    <row r="660" spans="1:2">
      <c r="A660" s="11">
        <f>Returns!A660</f>
        <v>0</v>
      </c>
      <c r="B660" s="1">
        <f t="array" ref="B660">MMULT(Returns!B660:Z660,Resume!$B$38:$B$62)</f>
        <v>0</v>
      </c>
    </row>
    <row r="661" spans="1:2">
      <c r="A661" s="11">
        <f>Returns!A661</f>
        <v>0</v>
      </c>
      <c r="B661" s="1">
        <f t="array" ref="B661">MMULT(Returns!B661:Z661,Resume!$B$38:$B$62)</f>
        <v>0</v>
      </c>
    </row>
    <row r="662" spans="1:2">
      <c r="A662" s="11">
        <f>Returns!A662</f>
        <v>0</v>
      </c>
      <c r="B662" s="1">
        <f t="array" ref="B662">MMULT(Returns!B662:Z662,Resume!$B$38:$B$62)</f>
        <v>0</v>
      </c>
    </row>
    <row r="663" spans="1:2">
      <c r="A663" s="11">
        <f>Returns!A663</f>
        <v>0</v>
      </c>
      <c r="B663" s="1">
        <f t="array" ref="B663">MMULT(Returns!B663:Z663,Resume!$B$38:$B$62)</f>
        <v>0</v>
      </c>
    </row>
    <row r="664" spans="1:2">
      <c r="A664" s="11">
        <f>Returns!A664</f>
        <v>0</v>
      </c>
      <c r="B664" s="1">
        <f t="array" ref="B664">MMULT(Returns!B664:Z664,Resume!$B$38:$B$62)</f>
        <v>0</v>
      </c>
    </row>
    <row r="665" spans="1:2">
      <c r="A665" s="11">
        <f>Returns!A665</f>
        <v>0</v>
      </c>
      <c r="B665" s="1">
        <f t="array" ref="B665">MMULT(Returns!B665:Z665,Resume!$B$38:$B$62)</f>
        <v>0</v>
      </c>
    </row>
    <row r="666" spans="1:2">
      <c r="A666" s="11">
        <f>Returns!A666</f>
        <v>0</v>
      </c>
      <c r="B666" s="1">
        <f t="array" ref="B666">MMULT(Returns!B666:Z666,Resume!$B$38:$B$62)</f>
        <v>0</v>
      </c>
    </row>
    <row r="667" spans="1:2">
      <c r="A667" s="11">
        <f>Returns!A667</f>
        <v>0</v>
      </c>
      <c r="B667" s="1">
        <f t="array" ref="B667">MMULT(Returns!B667:Z667,Resume!$B$38:$B$62)</f>
        <v>0</v>
      </c>
    </row>
    <row r="668" spans="1:2">
      <c r="A668" s="11">
        <f>Returns!A668</f>
        <v>0</v>
      </c>
      <c r="B668" s="1">
        <f t="array" ref="B668">MMULT(Returns!B668:Z668,Resume!$B$38:$B$62)</f>
        <v>0</v>
      </c>
    </row>
    <row r="669" spans="1:2">
      <c r="A669" s="11">
        <f>Returns!A669</f>
        <v>0</v>
      </c>
      <c r="B669" s="1">
        <f t="array" ref="B669">MMULT(Returns!B669:Z669,Resume!$B$38:$B$62)</f>
        <v>0</v>
      </c>
    </row>
    <row r="670" spans="1:2">
      <c r="A670" s="11">
        <f>Returns!A670</f>
        <v>0</v>
      </c>
      <c r="B670" s="1">
        <f t="array" ref="B670">MMULT(Returns!B670:Z670,Resume!$B$38:$B$62)</f>
        <v>0</v>
      </c>
    </row>
    <row r="671" spans="1:2">
      <c r="A671" s="11">
        <f>Returns!A671</f>
        <v>0</v>
      </c>
      <c r="B671" s="1">
        <f t="array" ref="B671">MMULT(Returns!B671:Z671,Resume!$B$38:$B$62)</f>
        <v>0</v>
      </c>
    </row>
    <row r="672" spans="1:2">
      <c r="A672" s="11">
        <f>Returns!A672</f>
        <v>0</v>
      </c>
      <c r="B672" s="1">
        <f t="array" ref="B672">MMULT(Returns!B672:Z672,Resume!$B$38:$B$62)</f>
        <v>0</v>
      </c>
    </row>
    <row r="673" spans="1:2">
      <c r="A673" s="11">
        <f>Returns!A673</f>
        <v>0</v>
      </c>
      <c r="B673" s="1">
        <f t="array" ref="B673">MMULT(Returns!B673:Z673,Resume!$B$38:$B$62)</f>
        <v>0</v>
      </c>
    </row>
    <row r="674" spans="1:2">
      <c r="A674" s="11">
        <f>Returns!A674</f>
        <v>0</v>
      </c>
      <c r="B674" s="1">
        <f t="array" ref="B674">MMULT(Returns!B674:Z674,Resume!$B$38:$B$62)</f>
        <v>0</v>
      </c>
    </row>
    <row r="675" spans="1:2">
      <c r="A675" s="11">
        <f>Returns!A675</f>
        <v>0</v>
      </c>
      <c r="B675" s="1">
        <f t="array" ref="B675">MMULT(Returns!B675:Z675,Resume!$B$38:$B$62)</f>
        <v>0</v>
      </c>
    </row>
    <row r="676" spans="1:2">
      <c r="A676" s="11">
        <f>Returns!A676</f>
        <v>0</v>
      </c>
      <c r="B676" s="1">
        <f t="array" ref="B676">MMULT(Returns!B676:Z676,Resume!$B$38:$B$62)</f>
        <v>0</v>
      </c>
    </row>
    <row r="677" spans="1:2">
      <c r="A677" s="11">
        <f>Returns!A677</f>
        <v>0</v>
      </c>
      <c r="B677" s="1">
        <f t="array" ref="B677">MMULT(Returns!B677:Z677,Resume!$B$38:$B$62)</f>
        <v>0</v>
      </c>
    </row>
    <row r="678" spans="1:2">
      <c r="A678" s="11">
        <f>Returns!A678</f>
        <v>0</v>
      </c>
      <c r="B678" s="1">
        <f t="array" ref="B678">MMULT(Returns!B678:Z678,Resume!$B$38:$B$62)</f>
        <v>0</v>
      </c>
    </row>
    <row r="679" spans="1:2">
      <c r="A679" s="11">
        <f>Returns!A679</f>
        <v>0</v>
      </c>
      <c r="B679" s="1">
        <f t="array" ref="B679">MMULT(Returns!B679:Z679,Resume!$B$38:$B$62)</f>
        <v>0</v>
      </c>
    </row>
    <row r="680" spans="1:2">
      <c r="A680" s="11">
        <f>Returns!A680</f>
        <v>0</v>
      </c>
      <c r="B680" s="1">
        <f t="array" ref="B680">MMULT(Returns!B680:Z680,Resume!$B$38:$B$62)</f>
        <v>0</v>
      </c>
    </row>
    <row r="681" spans="1:2">
      <c r="A681" s="11">
        <f>Returns!A681</f>
        <v>0</v>
      </c>
      <c r="B681" s="1">
        <f t="array" ref="B681">MMULT(Returns!B681:Z681,Resume!$B$38:$B$62)</f>
        <v>0</v>
      </c>
    </row>
    <row r="682" spans="1:2">
      <c r="A682" s="11">
        <f>Returns!A682</f>
        <v>0</v>
      </c>
      <c r="B682" s="1">
        <f t="array" ref="B682">MMULT(Returns!B682:Z682,Resume!$B$38:$B$62)</f>
        <v>0</v>
      </c>
    </row>
    <row r="683" spans="1:2">
      <c r="A683" s="11">
        <f>Returns!A683</f>
        <v>0</v>
      </c>
      <c r="B683" s="1">
        <f t="array" ref="B683">MMULT(Returns!B683:Z683,Resume!$B$38:$B$62)</f>
        <v>0</v>
      </c>
    </row>
    <row r="684" spans="1:2">
      <c r="A684" s="11">
        <f>Returns!A684</f>
        <v>0</v>
      </c>
      <c r="B684" s="1">
        <f t="array" ref="B684">MMULT(Returns!B684:Z684,Resume!$B$38:$B$62)</f>
        <v>0</v>
      </c>
    </row>
    <row r="685" spans="1:2">
      <c r="A685" s="11">
        <f>Returns!A685</f>
        <v>0</v>
      </c>
      <c r="B685" s="1">
        <f t="array" ref="B685">MMULT(Returns!B685:Z685,Resume!$B$38:$B$62)</f>
        <v>0</v>
      </c>
    </row>
    <row r="686" spans="1:2">
      <c r="A686" s="11">
        <f>Returns!A686</f>
        <v>0</v>
      </c>
      <c r="B686" s="1">
        <f t="array" ref="B686">MMULT(Returns!B686:Z686,Resume!$B$38:$B$62)</f>
        <v>0</v>
      </c>
    </row>
    <row r="687" spans="1:2">
      <c r="A687" s="11">
        <f>Returns!A687</f>
        <v>0</v>
      </c>
      <c r="B687" s="1">
        <f t="array" ref="B687">MMULT(Returns!B687:Z687,Resume!$B$38:$B$62)</f>
        <v>0</v>
      </c>
    </row>
    <row r="688" spans="1:2">
      <c r="A688" s="11">
        <f>Returns!A688</f>
        <v>0</v>
      </c>
      <c r="B688" s="1">
        <f t="array" ref="B688">MMULT(Returns!B688:Z688,Resume!$B$38:$B$62)</f>
        <v>0</v>
      </c>
    </row>
    <row r="689" spans="1:2">
      <c r="A689" s="11">
        <f>Returns!A689</f>
        <v>0</v>
      </c>
      <c r="B689" s="1">
        <f t="array" ref="B689">MMULT(Returns!B689:Z689,Resume!$B$38:$B$62)</f>
        <v>0</v>
      </c>
    </row>
    <row r="690" spans="1:2">
      <c r="A690" s="11">
        <f>Returns!A690</f>
        <v>0</v>
      </c>
      <c r="B690" s="1">
        <f t="array" ref="B690">MMULT(Returns!B690:Z690,Resume!$B$38:$B$62)</f>
        <v>0</v>
      </c>
    </row>
    <row r="691" spans="1:2">
      <c r="A691" s="11">
        <f>Returns!A691</f>
        <v>0</v>
      </c>
      <c r="B691" s="1">
        <f t="array" ref="B691">MMULT(Returns!B691:Z691,Resume!$B$38:$B$62)</f>
        <v>0</v>
      </c>
    </row>
    <row r="692" spans="1:2">
      <c r="A692" s="11">
        <f>Returns!A692</f>
        <v>0</v>
      </c>
      <c r="B692" s="1">
        <f t="array" ref="B692">MMULT(Returns!B692:Z692,Resume!$B$38:$B$62)</f>
        <v>0</v>
      </c>
    </row>
    <row r="693" spans="1:2">
      <c r="A693" s="11">
        <f>Returns!A693</f>
        <v>0</v>
      </c>
      <c r="B693" s="1">
        <f t="array" ref="B693">MMULT(Returns!B693:Z693,Resume!$B$38:$B$62)</f>
        <v>0</v>
      </c>
    </row>
    <row r="694" spans="1:2">
      <c r="A694" s="11">
        <f>Returns!A694</f>
        <v>0</v>
      </c>
      <c r="B694" s="1">
        <f t="array" ref="B694">MMULT(Returns!B694:Z694,Resume!$B$38:$B$62)</f>
        <v>0</v>
      </c>
    </row>
    <row r="695" spans="1:2">
      <c r="A695" s="11">
        <f>Returns!A695</f>
        <v>0</v>
      </c>
      <c r="B695" s="1">
        <f t="array" ref="B695">MMULT(Returns!B695:Z695,Resume!$B$38:$B$62)</f>
        <v>0</v>
      </c>
    </row>
    <row r="696" spans="1:2">
      <c r="A696" s="11">
        <f>Returns!A696</f>
        <v>0</v>
      </c>
      <c r="B696" s="1">
        <f t="array" ref="B696">MMULT(Returns!B696:Z696,Resume!$B$38:$B$62)</f>
        <v>0</v>
      </c>
    </row>
    <row r="697" spans="1:2">
      <c r="A697" s="11">
        <f>Returns!A697</f>
        <v>0</v>
      </c>
      <c r="B697" s="1">
        <f t="array" ref="B697">MMULT(Returns!B697:Z697,Resume!$B$38:$B$62)</f>
        <v>0</v>
      </c>
    </row>
    <row r="698" spans="1:2">
      <c r="A698" s="11">
        <f>Returns!A698</f>
        <v>0</v>
      </c>
      <c r="B698" s="1">
        <f t="array" ref="B698">MMULT(Returns!B698:Z698,Resume!$B$38:$B$62)</f>
        <v>0</v>
      </c>
    </row>
    <row r="699" spans="1:2">
      <c r="A699" s="11">
        <f>Returns!A699</f>
        <v>0</v>
      </c>
      <c r="B699" s="1">
        <f t="array" ref="B699">MMULT(Returns!B699:Z699,Resume!$B$38:$B$62)</f>
        <v>0</v>
      </c>
    </row>
    <row r="700" spans="1:2">
      <c r="A700" s="11">
        <f>Returns!A700</f>
        <v>0</v>
      </c>
      <c r="B700" s="1">
        <f t="array" ref="B700">MMULT(Returns!B700:Z700,Resume!$B$38:$B$62)</f>
        <v>0</v>
      </c>
    </row>
    <row r="701" spans="1:2">
      <c r="A701" s="11">
        <f>Returns!A701</f>
        <v>0</v>
      </c>
      <c r="B701" s="1">
        <f t="array" ref="B701">MMULT(Returns!B701:Z701,Resume!$B$38:$B$62)</f>
        <v>0</v>
      </c>
    </row>
    <row r="702" spans="1:2">
      <c r="A702" s="11">
        <f>Returns!A702</f>
        <v>0</v>
      </c>
      <c r="B702" s="1">
        <f t="array" ref="B702">MMULT(Returns!B702:Z702,Resume!$B$38:$B$62)</f>
        <v>0</v>
      </c>
    </row>
    <row r="703" spans="1:2">
      <c r="A703" s="11">
        <f>Returns!A703</f>
        <v>0</v>
      </c>
      <c r="B703" s="1">
        <f t="array" ref="B703">MMULT(Returns!B703:Z703,Resume!$B$38:$B$62)</f>
        <v>0</v>
      </c>
    </row>
    <row r="704" spans="1:2">
      <c r="A704" s="11">
        <f>Returns!A704</f>
        <v>0</v>
      </c>
      <c r="B704" s="1">
        <f t="array" ref="B704">MMULT(Returns!B704:Z704,Resume!$B$38:$B$62)</f>
        <v>0</v>
      </c>
    </row>
    <row r="705" spans="1:2">
      <c r="A705" s="11">
        <f>Returns!A705</f>
        <v>0</v>
      </c>
      <c r="B705" s="1">
        <f t="array" ref="B705">MMULT(Returns!B705:Z705,Resume!$B$38:$B$62)</f>
        <v>0</v>
      </c>
    </row>
    <row r="706" spans="1:2">
      <c r="A706" s="11">
        <f>Returns!A706</f>
        <v>0</v>
      </c>
      <c r="B706" s="1">
        <f t="array" ref="B706">MMULT(Returns!B706:Z706,Resume!$B$38:$B$62)</f>
        <v>0</v>
      </c>
    </row>
    <row r="707" spans="1:2">
      <c r="A707" s="11">
        <f>Returns!A707</f>
        <v>0</v>
      </c>
      <c r="B707" s="1">
        <f t="array" ref="B707">MMULT(Returns!B707:Z707,Resume!$B$38:$B$62)</f>
        <v>0</v>
      </c>
    </row>
    <row r="708" spans="1:2">
      <c r="A708" s="11">
        <f>Returns!A708</f>
        <v>0</v>
      </c>
      <c r="B708" s="1">
        <f t="array" ref="B708">MMULT(Returns!B708:Z708,Resume!$B$38:$B$62)</f>
        <v>0</v>
      </c>
    </row>
    <row r="709" spans="1:2">
      <c r="A709" s="11">
        <f>Returns!A709</f>
        <v>0</v>
      </c>
      <c r="B709" s="1">
        <f t="array" ref="B709">MMULT(Returns!B709:Z709,Resume!$B$38:$B$62)</f>
        <v>0</v>
      </c>
    </row>
    <row r="710" spans="1:2">
      <c r="A710" s="11">
        <f>Returns!A710</f>
        <v>0</v>
      </c>
      <c r="B710" s="1">
        <f t="array" ref="B710">MMULT(Returns!B710:Z710,Resume!$B$38:$B$62)</f>
        <v>0</v>
      </c>
    </row>
    <row r="711" spans="1:2">
      <c r="A711" s="11">
        <f>Returns!A711</f>
        <v>0</v>
      </c>
      <c r="B711" s="1">
        <f t="array" ref="B711">MMULT(Returns!B711:Z711,Resume!$B$38:$B$62)</f>
        <v>0</v>
      </c>
    </row>
    <row r="712" spans="1:2">
      <c r="A712" s="11">
        <f>Returns!A712</f>
        <v>0</v>
      </c>
      <c r="B712" s="1">
        <f t="array" ref="B712">MMULT(Returns!B712:Z712,Resume!$B$38:$B$62)</f>
        <v>0</v>
      </c>
    </row>
    <row r="713" spans="1:2">
      <c r="A713" s="11">
        <f>Returns!A713</f>
        <v>0</v>
      </c>
      <c r="B713" s="1">
        <f t="array" ref="B713">MMULT(Returns!B713:Z713,Resume!$B$38:$B$62)</f>
        <v>0</v>
      </c>
    </row>
    <row r="714" spans="1:2">
      <c r="A714" s="11">
        <f>Returns!A714</f>
        <v>0</v>
      </c>
      <c r="B714" s="1">
        <f t="array" ref="B714">MMULT(Returns!B714:Z714,Resume!$B$38:$B$62)</f>
        <v>0</v>
      </c>
    </row>
    <row r="715" spans="1:2">
      <c r="A715" s="11">
        <f>Returns!A715</f>
        <v>0</v>
      </c>
      <c r="B715" s="1">
        <f t="array" ref="B715">MMULT(Returns!B715:Z715,Resume!$B$38:$B$62)</f>
        <v>0</v>
      </c>
    </row>
    <row r="716" spans="1:2">
      <c r="A716" s="11">
        <f>Returns!A716</f>
        <v>0</v>
      </c>
      <c r="B716" s="1">
        <f t="array" ref="B716">MMULT(Returns!B716:Z716,Resume!$B$38:$B$62)</f>
        <v>0</v>
      </c>
    </row>
    <row r="717" spans="1:2">
      <c r="A717" s="11">
        <f>Returns!A717</f>
        <v>0</v>
      </c>
      <c r="B717" s="1">
        <f t="array" ref="B717">MMULT(Returns!B717:Z717,Resume!$B$38:$B$62)</f>
        <v>0</v>
      </c>
    </row>
    <row r="718" spans="1:2">
      <c r="A718" s="11">
        <f>Returns!A718</f>
        <v>0</v>
      </c>
      <c r="B718" s="1">
        <f t="array" ref="B718">MMULT(Returns!B718:Z718,Resume!$B$38:$B$62)</f>
        <v>0</v>
      </c>
    </row>
    <row r="719" spans="1:2">
      <c r="A719" s="11">
        <f>Returns!A719</f>
        <v>0</v>
      </c>
      <c r="B719" s="1">
        <f t="array" ref="B719">MMULT(Returns!B719:Z719,Resume!$B$38:$B$62)</f>
        <v>0</v>
      </c>
    </row>
    <row r="720" spans="1:2">
      <c r="A720" s="11">
        <f>Returns!A720</f>
        <v>0</v>
      </c>
      <c r="B720" s="1">
        <f t="array" ref="B720">MMULT(Returns!B720:Z720,Resume!$B$38:$B$62)</f>
        <v>0</v>
      </c>
    </row>
    <row r="721" spans="1:2">
      <c r="A721" s="11">
        <f>Returns!A721</f>
        <v>0</v>
      </c>
      <c r="B721" s="1">
        <f t="array" ref="B721">MMULT(Returns!B721:Z721,Resume!$B$38:$B$62)</f>
        <v>0</v>
      </c>
    </row>
    <row r="722" spans="1:2">
      <c r="A722" s="11">
        <f>Returns!A722</f>
        <v>0</v>
      </c>
      <c r="B722" s="1">
        <f t="array" ref="B722">MMULT(Returns!B722:Z722,Resume!$B$38:$B$62)</f>
        <v>0</v>
      </c>
    </row>
    <row r="723" spans="1:2">
      <c r="A723" s="11">
        <f>Returns!A723</f>
        <v>0</v>
      </c>
      <c r="B723" s="1">
        <f t="array" ref="B723">MMULT(Returns!B723:Z723,Resume!$B$38:$B$62)</f>
        <v>0</v>
      </c>
    </row>
    <row r="724" spans="1:2">
      <c r="A724" s="11">
        <f>Returns!A724</f>
        <v>0</v>
      </c>
      <c r="B724" s="1">
        <f t="array" ref="B724">MMULT(Returns!B724:Z724,Resume!$B$38:$B$62)</f>
        <v>0</v>
      </c>
    </row>
    <row r="725" spans="1:2">
      <c r="A725" s="11">
        <f>Returns!A725</f>
        <v>0</v>
      </c>
      <c r="B725" s="1">
        <f t="array" ref="B725">MMULT(Returns!B725:Z725,Resume!$B$38:$B$62)</f>
        <v>0</v>
      </c>
    </row>
    <row r="726" spans="1:2">
      <c r="A726" s="11">
        <f>Returns!A726</f>
        <v>0</v>
      </c>
      <c r="B726" s="1">
        <f t="array" ref="B726">MMULT(Returns!B726:Z726,Resume!$B$38:$B$62)</f>
        <v>0</v>
      </c>
    </row>
    <row r="727" spans="1:2">
      <c r="A727" s="11">
        <f>Returns!A727</f>
        <v>0</v>
      </c>
      <c r="B727" s="1">
        <f t="array" ref="B727">MMULT(Returns!B727:Z727,Resume!$B$38:$B$62)</f>
        <v>0</v>
      </c>
    </row>
    <row r="728" spans="1:2">
      <c r="A728" s="11">
        <f>Returns!A728</f>
        <v>0</v>
      </c>
      <c r="B728" s="1">
        <f t="array" ref="B728">MMULT(Returns!B728:Z728,Resume!$B$38:$B$62)</f>
        <v>0</v>
      </c>
    </row>
    <row r="729" spans="1:2">
      <c r="A729" s="11">
        <f>Returns!A729</f>
        <v>0</v>
      </c>
      <c r="B729" s="1">
        <f t="array" ref="B729">MMULT(Returns!B729:Z729,Resume!$B$38:$B$62)</f>
        <v>0</v>
      </c>
    </row>
    <row r="730" spans="1:2">
      <c r="A730" s="11">
        <f>Returns!A730</f>
        <v>0</v>
      </c>
      <c r="B730" s="1">
        <f t="array" ref="B730">MMULT(Returns!B730:Z730,Resume!$B$38:$B$62)</f>
        <v>0</v>
      </c>
    </row>
    <row r="731" spans="1:2">
      <c r="A731" s="11">
        <f>Returns!A731</f>
        <v>0</v>
      </c>
      <c r="B731" s="1">
        <f t="array" ref="B731">MMULT(Returns!B731:Z731,Resume!$B$38:$B$62)</f>
        <v>0</v>
      </c>
    </row>
    <row r="732" spans="1:2">
      <c r="A732" s="11">
        <f>Returns!A732</f>
        <v>0</v>
      </c>
      <c r="B732" s="1">
        <f t="array" ref="B732">MMULT(Returns!B732:Z732,Resume!$B$38:$B$62)</f>
        <v>0</v>
      </c>
    </row>
    <row r="733" spans="1:2">
      <c r="A733" s="11">
        <f>Returns!A733</f>
        <v>0</v>
      </c>
      <c r="B733" s="1">
        <f t="array" ref="B733">MMULT(Returns!B733:Z733,Resume!$B$38:$B$62)</f>
        <v>0</v>
      </c>
    </row>
    <row r="734" spans="1:2">
      <c r="A734" s="11">
        <f>Returns!A734</f>
        <v>0</v>
      </c>
      <c r="B734" s="1">
        <f t="array" ref="B734">MMULT(Returns!B734:Z734,Resume!$B$38:$B$62)</f>
        <v>0</v>
      </c>
    </row>
    <row r="735" spans="1:2">
      <c r="A735" s="11">
        <f>Returns!A735</f>
        <v>0</v>
      </c>
      <c r="B735" s="1">
        <f t="array" ref="B735">MMULT(Returns!B735:Z735,Resume!$B$38:$B$62)</f>
        <v>0</v>
      </c>
    </row>
    <row r="736" spans="1:2">
      <c r="A736" s="11">
        <f>Returns!A736</f>
        <v>0</v>
      </c>
      <c r="B736" s="1">
        <f t="array" ref="B736">MMULT(Returns!B736:Z736,Resume!$B$38:$B$62)</f>
        <v>0</v>
      </c>
    </row>
    <row r="737" spans="1:2">
      <c r="A737" s="11">
        <f>Returns!A737</f>
        <v>0</v>
      </c>
      <c r="B737" s="1">
        <f t="array" ref="B737">MMULT(Returns!B737:Z737,Resume!$B$38:$B$62)</f>
        <v>0</v>
      </c>
    </row>
    <row r="738" spans="1:2">
      <c r="A738" s="11">
        <f>Returns!A738</f>
        <v>0</v>
      </c>
      <c r="B738" s="1">
        <f t="array" ref="B738">MMULT(Returns!B738:Z738,Resume!$B$38:$B$62)</f>
        <v>0</v>
      </c>
    </row>
    <row r="739" spans="1:2">
      <c r="A739" s="11">
        <f>Returns!A739</f>
        <v>0</v>
      </c>
      <c r="B739" s="1">
        <f t="array" ref="B739">MMULT(Returns!B739:Z739,Resume!$B$38:$B$62)</f>
        <v>0</v>
      </c>
    </row>
    <row r="740" spans="1:2">
      <c r="A740" s="11">
        <f>Returns!A740</f>
        <v>0</v>
      </c>
      <c r="B740" s="1">
        <f t="array" ref="B740">MMULT(Returns!B740:Z740,Resume!$B$38:$B$62)</f>
        <v>0</v>
      </c>
    </row>
    <row r="741" spans="1:2">
      <c r="A741" s="11">
        <f>Returns!A741</f>
        <v>0</v>
      </c>
      <c r="B741" s="1">
        <f t="array" ref="B741">MMULT(Returns!B741:Z741,Resume!$B$38:$B$62)</f>
        <v>0</v>
      </c>
    </row>
    <row r="742" spans="1:2">
      <c r="A742" s="11">
        <f>Returns!A742</f>
        <v>0</v>
      </c>
      <c r="B742" s="1">
        <f t="array" ref="B742">MMULT(Returns!B742:Z742,Resume!$B$38:$B$62)</f>
        <v>0</v>
      </c>
    </row>
    <row r="743" spans="1:2">
      <c r="A743" s="11">
        <f>Returns!A743</f>
        <v>0</v>
      </c>
      <c r="B743" s="1">
        <f t="array" ref="B743">MMULT(Returns!B743:Z743,Resume!$B$38:$B$62)</f>
        <v>0</v>
      </c>
    </row>
    <row r="744" spans="1:2">
      <c r="A744" s="11">
        <f>Returns!A744</f>
        <v>0</v>
      </c>
      <c r="B744" s="1">
        <f t="array" ref="B744">MMULT(Returns!B744:Z744,Resume!$B$38:$B$62)</f>
        <v>0</v>
      </c>
    </row>
    <row r="745" spans="1:2">
      <c r="A745" s="11">
        <f>Returns!A745</f>
        <v>0</v>
      </c>
      <c r="B745" s="1">
        <f t="array" ref="B745">MMULT(Returns!B745:Z745,Resume!$B$38:$B$62)</f>
        <v>0</v>
      </c>
    </row>
    <row r="746" spans="1:2">
      <c r="A746" s="11">
        <f>Returns!A746</f>
        <v>0</v>
      </c>
      <c r="B746" s="1">
        <f t="array" ref="B746">MMULT(Returns!B746:Z746,Resume!$B$38:$B$62)</f>
        <v>0</v>
      </c>
    </row>
    <row r="747" spans="1:2">
      <c r="A747" s="11">
        <f>Returns!A747</f>
        <v>0</v>
      </c>
      <c r="B747" s="1">
        <f t="array" ref="B747">MMULT(Returns!B747:Z747,Resume!$B$38:$B$62)</f>
        <v>0</v>
      </c>
    </row>
    <row r="748" spans="1:2">
      <c r="A748" s="11">
        <f>Returns!A748</f>
        <v>0</v>
      </c>
      <c r="B748" s="1">
        <f t="array" ref="B748">MMULT(Returns!B748:Z748,Resume!$B$38:$B$62)</f>
        <v>0</v>
      </c>
    </row>
    <row r="749" spans="1:2">
      <c r="A749" s="11">
        <f>Returns!A749</f>
        <v>0</v>
      </c>
      <c r="B749" s="1">
        <f t="array" ref="B749">MMULT(Returns!B749:Z749,Resume!$B$38:$B$62)</f>
        <v>0</v>
      </c>
    </row>
    <row r="750" spans="1:2">
      <c r="A750" s="11">
        <f>Returns!A750</f>
        <v>0</v>
      </c>
      <c r="B750" s="1">
        <f t="array" ref="B750">MMULT(Returns!B750:Z750,Resume!$B$38:$B$62)</f>
        <v>0</v>
      </c>
    </row>
    <row r="751" spans="1:2">
      <c r="A751" s="11">
        <f>Returns!A751</f>
        <v>0</v>
      </c>
      <c r="B751" s="1">
        <f t="array" ref="B751">MMULT(Returns!B751:Z751,Resume!$B$38:$B$62)</f>
        <v>0</v>
      </c>
    </row>
    <row r="752" spans="1:2">
      <c r="A752" s="11">
        <f>Returns!A752</f>
        <v>0</v>
      </c>
      <c r="B752" s="1">
        <f t="array" ref="B752">MMULT(Returns!B752:Z752,Resume!$B$38:$B$62)</f>
        <v>0</v>
      </c>
    </row>
    <row r="753" spans="1:2">
      <c r="A753" s="11">
        <f>Returns!A753</f>
        <v>0</v>
      </c>
      <c r="B753" s="1">
        <f t="array" ref="B753">MMULT(Returns!B753:Z753,Resume!$B$38:$B$62)</f>
        <v>0</v>
      </c>
    </row>
    <row r="754" spans="1:2">
      <c r="A754" s="11">
        <f>Returns!A754</f>
        <v>0</v>
      </c>
      <c r="B754" s="1">
        <f t="array" ref="B754">MMULT(Returns!B754:Z754,Resume!$B$38:$B$62)</f>
        <v>0</v>
      </c>
    </row>
    <row r="755" spans="1:2">
      <c r="A755" s="11">
        <f>Returns!A755</f>
        <v>0</v>
      </c>
      <c r="B755" s="1">
        <f t="array" ref="B755">MMULT(Returns!B755:Z755,Resume!$B$38:$B$62)</f>
        <v>0</v>
      </c>
    </row>
    <row r="756" spans="1:2">
      <c r="A756" s="11">
        <f>Returns!A756</f>
        <v>0</v>
      </c>
      <c r="B756" s="1">
        <f t="array" ref="B756">MMULT(Returns!B756:Z756,Resume!$B$38:$B$62)</f>
        <v>0</v>
      </c>
    </row>
    <row r="757" spans="1:2">
      <c r="A757" s="11">
        <f>Returns!A757</f>
        <v>0</v>
      </c>
      <c r="B757" s="1">
        <f t="array" ref="B757">MMULT(Returns!B757:Z757,Resume!$B$38:$B$62)</f>
        <v>0</v>
      </c>
    </row>
    <row r="758" spans="1:2">
      <c r="A758" s="11">
        <f>Returns!A758</f>
        <v>0</v>
      </c>
      <c r="B758" s="1">
        <f t="array" ref="B758">MMULT(Returns!B758:Z758,Resume!$B$38:$B$62)</f>
        <v>0</v>
      </c>
    </row>
    <row r="759" spans="1:2">
      <c r="A759" s="11">
        <f>Returns!A759</f>
        <v>0</v>
      </c>
      <c r="B759" s="1">
        <f t="array" ref="B759">MMULT(Returns!B759:Z759,Resume!$B$38:$B$62)</f>
        <v>0</v>
      </c>
    </row>
    <row r="760" spans="1:2">
      <c r="A760" s="11">
        <f>Returns!A760</f>
        <v>0</v>
      </c>
      <c r="B760" s="1">
        <f t="array" ref="B760">MMULT(Returns!B760:Z760,Resume!$B$38:$B$62)</f>
        <v>0</v>
      </c>
    </row>
    <row r="761" spans="1:2">
      <c r="A761" s="11">
        <f>Returns!A761</f>
        <v>0</v>
      </c>
      <c r="B761" s="1">
        <f t="array" ref="B761">MMULT(Returns!B761:Z761,Resume!$B$38:$B$62)</f>
        <v>0</v>
      </c>
    </row>
    <row r="762" spans="1:2">
      <c r="A762" s="11">
        <f>Returns!A762</f>
        <v>0</v>
      </c>
      <c r="B762" s="1">
        <f t="array" ref="B762">MMULT(Returns!B762:Z762,Resume!$B$38:$B$62)</f>
        <v>0</v>
      </c>
    </row>
    <row r="763" spans="1:2">
      <c r="A763" s="11">
        <f>Returns!A763</f>
        <v>0</v>
      </c>
      <c r="B763" s="1">
        <f t="array" ref="B763">MMULT(Returns!B763:Z763,Resume!$B$38:$B$62)</f>
        <v>0</v>
      </c>
    </row>
    <row r="764" spans="1:2">
      <c r="A764" s="11">
        <f>Returns!A764</f>
        <v>0</v>
      </c>
      <c r="B764" s="1">
        <f t="array" ref="B764">MMULT(Returns!B764:Z764,Resume!$B$38:$B$62)</f>
        <v>0</v>
      </c>
    </row>
    <row r="765" spans="1:2">
      <c r="A765" s="11">
        <f>Returns!A765</f>
        <v>0</v>
      </c>
      <c r="B765" s="1">
        <f t="array" ref="B765">MMULT(Returns!B765:Z765,Resume!$B$38:$B$62)</f>
        <v>0</v>
      </c>
    </row>
    <row r="766" spans="1:2">
      <c r="A766" s="11">
        <f>Returns!A766</f>
        <v>0</v>
      </c>
      <c r="B766" s="1">
        <f t="array" ref="B766">MMULT(Returns!B766:Z766,Resume!$B$38:$B$62)</f>
        <v>0</v>
      </c>
    </row>
    <row r="767" spans="1:2">
      <c r="A767" s="11">
        <f>Returns!A767</f>
        <v>0</v>
      </c>
      <c r="B767" s="1">
        <f t="array" ref="B767">MMULT(Returns!B767:Z767,Resume!$B$38:$B$62)</f>
        <v>0</v>
      </c>
    </row>
    <row r="768" spans="1:2">
      <c r="A768" s="11">
        <f>Returns!A768</f>
        <v>0</v>
      </c>
      <c r="B768" s="1">
        <f t="array" ref="B768">MMULT(Returns!B768:Z768,Resume!$B$38:$B$62)</f>
        <v>0</v>
      </c>
    </row>
    <row r="769" spans="1:2">
      <c r="A769" s="11">
        <f>Returns!A769</f>
        <v>0</v>
      </c>
      <c r="B769" s="1">
        <f t="array" ref="B769">MMULT(Returns!B769:Z769,Resume!$B$38:$B$62)</f>
        <v>0</v>
      </c>
    </row>
    <row r="770" spans="1:2">
      <c r="A770" s="11">
        <f>Returns!A770</f>
        <v>0</v>
      </c>
      <c r="B770" s="1">
        <f t="array" ref="B770">MMULT(Returns!B770:Z770,Resume!$B$38:$B$62)</f>
        <v>0</v>
      </c>
    </row>
    <row r="771" spans="1:2">
      <c r="A771" s="11">
        <f>Returns!A771</f>
        <v>0</v>
      </c>
      <c r="B771" s="1">
        <f t="array" ref="B771">MMULT(Returns!B771:Z771,Resume!$B$38:$B$62)</f>
        <v>0</v>
      </c>
    </row>
    <row r="772" spans="1:2">
      <c r="A772" s="11">
        <f>Returns!A772</f>
        <v>0</v>
      </c>
      <c r="B772" s="1">
        <f t="array" ref="B772">MMULT(Returns!B772:Z772,Resume!$B$38:$B$62)</f>
        <v>0</v>
      </c>
    </row>
    <row r="773" spans="1:2">
      <c r="A773" s="11">
        <f>Returns!A773</f>
        <v>0</v>
      </c>
      <c r="B773" s="1">
        <f t="array" ref="B773">MMULT(Returns!B773:Z773,Resume!$B$38:$B$62)</f>
        <v>0</v>
      </c>
    </row>
    <row r="774" spans="1:2">
      <c r="A774" s="11">
        <f>Returns!A774</f>
        <v>0</v>
      </c>
      <c r="B774" s="1">
        <f t="array" ref="B774">MMULT(Returns!B774:Z774,Resume!$B$38:$B$62)</f>
        <v>0</v>
      </c>
    </row>
    <row r="775" spans="1:2">
      <c r="A775" s="11">
        <f>Returns!A775</f>
        <v>0</v>
      </c>
      <c r="B775" s="1">
        <f t="array" ref="B775">MMULT(Returns!B775:Z775,Resume!$B$38:$B$62)</f>
        <v>0</v>
      </c>
    </row>
    <row r="776" spans="1:2">
      <c r="A776" s="11">
        <f>Returns!A776</f>
        <v>0</v>
      </c>
      <c r="B776" s="1">
        <f t="array" ref="B776">MMULT(Returns!B776:Z776,Resume!$B$38:$B$62)</f>
        <v>0</v>
      </c>
    </row>
    <row r="777" spans="1:2">
      <c r="A777" s="11">
        <f>Returns!A777</f>
        <v>0</v>
      </c>
      <c r="B777" s="1">
        <f t="array" ref="B777">MMULT(Returns!B777:Z777,Resume!$B$38:$B$62)</f>
        <v>0</v>
      </c>
    </row>
    <row r="778" spans="1:2">
      <c r="A778" s="11">
        <f>Returns!A778</f>
        <v>0</v>
      </c>
      <c r="B778" s="1">
        <f t="array" ref="B778">MMULT(Returns!B778:Z778,Resume!$B$38:$B$62)</f>
        <v>0</v>
      </c>
    </row>
    <row r="779" spans="1:2">
      <c r="A779" s="11">
        <f>Returns!A779</f>
        <v>0</v>
      </c>
      <c r="B779" s="1">
        <f t="array" ref="B779">MMULT(Returns!B779:Z779,Resume!$B$38:$B$62)</f>
        <v>0</v>
      </c>
    </row>
    <row r="780" spans="1:2">
      <c r="A780" s="11">
        <f>Returns!A780</f>
        <v>0</v>
      </c>
      <c r="B780" s="1">
        <f t="array" ref="B780">MMULT(Returns!B780:Z780,Resume!$B$38:$B$62)</f>
        <v>0</v>
      </c>
    </row>
    <row r="781" spans="1:2">
      <c r="A781" s="11">
        <f>Returns!A781</f>
        <v>0</v>
      </c>
      <c r="B781" s="1">
        <f t="array" ref="B781">MMULT(Returns!B781:Z781,Resume!$B$38:$B$62)</f>
        <v>0</v>
      </c>
    </row>
    <row r="782" spans="1:2">
      <c r="A782" s="11">
        <f>Returns!A782</f>
        <v>0</v>
      </c>
      <c r="B782" s="1">
        <f t="array" ref="B782">MMULT(Returns!B782:Z782,Resume!$B$38:$B$62)</f>
        <v>0</v>
      </c>
    </row>
    <row r="783" spans="1:2">
      <c r="A783" s="11">
        <f>Returns!A783</f>
        <v>0</v>
      </c>
      <c r="B783" s="1">
        <f t="array" ref="B783">MMULT(Returns!B783:Z783,Resume!$B$38:$B$62)</f>
        <v>0</v>
      </c>
    </row>
    <row r="784" spans="1:2">
      <c r="A784" s="11">
        <f>Returns!A784</f>
        <v>0</v>
      </c>
      <c r="B784" s="1">
        <f t="array" ref="B784">MMULT(Returns!B784:Z784,Resume!$B$38:$B$62)</f>
        <v>0</v>
      </c>
    </row>
    <row r="785" spans="1:2">
      <c r="A785" s="11">
        <f>Returns!A785</f>
        <v>0</v>
      </c>
      <c r="B785" s="1">
        <f t="array" ref="B785">MMULT(Returns!B785:Z785,Resume!$B$38:$B$62)</f>
        <v>0</v>
      </c>
    </row>
    <row r="786" spans="1:2">
      <c r="A786" s="11">
        <f>Returns!A786</f>
        <v>0</v>
      </c>
      <c r="B786" s="1">
        <f t="array" ref="B786">MMULT(Returns!B786:Z786,Resume!$B$38:$B$62)</f>
        <v>0</v>
      </c>
    </row>
    <row r="787" spans="1:2">
      <c r="A787" s="11">
        <f>Returns!A787</f>
        <v>0</v>
      </c>
      <c r="B787" s="1">
        <f t="array" ref="B787">MMULT(Returns!B787:Z787,Resume!$B$38:$B$62)</f>
        <v>0</v>
      </c>
    </row>
    <row r="788" spans="1:2">
      <c r="A788" s="11">
        <f>Returns!A788</f>
        <v>0</v>
      </c>
      <c r="B788" s="1">
        <f t="array" ref="B788">MMULT(Returns!B788:Z788,Resume!$B$38:$B$62)</f>
        <v>0</v>
      </c>
    </row>
    <row r="789" spans="1:2">
      <c r="A789" s="11">
        <f>Returns!A789</f>
        <v>0</v>
      </c>
      <c r="B789" s="1">
        <f t="array" ref="B789">MMULT(Returns!B789:Z789,Resume!$B$38:$B$62)</f>
        <v>0</v>
      </c>
    </row>
    <row r="790" spans="1:2">
      <c r="A790" s="11">
        <f>Returns!A790</f>
        <v>0</v>
      </c>
      <c r="B790" s="1">
        <f t="array" ref="B790">MMULT(Returns!B790:Z790,Resume!$B$38:$B$62)</f>
        <v>0</v>
      </c>
    </row>
    <row r="791" spans="1:2">
      <c r="A791" s="11">
        <f>Returns!A791</f>
        <v>0</v>
      </c>
      <c r="B791" s="1">
        <f t="array" ref="B791">MMULT(Returns!B791:Z791,Resume!$B$38:$B$62)</f>
        <v>0</v>
      </c>
    </row>
    <row r="792" spans="1:2">
      <c r="A792" s="11">
        <f>Returns!A792</f>
        <v>0</v>
      </c>
      <c r="B792" s="1">
        <f t="array" ref="B792">MMULT(Returns!B792:Z792,Resume!$B$38:$B$62)</f>
        <v>0</v>
      </c>
    </row>
    <row r="793" spans="1:2">
      <c r="A793" s="11">
        <f>Returns!A793</f>
        <v>0</v>
      </c>
      <c r="B793" s="1">
        <f t="array" ref="B793">MMULT(Returns!B793:Z793,Resume!$B$38:$B$62)</f>
        <v>0</v>
      </c>
    </row>
    <row r="794" spans="1:2">
      <c r="A794" s="11">
        <f>Returns!A794</f>
        <v>0</v>
      </c>
      <c r="B794" s="1">
        <f t="array" ref="B794">MMULT(Returns!B794:Z794,Resume!$B$38:$B$62)</f>
        <v>0</v>
      </c>
    </row>
    <row r="795" spans="1:2">
      <c r="A795" s="11">
        <f>Returns!A795</f>
        <v>0</v>
      </c>
      <c r="B795" s="1">
        <f t="array" ref="B795">MMULT(Returns!B795:Z795,Resume!$B$38:$B$62)</f>
        <v>0</v>
      </c>
    </row>
    <row r="796" spans="1:2">
      <c r="A796" s="11">
        <f>Returns!A796</f>
        <v>0</v>
      </c>
      <c r="B796" s="1">
        <f t="array" ref="B796">MMULT(Returns!B796:Z796,Resume!$B$38:$B$62)</f>
        <v>0</v>
      </c>
    </row>
    <row r="797" spans="1:2">
      <c r="A797" s="11">
        <f>Returns!A797</f>
        <v>0</v>
      </c>
      <c r="B797" s="1">
        <f t="array" ref="B797">MMULT(Returns!B797:Z797,Resume!$B$38:$B$62)</f>
        <v>0</v>
      </c>
    </row>
    <row r="798" spans="1:2">
      <c r="A798" s="11">
        <f>Returns!A798</f>
        <v>0</v>
      </c>
      <c r="B798" s="1">
        <f t="array" ref="B798">MMULT(Returns!B798:Z798,Resume!$B$38:$B$62)</f>
        <v>0</v>
      </c>
    </row>
    <row r="799" spans="1:2">
      <c r="A799" s="11">
        <f>Returns!A799</f>
        <v>0</v>
      </c>
      <c r="B799" s="1">
        <f t="array" ref="B799">MMULT(Returns!B799:Z799,Resume!$B$38:$B$62)</f>
        <v>0</v>
      </c>
    </row>
    <row r="800" spans="1:2">
      <c r="A800" s="11">
        <f>Returns!A800</f>
        <v>0</v>
      </c>
      <c r="B800" s="1">
        <f t="array" ref="B800">MMULT(Returns!B800:Z800,Resume!$B$38:$B$62)</f>
        <v>0</v>
      </c>
    </row>
    <row r="801" spans="1:2">
      <c r="A801" s="11">
        <f>Returns!A801</f>
        <v>0</v>
      </c>
      <c r="B801" s="1">
        <f t="array" ref="B801">MMULT(Returns!B801:Z801,Resume!$B$38:$B$62)</f>
        <v>0</v>
      </c>
    </row>
    <row r="802" spans="1:2">
      <c r="A802" s="11">
        <f>Returns!A802</f>
        <v>0</v>
      </c>
      <c r="B802" s="1">
        <f t="array" ref="B802">MMULT(Returns!B802:Z802,Resume!$B$38:$B$62)</f>
        <v>0</v>
      </c>
    </row>
    <row r="803" spans="1:2">
      <c r="A803" s="11">
        <f>Returns!A803</f>
        <v>0</v>
      </c>
      <c r="B803" s="1">
        <f t="array" ref="B803">MMULT(Returns!B803:Z803,Resume!$B$38:$B$62)</f>
        <v>0</v>
      </c>
    </row>
    <row r="804" spans="1:2">
      <c r="A804" s="11">
        <f>Returns!A804</f>
        <v>0</v>
      </c>
      <c r="B804" s="1">
        <f t="array" ref="B804">MMULT(Returns!B804:Z804,Resume!$B$38:$B$62)</f>
        <v>0</v>
      </c>
    </row>
    <row r="805" spans="1:2">
      <c r="A805" s="11">
        <f>Returns!A805</f>
        <v>0</v>
      </c>
      <c r="B805" s="1">
        <f t="array" ref="B805">MMULT(Returns!B805:Z805,Resume!$B$38:$B$62)</f>
        <v>0</v>
      </c>
    </row>
    <row r="806" spans="1:2">
      <c r="A806" s="11">
        <f>Returns!A806</f>
        <v>0</v>
      </c>
      <c r="B806" s="1">
        <f t="array" ref="B806">MMULT(Returns!B806:Z806,Resume!$B$38:$B$62)</f>
        <v>0</v>
      </c>
    </row>
    <row r="807" spans="1:2">
      <c r="A807" s="11">
        <f>Returns!A807</f>
        <v>0</v>
      </c>
      <c r="B807" s="1">
        <f t="array" ref="B807">MMULT(Returns!B807:Z807,Resume!$B$38:$B$62)</f>
        <v>0</v>
      </c>
    </row>
    <row r="808" spans="1:2">
      <c r="A808" s="11">
        <f>Returns!A808</f>
        <v>0</v>
      </c>
      <c r="B808" s="1">
        <f t="array" ref="B808">MMULT(Returns!B808:Z808,Resume!$B$38:$B$62)</f>
        <v>0</v>
      </c>
    </row>
    <row r="809" spans="1:2">
      <c r="A809" s="11">
        <f>Returns!A809</f>
        <v>0</v>
      </c>
      <c r="B809" s="1">
        <f t="array" ref="B809">MMULT(Returns!B809:Z809,Resume!$B$38:$B$62)</f>
        <v>0</v>
      </c>
    </row>
    <row r="810" spans="1:2">
      <c r="A810" s="11">
        <f>Returns!A810</f>
        <v>0</v>
      </c>
      <c r="B810" s="1">
        <f t="array" ref="B810">MMULT(Returns!B810:Z810,Resume!$B$38:$B$62)</f>
        <v>0</v>
      </c>
    </row>
    <row r="811" spans="1:2">
      <c r="A811" s="11">
        <f>Returns!A811</f>
        <v>0</v>
      </c>
      <c r="B811" s="1">
        <f t="array" ref="B811">MMULT(Returns!B811:Z811,Resume!$B$38:$B$62)</f>
        <v>0</v>
      </c>
    </row>
    <row r="812" spans="1:2">
      <c r="A812" s="11">
        <f>Returns!A812</f>
        <v>0</v>
      </c>
      <c r="B812" s="1">
        <f t="array" ref="B812">MMULT(Returns!B812:Z812,Resume!$B$38:$B$62)</f>
        <v>0</v>
      </c>
    </row>
    <row r="813" spans="1:2">
      <c r="A813" s="11">
        <f>Returns!A813</f>
        <v>0</v>
      </c>
      <c r="B813" s="1">
        <f t="array" ref="B813">MMULT(Returns!B813:Z813,Resume!$B$38:$B$62)</f>
        <v>0</v>
      </c>
    </row>
    <row r="814" spans="1:2">
      <c r="A814" s="11">
        <f>Returns!A814</f>
        <v>0</v>
      </c>
      <c r="B814" s="1">
        <f t="array" ref="B814">MMULT(Returns!B814:Z814,Resume!$B$38:$B$62)</f>
        <v>0</v>
      </c>
    </row>
    <row r="815" spans="1:2">
      <c r="A815" s="11">
        <f>Returns!A815</f>
        <v>0</v>
      </c>
      <c r="B815" s="1">
        <f t="array" ref="B815">MMULT(Returns!B815:Z815,Resume!$B$38:$B$62)</f>
        <v>0</v>
      </c>
    </row>
    <row r="816" spans="1:2">
      <c r="A816" s="11">
        <f>Returns!A816</f>
        <v>0</v>
      </c>
      <c r="B816" s="1">
        <f t="array" ref="B816">MMULT(Returns!B816:Z816,Resume!$B$38:$B$62)</f>
        <v>0</v>
      </c>
    </row>
    <row r="817" spans="1:2">
      <c r="A817" s="11">
        <f>Returns!A817</f>
        <v>0</v>
      </c>
      <c r="B817" s="1">
        <f t="array" ref="B817">MMULT(Returns!B817:Z817,Resume!$B$38:$B$62)</f>
        <v>0</v>
      </c>
    </row>
    <row r="818" spans="1:2">
      <c r="A818" s="11">
        <f>Returns!A818</f>
        <v>0</v>
      </c>
      <c r="B818" s="1">
        <f t="array" ref="B818">MMULT(Returns!B818:Z818,Resume!$B$38:$B$62)</f>
        <v>0</v>
      </c>
    </row>
    <row r="819" spans="1:2">
      <c r="A819" s="11">
        <f>Returns!A819</f>
        <v>0</v>
      </c>
      <c r="B819" s="1">
        <f t="array" ref="B819">MMULT(Returns!B819:Z819,Resume!$B$38:$B$62)</f>
        <v>0</v>
      </c>
    </row>
    <row r="820" spans="1:2">
      <c r="A820" s="11">
        <f>Returns!A820</f>
        <v>0</v>
      </c>
      <c r="B820" s="1">
        <f t="array" ref="B820">MMULT(Returns!B820:Z820,Resume!$B$38:$B$62)</f>
        <v>0</v>
      </c>
    </row>
    <row r="821" spans="1:2">
      <c r="A821" s="11">
        <f>Returns!A821</f>
        <v>0</v>
      </c>
      <c r="B821" s="1">
        <f t="array" ref="B821">MMULT(Returns!B821:Z821,Resume!$B$38:$B$62)</f>
        <v>0</v>
      </c>
    </row>
    <row r="822" spans="1:2">
      <c r="A822" s="11">
        <f>Returns!A822</f>
        <v>0</v>
      </c>
      <c r="B822" s="1">
        <f t="array" ref="B822">MMULT(Returns!B822:Z822,Resume!$B$38:$B$62)</f>
        <v>0</v>
      </c>
    </row>
    <row r="823" spans="1:2">
      <c r="A823" s="11">
        <f>Returns!A823</f>
        <v>0</v>
      </c>
      <c r="B823" s="1">
        <f t="array" ref="B823">MMULT(Returns!B823:Z823,Resume!$B$38:$B$62)</f>
        <v>0</v>
      </c>
    </row>
    <row r="824" spans="1:2">
      <c r="A824" s="11">
        <f>Returns!A824</f>
        <v>0</v>
      </c>
      <c r="B824" s="1">
        <f t="array" ref="B824">MMULT(Returns!B824:Z824,Resume!$B$38:$B$62)</f>
        <v>0</v>
      </c>
    </row>
    <row r="825" spans="1:2">
      <c r="A825" s="11">
        <f>Returns!A825</f>
        <v>0</v>
      </c>
      <c r="B825" s="1">
        <f t="array" ref="B825">MMULT(Returns!B825:Z825,Resume!$B$38:$B$62)</f>
        <v>0</v>
      </c>
    </row>
    <row r="826" spans="1:2">
      <c r="A826" s="11">
        <f>Returns!A826</f>
        <v>0</v>
      </c>
      <c r="B826" s="1">
        <f t="array" ref="B826">MMULT(Returns!B826:Z826,Resume!$B$38:$B$62)</f>
        <v>0</v>
      </c>
    </row>
    <row r="827" spans="1:2">
      <c r="A827" s="11">
        <f>Returns!A827</f>
        <v>0</v>
      </c>
      <c r="B827" s="1">
        <f t="array" ref="B827">MMULT(Returns!B827:Z827,Resume!$B$38:$B$62)</f>
        <v>0</v>
      </c>
    </row>
    <row r="828" spans="1:2">
      <c r="A828" s="11">
        <f>Returns!A828</f>
        <v>0</v>
      </c>
      <c r="B828" s="1">
        <f t="array" ref="B828">MMULT(Returns!B828:Z828,Resume!$B$38:$B$62)</f>
        <v>0</v>
      </c>
    </row>
    <row r="829" spans="1:2">
      <c r="A829" s="11">
        <f>Returns!A829</f>
        <v>0</v>
      </c>
      <c r="B829" s="1">
        <f t="array" ref="B829">MMULT(Returns!B829:Z829,Resume!$B$38:$B$62)</f>
        <v>0</v>
      </c>
    </row>
    <row r="830" spans="1:2">
      <c r="A830" s="11">
        <f>Returns!A830</f>
        <v>0</v>
      </c>
      <c r="B830" s="1">
        <f t="array" ref="B830">MMULT(Returns!B830:Z830,Resume!$B$38:$B$62)</f>
        <v>0</v>
      </c>
    </row>
    <row r="831" spans="1:2">
      <c r="A831" s="11">
        <f>Returns!A831</f>
        <v>0</v>
      </c>
      <c r="B831" s="1">
        <f t="array" ref="B831">MMULT(Returns!B831:Z831,Resume!$B$38:$B$62)</f>
        <v>0</v>
      </c>
    </row>
    <row r="832" spans="1:2">
      <c r="A832" s="11">
        <f>Returns!A832</f>
        <v>0</v>
      </c>
      <c r="B832" s="1">
        <f t="array" ref="B832">MMULT(Returns!B832:Z832,Resume!$B$38:$B$62)</f>
        <v>0</v>
      </c>
    </row>
    <row r="833" spans="1:2">
      <c r="A833" s="11">
        <f>Returns!A833</f>
        <v>0</v>
      </c>
      <c r="B833" s="1">
        <f t="array" ref="B833">MMULT(Returns!B833:Z833,Resume!$B$38:$B$62)</f>
        <v>0</v>
      </c>
    </row>
    <row r="834" spans="1:2">
      <c r="A834" s="11">
        <f>Returns!A834</f>
        <v>0</v>
      </c>
      <c r="B834" s="1">
        <f t="array" ref="B834">MMULT(Returns!B834:Z834,Resume!$B$38:$B$62)</f>
        <v>0</v>
      </c>
    </row>
    <row r="835" spans="1:2">
      <c r="A835" s="11">
        <f>Returns!A835</f>
        <v>0</v>
      </c>
      <c r="B835" s="1">
        <f t="array" ref="B835">MMULT(Returns!B835:Z835,Resume!$B$38:$B$62)</f>
        <v>0</v>
      </c>
    </row>
    <row r="836" spans="1:2">
      <c r="A836" s="11">
        <f>Returns!A836</f>
        <v>0</v>
      </c>
      <c r="B836" s="1">
        <f t="array" ref="B836">MMULT(Returns!B836:Z836,Resume!$B$38:$B$62)</f>
        <v>0</v>
      </c>
    </row>
    <row r="837" spans="1:2">
      <c r="A837" s="11">
        <f>Returns!A837</f>
        <v>0</v>
      </c>
      <c r="B837" s="1">
        <f t="array" ref="B837">MMULT(Returns!B837:Z837,Resume!$B$38:$B$62)</f>
        <v>0</v>
      </c>
    </row>
    <row r="838" spans="1:2">
      <c r="A838" s="11">
        <f>Returns!A838</f>
        <v>0</v>
      </c>
      <c r="B838" s="1">
        <f t="array" ref="B838">MMULT(Returns!B838:Z838,Resume!$B$38:$B$62)</f>
        <v>0</v>
      </c>
    </row>
    <row r="839" spans="1:2">
      <c r="A839" s="11">
        <f>Returns!A839</f>
        <v>0</v>
      </c>
      <c r="B839" s="1">
        <f t="array" ref="B839">MMULT(Returns!B839:Z839,Resume!$B$38:$B$62)</f>
        <v>0</v>
      </c>
    </row>
    <row r="840" spans="1:2">
      <c r="A840" s="11">
        <f>Returns!A840</f>
        <v>0</v>
      </c>
      <c r="B840" s="1">
        <f t="array" ref="B840">MMULT(Returns!B840:Z840,Resume!$B$38:$B$62)</f>
        <v>0</v>
      </c>
    </row>
    <row r="841" spans="1:2">
      <c r="A841" s="11">
        <f>Returns!A841</f>
        <v>0</v>
      </c>
      <c r="B841" s="1">
        <f t="array" ref="B841">MMULT(Returns!B841:Z841,Resume!$B$38:$B$62)</f>
        <v>0</v>
      </c>
    </row>
    <row r="842" spans="1:2">
      <c r="A842" s="11">
        <f>Returns!A842</f>
        <v>0</v>
      </c>
      <c r="B842" s="1">
        <f t="array" ref="B842">MMULT(Returns!B842:Z842,Resume!$B$38:$B$62)</f>
        <v>0</v>
      </c>
    </row>
    <row r="843" spans="1:2">
      <c r="A843" s="11">
        <f>Returns!A843</f>
        <v>0</v>
      </c>
      <c r="B843" s="1">
        <f t="array" ref="B843">MMULT(Returns!B843:Z843,Resume!$B$38:$B$62)</f>
        <v>0</v>
      </c>
    </row>
    <row r="844" spans="1:2">
      <c r="A844" s="11">
        <f>Returns!A844</f>
        <v>0</v>
      </c>
      <c r="B844" s="1">
        <f t="array" ref="B844">MMULT(Returns!B844:Z844,Resume!$B$38:$B$62)</f>
        <v>0</v>
      </c>
    </row>
    <row r="845" spans="1:2">
      <c r="A845" s="11">
        <f>Returns!A845</f>
        <v>0</v>
      </c>
      <c r="B845" s="1">
        <f t="array" ref="B845">MMULT(Returns!B845:Z845,Resume!$B$38:$B$62)</f>
        <v>0</v>
      </c>
    </row>
    <row r="846" spans="1:2">
      <c r="A846" s="11">
        <f>Returns!A846</f>
        <v>0</v>
      </c>
      <c r="B846" s="1">
        <f t="array" ref="B846">MMULT(Returns!B846:Z846,Resume!$B$38:$B$62)</f>
        <v>0</v>
      </c>
    </row>
    <row r="847" spans="1:2">
      <c r="A847" s="11">
        <f>Returns!A847</f>
        <v>0</v>
      </c>
      <c r="B847" s="1">
        <f t="array" ref="B847">MMULT(Returns!B847:Z847,Resume!$B$38:$B$62)</f>
        <v>0</v>
      </c>
    </row>
    <row r="848" spans="1:2">
      <c r="A848" s="11">
        <f>Returns!A848</f>
        <v>0</v>
      </c>
      <c r="B848" s="1">
        <f t="array" ref="B848">MMULT(Returns!B848:Z848,Resume!$B$38:$B$62)</f>
        <v>0</v>
      </c>
    </row>
    <row r="849" spans="1:2">
      <c r="A849" s="11">
        <f>Returns!A849</f>
        <v>0</v>
      </c>
      <c r="B849" s="1">
        <f t="array" ref="B849">MMULT(Returns!B849:Z849,Resume!$B$38:$B$62)</f>
        <v>0</v>
      </c>
    </row>
    <row r="850" spans="1:2">
      <c r="A850" s="11">
        <f>Returns!A850</f>
        <v>0</v>
      </c>
      <c r="B850" s="1">
        <f t="array" ref="B850">MMULT(Returns!B850:Z850,Resume!$B$38:$B$62)</f>
        <v>0</v>
      </c>
    </row>
    <row r="851" spans="1:2">
      <c r="A851" s="11">
        <f>Returns!A851</f>
        <v>0</v>
      </c>
      <c r="B851" s="1">
        <f t="array" ref="B851">MMULT(Returns!B851:Z851,Resume!$B$38:$B$62)</f>
        <v>0</v>
      </c>
    </row>
    <row r="852" spans="1:2">
      <c r="A852" s="11">
        <f>Returns!A852</f>
        <v>0</v>
      </c>
      <c r="B852" s="1">
        <f t="array" ref="B852">MMULT(Returns!B852:Z852,Resume!$B$38:$B$62)</f>
        <v>0</v>
      </c>
    </row>
    <row r="853" spans="1:2">
      <c r="A853" s="11">
        <f>Returns!A853</f>
        <v>0</v>
      </c>
      <c r="B853" s="1">
        <f t="array" ref="B853">MMULT(Returns!B853:Z853,Resume!$B$38:$B$62)</f>
        <v>0</v>
      </c>
    </row>
    <row r="854" spans="1:2">
      <c r="A854" s="11">
        <f>Returns!A854</f>
        <v>0</v>
      </c>
      <c r="B854" s="1">
        <f t="array" ref="B854">MMULT(Returns!B854:Z854,Resume!$B$38:$B$62)</f>
        <v>0</v>
      </c>
    </row>
    <row r="855" spans="1:2">
      <c r="A855" s="11">
        <f>Returns!A855</f>
        <v>0</v>
      </c>
      <c r="B855" s="1">
        <f t="array" ref="B855">MMULT(Returns!B855:Z855,Resume!$B$38:$B$62)</f>
        <v>0</v>
      </c>
    </row>
    <row r="856" spans="1:2">
      <c r="A856" s="11">
        <f>Returns!A856</f>
        <v>0</v>
      </c>
      <c r="B856" s="1">
        <f t="array" ref="B856">MMULT(Returns!B856:Z856,Resume!$B$38:$B$62)</f>
        <v>0</v>
      </c>
    </row>
    <row r="857" spans="1:2">
      <c r="A857" s="11">
        <f>Returns!A857</f>
        <v>0</v>
      </c>
      <c r="B857" s="1">
        <f t="array" ref="B857">MMULT(Returns!B857:Z857,Resume!$B$38:$B$62)</f>
        <v>0</v>
      </c>
    </row>
    <row r="858" spans="1:2">
      <c r="A858" s="11">
        <f>Returns!A858</f>
        <v>0</v>
      </c>
      <c r="B858" s="1">
        <f t="array" ref="B858">MMULT(Returns!B858:Z858,Resume!$B$38:$B$62)</f>
        <v>0</v>
      </c>
    </row>
    <row r="859" spans="1:2">
      <c r="A859" s="11">
        <f>Returns!A859</f>
        <v>0</v>
      </c>
      <c r="B859" s="1">
        <f t="array" ref="B859">MMULT(Returns!B859:Z859,Resume!$B$38:$B$62)</f>
        <v>0</v>
      </c>
    </row>
    <row r="860" spans="1:2">
      <c r="A860" s="11">
        <f>Returns!A860</f>
        <v>0</v>
      </c>
      <c r="B860" s="1">
        <f t="array" ref="B860">MMULT(Returns!B860:Z860,Resume!$B$38:$B$62)</f>
        <v>0</v>
      </c>
    </row>
    <row r="861" spans="1:2">
      <c r="A861" s="11">
        <f>Returns!A861</f>
        <v>0</v>
      </c>
      <c r="B861" s="1">
        <f t="array" ref="B861">MMULT(Returns!B861:Z861,Resume!$B$38:$B$62)</f>
        <v>0</v>
      </c>
    </row>
    <row r="862" spans="1:2">
      <c r="A862" s="11">
        <f>Returns!A862</f>
        <v>0</v>
      </c>
      <c r="B862" s="1">
        <f t="array" ref="B862">MMULT(Returns!B862:Z862,Resume!$B$38:$B$62)</f>
        <v>0</v>
      </c>
    </row>
    <row r="863" spans="1:2">
      <c r="A863" s="11">
        <f>Returns!A863</f>
        <v>0</v>
      </c>
      <c r="B863" s="1">
        <f t="array" ref="B863">MMULT(Returns!B863:Z863,Resume!$B$38:$B$62)</f>
        <v>0</v>
      </c>
    </row>
    <row r="864" spans="1:2">
      <c r="A864" s="11">
        <f>Returns!A864</f>
        <v>0</v>
      </c>
      <c r="B864" s="1">
        <f t="array" ref="B864">MMULT(Returns!B864:Z864,Resume!$B$38:$B$62)</f>
        <v>0</v>
      </c>
    </row>
    <row r="865" spans="1:2">
      <c r="A865" s="11">
        <f>Returns!A865</f>
        <v>0</v>
      </c>
      <c r="B865" s="1">
        <f t="array" ref="B865">MMULT(Returns!B865:Z865,Resume!$B$38:$B$62)</f>
        <v>0</v>
      </c>
    </row>
    <row r="866" spans="1:2">
      <c r="A866" s="11">
        <f>Returns!A866</f>
        <v>0</v>
      </c>
      <c r="B866" s="1">
        <f t="array" ref="B866">MMULT(Returns!B866:Z866,Resume!$B$38:$B$62)</f>
        <v>0</v>
      </c>
    </row>
    <row r="867" spans="1:2">
      <c r="A867" s="11">
        <f>Returns!A867</f>
        <v>0</v>
      </c>
      <c r="B867" s="1">
        <f t="array" ref="B867">MMULT(Returns!B867:Z867,Resume!$B$38:$B$62)</f>
        <v>0</v>
      </c>
    </row>
    <row r="868" spans="1:2">
      <c r="A868" s="11">
        <f>Returns!A868</f>
        <v>0</v>
      </c>
      <c r="B868" s="1">
        <f t="array" ref="B868">MMULT(Returns!B868:Z868,Resume!$B$38:$B$62)</f>
        <v>0</v>
      </c>
    </row>
    <row r="869" spans="1:2">
      <c r="A869" s="11">
        <f>Returns!A869</f>
        <v>0</v>
      </c>
      <c r="B869" s="1">
        <f t="array" ref="B869">MMULT(Returns!B869:Z869,Resume!$B$38:$B$62)</f>
        <v>0</v>
      </c>
    </row>
    <row r="870" spans="1:2">
      <c r="A870" s="11">
        <f>Returns!A870</f>
        <v>0</v>
      </c>
      <c r="B870" s="1">
        <f t="array" ref="B870">MMULT(Returns!B870:Z870,Resume!$B$38:$B$62)</f>
        <v>0</v>
      </c>
    </row>
    <row r="871" spans="1:2">
      <c r="A871" s="11">
        <f>Returns!A871</f>
        <v>0</v>
      </c>
      <c r="B871" s="1">
        <f t="array" ref="B871">MMULT(Returns!B871:Z871,Resume!$B$38:$B$62)</f>
        <v>0</v>
      </c>
    </row>
    <row r="872" spans="1:2">
      <c r="A872" s="11">
        <f>Returns!A872</f>
        <v>0</v>
      </c>
      <c r="B872" s="1">
        <f t="array" ref="B872">MMULT(Returns!B872:Z872,Resume!$B$38:$B$62)</f>
        <v>0</v>
      </c>
    </row>
    <row r="873" spans="1:2">
      <c r="A873" s="11">
        <f>Returns!A873</f>
        <v>0</v>
      </c>
      <c r="B873" s="1">
        <f t="array" ref="B873">MMULT(Returns!B873:Z873,Resume!$B$38:$B$62)</f>
        <v>0</v>
      </c>
    </row>
    <row r="874" spans="1:2">
      <c r="A874" s="11">
        <f>Returns!A874</f>
        <v>0</v>
      </c>
      <c r="B874" s="1">
        <f t="array" ref="B874">MMULT(Returns!B874:Z874,Resume!$B$38:$B$62)</f>
        <v>0</v>
      </c>
    </row>
    <row r="875" spans="1:2">
      <c r="A875" s="11">
        <f>Returns!A875</f>
        <v>0</v>
      </c>
      <c r="B875" s="1">
        <f t="array" ref="B875">MMULT(Returns!B875:Z875,Resume!$B$38:$B$62)</f>
        <v>0</v>
      </c>
    </row>
    <row r="876" spans="1:2">
      <c r="A876" s="11">
        <f>Returns!A876</f>
        <v>0</v>
      </c>
      <c r="B876" s="1">
        <f t="array" ref="B876">MMULT(Returns!B876:Z876,Resume!$B$38:$B$62)</f>
        <v>0</v>
      </c>
    </row>
    <row r="877" spans="1:2">
      <c r="A877" s="11">
        <f>Returns!A877</f>
        <v>0</v>
      </c>
      <c r="B877" s="1">
        <f t="array" ref="B877">MMULT(Returns!B877:Z877,Resume!$B$38:$B$62)</f>
        <v>0</v>
      </c>
    </row>
    <row r="878" spans="1:2">
      <c r="A878" s="11">
        <f>Returns!A878</f>
        <v>0</v>
      </c>
      <c r="B878" s="1">
        <f t="array" ref="B878">MMULT(Returns!B878:Z878,Resume!$B$38:$B$62)</f>
        <v>0</v>
      </c>
    </row>
    <row r="879" spans="1:2">
      <c r="A879" s="11">
        <f>Returns!A879</f>
        <v>0</v>
      </c>
      <c r="B879" s="1">
        <f t="array" ref="B879">MMULT(Returns!B879:Z879,Resume!$B$38:$B$62)</f>
        <v>0</v>
      </c>
    </row>
    <row r="880" spans="1:2">
      <c r="A880" s="11">
        <f>Returns!A880</f>
        <v>0</v>
      </c>
      <c r="B880" s="1">
        <f t="array" ref="B880">MMULT(Returns!B880:Z880,Resume!$B$38:$B$62)</f>
        <v>0</v>
      </c>
    </row>
    <row r="881" spans="1:2">
      <c r="A881" s="11">
        <f>Returns!A881</f>
        <v>0</v>
      </c>
      <c r="B881" s="1">
        <f t="array" ref="B881">MMULT(Returns!B881:Z881,Resume!$B$38:$B$62)</f>
        <v>0</v>
      </c>
    </row>
    <row r="882" spans="1:2">
      <c r="A882" s="11">
        <f>Returns!A882</f>
        <v>0</v>
      </c>
      <c r="B882" s="1">
        <f t="array" ref="B882">MMULT(Returns!B882:Z882,Resume!$B$38:$B$62)</f>
        <v>0</v>
      </c>
    </row>
    <row r="883" spans="1:2">
      <c r="A883" s="11">
        <f>Returns!A883</f>
        <v>0</v>
      </c>
      <c r="B883" s="1">
        <f t="array" ref="B883">MMULT(Returns!B883:Z883,Resume!$B$38:$B$62)</f>
        <v>0</v>
      </c>
    </row>
    <row r="884" spans="1:2">
      <c r="A884" s="11">
        <f>Returns!A884</f>
        <v>0</v>
      </c>
      <c r="B884" s="1">
        <f t="array" ref="B884">MMULT(Returns!B884:Z884,Resume!$B$38:$B$62)</f>
        <v>0</v>
      </c>
    </row>
    <row r="885" spans="1:2">
      <c r="A885" s="11">
        <f>Returns!A885</f>
        <v>0</v>
      </c>
      <c r="B885" s="1">
        <f t="array" ref="B885">MMULT(Returns!B885:Z885,Resume!$B$38:$B$62)</f>
        <v>0</v>
      </c>
    </row>
    <row r="886" spans="1:2">
      <c r="A886" s="11">
        <f>Returns!A886</f>
        <v>0</v>
      </c>
      <c r="B886" s="1">
        <f t="array" ref="B886">MMULT(Returns!B886:Z886,Resume!$B$38:$B$62)</f>
        <v>0</v>
      </c>
    </row>
    <row r="887" spans="1:2">
      <c r="A887" s="11">
        <f>Returns!A887</f>
        <v>0</v>
      </c>
      <c r="B887" s="1">
        <f t="array" ref="B887">MMULT(Returns!B887:Z887,Resume!$B$38:$B$62)</f>
        <v>0</v>
      </c>
    </row>
    <row r="888" spans="1:2">
      <c r="A888" s="11">
        <f>Returns!A888</f>
        <v>0</v>
      </c>
      <c r="B888" s="1">
        <f t="array" ref="B888">MMULT(Returns!B888:Z888,Resume!$B$38:$B$62)</f>
        <v>0</v>
      </c>
    </row>
    <row r="889" spans="1:2">
      <c r="A889" s="11">
        <f>Returns!A889</f>
        <v>0</v>
      </c>
      <c r="B889" s="1">
        <f t="array" ref="B889">MMULT(Returns!B889:Z889,Resume!$B$38:$B$62)</f>
        <v>0</v>
      </c>
    </row>
    <row r="890" spans="1:2">
      <c r="A890" s="11">
        <f>Returns!A890</f>
        <v>0</v>
      </c>
      <c r="B890" s="1">
        <f t="array" ref="B890">MMULT(Returns!B890:Z890,Resume!$B$38:$B$62)</f>
        <v>0</v>
      </c>
    </row>
    <row r="891" spans="1:2">
      <c r="A891" s="11">
        <f>Returns!A891</f>
        <v>0</v>
      </c>
      <c r="B891" s="1">
        <f t="array" ref="B891">MMULT(Returns!B891:Z891,Resume!$B$38:$B$62)</f>
        <v>0</v>
      </c>
    </row>
    <row r="892" spans="1:2">
      <c r="A892" s="11">
        <f>Returns!A892</f>
        <v>0</v>
      </c>
      <c r="B892" s="1">
        <f t="array" ref="B892">MMULT(Returns!B892:Z892,Resume!$B$38:$B$62)</f>
        <v>0</v>
      </c>
    </row>
    <row r="893" spans="1:2">
      <c r="A893" s="11">
        <f>Returns!A893</f>
        <v>0</v>
      </c>
      <c r="B893" s="1">
        <f t="array" ref="B893">MMULT(Returns!B893:Z893,Resume!$B$38:$B$62)</f>
        <v>0</v>
      </c>
    </row>
    <row r="894" spans="1:2">
      <c r="A894" s="11">
        <f>Returns!A894</f>
        <v>0</v>
      </c>
      <c r="B894" s="1">
        <f t="array" ref="B894">MMULT(Returns!B894:Z894,Resume!$B$38:$B$62)</f>
        <v>0</v>
      </c>
    </row>
    <row r="895" spans="1:2">
      <c r="A895" s="11">
        <f>Returns!A895</f>
        <v>0</v>
      </c>
      <c r="B895" s="1">
        <f t="array" ref="B895">MMULT(Returns!B895:Z895,Resume!$B$38:$B$62)</f>
        <v>0</v>
      </c>
    </row>
    <row r="896" spans="1:2">
      <c r="A896" s="11">
        <f>Returns!A896</f>
        <v>0</v>
      </c>
      <c r="B896" s="1">
        <f t="array" ref="B896">MMULT(Returns!B896:Z896,Resume!$B$38:$B$62)</f>
        <v>0</v>
      </c>
    </row>
    <row r="897" spans="1:2">
      <c r="A897" s="11">
        <f>Returns!A897</f>
        <v>0</v>
      </c>
      <c r="B897" s="1">
        <f t="array" ref="B897">MMULT(Returns!B897:Z897,Resume!$B$38:$B$62)</f>
        <v>0</v>
      </c>
    </row>
    <row r="898" spans="1:2">
      <c r="A898" s="11">
        <f>Returns!A898</f>
        <v>0</v>
      </c>
      <c r="B898" s="1">
        <f t="array" ref="B898">MMULT(Returns!B898:Z898,Resume!$B$38:$B$62)</f>
        <v>0</v>
      </c>
    </row>
    <row r="899" spans="1:2">
      <c r="A899" s="11">
        <f>Returns!A899</f>
        <v>0</v>
      </c>
      <c r="B899" s="1">
        <f t="array" ref="B899">MMULT(Returns!B899:Z899,Resume!$B$38:$B$62)</f>
        <v>0</v>
      </c>
    </row>
    <row r="900" spans="1:2">
      <c r="A900" s="11">
        <f>Returns!A900</f>
        <v>0</v>
      </c>
      <c r="B900" s="1">
        <f t="array" ref="B900">MMULT(Returns!B900:Z900,Resume!$B$38:$B$62)</f>
        <v>0</v>
      </c>
    </row>
    <row r="901" spans="1:2">
      <c r="A901" s="11">
        <f>Returns!A901</f>
        <v>0</v>
      </c>
      <c r="B901" s="1">
        <f t="array" ref="B901">MMULT(Returns!B901:Z901,Resume!$B$38:$B$62)</f>
        <v>0</v>
      </c>
    </row>
    <row r="902" spans="1:2">
      <c r="A902" s="11">
        <f>Returns!A902</f>
        <v>0</v>
      </c>
      <c r="B902" s="1">
        <f t="array" ref="B902">MMULT(Returns!B902:Z902,Resume!$B$38:$B$62)</f>
        <v>0</v>
      </c>
    </row>
    <row r="903" spans="1:2">
      <c r="A903" s="11">
        <f>Returns!A903</f>
        <v>0</v>
      </c>
      <c r="B903" s="1">
        <f t="array" ref="B903">MMULT(Returns!B903:Z903,Resume!$B$38:$B$62)</f>
        <v>0</v>
      </c>
    </row>
    <row r="904" spans="1:2">
      <c r="A904" s="11">
        <f>Returns!A904</f>
        <v>0</v>
      </c>
      <c r="B904" s="1">
        <f t="array" ref="B904">MMULT(Returns!B904:Z904,Resume!$B$38:$B$62)</f>
        <v>0</v>
      </c>
    </row>
    <row r="905" spans="1:2">
      <c r="A905" s="11">
        <f>Returns!A905</f>
        <v>0</v>
      </c>
      <c r="B905" s="1">
        <f t="array" ref="B905">MMULT(Returns!B905:Z905,Resume!$B$38:$B$62)</f>
        <v>0</v>
      </c>
    </row>
    <row r="906" spans="1:2">
      <c r="A906" s="11">
        <f>Returns!A906</f>
        <v>0</v>
      </c>
      <c r="B906" s="1">
        <f t="array" ref="B906">MMULT(Returns!B906:Z906,Resume!$B$38:$B$62)</f>
        <v>0</v>
      </c>
    </row>
    <row r="907" spans="1:2">
      <c r="A907" s="11">
        <f>Returns!A907</f>
        <v>0</v>
      </c>
      <c r="B907" s="1">
        <f t="array" ref="B907">MMULT(Returns!B907:Z907,Resume!$B$38:$B$62)</f>
        <v>0</v>
      </c>
    </row>
    <row r="908" spans="1:2">
      <c r="A908" s="11">
        <f>Returns!A908</f>
        <v>0</v>
      </c>
      <c r="B908" s="1">
        <f t="array" ref="B908">MMULT(Returns!B908:Z908,Resume!$B$38:$B$62)</f>
        <v>0</v>
      </c>
    </row>
    <row r="909" spans="1:2">
      <c r="A909" s="11">
        <f>Returns!A909</f>
        <v>0</v>
      </c>
      <c r="B909" s="1">
        <f t="array" ref="B909">MMULT(Returns!B909:Z909,Resume!$B$38:$B$62)</f>
        <v>0</v>
      </c>
    </row>
    <row r="910" spans="1:2">
      <c r="A910" s="11">
        <f>Returns!A910</f>
        <v>0</v>
      </c>
      <c r="B910" s="1">
        <f t="array" ref="B910">MMULT(Returns!B910:Z910,Resume!$B$38:$B$62)</f>
        <v>0</v>
      </c>
    </row>
    <row r="911" spans="1:2">
      <c r="A911" s="11">
        <f>Returns!A911</f>
        <v>0</v>
      </c>
      <c r="B911" s="1">
        <f t="array" ref="B911">MMULT(Returns!B911:Z911,Resume!$B$38:$B$62)</f>
        <v>0</v>
      </c>
    </row>
    <row r="912" spans="1:2">
      <c r="A912" s="11">
        <f>Returns!A912</f>
        <v>0</v>
      </c>
      <c r="B912" s="1">
        <f t="array" ref="B912">MMULT(Returns!B912:Z912,Resume!$B$38:$B$62)</f>
        <v>0</v>
      </c>
    </row>
    <row r="913" spans="1:2">
      <c r="A913" s="11">
        <f>Returns!A913</f>
        <v>0</v>
      </c>
      <c r="B913" s="1">
        <f t="array" ref="B913">MMULT(Returns!B913:Z913,Resume!$B$38:$B$62)</f>
        <v>0</v>
      </c>
    </row>
    <row r="914" spans="1:2">
      <c r="A914" s="11">
        <f>Returns!A914</f>
        <v>0</v>
      </c>
      <c r="B914" s="1">
        <f t="array" ref="B914">MMULT(Returns!B914:Z914,Resume!$B$38:$B$62)</f>
        <v>0</v>
      </c>
    </row>
    <row r="915" spans="1:2">
      <c r="A915" s="11">
        <f>Returns!A915</f>
        <v>0</v>
      </c>
      <c r="B915" s="1">
        <f t="array" ref="B915">MMULT(Returns!B915:Z915,Resume!$B$38:$B$62)</f>
        <v>0</v>
      </c>
    </row>
    <row r="916" spans="1:2">
      <c r="A916" s="11">
        <f>Returns!A916</f>
        <v>0</v>
      </c>
      <c r="B916" s="1">
        <f t="array" ref="B916">MMULT(Returns!B916:Z916,Resume!$B$38:$B$62)</f>
        <v>0</v>
      </c>
    </row>
    <row r="917" spans="1:2">
      <c r="A917" s="11">
        <f>Returns!A917</f>
        <v>0</v>
      </c>
      <c r="B917" s="1">
        <f t="array" ref="B917">MMULT(Returns!B917:Z917,Resume!$B$38:$B$62)</f>
        <v>0</v>
      </c>
    </row>
    <row r="918" spans="1:2">
      <c r="A918" s="11">
        <f>Returns!A918</f>
        <v>0</v>
      </c>
      <c r="B918" s="1">
        <f t="array" ref="B918">MMULT(Returns!B918:Z918,Resume!$B$38:$B$62)</f>
        <v>0</v>
      </c>
    </row>
    <row r="919" spans="1:2">
      <c r="A919" s="11">
        <f>Returns!A919</f>
        <v>0</v>
      </c>
      <c r="B919" s="1">
        <f t="array" ref="B919">MMULT(Returns!B919:Z919,Resume!$B$38:$B$62)</f>
        <v>0</v>
      </c>
    </row>
    <row r="920" spans="1:2">
      <c r="A920" s="11">
        <f>Returns!A920</f>
        <v>0</v>
      </c>
      <c r="B920" s="1">
        <f t="array" ref="B920">MMULT(Returns!B920:Z920,Resume!$B$38:$B$62)</f>
        <v>0</v>
      </c>
    </row>
    <row r="921" spans="1:2">
      <c r="A921" s="11">
        <f>Returns!A921</f>
        <v>0</v>
      </c>
      <c r="B921" s="1">
        <f t="array" ref="B921">MMULT(Returns!B921:Z921,Resume!$B$38:$B$62)</f>
        <v>0</v>
      </c>
    </row>
    <row r="922" spans="1:2">
      <c r="A922" s="11">
        <f>Returns!A922</f>
        <v>0</v>
      </c>
      <c r="B922" s="1">
        <f t="array" ref="B922">MMULT(Returns!B922:Z922,Resume!$B$38:$B$62)</f>
        <v>0</v>
      </c>
    </row>
    <row r="923" spans="1:2">
      <c r="A923" s="11">
        <f>Returns!A923</f>
        <v>0</v>
      </c>
      <c r="B923" s="1">
        <f t="array" ref="B923">MMULT(Returns!B923:Z923,Resume!$B$38:$B$62)</f>
        <v>0</v>
      </c>
    </row>
    <row r="924" spans="1:2">
      <c r="A924" s="11">
        <f>Returns!A924</f>
        <v>0</v>
      </c>
      <c r="B924" s="1">
        <f t="array" ref="B924">MMULT(Returns!B924:Z924,Resume!$B$38:$B$62)</f>
        <v>0</v>
      </c>
    </row>
    <row r="925" spans="1:2">
      <c r="A925" s="11">
        <f>Returns!A925</f>
        <v>0</v>
      </c>
      <c r="B925" s="1">
        <f t="array" ref="B925">MMULT(Returns!B925:Z925,Resume!$B$38:$B$62)</f>
        <v>0</v>
      </c>
    </row>
    <row r="926" spans="1:2">
      <c r="A926" s="11">
        <f>Returns!A926</f>
        <v>0</v>
      </c>
      <c r="B926" s="1">
        <f t="array" ref="B926">MMULT(Returns!B926:Z926,Resume!$B$38:$B$62)</f>
        <v>0</v>
      </c>
    </row>
    <row r="927" spans="1:2">
      <c r="A927" s="11">
        <f>Returns!A927</f>
        <v>0</v>
      </c>
      <c r="B927" s="1">
        <f t="array" ref="B927">MMULT(Returns!B927:Z927,Resume!$B$38:$B$62)</f>
        <v>0</v>
      </c>
    </row>
    <row r="928" spans="1:2">
      <c r="A928" s="11">
        <f>Returns!A928</f>
        <v>0</v>
      </c>
      <c r="B928" s="1">
        <f t="array" ref="B928">MMULT(Returns!B928:Z928,Resume!$B$38:$B$62)</f>
        <v>0</v>
      </c>
    </row>
    <row r="929" spans="1:2">
      <c r="A929" s="11">
        <f>Returns!A929</f>
        <v>0</v>
      </c>
      <c r="B929" s="1">
        <f t="array" ref="B929">MMULT(Returns!B929:Z929,Resume!$B$38:$B$62)</f>
        <v>0</v>
      </c>
    </row>
    <row r="930" spans="1:2">
      <c r="A930" s="11">
        <f>Returns!A930</f>
        <v>0</v>
      </c>
      <c r="B930" s="1">
        <f t="array" ref="B930">MMULT(Returns!B930:Z930,Resume!$B$38:$B$62)</f>
        <v>0</v>
      </c>
    </row>
    <row r="931" spans="1:2">
      <c r="A931" s="11">
        <f>Returns!A931</f>
        <v>0</v>
      </c>
      <c r="B931" s="1">
        <f t="array" ref="B931">MMULT(Returns!B931:Z931,Resume!$B$38:$B$62)</f>
        <v>0</v>
      </c>
    </row>
    <row r="932" spans="1:2">
      <c r="A932" s="11">
        <f>Returns!A932</f>
        <v>0</v>
      </c>
      <c r="B932" s="1">
        <f t="array" ref="B932">MMULT(Returns!B932:Z932,Resume!$B$38:$B$62)</f>
        <v>0</v>
      </c>
    </row>
    <row r="933" spans="1:2">
      <c r="A933" s="11">
        <f>Returns!A933</f>
        <v>0</v>
      </c>
      <c r="B933" s="1">
        <f t="array" ref="B933">MMULT(Returns!B933:Z933,Resume!$B$38:$B$62)</f>
        <v>0</v>
      </c>
    </row>
    <row r="934" spans="1:2">
      <c r="A934" s="11">
        <f>Returns!A934</f>
        <v>0</v>
      </c>
      <c r="B934" s="1">
        <f t="array" ref="B934">MMULT(Returns!B934:Z934,Resume!$B$38:$B$62)</f>
        <v>0</v>
      </c>
    </row>
    <row r="935" spans="1:2">
      <c r="A935" s="11">
        <f>Returns!A935</f>
        <v>0</v>
      </c>
      <c r="B935" s="1">
        <f t="array" ref="B935">MMULT(Returns!B935:Z935,Resume!$B$38:$B$62)</f>
        <v>0</v>
      </c>
    </row>
    <row r="936" spans="1:2">
      <c r="A936" s="11">
        <f>Returns!A936</f>
        <v>0</v>
      </c>
      <c r="B936" s="1">
        <f t="array" ref="B936">MMULT(Returns!B936:Z936,Resume!$B$38:$B$62)</f>
        <v>0</v>
      </c>
    </row>
    <row r="937" spans="1:2">
      <c r="A937" s="11">
        <f>Returns!A937</f>
        <v>0</v>
      </c>
      <c r="B937" s="1">
        <f t="array" ref="B937">MMULT(Returns!B937:Z937,Resume!$B$38:$B$62)</f>
        <v>0</v>
      </c>
    </row>
    <row r="938" spans="1:2">
      <c r="A938" s="11">
        <f>Returns!A938</f>
        <v>0</v>
      </c>
      <c r="B938" s="1">
        <f t="array" ref="B938">MMULT(Returns!B938:Z938,Resume!$B$38:$B$62)</f>
        <v>0</v>
      </c>
    </row>
    <row r="939" spans="1:2">
      <c r="A939" s="11">
        <f>Returns!A939</f>
        <v>0</v>
      </c>
      <c r="B939" s="1">
        <f t="array" ref="B939">MMULT(Returns!B939:Z939,Resume!$B$38:$B$62)</f>
        <v>0</v>
      </c>
    </row>
    <row r="940" spans="1:2">
      <c r="A940" s="11">
        <f>Returns!A940</f>
        <v>0</v>
      </c>
      <c r="B940" s="1">
        <f t="array" ref="B940">MMULT(Returns!B940:Z940,Resume!$B$38:$B$62)</f>
        <v>0</v>
      </c>
    </row>
    <row r="941" spans="1:2">
      <c r="A941" s="11">
        <f>Returns!A941</f>
        <v>0</v>
      </c>
      <c r="B941" s="1">
        <f t="array" ref="B941">MMULT(Returns!B941:Z941,Resume!$B$38:$B$62)</f>
        <v>0</v>
      </c>
    </row>
    <row r="942" spans="1:2">
      <c r="A942" s="11">
        <f>Returns!A942</f>
        <v>0</v>
      </c>
      <c r="B942" s="1">
        <f t="array" ref="B942">MMULT(Returns!B942:Z942,Resume!$B$38:$B$62)</f>
        <v>0</v>
      </c>
    </row>
    <row r="943" spans="1:2">
      <c r="A943" s="11">
        <f>Returns!A943</f>
        <v>0</v>
      </c>
      <c r="B943" s="1">
        <f t="array" ref="B943">MMULT(Returns!B943:Z943,Resume!$B$38:$B$62)</f>
        <v>0</v>
      </c>
    </row>
    <row r="944" spans="1:2">
      <c r="A944" s="11">
        <f>Returns!A944</f>
        <v>0</v>
      </c>
      <c r="B944" s="1">
        <f t="array" ref="B944">MMULT(Returns!B944:Z944,Resume!$B$38:$B$62)</f>
        <v>0</v>
      </c>
    </row>
    <row r="945" spans="1:2">
      <c r="A945" s="11">
        <f>Returns!A945</f>
        <v>0</v>
      </c>
      <c r="B945" s="1">
        <f t="array" ref="B945">MMULT(Returns!B945:Z945,Resume!$B$38:$B$62)</f>
        <v>0</v>
      </c>
    </row>
    <row r="946" spans="1:2">
      <c r="A946" s="11">
        <f>Returns!A946</f>
        <v>0</v>
      </c>
      <c r="B946" s="1">
        <f t="array" ref="B946">MMULT(Returns!B946:Z946,Resume!$B$38:$B$62)</f>
        <v>0</v>
      </c>
    </row>
    <row r="947" spans="1:2">
      <c r="A947" s="11">
        <f>Returns!A947</f>
        <v>0</v>
      </c>
      <c r="B947" s="1">
        <f t="array" ref="B947">MMULT(Returns!B947:Z947,Resume!$B$38:$B$62)</f>
        <v>0</v>
      </c>
    </row>
    <row r="948" spans="1:2">
      <c r="A948" s="11">
        <f>Returns!A948</f>
        <v>0</v>
      </c>
      <c r="B948" s="1">
        <f t="array" ref="B948">MMULT(Returns!B948:Z948,Resume!$B$38:$B$62)</f>
        <v>0</v>
      </c>
    </row>
    <row r="949" spans="1:2">
      <c r="A949" s="11">
        <f>Returns!A949</f>
        <v>0</v>
      </c>
      <c r="B949" s="1">
        <f t="array" ref="B949">MMULT(Returns!B949:Z949,Resume!$B$38:$B$62)</f>
        <v>0</v>
      </c>
    </row>
    <row r="950" spans="1:2">
      <c r="A950" s="11">
        <f>Returns!A950</f>
        <v>0</v>
      </c>
      <c r="B950" s="1">
        <f t="array" ref="B950">MMULT(Returns!B950:Z950,Resume!$B$38:$B$62)</f>
        <v>0</v>
      </c>
    </row>
    <row r="951" spans="1:2">
      <c r="A951" s="11">
        <f>Returns!A951</f>
        <v>0</v>
      </c>
      <c r="B951" s="1">
        <f t="array" ref="B951">MMULT(Returns!B951:Z951,Resume!$B$38:$B$62)</f>
        <v>0</v>
      </c>
    </row>
    <row r="952" spans="1:2">
      <c r="A952" s="11">
        <f>Returns!A952</f>
        <v>0</v>
      </c>
      <c r="B952" s="1">
        <f t="array" ref="B952">MMULT(Returns!B952:Z952,Resume!$B$38:$B$62)</f>
        <v>0</v>
      </c>
    </row>
    <row r="953" spans="1:2">
      <c r="A953" s="11">
        <f>Returns!A953</f>
        <v>0</v>
      </c>
      <c r="B953" s="1">
        <f t="array" ref="B953">MMULT(Returns!B953:Z953,Resume!$B$38:$B$62)</f>
        <v>0</v>
      </c>
    </row>
    <row r="954" spans="1:2">
      <c r="A954" s="11">
        <f>Returns!A954</f>
        <v>0</v>
      </c>
      <c r="B954" s="1">
        <f t="array" ref="B954">MMULT(Returns!B954:Z954,Resume!$B$38:$B$62)</f>
        <v>0</v>
      </c>
    </row>
    <row r="955" spans="1:2">
      <c r="A955" s="11">
        <f>Returns!A955</f>
        <v>0</v>
      </c>
      <c r="B955" s="1">
        <f t="array" ref="B955">MMULT(Returns!B955:Z955,Resume!$B$38:$B$62)</f>
        <v>0</v>
      </c>
    </row>
    <row r="956" spans="1:2">
      <c r="A956" s="11">
        <f>Returns!A956</f>
        <v>0</v>
      </c>
      <c r="B956" s="1">
        <f t="array" ref="B956">MMULT(Returns!B956:Z956,Resume!$B$38:$B$62)</f>
        <v>0</v>
      </c>
    </row>
    <row r="957" spans="1:2">
      <c r="A957" s="11">
        <f>Returns!A957</f>
        <v>0</v>
      </c>
      <c r="B957" s="1">
        <f t="array" ref="B957">MMULT(Returns!B957:Z957,Resume!$B$38:$B$62)</f>
        <v>0</v>
      </c>
    </row>
    <row r="958" spans="1:2">
      <c r="A958" s="11">
        <f>Returns!A958</f>
        <v>0</v>
      </c>
      <c r="B958" s="1">
        <f t="array" ref="B958">MMULT(Returns!B958:Z958,Resume!$B$38:$B$62)</f>
        <v>0</v>
      </c>
    </row>
    <row r="959" spans="1:2">
      <c r="A959" s="11">
        <f>Returns!A959</f>
        <v>0</v>
      </c>
      <c r="B959" s="1">
        <f t="array" ref="B959">MMULT(Returns!B959:Z959,Resume!$B$38:$B$62)</f>
        <v>0</v>
      </c>
    </row>
    <row r="960" spans="1:2">
      <c r="A960" s="11">
        <f>Returns!A960</f>
        <v>0</v>
      </c>
      <c r="B960" s="1">
        <f t="array" ref="B960">MMULT(Returns!B960:Z960,Resume!$B$38:$B$62)</f>
        <v>0</v>
      </c>
    </row>
    <row r="961" spans="1:2">
      <c r="A961" s="11">
        <f>Returns!A961</f>
        <v>0</v>
      </c>
      <c r="B961" s="1">
        <f t="array" ref="B961">MMULT(Returns!B961:Z961,Resume!$B$38:$B$62)</f>
        <v>0</v>
      </c>
    </row>
    <row r="962" spans="1:2">
      <c r="A962" s="11">
        <f>Returns!A962</f>
        <v>0</v>
      </c>
      <c r="B962" s="1">
        <f t="array" ref="B962">MMULT(Returns!B962:Z962,Resume!$B$38:$B$62)</f>
        <v>0</v>
      </c>
    </row>
    <row r="963" spans="1:2">
      <c r="A963" s="11">
        <f>Returns!A963</f>
        <v>0</v>
      </c>
      <c r="B963" s="1">
        <f t="array" ref="B963">MMULT(Returns!B963:Z963,Resume!$B$38:$B$62)</f>
        <v>0</v>
      </c>
    </row>
    <row r="964" spans="1:2">
      <c r="A964" s="11">
        <f>Returns!A964</f>
        <v>0</v>
      </c>
      <c r="B964" s="1">
        <f t="array" ref="B964">MMULT(Returns!B964:Z964,Resume!$B$38:$B$62)</f>
        <v>0</v>
      </c>
    </row>
    <row r="965" spans="1:2">
      <c r="A965" s="11">
        <f>Returns!A965</f>
        <v>0</v>
      </c>
      <c r="B965" s="1">
        <f t="array" ref="B965">MMULT(Returns!B965:Z965,Resume!$B$38:$B$62)</f>
        <v>0</v>
      </c>
    </row>
    <row r="966" spans="1:2">
      <c r="A966" s="11">
        <f>Returns!A966</f>
        <v>0</v>
      </c>
      <c r="B966" s="1">
        <f t="array" ref="B966">MMULT(Returns!B966:Z966,Resume!$B$38:$B$62)</f>
        <v>0</v>
      </c>
    </row>
    <row r="967" spans="1:2">
      <c r="A967" s="11">
        <f>Returns!A967</f>
        <v>0</v>
      </c>
      <c r="B967" s="1">
        <f t="array" ref="B967">MMULT(Returns!B967:Z967,Resume!$B$38:$B$62)</f>
        <v>0</v>
      </c>
    </row>
    <row r="968" spans="1:2">
      <c r="A968" s="11">
        <f>Returns!A968</f>
        <v>0</v>
      </c>
      <c r="B968" s="1">
        <f t="array" ref="B968">MMULT(Returns!B968:Z968,Resume!$B$38:$B$62)</f>
        <v>0</v>
      </c>
    </row>
    <row r="969" spans="1:2">
      <c r="A969" s="11">
        <f>Returns!A969</f>
        <v>0</v>
      </c>
      <c r="B969" s="1">
        <f t="array" ref="B969">MMULT(Returns!B969:Z969,Resume!$B$38:$B$62)</f>
        <v>0</v>
      </c>
    </row>
    <row r="970" spans="1:2">
      <c r="A970" s="11">
        <f>Returns!A970</f>
        <v>0</v>
      </c>
      <c r="B970" s="1">
        <f t="array" ref="B970">MMULT(Returns!B970:Z970,Resume!$B$38:$B$62)</f>
        <v>0</v>
      </c>
    </row>
    <row r="971" spans="1:2">
      <c r="A971" s="11">
        <f>Returns!A971</f>
        <v>0</v>
      </c>
      <c r="B971" s="1">
        <f t="array" ref="B971">MMULT(Returns!B971:Z971,Resume!$B$38:$B$62)</f>
        <v>0</v>
      </c>
    </row>
    <row r="972" spans="1:2">
      <c r="A972" s="11">
        <f>Returns!A972</f>
        <v>0</v>
      </c>
      <c r="B972" s="1">
        <f t="array" ref="B972">MMULT(Returns!B972:Z972,Resume!$B$38:$B$62)</f>
        <v>0</v>
      </c>
    </row>
    <row r="973" spans="1:2">
      <c r="A973" s="11">
        <f>Returns!A973</f>
        <v>0</v>
      </c>
      <c r="B973" s="1">
        <f t="array" ref="B973">MMULT(Returns!B973:Z973,Resume!$B$38:$B$62)</f>
        <v>0</v>
      </c>
    </row>
    <row r="974" spans="1:2">
      <c r="A974" s="11">
        <f>Returns!A974</f>
        <v>0</v>
      </c>
      <c r="B974" s="1">
        <f t="array" ref="B974">MMULT(Returns!B974:Z974,Resume!$B$38:$B$62)</f>
        <v>0</v>
      </c>
    </row>
    <row r="975" spans="1:2">
      <c r="A975" s="11">
        <f>Returns!A975</f>
        <v>0</v>
      </c>
      <c r="B975" s="1">
        <f t="array" ref="B975">MMULT(Returns!B975:Z975,Resume!$B$38:$B$62)</f>
        <v>0</v>
      </c>
    </row>
    <row r="976" spans="1:2">
      <c r="A976" s="11">
        <f>Returns!A976</f>
        <v>0</v>
      </c>
      <c r="B976" s="1">
        <f t="array" ref="B976">MMULT(Returns!B976:Z976,Resume!$B$38:$B$62)</f>
        <v>0</v>
      </c>
    </row>
    <row r="977" spans="1:2">
      <c r="A977" s="11">
        <f>Returns!A977</f>
        <v>0</v>
      </c>
      <c r="B977" s="1">
        <f t="array" ref="B977">MMULT(Returns!B977:Z977,Resume!$B$38:$B$62)</f>
        <v>0</v>
      </c>
    </row>
    <row r="978" spans="1:2">
      <c r="A978" s="11">
        <f>Returns!A978</f>
        <v>0</v>
      </c>
      <c r="B978" s="1">
        <f t="array" ref="B978">MMULT(Returns!B978:Z978,Resume!$B$38:$B$62)</f>
        <v>0</v>
      </c>
    </row>
    <row r="979" spans="1:2">
      <c r="A979" s="11">
        <f>Returns!A979</f>
        <v>0</v>
      </c>
      <c r="B979" s="1">
        <f t="array" ref="B979">MMULT(Returns!B979:Z979,Resume!$B$38:$B$62)</f>
        <v>0</v>
      </c>
    </row>
    <row r="980" spans="1:2">
      <c r="A980" s="11">
        <f>Returns!A980</f>
        <v>0</v>
      </c>
      <c r="B980" s="1">
        <f t="array" ref="B980">MMULT(Returns!B980:Z980,Resume!$B$38:$B$62)</f>
        <v>0</v>
      </c>
    </row>
    <row r="981" spans="1:2">
      <c r="A981" s="11">
        <f>Returns!A981</f>
        <v>0</v>
      </c>
      <c r="B981" s="1">
        <f t="array" ref="B981">MMULT(Returns!B981:Z981,Resume!$B$38:$B$62)</f>
        <v>0</v>
      </c>
    </row>
    <row r="982" spans="1:2">
      <c r="A982" s="11">
        <f>Returns!A982</f>
        <v>0</v>
      </c>
      <c r="B982" s="1">
        <f t="array" ref="B982">MMULT(Returns!B982:Z982,Resume!$B$38:$B$62)</f>
        <v>0</v>
      </c>
    </row>
    <row r="983" spans="1:2">
      <c r="A983" s="11">
        <f>Returns!A983</f>
        <v>0</v>
      </c>
      <c r="B983" s="1">
        <f t="array" ref="B983">MMULT(Returns!B983:Z983,Resume!$B$38:$B$62)</f>
        <v>0</v>
      </c>
    </row>
    <row r="984" spans="1:2">
      <c r="A984" s="11">
        <f>Returns!A984</f>
        <v>0</v>
      </c>
      <c r="B984" s="1">
        <f t="array" ref="B984">MMULT(Returns!B984:Z984,Resume!$B$38:$B$62)</f>
        <v>0</v>
      </c>
    </row>
    <row r="985" spans="1:2">
      <c r="A985" s="11">
        <f>Returns!A985</f>
        <v>0</v>
      </c>
      <c r="B985" s="1">
        <f t="array" ref="B985">MMULT(Returns!B985:Z985,Resume!$B$38:$B$62)</f>
        <v>0</v>
      </c>
    </row>
    <row r="986" spans="1:2">
      <c r="A986" s="11">
        <f>Returns!A986</f>
        <v>0</v>
      </c>
      <c r="B986" s="1">
        <f t="array" ref="B986">MMULT(Returns!B986:Z986,Resume!$B$38:$B$62)</f>
        <v>0</v>
      </c>
    </row>
    <row r="987" spans="1:2">
      <c r="A987" s="11">
        <f>Returns!A987</f>
        <v>0</v>
      </c>
      <c r="B987" s="1">
        <f t="array" ref="B987">MMULT(Returns!B987:Z987,Resume!$B$38:$B$62)</f>
        <v>0</v>
      </c>
    </row>
    <row r="988" spans="1:2">
      <c r="A988" s="11">
        <f>Returns!A988</f>
        <v>0</v>
      </c>
      <c r="B988" s="1">
        <f t="array" ref="B988">MMULT(Returns!B988:Z988,Resume!$B$38:$B$62)</f>
        <v>0</v>
      </c>
    </row>
    <row r="989" spans="1:2">
      <c r="A989" s="11">
        <f>Returns!A989</f>
        <v>0</v>
      </c>
      <c r="B989" s="1">
        <f t="array" ref="B989">MMULT(Returns!B989:Z989,Resume!$B$38:$B$62)</f>
        <v>0</v>
      </c>
    </row>
    <row r="990" spans="1:2">
      <c r="A990" s="11">
        <f>Returns!A990</f>
        <v>0</v>
      </c>
      <c r="B990" s="1">
        <f t="array" ref="B990">MMULT(Returns!B990:Z990,Resume!$B$38:$B$62)</f>
        <v>0</v>
      </c>
    </row>
    <row r="991" spans="1:2">
      <c r="A991" s="11">
        <f>Returns!A991</f>
        <v>0</v>
      </c>
      <c r="B991" s="1">
        <f t="array" ref="B991">MMULT(Returns!B991:Z991,Resume!$B$38:$B$62)</f>
        <v>0</v>
      </c>
    </row>
    <row r="992" spans="1:2">
      <c r="A992" s="11">
        <f>Returns!A992</f>
        <v>0</v>
      </c>
      <c r="B992" s="1">
        <f t="array" ref="B992">MMULT(Returns!B992:Z992,Resume!$B$38:$B$62)</f>
        <v>0</v>
      </c>
    </row>
    <row r="993" spans="1:2">
      <c r="A993" s="11">
        <f>Returns!A993</f>
        <v>0</v>
      </c>
      <c r="B993" s="1">
        <f t="array" ref="B993">MMULT(Returns!B993:Z993,Resume!$B$38:$B$62)</f>
        <v>0</v>
      </c>
    </row>
    <row r="994" spans="1:2">
      <c r="A994" s="11">
        <f>Returns!A994</f>
        <v>0</v>
      </c>
      <c r="B994" s="1">
        <f t="array" ref="B994">MMULT(Returns!B994:Z994,Resume!$B$38:$B$62)</f>
        <v>0</v>
      </c>
    </row>
    <row r="995" spans="1:2">
      <c r="A995" s="11">
        <f>Returns!A995</f>
        <v>0</v>
      </c>
      <c r="B995" s="1">
        <f t="array" ref="B995">MMULT(Returns!B995:Z995,Resume!$B$38:$B$62)</f>
        <v>0</v>
      </c>
    </row>
    <row r="996" spans="1:2">
      <c r="A996" s="11">
        <f>Returns!A996</f>
        <v>0</v>
      </c>
      <c r="B996" s="1">
        <f t="array" ref="B996">MMULT(Returns!B996:Z996,Resume!$B$38:$B$62)</f>
        <v>0</v>
      </c>
    </row>
    <row r="997" spans="1:2">
      <c r="A997" s="11">
        <f>Returns!A997</f>
        <v>0</v>
      </c>
      <c r="B997" s="1">
        <f t="array" ref="B997">MMULT(Returns!B997:Z997,Resume!$B$38:$B$62)</f>
        <v>0</v>
      </c>
    </row>
    <row r="998" spans="1:2">
      <c r="A998" s="11">
        <f>Returns!A998</f>
        <v>0</v>
      </c>
      <c r="B998" s="1">
        <f t="array" ref="B998">MMULT(Returns!B998:Z998,Resume!$B$38:$B$62)</f>
        <v>0</v>
      </c>
    </row>
    <row r="999" spans="1:2">
      <c r="A999" s="11">
        <f>Returns!A999</f>
        <v>0</v>
      </c>
      <c r="B999" s="1">
        <f t="array" ref="B999">MMULT(Returns!B999:Z999,Resume!$B$38:$B$62)</f>
        <v>0</v>
      </c>
    </row>
    <row r="1000" spans="1:2">
      <c r="A1000" s="11">
        <f>Returns!A1000</f>
        <v>0</v>
      </c>
      <c r="B1000" s="1">
        <f t="array" ref="B1000">MMULT(Returns!B1000:Z1000,Resume!$B$38:$B$62)</f>
        <v>0</v>
      </c>
    </row>
    <row r="1001" spans="1:2">
      <c r="A1001" s="11">
        <f>Returns!A1001</f>
        <v>0</v>
      </c>
      <c r="B1001" s="1">
        <f t="array" ref="B1001">MMULT(Returns!B1001:Z1001,Resume!$B$38:$B$62)</f>
        <v>0</v>
      </c>
    </row>
    <row r="1002" spans="1:2">
      <c r="A1002" s="11">
        <f>Returns!A1002</f>
        <v>0</v>
      </c>
      <c r="B1002" s="1">
        <f t="array" ref="B1002">MMULT(Returns!B1002:Z1002,Resume!$B$38:$B$62)</f>
        <v>0</v>
      </c>
    </row>
    <row r="1003" spans="1:2">
      <c r="A1003" s="11">
        <f>Returns!A1003</f>
        <v>0</v>
      </c>
      <c r="B1003" s="1">
        <f t="array" ref="B1003">MMULT(Returns!B1003:Z1003,Resume!$B$38:$B$62)</f>
        <v>0</v>
      </c>
    </row>
    <row r="1004" spans="1:2">
      <c r="A1004" s="11">
        <f>Returns!A1004</f>
        <v>0</v>
      </c>
      <c r="B1004" s="1">
        <f t="array" ref="B1004">MMULT(Returns!B1004:Z1004,Resume!$B$38:$B$62)</f>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1004"/>
  <sheetViews>
    <sheetView showGridLines="0" workbookViewId="0"/>
  </sheetViews>
  <sheetFormatPr defaultRowHeight="15"/>
  <cols>
    <col min="1" max="1" width="10.7109375" style="10" customWidth="1"/>
  </cols>
  <sheetData>
    <row r="1" spans="1:2">
      <c r="A1" s="5" t="s">
        <v>26</v>
      </c>
      <c r="B1" s="5" t="s">
        <v>52</v>
      </c>
    </row>
    <row r="2" spans="1:2">
      <c r="A2" s="11">
        <f>Returns!A2</f>
        <v>0</v>
      </c>
      <c r="B2" s="1">
        <f>ABS(Portfolios!B2-AVERAGE(Portfolios!$B$2:$B$1004))</f>
        <v>0</v>
      </c>
    </row>
    <row r="3" spans="1:2">
      <c r="A3" s="11">
        <f>Returns!A3</f>
        <v>0</v>
      </c>
      <c r="B3" s="1">
        <f>ABS(Portfolios!B3-AVERAGE(Portfolios!$B$2:$B$1004))</f>
        <v>0</v>
      </c>
    </row>
    <row r="4" spans="1:2">
      <c r="A4" s="11">
        <f>Returns!A4</f>
        <v>0</v>
      </c>
      <c r="B4" s="1">
        <f>ABS(Portfolios!B4-AVERAGE(Portfolios!$B$2:$B$1004))</f>
        <v>0</v>
      </c>
    </row>
    <row r="5" spans="1:2">
      <c r="A5" s="11">
        <f>Returns!A5</f>
        <v>0</v>
      </c>
      <c r="B5" s="1">
        <f>ABS(Portfolios!B5-AVERAGE(Portfolios!$B$2:$B$1004))</f>
        <v>0</v>
      </c>
    </row>
    <row r="6" spans="1:2">
      <c r="A6" s="11">
        <f>Returns!A6</f>
        <v>0</v>
      </c>
      <c r="B6" s="1">
        <f>ABS(Portfolios!B6-AVERAGE(Portfolios!$B$2:$B$1004))</f>
        <v>0</v>
      </c>
    </row>
    <row r="7" spans="1:2">
      <c r="A7" s="11">
        <f>Returns!A7</f>
        <v>0</v>
      </c>
      <c r="B7" s="1">
        <f>ABS(Portfolios!B7-AVERAGE(Portfolios!$B$2:$B$1004))</f>
        <v>0</v>
      </c>
    </row>
    <row r="8" spans="1:2">
      <c r="A8" s="11">
        <f>Returns!A8</f>
        <v>0</v>
      </c>
      <c r="B8" s="1">
        <f>ABS(Portfolios!B8-AVERAGE(Portfolios!$B$2:$B$1004))</f>
        <v>0</v>
      </c>
    </row>
    <row r="9" spans="1:2">
      <c r="A9" s="11">
        <f>Returns!A9</f>
        <v>0</v>
      </c>
      <c r="B9" s="1">
        <f>ABS(Portfolios!B9-AVERAGE(Portfolios!$B$2:$B$1004))</f>
        <v>0</v>
      </c>
    </row>
    <row r="10" spans="1:2">
      <c r="A10" s="11">
        <f>Returns!A10</f>
        <v>0</v>
      </c>
      <c r="B10" s="1">
        <f>ABS(Portfolios!B10-AVERAGE(Portfolios!$B$2:$B$1004))</f>
        <v>0</v>
      </c>
    </row>
    <row r="11" spans="1:2">
      <c r="A11" s="11">
        <f>Returns!A11</f>
        <v>0</v>
      </c>
      <c r="B11" s="1">
        <f>ABS(Portfolios!B11-AVERAGE(Portfolios!$B$2:$B$1004))</f>
        <v>0</v>
      </c>
    </row>
    <row r="12" spans="1:2">
      <c r="A12" s="11">
        <f>Returns!A12</f>
        <v>0</v>
      </c>
      <c r="B12" s="1">
        <f>ABS(Portfolios!B12-AVERAGE(Portfolios!$B$2:$B$1004))</f>
        <v>0</v>
      </c>
    </row>
    <row r="13" spans="1:2">
      <c r="A13" s="11">
        <f>Returns!A13</f>
        <v>0</v>
      </c>
      <c r="B13" s="1">
        <f>ABS(Portfolios!B13-AVERAGE(Portfolios!$B$2:$B$1004))</f>
        <v>0</v>
      </c>
    </row>
    <row r="14" spans="1:2">
      <c r="A14" s="11">
        <f>Returns!A14</f>
        <v>0</v>
      </c>
      <c r="B14" s="1">
        <f>ABS(Portfolios!B14-AVERAGE(Portfolios!$B$2:$B$1004))</f>
        <v>0</v>
      </c>
    </row>
    <row r="15" spans="1:2">
      <c r="A15" s="11">
        <f>Returns!A15</f>
        <v>0</v>
      </c>
      <c r="B15" s="1">
        <f>ABS(Portfolios!B15-AVERAGE(Portfolios!$B$2:$B$1004))</f>
        <v>0</v>
      </c>
    </row>
    <row r="16" spans="1:2">
      <c r="A16" s="11">
        <f>Returns!A16</f>
        <v>0</v>
      </c>
      <c r="B16" s="1">
        <f>ABS(Portfolios!B16-AVERAGE(Portfolios!$B$2:$B$1004))</f>
        <v>0</v>
      </c>
    </row>
    <row r="17" spans="1:2">
      <c r="A17" s="11">
        <f>Returns!A17</f>
        <v>0</v>
      </c>
      <c r="B17" s="1">
        <f>ABS(Portfolios!B17-AVERAGE(Portfolios!$B$2:$B$1004))</f>
        <v>0</v>
      </c>
    </row>
    <row r="18" spans="1:2">
      <c r="A18" s="11">
        <f>Returns!A18</f>
        <v>0</v>
      </c>
      <c r="B18" s="1">
        <f>ABS(Portfolios!B18-AVERAGE(Portfolios!$B$2:$B$1004))</f>
        <v>0</v>
      </c>
    </row>
    <row r="19" spans="1:2">
      <c r="A19" s="11">
        <f>Returns!A19</f>
        <v>0</v>
      </c>
      <c r="B19" s="1">
        <f>ABS(Portfolios!B19-AVERAGE(Portfolios!$B$2:$B$1004))</f>
        <v>0</v>
      </c>
    </row>
    <row r="20" spans="1:2">
      <c r="A20" s="11">
        <f>Returns!A20</f>
        <v>0</v>
      </c>
      <c r="B20" s="1">
        <f>ABS(Portfolios!B20-AVERAGE(Portfolios!$B$2:$B$1004))</f>
        <v>0</v>
      </c>
    </row>
    <row r="21" spans="1:2">
      <c r="A21" s="11">
        <f>Returns!A21</f>
        <v>0</v>
      </c>
      <c r="B21" s="1">
        <f>ABS(Portfolios!B21-AVERAGE(Portfolios!$B$2:$B$1004))</f>
        <v>0</v>
      </c>
    </row>
    <row r="22" spans="1:2">
      <c r="A22" s="11">
        <f>Returns!A22</f>
        <v>0</v>
      </c>
      <c r="B22" s="1">
        <f>ABS(Portfolios!B22-AVERAGE(Portfolios!$B$2:$B$1004))</f>
        <v>0</v>
      </c>
    </row>
    <row r="23" spans="1:2">
      <c r="A23" s="11">
        <f>Returns!A23</f>
        <v>0</v>
      </c>
      <c r="B23" s="1">
        <f>ABS(Portfolios!B23-AVERAGE(Portfolios!$B$2:$B$1004))</f>
        <v>0</v>
      </c>
    </row>
    <row r="24" spans="1:2">
      <c r="A24" s="11">
        <f>Returns!A24</f>
        <v>0</v>
      </c>
      <c r="B24" s="1">
        <f>ABS(Portfolios!B24-AVERAGE(Portfolios!$B$2:$B$1004))</f>
        <v>0</v>
      </c>
    </row>
    <row r="25" spans="1:2">
      <c r="A25" s="11">
        <f>Returns!A25</f>
        <v>0</v>
      </c>
      <c r="B25" s="1">
        <f>ABS(Portfolios!B25-AVERAGE(Portfolios!$B$2:$B$1004))</f>
        <v>0</v>
      </c>
    </row>
    <row r="26" spans="1:2">
      <c r="A26" s="11">
        <f>Returns!A26</f>
        <v>0</v>
      </c>
      <c r="B26" s="1">
        <f>ABS(Portfolios!B26-AVERAGE(Portfolios!$B$2:$B$1004))</f>
        <v>0</v>
      </c>
    </row>
    <row r="27" spans="1:2">
      <c r="A27" s="11">
        <f>Returns!A27</f>
        <v>0</v>
      </c>
      <c r="B27" s="1">
        <f>ABS(Portfolios!B27-AVERAGE(Portfolios!$B$2:$B$1004))</f>
        <v>0</v>
      </c>
    </row>
    <row r="28" spans="1:2">
      <c r="A28" s="11">
        <f>Returns!A28</f>
        <v>0</v>
      </c>
      <c r="B28" s="1">
        <f>ABS(Portfolios!B28-AVERAGE(Portfolios!$B$2:$B$1004))</f>
        <v>0</v>
      </c>
    </row>
    <row r="29" spans="1:2">
      <c r="A29" s="11">
        <f>Returns!A29</f>
        <v>0</v>
      </c>
      <c r="B29" s="1">
        <f>ABS(Portfolios!B29-AVERAGE(Portfolios!$B$2:$B$1004))</f>
        <v>0</v>
      </c>
    </row>
    <row r="30" spans="1:2">
      <c r="A30" s="11">
        <f>Returns!A30</f>
        <v>0</v>
      </c>
      <c r="B30" s="1">
        <f>ABS(Portfolios!B30-AVERAGE(Portfolios!$B$2:$B$1004))</f>
        <v>0</v>
      </c>
    </row>
    <row r="31" spans="1:2">
      <c r="A31" s="11">
        <f>Returns!A31</f>
        <v>0</v>
      </c>
      <c r="B31" s="1">
        <f>ABS(Portfolios!B31-AVERAGE(Portfolios!$B$2:$B$1004))</f>
        <v>0</v>
      </c>
    </row>
    <row r="32" spans="1:2">
      <c r="A32" s="11">
        <f>Returns!A32</f>
        <v>0</v>
      </c>
      <c r="B32" s="1">
        <f>ABS(Portfolios!B32-AVERAGE(Portfolios!$B$2:$B$1004))</f>
        <v>0</v>
      </c>
    </row>
    <row r="33" spans="1:2">
      <c r="A33" s="11">
        <f>Returns!A33</f>
        <v>0</v>
      </c>
      <c r="B33" s="1">
        <f>ABS(Portfolios!B33-AVERAGE(Portfolios!$B$2:$B$1004))</f>
        <v>0</v>
      </c>
    </row>
    <row r="34" spans="1:2">
      <c r="A34" s="11">
        <f>Returns!A34</f>
        <v>0</v>
      </c>
      <c r="B34" s="1">
        <f>ABS(Portfolios!B34-AVERAGE(Portfolios!$B$2:$B$1004))</f>
        <v>0</v>
      </c>
    </row>
    <row r="35" spans="1:2">
      <c r="A35" s="11">
        <f>Returns!A35</f>
        <v>0</v>
      </c>
      <c r="B35" s="1">
        <f>ABS(Portfolios!B35-AVERAGE(Portfolios!$B$2:$B$1004))</f>
        <v>0</v>
      </c>
    </row>
    <row r="36" spans="1:2">
      <c r="A36" s="11">
        <f>Returns!A36</f>
        <v>0</v>
      </c>
      <c r="B36" s="1">
        <f>ABS(Portfolios!B36-AVERAGE(Portfolios!$B$2:$B$1004))</f>
        <v>0</v>
      </c>
    </row>
    <row r="37" spans="1:2">
      <c r="A37" s="11">
        <f>Returns!A37</f>
        <v>0</v>
      </c>
      <c r="B37" s="1">
        <f>ABS(Portfolios!B37-AVERAGE(Portfolios!$B$2:$B$1004))</f>
        <v>0</v>
      </c>
    </row>
    <row r="38" spans="1:2">
      <c r="A38" s="11">
        <f>Returns!A38</f>
        <v>0</v>
      </c>
      <c r="B38" s="1">
        <f>ABS(Portfolios!B38-AVERAGE(Portfolios!$B$2:$B$1004))</f>
        <v>0</v>
      </c>
    </row>
    <row r="39" spans="1:2">
      <c r="A39" s="11">
        <f>Returns!A39</f>
        <v>0</v>
      </c>
      <c r="B39" s="1">
        <f>ABS(Portfolios!B39-AVERAGE(Portfolios!$B$2:$B$1004))</f>
        <v>0</v>
      </c>
    </row>
    <row r="40" spans="1:2">
      <c r="A40" s="11">
        <f>Returns!A40</f>
        <v>0</v>
      </c>
      <c r="B40" s="1">
        <f>ABS(Portfolios!B40-AVERAGE(Portfolios!$B$2:$B$1004))</f>
        <v>0</v>
      </c>
    </row>
    <row r="41" spans="1:2">
      <c r="A41" s="11">
        <f>Returns!A41</f>
        <v>0</v>
      </c>
      <c r="B41" s="1">
        <f>ABS(Portfolios!B41-AVERAGE(Portfolios!$B$2:$B$1004))</f>
        <v>0</v>
      </c>
    </row>
    <row r="42" spans="1:2">
      <c r="A42" s="11">
        <f>Returns!A42</f>
        <v>0</v>
      </c>
      <c r="B42" s="1">
        <f>ABS(Portfolios!B42-AVERAGE(Portfolios!$B$2:$B$1004))</f>
        <v>0</v>
      </c>
    </row>
    <row r="43" spans="1:2">
      <c r="A43" s="11">
        <f>Returns!A43</f>
        <v>0</v>
      </c>
      <c r="B43" s="1">
        <f>ABS(Portfolios!B43-AVERAGE(Portfolios!$B$2:$B$1004))</f>
        <v>0</v>
      </c>
    </row>
    <row r="44" spans="1:2">
      <c r="A44" s="11">
        <f>Returns!A44</f>
        <v>0</v>
      </c>
      <c r="B44" s="1">
        <f>ABS(Portfolios!B44-AVERAGE(Portfolios!$B$2:$B$1004))</f>
        <v>0</v>
      </c>
    </row>
    <row r="45" spans="1:2">
      <c r="A45" s="11">
        <f>Returns!A45</f>
        <v>0</v>
      </c>
      <c r="B45" s="1">
        <f>ABS(Portfolios!B45-AVERAGE(Portfolios!$B$2:$B$1004))</f>
        <v>0</v>
      </c>
    </row>
    <row r="46" spans="1:2">
      <c r="A46" s="11">
        <f>Returns!A46</f>
        <v>0</v>
      </c>
      <c r="B46" s="1">
        <f>ABS(Portfolios!B46-AVERAGE(Portfolios!$B$2:$B$1004))</f>
        <v>0</v>
      </c>
    </row>
    <row r="47" spans="1:2">
      <c r="A47" s="11">
        <f>Returns!A47</f>
        <v>0</v>
      </c>
      <c r="B47" s="1">
        <f>ABS(Portfolios!B47-AVERAGE(Portfolios!$B$2:$B$1004))</f>
        <v>0</v>
      </c>
    </row>
    <row r="48" spans="1:2">
      <c r="A48" s="11">
        <f>Returns!A48</f>
        <v>0</v>
      </c>
      <c r="B48" s="1">
        <f>ABS(Portfolios!B48-AVERAGE(Portfolios!$B$2:$B$1004))</f>
        <v>0</v>
      </c>
    </row>
    <row r="49" spans="1:2">
      <c r="A49" s="11">
        <f>Returns!A49</f>
        <v>0</v>
      </c>
      <c r="B49" s="1">
        <f>ABS(Portfolios!B49-AVERAGE(Portfolios!$B$2:$B$1004))</f>
        <v>0</v>
      </c>
    </row>
    <row r="50" spans="1:2">
      <c r="A50" s="11">
        <f>Returns!A50</f>
        <v>0</v>
      </c>
      <c r="B50" s="1">
        <f>ABS(Portfolios!B50-AVERAGE(Portfolios!$B$2:$B$1004))</f>
        <v>0</v>
      </c>
    </row>
    <row r="51" spans="1:2">
      <c r="A51" s="11">
        <f>Returns!A51</f>
        <v>0</v>
      </c>
      <c r="B51" s="1">
        <f>ABS(Portfolios!B51-AVERAGE(Portfolios!$B$2:$B$1004))</f>
        <v>0</v>
      </c>
    </row>
    <row r="52" spans="1:2">
      <c r="A52" s="11">
        <f>Returns!A52</f>
        <v>0</v>
      </c>
      <c r="B52" s="1">
        <f>ABS(Portfolios!B52-AVERAGE(Portfolios!$B$2:$B$1004))</f>
        <v>0</v>
      </c>
    </row>
    <row r="53" spans="1:2">
      <c r="A53" s="11">
        <f>Returns!A53</f>
        <v>0</v>
      </c>
      <c r="B53" s="1">
        <f>ABS(Portfolios!B53-AVERAGE(Portfolios!$B$2:$B$1004))</f>
        <v>0</v>
      </c>
    </row>
    <row r="54" spans="1:2">
      <c r="A54" s="11">
        <f>Returns!A54</f>
        <v>0</v>
      </c>
      <c r="B54" s="1">
        <f>ABS(Portfolios!B54-AVERAGE(Portfolios!$B$2:$B$1004))</f>
        <v>0</v>
      </c>
    </row>
    <row r="55" spans="1:2">
      <c r="A55" s="11">
        <f>Returns!A55</f>
        <v>0</v>
      </c>
      <c r="B55" s="1">
        <f>ABS(Portfolios!B55-AVERAGE(Portfolios!$B$2:$B$1004))</f>
        <v>0</v>
      </c>
    </row>
    <row r="56" spans="1:2">
      <c r="A56" s="11">
        <f>Returns!A56</f>
        <v>0</v>
      </c>
      <c r="B56" s="1">
        <f>ABS(Portfolios!B56-AVERAGE(Portfolios!$B$2:$B$1004))</f>
        <v>0</v>
      </c>
    </row>
    <row r="57" spans="1:2">
      <c r="A57" s="11">
        <f>Returns!A57</f>
        <v>0</v>
      </c>
      <c r="B57" s="1">
        <f>ABS(Portfolios!B57-AVERAGE(Portfolios!$B$2:$B$1004))</f>
        <v>0</v>
      </c>
    </row>
    <row r="58" spans="1:2">
      <c r="A58" s="11">
        <f>Returns!A58</f>
        <v>0</v>
      </c>
      <c r="B58" s="1">
        <f>ABS(Portfolios!B58-AVERAGE(Portfolios!$B$2:$B$1004))</f>
        <v>0</v>
      </c>
    </row>
    <row r="59" spans="1:2">
      <c r="A59" s="11">
        <f>Returns!A59</f>
        <v>0</v>
      </c>
      <c r="B59" s="1">
        <f>ABS(Portfolios!B59-AVERAGE(Portfolios!$B$2:$B$1004))</f>
        <v>0</v>
      </c>
    </row>
    <row r="60" spans="1:2">
      <c r="A60" s="11">
        <f>Returns!A60</f>
        <v>0</v>
      </c>
      <c r="B60" s="1">
        <f>ABS(Portfolios!B60-AVERAGE(Portfolios!$B$2:$B$1004))</f>
        <v>0</v>
      </c>
    </row>
    <row r="61" spans="1:2">
      <c r="A61" s="11">
        <f>Returns!A61</f>
        <v>0</v>
      </c>
      <c r="B61" s="1">
        <f>ABS(Portfolios!B61-AVERAGE(Portfolios!$B$2:$B$1004))</f>
        <v>0</v>
      </c>
    </row>
    <row r="62" spans="1:2">
      <c r="A62" s="11">
        <f>Returns!A62</f>
        <v>0</v>
      </c>
      <c r="B62" s="1">
        <f>ABS(Portfolios!B62-AVERAGE(Portfolios!$B$2:$B$1004))</f>
        <v>0</v>
      </c>
    </row>
    <row r="63" spans="1:2">
      <c r="A63" s="11">
        <f>Returns!A63</f>
        <v>0</v>
      </c>
      <c r="B63" s="1">
        <f>ABS(Portfolios!B63-AVERAGE(Portfolios!$B$2:$B$1004))</f>
        <v>0</v>
      </c>
    </row>
    <row r="64" spans="1:2">
      <c r="A64" s="11">
        <f>Returns!A64</f>
        <v>0</v>
      </c>
      <c r="B64" s="1">
        <f>ABS(Portfolios!B64-AVERAGE(Portfolios!$B$2:$B$1004))</f>
        <v>0</v>
      </c>
    </row>
    <row r="65" spans="1:2">
      <c r="A65" s="11">
        <f>Returns!A65</f>
        <v>0</v>
      </c>
      <c r="B65" s="1">
        <f>ABS(Portfolios!B65-AVERAGE(Portfolios!$B$2:$B$1004))</f>
        <v>0</v>
      </c>
    </row>
    <row r="66" spans="1:2">
      <c r="A66" s="11">
        <f>Returns!A66</f>
        <v>0</v>
      </c>
      <c r="B66" s="1">
        <f>ABS(Portfolios!B66-AVERAGE(Portfolios!$B$2:$B$1004))</f>
        <v>0</v>
      </c>
    </row>
    <row r="67" spans="1:2">
      <c r="A67" s="11">
        <f>Returns!A67</f>
        <v>0</v>
      </c>
      <c r="B67" s="1">
        <f>ABS(Portfolios!B67-AVERAGE(Portfolios!$B$2:$B$1004))</f>
        <v>0</v>
      </c>
    </row>
    <row r="68" spans="1:2">
      <c r="A68" s="11">
        <f>Returns!A68</f>
        <v>0</v>
      </c>
      <c r="B68" s="1">
        <f>ABS(Portfolios!B68-AVERAGE(Portfolios!$B$2:$B$1004))</f>
        <v>0</v>
      </c>
    </row>
    <row r="69" spans="1:2">
      <c r="A69" s="11">
        <f>Returns!A69</f>
        <v>0</v>
      </c>
      <c r="B69" s="1">
        <f>ABS(Portfolios!B69-AVERAGE(Portfolios!$B$2:$B$1004))</f>
        <v>0</v>
      </c>
    </row>
    <row r="70" spans="1:2">
      <c r="A70" s="11">
        <f>Returns!A70</f>
        <v>0</v>
      </c>
      <c r="B70" s="1">
        <f>ABS(Portfolios!B70-AVERAGE(Portfolios!$B$2:$B$1004))</f>
        <v>0</v>
      </c>
    </row>
    <row r="71" spans="1:2">
      <c r="A71" s="11">
        <f>Returns!A71</f>
        <v>0</v>
      </c>
      <c r="B71" s="1">
        <f>ABS(Portfolios!B71-AVERAGE(Portfolios!$B$2:$B$1004))</f>
        <v>0</v>
      </c>
    </row>
    <row r="72" spans="1:2">
      <c r="A72" s="11">
        <f>Returns!A72</f>
        <v>0</v>
      </c>
      <c r="B72" s="1">
        <f>ABS(Portfolios!B72-AVERAGE(Portfolios!$B$2:$B$1004))</f>
        <v>0</v>
      </c>
    </row>
    <row r="73" spans="1:2">
      <c r="A73" s="11">
        <f>Returns!A73</f>
        <v>0</v>
      </c>
      <c r="B73" s="1">
        <f>ABS(Portfolios!B73-AVERAGE(Portfolios!$B$2:$B$1004))</f>
        <v>0</v>
      </c>
    </row>
    <row r="74" spans="1:2">
      <c r="A74" s="11">
        <f>Returns!A74</f>
        <v>0</v>
      </c>
      <c r="B74" s="1">
        <f>ABS(Portfolios!B74-AVERAGE(Portfolios!$B$2:$B$1004))</f>
        <v>0</v>
      </c>
    </row>
    <row r="75" spans="1:2">
      <c r="A75" s="11">
        <f>Returns!A75</f>
        <v>0</v>
      </c>
      <c r="B75" s="1">
        <f>ABS(Portfolios!B75-AVERAGE(Portfolios!$B$2:$B$1004))</f>
        <v>0</v>
      </c>
    </row>
    <row r="76" spans="1:2">
      <c r="A76" s="11">
        <f>Returns!A76</f>
        <v>0</v>
      </c>
      <c r="B76" s="1">
        <f>ABS(Portfolios!B76-AVERAGE(Portfolios!$B$2:$B$1004))</f>
        <v>0</v>
      </c>
    </row>
    <row r="77" spans="1:2">
      <c r="A77" s="11">
        <f>Returns!A77</f>
        <v>0</v>
      </c>
      <c r="B77" s="1">
        <f>ABS(Portfolios!B77-AVERAGE(Portfolios!$B$2:$B$1004))</f>
        <v>0</v>
      </c>
    </row>
    <row r="78" spans="1:2">
      <c r="A78" s="11">
        <f>Returns!A78</f>
        <v>0</v>
      </c>
      <c r="B78" s="1">
        <f>ABS(Portfolios!B78-AVERAGE(Portfolios!$B$2:$B$1004))</f>
        <v>0</v>
      </c>
    </row>
    <row r="79" spans="1:2">
      <c r="A79" s="11">
        <f>Returns!A79</f>
        <v>0</v>
      </c>
      <c r="B79" s="1">
        <f>ABS(Portfolios!B79-AVERAGE(Portfolios!$B$2:$B$1004))</f>
        <v>0</v>
      </c>
    </row>
    <row r="80" spans="1:2">
      <c r="A80" s="11">
        <f>Returns!A80</f>
        <v>0</v>
      </c>
      <c r="B80" s="1">
        <f>ABS(Portfolios!B80-AVERAGE(Portfolios!$B$2:$B$1004))</f>
        <v>0</v>
      </c>
    </row>
    <row r="81" spans="1:2">
      <c r="A81" s="11">
        <f>Returns!A81</f>
        <v>0</v>
      </c>
      <c r="B81" s="1">
        <f>ABS(Portfolios!B81-AVERAGE(Portfolios!$B$2:$B$1004))</f>
        <v>0</v>
      </c>
    </row>
    <row r="82" spans="1:2">
      <c r="A82" s="11">
        <f>Returns!A82</f>
        <v>0</v>
      </c>
      <c r="B82" s="1">
        <f>ABS(Portfolios!B82-AVERAGE(Portfolios!$B$2:$B$1004))</f>
        <v>0</v>
      </c>
    </row>
    <row r="83" spans="1:2">
      <c r="A83" s="11">
        <f>Returns!A83</f>
        <v>0</v>
      </c>
      <c r="B83" s="1">
        <f>ABS(Portfolios!B83-AVERAGE(Portfolios!$B$2:$B$1004))</f>
        <v>0</v>
      </c>
    </row>
    <row r="84" spans="1:2">
      <c r="A84" s="11">
        <f>Returns!A84</f>
        <v>0</v>
      </c>
      <c r="B84" s="1">
        <f>ABS(Portfolios!B84-AVERAGE(Portfolios!$B$2:$B$1004))</f>
        <v>0</v>
      </c>
    </row>
    <row r="85" spans="1:2">
      <c r="A85" s="11">
        <f>Returns!A85</f>
        <v>0</v>
      </c>
      <c r="B85" s="1">
        <f>ABS(Portfolios!B85-AVERAGE(Portfolios!$B$2:$B$1004))</f>
        <v>0</v>
      </c>
    </row>
    <row r="86" spans="1:2">
      <c r="A86" s="11">
        <f>Returns!A86</f>
        <v>0</v>
      </c>
      <c r="B86" s="1">
        <f>ABS(Portfolios!B86-AVERAGE(Portfolios!$B$2:$B$1004))</f>
        <v>0</v>
      </c>
    </row>
    <row r="87" spans="1:2">
      <c r="A87" s="11">
        <f>Returns!A87</f>
        <v>0</v>
      </c>
      <c r="B87" s="1">
        <f>ABS(Portfolios!B87-AVERAGE(Portfolios!$B$2:$B$1004))</f>
        <v>0</v>
      </c>
    </row>
    <row r="88" spans="1:2">
      <c r="A88" s="11">
        <f>Returns!A88</f>
        <v>0</v>
      </c>
      <c r="B88" s="1">
        <f>ABS(Portfolios!B88-AVERAGE(Portfolios!$B$2:$B$1004))</f>
        <v>0</v>
      </c>
    </row>
    <row r="89" spans="1:2">
      <c r="A89" s="11">
        <f>Returns!A89</f>
        <v>0</v>
      </c>
      <c r="B89" s="1">
        <f>ABS(Portfolios!B89-AVERAGE(Portfolios!$B$2:$B$1004))</f>
        <v>0</v>
      </c>
    </row>
    <row r="90" spans="1:2">
      <c r="A90" s="11">
        <f>Returns!A90</f>
        <v>0</v>
      </c>
      <c r="B90" s="1">
        <f>ABS(Portfolios!B90-AVERAGE(Portfolios!$B$2:$B$1004))</f>
        <v>0</v>
      </c>
    </row>
    <row r="91" spans="1:2">
      <c r="A91" s="11">
        <f>Returns!A91</f>
        <v>0</v>
      </c>
      <c r="B91" s="1">
        <f>ABS(Portfolios!B91-AVERAGE(Portfolios!$B$2:$B$1004))</f>
        <v>0</v>
      </c>
    </row>
    <row r="92" spans="1:2">
      <c r="A92" s="11">
        <f>Returns!A92</f>
        <v>0</v>
      </c>
      <c r="B92" s="1">
        <f>ABS(Portfolios!B92-AVERAGE(Portfolios!$B$2:$B$1004))</f>
        <v>0</v>
      </c>
    </row>
    <row r="93" spans="1:2">
      <c r="A93" s="11">
        <f>Returns!A93</f>
        <v>0</v>
      </c>
      <c r="B93" s="1">
        <f>ABS(Portfolios!B93-AVERAGE(Portfolios!$B$2:$B$1004))</f>
        <v>0</v>
      </c>
    </row>
    <row r="94" spans="1:2">
      <c r="A94" s="11">
        <f>Returns!A94</f>
        <v>0</v>
      </c>
      <c r="B94" s="1">
        <f>ABS(Portfolios!B94-AVERAGE(Portfolios!$B$2:$B$1004))</f>
        <v>0</v>
      </c>
    </row>
    <row r="95" spans="1:2">
      <c r="A95" s="11">
        <f>Returns!A95</f>
        <v>0</v>
      </c>
      <c r="B95" s="1">
        <f>ABS(Portfolios!B95-AVERAGE(Portfolios!$B$2:$B$1004))</f>
        <v>0</v>
      </c>
    </row>
    <row r="96" spans="1:2">
      <c r="A96" s="11">
        <f>Returns!A96</f>
        <v>0</v>
      </c>
      <c r="B96" s="1">
        <f>ABS(Portfolios!B96-AVERAGE(Portfolios!$B$2:$B$1004))</f>
        <v>0</v>
      </c>
    </row>
    <row r="97" spans="1:2">
      <c r="A97" s="11">
        <f>Returns!A97</f>
        <v>0</v>
      </c>
      <c r="B97" s="1">
        <f>ABS(Portfolios!B97-AVERAGE(Portfolios!$B$2:$B$1004))</f>
        <v>0</v>
      </c>
    </row>
    <row r="98" spans="1:2">
      <c r="A98" s="11">
        <f>Returns!A98</f>
        <v>0</v>
      </c>
      <c r="B98" s="1">
        <f>ABS(Portfolios!B98-AVERAGE(Portfolios!$B$2:$B$1004))</f>
        <v>0</v>
      </c>
    </row>
    <row r="99" spans="1:2">
      <c r="A99" s="11">
        <f>Returns!A99</f>
        <v>0</v>
      </c>
      <c r="B99" s="1">
        <f>ABS(Portfolios!B99-AVERAGE(Portfolios!$B$2:$B$1004))</f>
        <v>0</v>
      </c>
    </row>
    <row r="100" spans="1:2">
      <c r="A100" s="11">
        <f>Returns!A100</f>
        <v>0</v>
      </c>
      <c r="B100" s="1">
        <f>ABS(Portfolios!B100-AVERAGE(Portfolios!$B$2:$B$1004))</f>
        <v>0</v>
      </c>
    </row>
    <row r="101" spans="1:2">
      <c r="A101" s="11">
        <f>Returns!A101</f>
        <v>0</v>
      </c>
      <c r="B101" s="1">
        <f>ABS(Portfolios!B101-AVERAGE(Portfolios!$B$2:$B$1004))</f>
        <v>0</v>
      </c>
    </row>
    <row r="102" spans="1:2">
      <c r="A102" s="11">
        <f>Returns!A102</f>
        <v>0</v>
      </c>
      <c r="B102" s="1">
        <f>ABS(Portfolios!B102-AVERAGE(Portfolios!$B$2:$B$1004))</f>
        <v>0</v>
      </c>
    </row>
    <row r="103" spans="1:2">
      <c r="A103" s="11">
        <f>Returns!A103</f>
        <v>0</v>
      </c>
      <c r="B103" s="1">
        <f>ABS(Portfolios!B103-AVERAGE(Portfolios!$B$2:$B$1004))</f>
        <v>0</v>
      </c>
    </row>
    <row r="104" spans="1:2">
      <c r="A104" s="11">
        <f>Returns!A104</f>
        <v>0</v>
      </c>
      <c r="B104" s="1">
        <f>ABS(Portfolios!B104-AVERAGE(Portfolios!$B$2:$B$1004))</f>
        <v>0</v>
      </c>
    </row>
    <row r="105" spans="1:2">
      <c r="A105" s="11">
        <f>Returns!A105</f>
        <v>0</v>
      </c>
      <c r="B105" s="1">
        <f>ABS(Portfolios!B105-AVERAGE(Portfolios!$B$2:$B$1004))</f>
        <v>0</v>
      </c>
    </row>
    <row r="106" spans="1:2">
      <c r="A106" s="11">
        <f>Returns!A106</f>
        <v>0</v>
      </c>
      <c r="B106" s="1">
        <f>ABS(Portfolios!B106-AVERAGE(Portfolios!$B$2:$B$1004))</f>
        <v>0</v>
      </c>
    </row>
    <row r="107" spans="1:2">
      <c r="A107" s="11">
        <f>Returns!A107</f>
        <v>0</v>
      </c>
      <c r="B107" s="1">
        <f>ABS(Portfolios!B107-AVERAGE(Portfolios!$B$2:$B$1004))</f>
        <v>0</v>
      </c>
    </row>
    <row r="108" spans="1:2">
      <c r="A108" s="11">
        <f>Returns!A108</f>
        <v>0</v>
      </c>
      <c r="B108" s="1">
        <f>ABS(Portfolios!B108-AVERAGE(Portfolios!$B$2:$B$1004))</f>
        <v>0</v>
      </c>
    </row>
    <row r="109" spans="1:2">
      <c r="A109" s="11">
        <f>Returns!A109</f>
        <v>0</v>
      </c>
      <c r="B109" s="1">
        <f>ABS(Portfolios!B109-AVERAGE(Portfolios!$B$2:$B$1004))</f>
        <v>0</v>
      </c>
    </row>
    <row r="110" spans="1:2">
      <c r="A110" s="11">
        <f>Returns!A110</f>
        <v>0</v>
      </c>
      <c r="B110" s="1">
        <f>ABS(Portfolios!B110-AVERAGE(Portfolios!$B$2:$B$1004))</f>
        <v>0</v>
      </c>
    </row>
    <row r="111" spans="1:2">
      <c r="A111" s="11">
        <f>Returns!A111</f>
        <v>0</v>
      </c>
      <c r="B111" s="1">
        <f>ABS(Portfolios!B111-AVERAGE(Portfolios!$B$2:$B$1004))</f>
        <v>0</v>
      </c>
    </row>
    <row r="112" spans="1:2">
      <c r="A112" s="11">
        <f>Returns!A112</f>
        <v>0</v>
      </c>
      <c r="B112" s="1">
        <f>ABS(Portfolios!B112-AVERAGE(Portfolios!$B$2:$B$1004))</f>
        <v>0</v>
      </c>
    </row>
    <row r="113" spans="1:2">
      <c r="A113" s="11">
        <f>Returns!A113</f>
        <v>0</v>
      </c>
      <c r="B113" s="1">
        <f>ABS(Portfolios!B113-AVERAGE(Portfolios!$B$2:$B$1004))</f>
        <v>0</v>
      </c>
    </row>
    <row r="114" spans="1:2">
      <c r="A114" s="11">
        <f>Returns!A114</f>
        <v>0</v>
      </c>
      <c r="B114" s="1">
        <f>ABS(Portfolios!B114-AVERAGE(Portfolios!$B$2:$B$1004))</f>
        <v>0</v>
      </c>
    </row>
    <row r="115" spans="1:2">
      <c r="A115" s="11">
        <f>Returns!A115</f>
        <v>0</v>
      </c>
      <c r="B115" s="1">
        <f>ABS(Portfolios!B115-AVERAGE(Portfolios!$B$2:$B$1004))</f>
        <v>0</v>
      </c>
    </row>
    <row r="116" spans="1:2">
      <c r="A116" s="11">
        <f>Returns!A116</f>
        <v>0</v>
      </c>
      <c r="B116" s="1">
        <f>ABS(Portfolios!B116-AVERAGE(Portfolios!$B$2:$B$1004))</f>
        <v>0</v>
      </c>
    </row>
    <row r="117" spans="1:2">
      <c r="A117" s="11">
        <f>Returns!A117</f>
        <v>0</v>
      </c>
      <c r="B117" s="1">
        <f>ABS(Portfolios!B117-AVERAGE(Portfolios!$B$2:$B$1004))</f>
        <v>0</v>
      </c>
    </row>
    <row r="118" spans="1:2">
      <c r="A118" s="11">
        <f>Returns!A118</f>
        <v>0</v>
      </c>
      <c r="B118" s="1">
        <f>ABS(Portfolios!B118-AVERAGE(Portfolios!$B$2:$B$1004))</f>
        <v>0</v>
      </c>
    </row>
    <row r="119" spans="1:2">
      <c r="A119" s="11">
        <f>Returns!A119</f>
        <v>0</v>
      </c>
      <c r="B119" s="1">
        <f>ABS(Portfolios!B119-AVERAGE(Portfolios!$B$2:$B$1004))</f>
        <v>0</v>
      </c>
    </row>
    <row r="120" spans="1:2">
      <c r="A120" s="11">
        <f>Returns!A120</f>
        <v>0</v>
      </c>
      <c r="B120" s="1">
        <f>ABS(Portfolios!B120-AVERAGE(Portfolios!$B$2:$B$1004))</f>
        <v>0</v>
      </c>
    </row>
    <row r="121" spans="1:2">
      <c r="A121" s="11">
        <f>Returns!A121</f>
        <v>0</v>
      </c>
      <c r="B121" s="1">
        <f>ABS(Portfolios!B121-AVERAGE(Portfolios!$B$2:$B$1004))</f>
        <v>0</v>
      </c>
    </row>
    <row r="122" spans="1:2">
      <c r="A122" s="11">
        <f>Returns!A122</f>
        <v>0</v>
      </c>
      <c r="B122" s="1">
        <f>ABS(Portfolios!B122-AVERAGE(Portfolios!$B$2:$B$1004))</f>
        <v>0</v>
      </c>
    </row>
    <row r="123" spans="1:2">
      <c r="A123" s="11">
        <f>Returns!A123</f>
        <v>0</v>
      </c>
      <c r="B123" s="1">
        <f>ABS(Portfolios!B123-AVERAGE(Portfolios!$B$2:$B$1004))</f>
        <v>0</v>
      </c>
    </row>
    <row r="124" spans="1:2">
      <c r="A124" s="11">
        <f>Returns!A124</f>
        <v>0</v>
      </c>
      <c r="B124" s="1">
        <f>ABS(Portfolios!B124-AVERAGE(Portfolios!$B$2:$B$1004))</f>
        <v>0</v>
      </c>
    </row>
    <row r="125" spans="1:2">
      <c r="A125" s="11">
        <f>Returns!A125</f>
        <v>0</v>
      </c>
      <c r="B125" s="1">
        <f>ABS(Portfolios!B125-AVERAGE(Portfolios!$B$2:$B$1004))</f>
        <v>0</v>
      </c>
    </row>
    <row r="126" spans="1:2">
      <c r="A126" s="11">
        <f>Returns!A126</f>
        <v>0</v>
      </c>
      <c r="B126" s="1">
        <f>ABS(Portfolios!B126-AVERAGE(Portfolios!$B$2:$B$1004))</f>
        <v>0</v>
      </c>
    </row>
    <row r="127" spans="1:2">
      <c r="A127" s="11">
        <f>Returns!A127</f>
        <v>0</v>
      </c>
      <c r="B127" s="1">
        <f>ABS(Portfolios!B127-AVERAGE(Portfolios!$B$2:$B$1004))</f>
        <v>0</v>
      </c>
    </row>
    <row r="128" spans="1:2">
      <c r="A128" s="11">
        <f>Returns!A128</f>
        <v>0</v>
      </c>
      <c r="B128" s="1">
        <f>ABS(Portfolios!B128-AVERAGE(Portfolios!$B$2:$B$1004))</f>
        <v>0</v>
      </c>
    </row>
    <row r="129" spans="1:2">
      <c r="A129" s="11">
        <f>Returns!A129</f>
        <v>0</v>
      </c>
      <c r="B129" s="1">
        <f>ABS(Portfolios!B129-AVERAGE(Portfolios!$B$2:$B$1004))</f>
        <v>0</v>
      </c>
    </row>
    <row r="130" spans="1:2">
      <c r="A130" s="11">
        <f>Returns!A130</f>
        <v>0</v>
      </c>
      <c r="B130" s="1">
        <f>ABS(Portfolios!B130-AVERAGE(Portfolios!$B$2:$B$1004))</f>
        <v>0</v>
      </c>
    </row>
    <row r="131" spans="1:2">
      <c r="A131" s="11">
        <f>Returns!A131</f>
        <v>0</v>
      </c>
      <c r="B131" s="1">
        <f>ABS(Portfolios!B131-AVERAGE(Portfolios!$B$2:$B$1004))</f>
        <v>0</v>
      </c>
    </row>
    <row r="132" spans="1:2">
      <c r="A132" s="11">
        <f>Returns!A132</f>
        <v>0</v>
      </c>
      <c r="B132" s="1">
        <f>ABS(Portfolios!B132-AVERAGE(Portfolios!$B$2:$B$1004))</f>
        <v>0</v>
      </c>
    </row>
    <row r="133" spans="1:2">
      <c r="A133" s="11">
        <f>Returns!A133</f>
        <v>0</v>
      </c>
      <c r="B133" s="1">
        <f>ABS(Portfolios!B133-AVERAGE(Portfolios!$B$2:$B$1004))</f>
        <v>0</v>
      </c>
    </row>
    <row r="134" spans="1:2">
      <c r="A134" s="11">
        <f>Returns!A134</f>
        <v>0</v>
      </c>
      <c r="B134" s="1">
        <f>ABS(Portfolios!B134-AVERAGE(Portfolios!$B$2:$B$1004))</f>
        <v>0</v>
      </c>
    </row>
    <row r="135" spans="1:2">
      <c r="A135" s="11">
        <f>Returns!A135</f>
        <v>0</v>
      </c>
      <c r="B135" s="1">
        <f>ABS(Portfolios!B135-AVERAGE(Portfolios!$B$2:$B$1004))</f>
        <v>0</v>
      </c>
    </row>
    <row r="136" spans="1:2">
      <c r="A136" s="11">
        <f>Returns!A136</f>
        <v>0</v>
      </c>
      <c r="B136" s="1">
        <f>ABS(Portfolios!B136-AVERAGE(Portfolios!$B$2:$B$1004))</f>
        <v>0</v>
      </c>
    </row>
    <row r="137" spans="1:2">
      <c r="A137" s="11">
        <f>Returns!A137</f>
        <v>0</v>
      </c>
      <c r="B137" s="1">
        <f>ABS(Portfolios!B137-AVERAGE(Portfolios!$B$2:$B$1004))</f>
        <v>0</v>
      </c>
    </row>
    <row r="138" spans="1:2">
      <c r="A138" s="11">
        <f>Returns!A138</f>
        <v>0</v>
      </c>
      <c r="B138" s="1">
        <f>ABS(Portfolios!B138-AVERAGE(Portfolios!$B$2:$B$1004))</f>
        <v>0</v>
      </c>
    </row>
    <row r="139" spans="1:2">
      <c r="A139" s="11">
        <f>Returns!A139</f>
        <v>0</v>
      </c>
      <c r="B139" s="1">
        <f>ABS(Portfolios!B139-AVERAGE(Portfolios!$B$2:$B$1004))</f>
        <v>0</v>
      </c>
    </row>
    <row r="140" spans="1:2">
      <c r="A140" s="11">
        <f>Returns!A140</f>
        <v>0</v>
      </c>
      <c r="B140" s="1">
        <f>ABS(Portfolios!B140-AVERAGE(Portfolios!$B$2:$B$1004))</f>
        <v>0</v>
      </c>
    </row>
    <row r="141" spans="1:2">
      <c r="A141" s="11">
        <f>Returns!A141</f>
        <v>0</v>
      </c>
      <c r="B141" s="1">
        <f>ABS(Portfolios!B141-AVERAGE(Portfolios!$B$2:$B$1004))</f>
        <v>0</v>
      </c>
    </row>
    <row r="142" spans="1:2">
      <c r="A142" s="11">
        <f>Returns!A142</f>
        <v>0</v>
      </c>
      <c r="B142" s="1">
        <f>ABS(Portfolios!B142-AVERAGE(Portfolios!$B$2:$B$1004))</f>
        <v>0</v>
      </c>
    </row>
    <row r="143" spans="1:2">
      <c r="A143" s="11">
        <f>Returns!A143</f>
        <v>0</v>
      </c>
      <c r="B143" s="1">
        <f>ABS(Portfolios!B143-AVERAGE(Portfolios!$B$2:$B$1004))</f>
        <v>0</v>
      </c>
    </row>
    <row r="144" spans="1:2">
      <c r="A144" s="11">
        <f>Returns!A144</f>
        <v>0</v>
      </c>
      <c r="B144" s="1">
        <f>ABS(Portfolios!B144-AVERAGE(Portfolios!$B$2:$B$1004))</f>
        <v>0</v>
      </c>
    </row>
    <row r="145" spans="1:2">
      <c r="A145" s="11">
        <f>Returns!A145</f>
        <v>0</v>
      </c>
      <c r="B145" s="1">
        <f>ABS(Portfolios!B145-AVERAGE(Portfolios!$B$2:$B$1004))</f>
        <v>0</v>
      </c>
    </row>
    <row r="146" spans="1:2">
      <c r="A146" s="11">
        <f>Returns!A146</f>
        <v>0</v>
      </c>
      <c r="B146" s="1">
        <f>ABS(Portfolios!B146-AVERAGE(Portfolios!$B$2:$B$1004))</f>
        <v>0</v>
      </c>
    </row>
    <row r="147" spans="1:2">
      <c r="A147" s="11">
        <f>Returns!A147</f>
        <v>0</v>
      </c>
      <c r="B147" s="1">
        <f>ABS(Portfolios!B147-AVERAGE(Portfolios!$B$2:$B$1004))</f>
        <v>0</v>
      </c>
    </row>
    <row r="148" spans="1:2">
      <c r="A148" s="11">
        <f>Returns!A148</f>
        <v>0</v>
      </c>
      <c r="B148" s="1">
        <f>ABS(Portfolios!B148-AVERAGE(Portfolios!$B$2:$B$1004))</f>
        <v>0</v>
      </c>
    </row>
    <row r="149" spans="1:2">
      <c r="A149" s="11">
        <f>Returns!A149</f>
        <v>0</v>
      </c>
      <c r="B149" s="1">
        <f>ABS(Portfolios!B149-AVERAGE(Portfolios!$B$2:$B$1004))</f>
        <v>0</v>
      </c>
    </row>
    <row r="150" spans="1:2">
      <c r="A150" s="11">
        <f>Returns!A150</f>
        <v>0</v>
      </c>
      <c r="B150" s="1">
        <f>ABS(Portfolios!B150-AVERAGE(Portfolios!$B$2:$B$1004))</f>
        <v>0</v>
      </c>
    </row>
    <row r="151" spans="1:2">
      <c r="A151" s="11">
        <f>Returns!A151</f>
        <v>0</v>
      </c>
      <c r="B151" s="1">
        <f>ABS(Portfolios!B151-AVERAGE(Portfolios!$B$2:$B$1004))</f>
        <v>0</v>
      </c>
    </row>
    <row r="152" spans="1:2">
      <c r="A152" s="11">
        <f>Returns!A152</f>
        <v>0</v>
      </c>
      <c r="B152" s="1">
        <f>ABS(Portfolios!B152-AVERAGE(Portfolios!$B$2:$B$1004))</f>
        <v>0</v>
      </c>
    </row>
    <row r="153" spans="1:2">
      <c r="A153" s="11">
        <f>Returns!A153</f>
        <v>0</v>
      </c>
      <c r="B153" s="1">
        <f>ABS(Portfolios!B153-AVERAGE(Portfolios!$B$2:$B$1004))</f>
        <v>0</v>
      </c>
    </row>
    <row r="154" spans="1:2">
      <c r="A154" s="11">
        <f>Returns!A154</f>
        <v>0</v>
      </c>
      <c r="B154" s="1">
        <f>ABS(Portfolios!B154-AVERAGE(Portfolios!$B$2:$B$1004))</f>
        <v>0</v>
      </c>
    </row>
    <row r="155" spans="1:2">
      <c r="A155" s="11">
        <f>Returns!A155</f>
        <v>0</v>
      </c>
      <c r="B155" s="1">
        <f>ABS(Portfolios!B155-AVERAGE(Portfolios!$B$2:$B$1004))</f>
        <v>0</v>
      </c>
    </row>
    <row r="156" spans="1:2">
      <c r="A156" s="11">
        <f>Returns!A156</f>
        <v>0</v>
      </c>
      <c r="B156" s="1">
        <f>ABS(Portfolios!B156-AVERAGE(Portfolios!$B$2:$B$1004))</f>
        <v>0</v>
      </c>
    </row>
    <row r="157" spans="1:2">
      <c r="A157" s="11">
        <f>Returns!A157</f>
        <v>0</v>
      </c>
      <c r="B157" s="1">
        <f>ABS(Portfolios!B157-AVERAGE(Portfolios!$B$2:$B$1004))</f>
        <v>0</v>
      </c>
    </row>
    <row r="158" spans="1:2">
      <c r="A158" s="11">
        <f>Returns!A158</f>
        <v>0</v>
      </c>
      <c r="B158" s="1">
        <f>ABS(Portfolios!B158-AVERAGE(Portfolios!$B$2:$B$1004))</f>
        <v>0</v>
      </c>
    </row>
    <row r="159" spans="1:2">
      <c r="A159" s="11">
        <f>Returns!A159</f>
        <v>0</v>
      </c>
      <c r="B159" s="1">
        <f>ABS(Portfolios!B159-AVERAGE(Portfolios!$B$2:$B$1004))</f>
        <v>0</v>
      </c>
    </row>
    <row r="160" spans="1:2">
      <c r="A160" s="11">
        <f>Returns!A160</f>
        <v>0</v>
      </c>
      <c r="B160" s="1">
        <f>ABS(Portfolios!B160-AVERAGE(Portfolios!$B$2:$B$1004))</f>
        <v>0</v>
      </c>
    </row>
    <row r="161" spans="1:2">
      <c r="A161" s="11">
        <f>Returns!A161</f>
        <v>0</v>
      </c>
      <c r="B161" s="1">
        <f>ABS(Portfolios!B161-AVERAGE(Portfolios!$B$2:$B$1004))</f>
        <v>0</v>
      </c>
    </row>
    <row r="162" spans="1:2">
      <c r="A162" s="11">
        <f>Returns!A162</f>
        <v>0</v>
      </c>
      <c r="B162" s="1">
        <f>ABS(Portfolios!B162-AVERAGE(Portfolios!$B$2:$B$1004))</f>
        <v>0</v>
      </c>
    </row>
    <row r="163" spans="1:2">
      <c r="A163" s="11">
        <f>Returns!A163</f>
        <v>0</v>
      </c>
      <c r="B163" s="1">
        <f>ABS(Portfolios!B163-AVERAGE(Portfolios!$B$2:$B$1004))</f>
        <v>0</v>
      </c>
    </row>
    <row r="164" spans="1:2">
      <c r="A164" s="11">
        <f>Returns!A164</f>
        <v>0</v>
      </c>
      <c r="B164" s="1">
        <f>ABS(Portfolios!B164-AVERAGE(Portfolios!$B$2:$B$1004))</f>
        <v>0</v>
      </c>
    </row>
    <row r="165" spans="1:2">
      <c r="A165" s="11">
        <f>Returns!A165</f>
        <v>0</v>
      </c>
      <c r="B165" s="1">
        <f>ABS(Portfolios!B165-AVERAGE(Portfolios!$B$2:$B$1004))</f>
        <v>0</v>
      </c>
    </row>
    <row r="166" spans="1:2">
      <c r="A166" s="11">
        <f>Returns!A166</f>
        <v>0</v>
      </c>
      <c r="B166" s="1">
        <f>ABS(Portfolios!B166-AVERAGE(Portfolios!$B$2:$B$1004))</f>
        <v>0</v>
      </c>
    </row>
    <row r="167" spans="1:2">
      <c r="A167" s="11">
        <f>Returns!A167</f>
        <v>0</v>
      </c>
      <c r="B167" s="1">
        <f>ABS(Portfolios!B167-AVERAGE(Portfolios!$B$2:$B$1004))</f>
        <v>0</v>
      </c>
    </row>
    <row r="168" spans="1:2">
      <c r="A168" s="11">
        <f>Returns!A168</f>
        <v>0</v>
      </c>
      <c r="B168" s="1">
        <f>ABS(Portfolios!B168-AVERAGE(Portfolios!$B$2:$B$1004))</f>
        <v>0</v>
      </c>
    </row>
    <row r="169" spans="1:2">
      <c r="A169" s="11">
        <f>Returns!A169</f>
        <v>0</v>
      </c>
      <c r="B169" s="1">
        <f>ABS(Portfolios!B169-AVERAGE(Portfolios!$B$2:$B$1004))</f>
        <v>0</v>
      </c>
    </row>
    <row r="170" spans="1:2">
      <c r="A170" s="11">
        <f>Returns!A170</f>
        <v>0</v>
      </c>
      <c r="B170" s="1">
        <f>ABS(Portfolios!B170-AVERAGE(Portfolios!$B$2:$B$1004))</f>
        <v>0</v>
      </c>
    </row>
    <row r="171" spans="1:2">
      <c r="A171" s="11">
        <f>Returns!A171</f>
        <v>0</v>
      </c>
      <c r="B171" s="1">
        <f>ABS(Portfolios!B171-AVERAGE(Portfolios!$B$2:$B$1004))</f>
        <v>0</v>
      </c>
    </row>
    <row r="172" spans="1:2">
      <c r="A172" s="11">
        <f>Returns!A172</f>
        <v>0</v>
      </c>
      <c r="B172" s="1">
        <f>ABS(Portfolios!B172-AVERAGE(Portfolios!$B$2:$B$1004))</f>
        <v>0</v>
      </c>
    </row>
    <row r="173" spans="1:2">
      <c r="A173" s="11">
        <f>Returns!A173</f>
        <v>0</v>
      </c>
      <c r="B173" s="1">
        <f>ABS(Portfolios!B173-AVERAGE(Portfolios!$B$2:$B$1004))</f>
        <v>0</v>
      </c>
    </row>
    <row r="174" spans="1:2">
      <c r="A174" s="11">
        <f>Returns!A174</f>
        <v>0</v>
      </c>
      <c r="B174" s="1">
        <f>ABS(Portfolios!B174-AVERAGE(Portfolios!$B$2:$B$1004))</f>
        <v>0</v>
      </c>
    </row>
    <row r="175" spans="1:2">
      <c r="A175" s="11">
        <f>Returns!A175</f>
        <v>0</v>
      </c>
      <c r="B175" s="1">
        <f>ABS(Portfolios!B175-AVERAGE(Portfolios!$B$2:$B$1004))</f>
        <v>0</v>
      </c>
    </row>
    <row r="176" spans="1:2">
      <c r="A176" s="11">
        <f>Returns!A176</f>
        <v>0</v>
      </c>
      <c r="B176" s="1">
        <f>ABS(Portfolios!B176-AVERAGE(Portfolios!$B$2:$B$1004))</f>
        <v>0</v>
      </c>
    </row>
    <row r="177" spans="1:2">
      <c r="A177" s="11">
        <f>Returns!A177</f>
        <v>0</v>
      </c>
      <c r="B177" s="1">
        <f>ABS(Portfolios!B177-AVERAGE(Portfolios!$B$2:$B$1004))</f>
        <v>0</v>
      </c>
    </row>
    <row r="178" spans="1:2">
      <c r="A178" s="11">
        <f>Returns!A178</f>
        <v>0</v>
      </c>
      <c r="B178" s="1">
        <f>ABS(Portfolios!B178-AVERAGE(Portfolios!$B$2:$B$1004))</f>
        <v>0</v>
      </c>
    </row>
    <row r="179" spans="1:2">
      <c r="A179" s="11">
        <f>Returns!A179</f>
        <v>0</v>
      </c>
      <c r="B179" s="1">
        <f>ABS(Portfolios!B179-AVERAGE(Portfolios!$B$2:$B$1004))</f>
        <v>0</v>
      </c>
    </row>
    <row r="180" spans="1:2">
      <c r="A180" s="11">
        <f>Returns!A180</f>
        <v>0</v>
      </c>
      <c r="B180" s="1">
        <f>ABS(Portfolios!B180-AVERAGE(Portfolios!$B$2:$B$1004))</f>
        <v>0</v>
      </c>
    </row>
    <row r="181" spans="1:2">
      <c r="A181" s="11">
        <f>Returns!A181</f>
        <v>0</v>
      </c>
      <c r="B181" s="1">
        <f>ABS(Portfolios!B181-AVERAGE(Portfolios!$B$2:$B$1004))</f>
        <v>0</v>
      </c>
    </row>
    <row r="182" spans="1:2">
      <c r="A182" s="11">
        <f>Returns!A182</f>
        <v>0</v>
      </c>
      <c r="B182" s="1">
        <f>ABS(Portfolios!B182-AVERAGE(Portfolios!$B$2:$B$1004))</f>
        <v>0</v>
      </c>
    </row>
    <row r="183" spans="1:2">
      <c r="A183" s="11">
        <f>Returns!A183</f>
        <v>0</v>
      </c>
      <c r="B183" s="1">
        <f>ABS(Portfolios!B183-AVERAGE(Portfolios!$B$2:$B$1004))</f>
        <v>0</v>
      </c>
    </row>
    <row r="184" spans="1:2">
      <c r="A184" s="11">
        <f>Returns!A184</f>
        <v>0</v>
      </c>
      <c r="B184" s="1">
        <f>ABS(Portfolios!B184-AVERAGE(Portfolios!$B$2:$B$1004))</f>
        <v>0</v>
      </c>
    </row>
    <row r="185" spans="1:2">
      <c r="A185" s="11">
        <f>Returns!A185</f>
        <v>0</v>
      </c>
      <c r="B185" s="1">
        <f>ABS(Portfolios!B185-AVERAGE(Portfolios!$B$2:$B$1004))</f>
        <v>0</v>
      </c>
    </row>
    <row r="186" spans="1:2">
      <c r="A186" s="11">
        <f>Returns!A186</f>
        <v>0</v>
      </c>
      <c r="B186" s="1">
        <f>ABS(Portfolios!B186-AVERAGE(Portfolios!$B$2:$B$1004))</f>
        <v>0</v>
      </c>
    </row>
    <row r="187" spans="1:2">
      <c r="A187" s="11">
        <f>Returns!A187</f>
        <v>0</v>
      </c>
      <c r="B187" s="1">
        <f>ABS(Portfolios!B187-AVERAGE(Portfolios!$B$2:$B$1004))</f>
        <v>0</v>
      </c>
    </row>
    <row r="188" spans="1:2">
      <c r="A188" s="11">
        <f>Returns!A188</f>
        <v>0</v>
      </c>
      <c r="B188" s="1">
        <f>ABS(Portfolios!B188-AVERAGE(Portfolios!$B$2:$B$1004))</f>
        <v>0</v>
      </c>
    </row>
    <row r="189" spans="1:2">
      <c r="A189" s="11">
        <f>Returns!A189</f>
        <v>0</v>
      </c>
      <c r="B189" s="1">
        <f>ABS(Portfolios!B189-AVERAGE(Portfolios!$B$2:$B$1004))</f>
        <v>0</v>
      </c>
    </row>
    <row r="190" spans="1:2">
      <c r="A190" s="11">
        <f>Returns!A190</f>
        <v>0</v>
      </c>
      <c r="B190" s="1">
        <f>ABS(Portfolios!B190-AVERAGE(Portfolios!$B$2:$B$1004))</f>
        <v>0</v>
      </c>
    </row>
    <row r="191" spans="1:2">
      <c r="A191" s="11">
        <f>Returns!A191</f>
        <v>0</v>
      </c>
      <c r="B191" s="1">
        <f>ABS(Portfolios!B191-AVERAGE(Portfolios!$B$2:$B$1004))</f>
        <v>0</v>
      </c>
    </row>
    <row r="192" spans="1:2">
      <c r="A192" s="11">
        <f>Returns!A192</f>
        <v>0</v>
      </c>
      <c r="B192" s="1">
        <f>ABS(Portfolios!B192-AVERAGE(Portfolios!$B$2:$B$1004))</f>
        <v>0</v>
      </c>
    </row>
    <row r="193" spans="1:2">
      <c r="A193" s="11">
        <f>Returns!A193</f>
        <v>0</v>
      </c>
      <c r="B193" s="1">
        <f>ABS(Portfolios!B193-AVERAGE(Portfolios!$B$2:$B$1004))</f>
        <v>0</v>
      </c>
    </row>
    <row r="194" spans="1:2">
      <c r="A194" s="11">
        <f>Returns!A194</f>
        <v>0</v>
      </c>
      <c r="B194" s="1">
        <f>ABS(Portfolios!B194-AVERAGE(Portfolios!$B$2:$B$1004))</f>
        <v>0</v>
      </c>
    </row>
    <row r="195" spans="1:2">
      <c r="A195" s="11">
        <f>Returns!A195</f>
        <v>0</v>
      </c>
      <c r="B195" s="1">
        <f>ABS(Portfolios!B195-AVERAGE(Portfolios!$B$2:$B$1004))</f>
        <v>0</v>
      </c>
    </row>
    <row r="196" spans="1:2">
      <c r="A196" s="11">
        <f>Returns!A196</f>
        <v>0</v>
      </c>
      <c r="B196" s="1">
        <f>ABS(Portfolios!B196-AVERAGE(Portfolios!$B$2:$B$1004))</f>
        <v>0</v>
      </c>
    </row>
    <row r="197" spans="1:2">
      <c r="A197" s="11">
        <f>Returns!A197</f>
        <v>0</v>
      </c>
      <c r="B197" s="1">
        <f>ABS(Portfolios!B197-AVERAGE(Portfolios!$B$2:$B$1004))</f>
        <v>0</v>
      </c>
    </row>
    <row r="198" spans="1:2">
      <c r="A198" s="11">
        <f>Returns!A198</f>
        <v>0</v>
      </c>
      <c r="B198" s="1">
        <f>ABS(Portfolios!B198-AVERAGE(Portfolios!$B$2:$B$1004))</f>
        <v>0</v>
      </c>
    </row>
    <row r="199" spans="1:2">
      <c r="A199" s="11">
        <f>Returns!A199</f>
        <v>0</v>
      </c>
      <c r="B199" s="1">
        <f>ABS(Portfolios!B199-AVERAGE(Portfolios!$B$2:$B$1004))</f>
        <v>0</v>
      </c>
    </row>
    <row r="200" spans="1:2">
      <c r="A200" s="11">
        <f>Returns!A200</f>
        <v>0</v>
      </c>
      <c r="B200" s="1">
        <f>ABS(Portfolios!B200-AVERAGE(Portfolios!$B$2:$B$1004))</f>
        <v>0</v>
      </c>
    </row>
    <row r="201" spans="1:2">
      <c r="A201" s="11">
        <f>Returns!A201</f>
        <v>0</v>
      </c>
      <c r="B201" s="1">
        <f>ABS(Portfolios!B201-AVERAGE(Portfolios!$B$2:$B$1004))</f>
        <v>0</v>
      </c>
    </row>
    <row r="202" spans="1:2">
      <c r="A202" s="11">
        <f>Returns!A202</f>
        <v>0</v>
      </c>
      <c r="B202" s="1">
        <f>ABS(Portfolios!B202-AVERAGE(Portfolios!$B$2:$B$1004))</f>
        <v>0</v>
      </c>
    </row>
    <row r="203" spans="1:2">
      <c r="A203" s="11">
        <f>Returns!A203</f>
        <v>0</v>
      </c>
      <c r="B203" s="1">
        <f>ABS(Portfolios!B203-AVERAGE(Portfolios!$B$2:$B$1004))</f>
        <v>0</v>
      </c>
    </row>
    <row r="204" spans="1:2">
      <c r="A204" s="11">
        <f>Returns!A204</f>
        <v>0</v>
      </c>
      <c r="B204" s="1">
        <f>ABS(Portfolios!B204-AVERAGE(Portfolios!$B$2:$B$1004))</f>
        <v>0</v>
      </c>
    </row>
    <row r="205" spans="1:2">
      <c r="A205" s="11">
        <f>Returns!A205</f>
        <v>0</v>
      </c>
      <c r="B205" s="1">
        <f>ABS(Portfolios!B205-AVERAGE(Portfolios!$B$2:$B$1004))</f>
        <v>0</v>
      </c>
    </row>
    <row r="206" spans="1:2">
      <c r="A206" s="11">
        <f>Returns!A206</f>
        <v>0</v>
      </c>
      <c r="B206" s="1">
        <f>ABS(Portfolios!B206-AVERAGE(Portfolios!$B$2:$B$1004))</f>
        <v>0</v>
      </c>
    </row>
    <row r="207" spans="1:2">
      <c r="A207" s="11">
        <f>Returns!A207</f>
        <v>0</v>
      </c>
      <c r="B207" s="1">
        <f>ABS(Portfolios!B207-AVERAGE(Portfolios!$B$2:$B$1004))</f>
        <v>0</v>
      </c>
    </row>
    <row r="208" spans="1:2">
      <c r="A208" s="11">
        <f>Returns!A208</f>
        <v>0</v>
      </c>
      <c r="B208" s="1">
        <f>ABS(Portfolios!B208-AVERAGE(Portfolios!$B$2:$B$1004))</f>
        <v>0</v>
      </c>
    </row>
    <row r="209" spans="1:2">
      <c r="A209" s="11">
        <f>Returns!A209</f>
        <v>0</v>
      </c>
      <c r="B209" s="1">
        <f>ABS(Portfolios!B209-AVERAGE(Portfolios!$B$2:$B$1004))</f>
        <v>0</v>
      </c>
    </row>
    <row r="210" spans="1:2">
      <c r="A210" s="11">
        <f>Returns!A210</f>
        <v>0</v>
      </c>
      <c r="B210" s="1">
        <f>ABS(Portfolios!B210-AVERAGE(Portfolios!$B$2:$B$1004))</f>
        <v>0</v>
      </c>
    </row>
    <row r="211" spans="1:2">
      <c r="A211" s="11">
        <f>Returns!A211</f>
        <v>0</v>
      </c>
      <c r="B211" s="1">
        <f>ABS(Portfolios!B211-AVERAGE(Portfolios!$B$2:$B$1004))</f>
        <v>0</v>
      </c>
    </row>
    <row r="212" spans="1:2">
      <c r="A212" s="11">
        <f>Returns!A212</f>
        <v>0</v>
      </c>
      <c r="B212" s="1">
        <f>ABS(Portfolios!B212-AVERAGE(Portfolios!$B$2:$B$1004))</f>
        <v>0</v>
      </c>
    </row>
    <row r="213" spans="1:2">
      <c r="A213" s="11">
        <f>Returns!A213</f>
        <v>0</v>
      </c>
      <c r="B213" s="1">
        <f>ABS(Portfolios!B213-AVERAGE(Portfolios!$B$2:$B$1004))</f>
        <v>0</v>
      </c>
    </row>
    <row r="214" spans="1:2">
      <c r="A214" s="11">
        <f>Returns!A214</f>
        <v>0</v>
      </c>
      <c r="B214" s="1">
        <f>ABS(Portfolios!B214-AVERAGE(Portfolios!$B$2:$B$1004))</f>
        <v>0</v>
      </c>
    </row>
    <row r="215" spans="1:2">
      <c r="A215" s="11">
        <f>Returns!A215</f>
        <v>0</v>
      </c>
      <c r="B215" s="1">
        <f>ABS(Portfolios!B215-AVERAGE(Portfolios!$B$2:$B$1004))</f>
        <v>0</v>
      </c>
    </row>
    <row r="216" spans="1:2">
      <c r="A216" s="11">
        <f>Returns!A216</f>
        <v>0</v>
      </c>
      <c r="B216" s="1">
        <f>ABS(Portfolios!B216-AVERAGE(Portfolios!$B$2:$B$1004))</f>
        <v>0</v>
      </c>
    </row>
    <row r="217" spans="1:2">
      <c r="A217" s="11">
        <f>Returns!A217</f>
        <v>0</v>
      </c>
      <c r="B217" s="1">
        <f>ABS(Portfolios!B217-AVERAGE(Portfolios!$B$2:$B$1004))</f>
        <v>0</v>
      </c>
    </row>
    <row r="218" spans="1:2">
      <c r="A218" s="11">
        <f>Returns!A218</f>
        <v>0</v>
      </c>
      <c r="B218" s="1">
        <f>ABS(Portfolios!B218-AVERAGE(Portfolios!$B$2:$B$1004))</f>
        <v>0</v>
      </c>
    </row>
    <row r="219" spans="1:2">
      <c r="A219" s="11">
        <f>Returns!A219</f>
        <v>0</v>
      </c>
      <c r="B219" s="1">
        <f>ABS(Portfolios!B219-AVERAGE(Portfolios!$B$2:$B$1004))</f>
        <v>0</v>
      </c>
    </row>
    <row r="220" spans="1:2">
      <c r="A220" s="11">
        <f>Returns!A220</f>
        <v>0</v>
      </c>
      <c r="B220" s="1">
        <f>ABS(Portfolios!B220-AVERAGE(Portfolios!$B$2:$B$1004))</f>
        <v>0</v>
      </c>
    </row>
    <row r="221" spans="1:2">
      <c r="A221" s="11">
        <f>Returns!A221</f>
        <v>0</v>
      </c>
      <c r="B221" s="1">
        <f>ABS(Portfolios!B221-AVERAGE(Portfolios!$B$2:$B$1004))</f>
        <v>0</v>
      </c>
    </row>
    <row r="222" spans="1:2">
      <c r="A222" s="11">
        <f>Returns!A222</f>
        <v>0</v>
      </c>
      <c r="B222" s="1">
        <f>ABS(Portfolios!B222-AVERAGE(Portfolios!$B$2:$B$1004))</f>
        <v>0</v>
      </c>
    </row>
    <row r="223" spans="1:2">
      <c r="A223" s="11">
        <f>Returns!A223</f>
        <v>0</v>
      </c>
      <c r="B223" s="1">
        <f>ABS(Portfolios!B223-AVERAGE(Portfolios!$B$2:$B$1004))</f>
        <v>0</v>
      </c>
    </row>
    <row r="224" spans="1:2">
      <c r="A224" s="11">
        <f>Returns!A224</f>
        <v>0</v>
      </c>
      <c r="B224" s="1">
        <f>ABS(Portfolios!B224-AVERAGE(Portfolios!$B$2:$B$1004))</f>
        <v>0</v>
      </c>
    </row>
    <row r="225" spans="1:2">
      <c r="A225" s="11">
        <f>Returns!A225</f>
        <v>0</v>
      </c>
      <c r="B225" s="1">
        <f>ABS(Portfolios!B225-AVERAGE(Portfolios!$B$2:$B$1004))</f>
        <v>0</v>
      </c>
    </row>
    <row r="226" spans="1:2">
      <c r="A226" s="11">
        <f>Returns!A226</f>
        <v>0</v>
      </c>
      <c r="B226" s="1">
        <f>ABS(Portfolios!B226-AVERAGE(Portfolios!$B$2:$B$1004))</f>
        <v>0</v>
      </c>
    </row>
    <row r="227" spans="1:2">
      <c r="A227" s="11">
        <f>Returns!A227</f>
        <v>0</v>
      </c>
      <c r="B227" s="1">
        <f>ABS(Portfolios!B227-AVERAGE(Portfolios!$B$2:$B$1004))</f>
        <v>0</v>
      </c>
    </row>
    <row r="228" spans="1:2">
      <c r="A228" s="11">
        <f>Returns!A228</f>
        <v>0</v>
      </c>
      <c r="B228" s="1">
        <f>ABS(Portfolios!B228-AVERAGE(Portfolios!$B$2:$B$1004))</f>
        <v>0</v>
      </c>
    </row>
    <row r="229" spans="1:2">
      <c r="A229" s="11">
        <f>Returns!A229</f>
        <v>0</v>
      </c>
      <c r="B229" s="1">
        <f>ABS(Portfolios!B229-AVERAGE(Portfolios!$B$2:$B$1004))</f>
        <v>0</v>
      </c>
    </row>
    <row r="230" spans="1:2">
      <c r="A230" s="11">
        <f>Returns!A230</f>
        <v>0</v>
      </c>
      <c r="B230" s="1">
        <f>ABS(Portfolios!B230-AVERAGE(Portfolios!$B$2:$B$1004))</f>
        <v>0</v>
      </c>
    </row>
    <row r="231" spans="1:2">
      <c r="A231" s="11">
        <f>Returns!A231</f>
        <v>0</v>
      </c>
      <c r="B231" s="1">
        <f>ABS(Portfolios!B231-AVERAGE(Portfolios!$B$2:$B$1004))</f>
        <v>0</v>
      </c>
    </row>
    <row r="232" spans="1:2">
      <c r="A232" s="11">
        <f>Returns!A232</f>
        <v>0</v>
      </c>
      <c r="B232" s="1">
        <f>ABS(Portfolios!B232-AVERAGE(Portfolios!$B$2:$B$1004))</f>
        <v>0</v>
      </c>
    </row>
    <row r="233" spans="1:2">
      <c r="A233" s="11">
        <f>Returns!A233</f>
        <v>0</v>
      </c>
      <c r="B233" s="1">
        <f>ABS(Portfolios!B233-AVERAGE(Portfolios!$B$2:$B$1004))</f>
        <v>0</v>
      </c>
    </row>
    <row r="234" spans="1:2">
      <c r="A234" s="11">
        <f>Returns!A234</f>
        <v>0</v>
      </c>
      <c r="B234" s="1">
        <f>ABS(Portfolios!B234-AVERAGE(Portfolios!$B$2:$B$1004))</f>
        <v>0</v>
      </c>
    </row>
    <row r="235" spans="1:2">
      <c r="A235" s="11">
        <f>Returns!A235</f>
        <v>0</v>
      </c>
      <c r="B235" s="1">
        <f>ABS(Portfolios!B235-AVERAGE(Portfolios!$B$2:$B$1004))</f>
        <v>0</v>
      </c>
    </row>
    <row r="236" spans="1:2">
      <c r="A236" s="11">
        <f>Returns!A236</f>
        <v>0</v>
      </c>
      <c r="B236" s="1">
        <f>ABS(Portfolios!B236-AVERAGE(Portfolios!$B$2:$B$1004))</f>
        <v>0</v>
      </c>
    </row>
    <row r="237" spans="1:2">
      <c r="A237" s="11">
        <f>Returns!A237</f>
        <v>0</v>
      </c>
      <c r="B237" s="1">
        <f>ABS(Portfolios!B237-AVERAGE(Portfolios!$B$2:$B$1004))</f>
        <v>0</v>
      </c>
    </row>
    <row r="238" spans="1:2">
      <c r="A238" s="11">
        <f>Returns!A238</f>
        <v>0</v>
      </c>
      <c r="B238" s="1">
        <f>ABS(Portfolios!B238-AVERAGE(Portfolios!$B$2:$B$1004))</f>
        <v>0</v>
      </c>
    </row>
    <row r="239" spans="1:2">
      <c r="A239" s="11">
        <f>Returns!A239</f>
        <v>0</v>
      </c>
      <c r="B239" s="1">
        <f>ABS(Portfolios!B239-AVERAGE(Portfolios!$B$2:$B$1004))</f>
        <v>0</v>
      </c>
    </row>
    <row r="240" spans="1:2">
      <c r="A240" s="11">
        <f>Returns!A240</f>
        <v>0</v>
      </c>
      <c r="B240" s="1">
        <f>ABS(Portfolios!B240-AVERAGE(Portfolios!$B$2:$B$1004))</f>
        <v>0</v>
      </c>
    </row>
    <row r="241" spans="1:2">
      <c r="A241" s="11">
        <f>Returns!A241</f>
        <v>0</v>
      </c>
      <c r="B241" s="1">
        <f>ABS(Portfolios!B241-AVERAGE(Portfolios!$B$2:$B$1004))</f>
        <v>0</v>
      </c>
    </row>
    <row r="242" spans="1:2">
      <c r="A242" s="11">
        <f>Returns!A242</f>
        <v>0</v>
      </c>
      <c r="B242" s="1">
        <f>ABS(Portfolios!B242-AVERAGE(Portfolios!$B$2:$B$1004))</f>
        <v>0</v>
      </c>
    </row>
    <row r="243" spans="1:2">
      <c r="A243" s="11">
        <f>Returns!A243</f>
        <v>0</v>
      </c>
      <c r="B243" s="1">
        <f>ABS(Portfolios!B243-AVERAGE(Portfolios!$B$2:$B$1004))</f>
        <v>0</v>
      </c>
    </row>
    <row r="244" spans="1:2">
      <c r="A244" s="11">
        <f>Returns!A244</f>
        <v>0</v>
      </c>
      <c r="B244" s="1">
        <f>ABS(Portfolios!B244-AVERAGE(Portfolios!$B$2:$B$1004))</f>
        <v>0</v>
      </c>
    </row>
    <row r="245" spans="1:2">
      <c r="A245" s="11">
        <f>Returns!A245</f>
        <v>0</v>
      </c>
      <c r="B245" s="1">
        <f>ABS(Portfolios!B245-AVERAGE(Portfolios!$B$2:$B$1004))</f>
        <v>0</v>
      </c>
    </row>
    <row r="246" spans="1:2">
      <c r="A246" s="11">
        <f>Returns!A246</f>
        <v>0</v>
      </c>
      <c r="B246" s="1">
        <f>ABS(Portfolios!B246-AVERAGE(Portfolios!$B$2:$B$1004))</f>
        <v>0</v>
      </c>
    </row>
    <row r="247" spans="1:2">
      <c r="A247" s="11">
        <f>Returns!A247</f>
        <v>0</v>
      </c>
      <c r="B247" s="1">
        <f>ABS(Portfolios!B247-AVERAGE(Portfolios!$B$2:$B$1004))</f>
        <v>0</v>
      </c>
    </row>
    <row r="248" spans="1:2">
      <c r="A248" s="11">
        <f>Returns!A248</f>
        <v>0</v>
      </c>
      <c r="B248" s="1">
        <f>ABS(Portfolios!B248-AVERAGE(Portfolios!$B$2:$B$1004))</f>
        <v>0</v>
      </c>
    </row>
    <row r="249" spans="1:2">
      <c r="A249" s="11">
        <f>Returns!A249</f>
        <v>0</v>
      </c>
      <c r="B249" s="1">
        <f>ABS(Portfolios!B249-AVERAGE(Portfolios!$B$2:$B$1004))</f>
        <v>0</v>
      </c>
    </row>
    <row r="250" spans="1:2">
      <c r="A250" s="11">
        <f>Returns!A250</f>
        <v>0</v>
      </c>
      <c r="B250" s="1">
        <f>ABS(Portfolios!B250-AVERAGE(Portfolios!$B$2:$B$1004))</f>
        <v>0</v>
      </c>
    </row>
    <row r="251" spans="1:2">
      <c r="A251" s="11">
        <f>Returns!A251</f>
        <v>0</v>
      </c>
      <c r="B251" s="1">
        <f>ABS(Portfolios!B251-AVERAGE(Portfolios!$B$2:$B$1004))</f>
        <v>0</v>
      </c>
    </row>
    <row r="252" spans="1:2">
      <c r="A252" s="11">
        <f>Returns!A252</f>
        <v>0</v>
      </c>
      <c r="B252" s="1">
        <f>ABS(Portfolios!B252-AVERAGE(Portfolios!$B$2:$B$1004))</f>
        <v>0</v>
      </c>
    </row>
    <row r="253" spans="1:2">
      <c r="A253" s="11">
        <f>Returns!A253</f>
        <v>0</v>
      </c>
      <c r="B253" s="1">
        <f>ABS(Portfolios!B253-AVERAGE(Portfolios!$B$2:$B$1004))</f>
        <v>0</v>
      </c>
    </row>
    <row r="254" spans="1:2">
      <c r="A254" s="11">
        <f>Returns!A254</f>
        <v>0</v>
      </c>
      <c r="B254" s="1">
        <f>ABS(Portfolios!B254-AVERAGE(Portfolios!$B$2:$B$1004))</f>
        <v>0</v>
      </c>
    </row>
    <row r="255" spans="1:2">
      <c r="A255" s="11">
        <f>Returns!A255</f>
        <v>0</v>
      </c>
      <c r="B255" s="1">
        <f>ABS(Portfolios!B255-AVERAGE(Portfolios!$B$2:$B$1004))</f>
        <v>0</v>
      </c>
    </row>
    <row r="256" spans="1:2">
      <c r="A256" s="11">
        <f>Returns!A256</f>
        <v>0</v>
      </c>
      <c r="B256" s="1">
        <f>ABS(Portfolios!B256-AVERAGE(Portfolios!$B$2:$B$1004))</f>
        <v>0</v>
      </c>
    </row>
    <row r="257" spans="1:2">
      <c r="A257" s="11">
        <f>Returns!A257</f>
        <v>0</v>
      </c>
      <c r="B257" s="1">
        <f>ABS(Portfolios!B257-AVERAGE(Portfolios!$B$2:$B$1004))</f>
        <v>0</v>
      </c>
    </row>
    <row r="258" spans="1:2">
      <c r="A258" s="11">
        <f>Returns!A258</f>
        <v>0</v>
      </c>
      <c r="B258" s="1">
        <f>ABS(Portfolios!B258-AVERAGE(Portfolios!$B$2:$B$1004))</f>
        <v>0</v>
      </c>
    </row>
    <row r="259" spans="1:2">
      <c r="A259" s="11">
        <f>Returns!A259</f>
        <v>0</v>
      </c>
      <c r="B259" s="1">
        <f>ABS(Portfolios!B259-AVERAGE(Portfolios!$B$2:$B$1004))</f>
        <v>0</v>
      </c>
    </row>
    <row r="260" spans="1:2">
      <c r="A260" s="11">
        <f>Returns!A260</f>
        <v>0</v>
      </c>
      <c r="B260" s="1">
        <f>ABS(Portfolios!B260-AVERAGE(Portfolios!$B$2:$B$1004))</f>
        <v>0</v>
      </c>
    </row>
    <row r="261" spans="1:2">
      <c r="A261" s="11">
        <f>Returns!A261</f>
        <v>0</v>
      </c>
      <c r="B261" s="1">
        <f>ABS(Portfolios!B261-AVERAGE(Portfolios!$B$2:$B$1004))</f>
        <v>0</v>
      </c>
    </row>
    <row r="262" spans="1:2">
      <c r="A262" s="11">
        <f>Returns!A262</f>
        <v>0</v>
      </c>
      <c r="B262" s="1">
        <f>ABS(Portfolios!B262-AVERAGE(Portfolios!$B$2:$B$1004))</f>
        <v>0</v>
      </c>
    </row>
    <row r="263" spans="1:2">
      <c r="A263" s="11">
        <f>Returns!A263</f>
        <v>0</v>
      </c>
      <c r="B263" s="1">
        <f>ABS(Portfolios!B263-AVERAGE(Portfolios!$B$2:$B$1004))</f>
        <v>0</v>
      </c>
    </row>
    <row r="264" spans="1:2">
      <c r="A264" s="11">
        <f>Returns!A264</f>
        <v>0</v>
      </c>
      <c r="B264" s="1">
        <f>ABS(Portfolios!B264-AVERAGE(Portfolios!$B$2:$B$1004))</f>
        <v>0</v>
      </c>
    </row>
    <row r="265" spans="1:2">
      <c r="A265" s="11">
        <f>Returns!A265</f>
        <v>0</v>
      </c>
      <c r="B265" s="1">
        <f>ABS(Portfolios!B265-AVERAGE(Portfolios!$B$2:$B$1004))</f>
        <v>0</v>
      </c>
    </row>
    <row r="266" spans="1:2">
      <c r="A266" s="11">
        <f>Returns!A266</f>
        <v>0</v>
      </c>
      <c r="B266" s="1">
        <f>ABS(Portfolios!B266-AVERAGE(Portfolios!$B$2:$B$1004))</f>
        <v>0</v>
      </c>
    </row>
    <row r="267" spans="1:2">
      <c r="A267" s="11">
        <f>Returns!A267</f>
        <v>0</v>
      </c>
      <c r="B267" s="1">
        <f>ABS(Portfolios!B267-AVERAGE(Portfolios!$B$2:$B$1004))</f>
        <v>0</v>
      </c>
    </row>
    <row r="268" spans="1:2">
      <c r="A268" s="11">
        <f>Returns!A268</f>
        <v>0</v>
      </c>
      <c r="B268" s="1">
        <f>ABS(Portfolios!B268-AVERAGE(Portfolios!$B$2:$B$1004))</f>
        <v>0</v>
      </c>
    </row>
    <row r="269" spans="1:2">
      <c r="A269" s="11">
        <f>Returns!A269</f>
        <v>0</v>
      </c>
      <c r="B269" s="1">
        <f>ABS(Portfolios!B269-AVERAGE(Portfolios!$B$2:$B$1004))</f>
        <v>0</v>
      </c>
    </row>
    <row r="270" spans="1:2">
      <c r="A270" s="11">
        <f>Returns!A270</f>
        <v>0</v>
      </c>
      <c r="B270" s="1">
        <f>ABS(Portfolios!B270-AVERAGE(Portfolios!$B$2:$B$1004))</f>
        <v>0</v>
      </c>
    </row>
    <row r="271" spans="1:2">
      <c r="A271" s="11">
        <f>Returns!A271</f>
        <v>0</v>
      </c>
      <c r="B271" s="1">
        <f>ABS(Portfolios!B271-AVERAGE(Portfolios!$B$2:$B$1004))</f>
        <v>0</v>
      </c>
    </row>
    <row r="272" spans="1:2">
      <c r="A272" s="11">
        <f>Returns!A272</f>
        <v>0</v>
      </c>
      <c r="B272" s="1">
        <f>ABS(Portfolios!B272-AVERAGE(Portfolios!$B$2:$B$1004))</f>
        <v>0</v>
      </c>
    </row>
    <row r="273" spans="1:2">
      <c r="A273" s="11">
        <f>Returns!A273</f>
        <v>0</v>
      </c>
      <c r="B273" s="1">
        <f>ABS(Portfolios!B273-AVERAGE(Portfolios!$B$2:$B$1004))</f>
        <v>0</v>
      </c>
    </row>
    <row r="274" spans="1:2">
      <c r="A274" s="11">
        <f>Returns!A274</f>
        <v>0</v>
      </c>
      <c r="B274" s="1">
        <f>ABS(Portfolios!B274-AVERAGE(Portfolios!$B$2:$B$1004))</f>
        <v>0</v>
      </c>
    </row>
    <row r="275" spans="1:2">
      <c r="A275" s="11">
        <f>Returns!A275</f>
        <v>0</v>
      </c>
      <c r="B275" s="1">
        <f>ABS(Portfolios!B275-AVERAGE(Portfolios!$B$2:$B$1004))</f>
        <v>0</v>
      </c>
    </row>
    <row r="276" spans="1:2">
      <c r="A276" s="11">
        <f>Returns!A276</f>
        <v>0</v>
      </c>
      <c r="B276" s="1">
        <f>ABS(Portfolios!B276-AVERAGE(Portfolios!$B$2:$B$1004))</f>
        <v>0</v>
      </c>
    </row>
    <row r="277" spans="1:2">
      <c r="A277" s="11">
        <f>Returns!A277</f>
        <v>0</v>
      </c>
      <c r="B277" s="1">
        <f>ABS(Portfolios!B277-AVERAGE(Portfolios!$B$2:$B$1004))</f>
        <v>0</v>
      </c>
    </row>
    <row r="278" spans="1:2">
      <c r="A278" s="11">
        <f>Returns!A278</f>
        <v>0</v>
      </c>
      <c r="B278" s="1">
        <f>ABS(Portfolios!B278-AVERAGE(Portfolios!$B$2:$B$1004))</f>
        <v>0</v>
      </c>
    </row>
    <row r="279" spans="1:2">
      <c r="A279" s="11">
        <f>Returns!A279</f>
        <v>0</v>
      </c>
      <c r="B279" s="1">
        <f>ABS(Portfolios!B279-AVERAGE(Portfolios!$B$2:$B$1004))</f>
        <v>0</v>
      </c>
    </row>
    <row r="280" spans="1:2">
      <c r="A280" s="11">
        <f>Returns!A280</f>
        <v>0</v>
      </c>
      <c r="B280" s="1">
        <f>ABS(Portfolios!B280-AVERAGE(Portfolios!$B$2:$B$1004))</f>
        <v>0</v>
      </c>
    </row>
    <row r="281" spans="1:2">
      <c r="A281" s="11">
        <f>Returns!A281</f>
        <v>0</v>
      </c>
      <c r="B281" s="1">
        <f>ABS(Portfolios!B281-AVERAGE(Portfolios!$B$2:$B$1004))</f>
        <v>0</v>
      </c>
    </row>
    <row r="282" spans="1:2">
      <c r="A282" s="11">
        <f>Returns!A282</f>
        <v>0</v>
      </c>
      <c r="B282" s="1">
        <f>ABS(Portfolios!B282-AVERAGE(Portfolios!$B$2:$B$1004))</f>
        <v>0</v>
      </c>
    </row>
    <row r="283" spans="1:2">
      <c r="A283" s="11">
        <f>Returns!A283</f>
        <v>0</v>
      </c>
      <c r="B283" s="1">
        <f>ABS(Portfolios!B283-AVERAGE(Portfolios!$B$2:$B$1004))</f>
        <v>0</v>
      </c>
    </row>
    <row r="284" spans="1:2">
      <c r="A284" s="11">
        <f>Returns!A284</f>
        <v>0</v>
      </c>
      <c r="B284" s="1">
        <f>ABS(Portfolios!B284-AVERAGE(Portfolios!$B$2:$B$1004))</f>
        <v>0</v>
      </c>
    </row>
    <row r="285" spans="1:2">
      <c r="A285" s="11">
        <f>Returns!A285</f>
        <v>0</v>
      </c>
      <c r="B285" s="1">
        <f>ABS(Portfolios!B285-AVERAGE(Portfolios!$B$2:$B$1004))</f>
        <v>0</v>
      </c>
    </row>
    <row r="286" spans="1:2">
      <c r="A286" s="11">
        <f>Returns!A286</f>
        <v>0</v>
      </c>
      <c r="B286" s="1">
        <f>ABS(Portfolios!B286-AVERAGE(Portfolios!$B$2:$B$1004))</f>
        <v>0</v>
      </c>
    </row>
    <row r="287" spans="1:2">
      <c r="A287" s="11">
        <f>Returns!A287</f>
        <v>0</v>
      </c>
      <c r="B287" s="1">
        <f>ABS(Portfolios!B287-AVERAGE(Portfolios!$B$2:$B$1004))</f>
        <v>0</v>
      </c>
    </row>
    <row r="288" spans="1:2">
      <c r="A288" s="11">
        <f>Returns!A288</f>
        <v>0</v>
      </c>
      <c r="B288" s="1">
        <f>ABS(Portfolios!B288-AVERAGE(Portfolios!$B$2:$B$1004))</f>
        <v>0</v>
      </c>
    </row>
    <row r="289" spans="1:2">
      <c r="A289" s="11">
        <f>Returns!A289</f>
        <v>0</v>
      </c>
      <c r="B289" s="1">
        <f>ABS(Portfolios!B289-AVERAGE(Portfolios!$B$2:$B$1004))</f>
        <v>0</v>
      </c>
    </row>
    <row r="290" spans="1:2">
      <c r="A290" s="11">
        <f>Returns!A290</f>
        <v>0</v>
      </c>
      <c r="B290" s="1">
        <f>ABS(Portfolios!B290-AVERAGE(Portfolios!$B$2:$B$1004))</f>
        <v>0</v>
      </c>
    </row>
    <row r="291" spans="1:2">
      <c r="A291" s="11">
        <f>Returns!A291</f>
        <v>0</v>
      </c>
      <c r="B291" s="1">
        <f>ABS(Portfolios!B291-AVERAGE(Portfolios!$B$2:$B$1004))</f>
        <v>0</v>
      </c>
    </row>
    <row r="292" spans="1:2">
      <c r="A292" s="11">
        <f>Returns!A292</f>
        <v>0</v>
      </c>
      <c r="B292" s="1">
        <f>ABS(Portfolios!B292-AVERAGE(Portfolios!$B$2:$B$1004))</f>
        <v>0</v>
      </c>
    </row>
    <row r="293" spans="1:2">
      <c r="A293" s="11">
        <f>Returns!A293</f>
        <v>0</v>
      </c>
      <c r="B293" s="1">
        <f>ABS(Portfolios!B293-AVERAGE(Portfolios!$B$2:$B$1004))</f>
        <v>0</v>
      </c>
    </row>
    <row r="294" spans="1:2">
      <c r="A294" s="11">
        <f>Returns!A294</f>
        <v>0</v>
      </c>
      <c r="B294" s="1">
        <f>ABS(Portfolios!B294-AVERAGE(Portfolios!$B$2:$B$1004))</f>
        <v>0</v>
      </c>
    </row>
    <row r="295" spans="1:2">
      <c r="A295" s="11">
        <f>Returns!A295</f>
        <v>0</v>
      </c>
      <c r="B295" s="1">
        <f>ABS(Portfolios!B295-AVERAGE(Portfolios!$B$2:$B$1004))</f>
        <v>0</v>
      </c>
    </row>
    <row r="296" spans="1:2">
      <c r="A296" s="11">
        <f>Returns!A296</f>
        <v>0</v>
      </c>
      <c r="B296" s="1">
        <f>ABS(Portfolios!B296-AVERAGE(Portfolios!$B$2:$B$1004))</f>
        <v>0</v>
      </c>
    </row>
    <row r="297" spans="1:2">
      <c r="A297" s="11">
        <f>Returns!A297</f>
        <v>0</v>
      </c>
      <c r="B297" s="1">
        <f>ABS(Portfolios!B297-AVERAGE(Portfolios!$B$2:$B$1004))</f>
        <v>0</v>
      </c>
    </row>
    <row r="298" spans="1:2">
      <c r="A298" s="11">
        <f>Returns!A298</f>
        <v>0</v>
      </c>
      <c r="B298" s="1">
        <f>ABS(Portfolios!B298-AVERAGE(Portfolios!$B$2:$B$1004))</f>
        <v>0</v>
      </c>
    </row>
    <row r="299" spans="1:2">
      <c r="A299" s="11">
        <f>Returns!A299</f>
        <v>0</v>
      </c>
      <c r="B299" s="1">
        <f>ABS(Portfolios!B299-AVERAGE(Portfolios!$B$2:$B$1004))</f>
        <v>0</v>
      </c>
    </row>
    <row r="300" spans="1:2">
      <c r="A300" s="11">
        <f>Returns!A300</f>
        <v>0</v>
      </c>
      <c r="B300" s="1">
        <f>ABS(Portfolios!B300-AVERAGE(Portfolios!$B$2:$B$1004))</f>
        <v>0</v>
      </c>
    </row>
    <row r="301" spans="1:2">
      <c r="A301" s="11">
        <f>Returns!A301</f>
        <v>0</v>
      </c>
      <c r="B301" s="1">
        <f>ABS(Portfolios!B301-AVERAGE(Portfolios!$B$2:$B$1004))</f>
        <v>0</v>
      </c>
    </row>
    <row r="302" spans="1:2">
      <c r="A302" s="11">
        <f>Returns!A302</f>
        <v>0</v>
      </c>
      <c r="B302" s="1">
        <f>ABS(Portfolios!B302-AVERAGE(Portfolios!$B$2:$B$1004))</f>
        <v>0</v>
      </c>
    </row>
    <row r="303" spans="1:2">
      <c r="A303" s="11">
        <f>Returns!A303</f>
        <v>0</v>
      </c>
      <c r="B303" s="1">
        <f>ABS(Portfolios!B303-AVERAGE(Portfolios!$B$2:$B$1004))</f>
        <v>0</v>
      </c>
    </row>
    <row r="304" spans="1:2">
      <c r="A304" s="11">
        <f>Returns!A304</f>
        <v>0</v>
      </c>
      <c r="B304" s="1">
        <f>ABS(Portfolios!B304-AVERAGE(Portfolios!$B$2:$B$1004))</f>
        <v>0</v>
      </c>
    </row>
    <row r="305" spans="1:2">
      <c r="A305" s="11">
        <f>Returns!A305</f>
        <v>0</v>
      </c>
      <c r="B305" s="1">
        <f>ABS(Portfolios!B305-AVERAGE(Portfolios!$B$2:$B$1004))</f>
        <v>0</v>
      </c>
    </row>
    <row r="306" spans="1:2">
      <c r="A306" s="11">
        <f>Returns!A306</f>
        <v>0</v>
      </c>
      <c r="B306" s="1">
        <f>ABS(Portfolios!B306-AVERAGE(Portfolios!$B$2:$B$1004))</f>
        <v>0</v>
      </c>
    </row>
    <row r="307" spans="1:2">
      <c r="A307" s="11">
        <f>Returns!A307</f>
        <v>0</v>
      </c>
      <c r="B307" s="1">
        <f>ABS(Portfolios!B307-AVERAGE(Portfolios!$B$2:$B$1004))</f>
        <v>0</v>
      </c>
    </row>
    <row r="308" spans="1:2">
      <c r="A308" s="11">
        <f>Returns!A308</f>
        <v>0</v>
      </c>
      <c r="B308" s="1">
        <f>ABS(Portfolios!B308-AVERAGE(Portfolios!$B$2:$B$1004))</f>
        <v>0</v>
      </c>
    </row>
    <row r="309" spans="1:2">
      <c r="A309" s="11">
        <f>Returns!A309</f>
        <v>0</v>
      </c>
      <c r="B309" s="1">
        <f>ABS(Portfolios!B309-AVERAGE(Portfolios!$B$2:$B$1004))</f>
        <v>0</v>
      </c>
    </row>
    <row r="310" spans="1:2">
      <c r="A310" s="11">
        <f>Returns!A310</f>
        <v>0</v>
      </c>
      <c r="B310" s="1">
        <f>ABS(Portfolios!B310-AVERAGE(Portfolios!$B$2:$B$1004))</f>
        <v>0</v>
      </c>
    </row>
    <row r="311" spans="1:2">
      <c r="A311" s="11">
        <f>Returns!A311</f>
        <v>0</v>
      </c>
      <c r="B311" s="1">
        <f>ABS(Portfolios!B311-AVERAGE(Portfolios!$B$2:$B$1004))</f>
        <v>0</v>
      </c>
    </row>
    <row r="312" spans="1:2">
      <c r="A312" s="11">
        <f>Returns!A312</f>
        <v>0</v>
      </c>
      <c r="B312" s="1">
        <f>ABS(Portfolios!B312-AVERAGE(Portfolios!$B$2:$B$1004))</f>
        <v>0</v>
      </c>
    </row>
    <row r="313" spans="1:2">
      <c r="A313" s="11">
        <f>Returns!A313</f>
        <v>0</v>
      </c>
      <c r="B313" s="1">
        <f>ABS(Portfolios!B313-AVERAGE(Portfolios!$B$2:$B$1004))</f>
        <v>0</v>
      </c>
    </row>
    <row r="314" spans="1:2">
      <c r="A314" s="11">
        <f>Returns!A314</f>
        <v>0</v>
      </c>
      <c r="B314" s="1">
        <f>ABS(Portfolios!B314-AVERAGE(Portfolios!$B$2:$B$1004))</f>
        <v>0</v>
      </c>
    </row>
    <row r="315" spans="1:2">
      <c r="A315" s="11">
        <f>Returns!A315</f>
        <v>0</v>
      </c>
      <c r="B315" s="1">
        <f>ABS(Portfolios!B315-AVERAGE(Portfolios!$B$2:$B$1004))</f>
        <v>0</v>
      </c>
    </row>
    <row r="316" spans="1:2">
      <c r="A316" s="11">
        <f>Returns!A316</f>
        <v>0</v>
      </c>
      <c r="B316" s="1">
        <f>ABS(Portfolios!B316-AVERAGE(Portfolios!$B$2:$B$1004))</f>
        <v>0</v>
      </c>
    </row>
    <row r="317" spans="1:2">
      <c r="A317" s="11">
        <f>Returns!A317</f>
        <v>0</v>
      </c>
      <c r="B317" s="1">
        <f>ABS(Portfolios!B317-AVERAGE(Portfolios!$B$2:$B$1004))</f>
        <v>0</v>
      </c>
    </row>
    <row r="318" spans="1:2">
      <c r="A318" s="11">
        <f>Returns!A318</f>
        <v>0</v>
      </c>
      <c r="B318" s="1">
        <f>ABS(Portfolios!B318-AVERAGE(Portfolios!$B$2:$B$1004))</f>
        <v>0</v>
      </c>
    </row>
    <row r="319" spans="1:2">
      <c r="A319" s="11">
        <f>Returns!A319</f>
        <v>0</v>
      </c>
      <c r="B319" s="1">
        <f>ABS(Portfolios!B319-AVERAGE(Portfolios!$B$2:$B$1004))</f>
        <v>0</v>
      </c>
    </row>
    <row r="320" spans="1:2">
      <c r="A320" s="11">
        <f>Returns!A320</f>
        <v>0</v>
      </c>
      <c r="B320" s="1">
        <f>ABS(Portfolios!B320-AVERAGE(Portfolios!$B$2:$B$1004))</f>
        <v>0</v>
      </c>
    </row>
    <row r="321" spans="1:2">
      <c r="A321" s="11">
        <f>Returns!A321</f>
        <v>0</v>
      </c>
      <c r="B321" s="1">
        <f>ABS(Portfolios!B321-AVERAGE(Portfolios!$B$2:$B$1004))</f>
        <v>0</v>
      </c>
    </row>
    <row r="322" spans="1:2">
      <c r="A322" s="11">
        <f>Returns!A322</f>
        <v>0</v>
      </c>
      <c r="B322" s="1">
        <f>ABS(Portfolios!B322-AVERAGE(Portfolios!$B$2:$B$1004))</f>
        <v>0</v>
      </c>
    </row>
    <row r="323" spans="1:2">
      <c r="A323" s="11">
        <f>Returns!A323</f>
        <v>0</v>
      </c>
      <c r="B323" s="1">
        <f>ABS(Portfolios!B323-AVERAGE(Portfolios!$B$2:$B$1004))</f>
        <v>0</v>
      </c>
    </row>
    <row r="324" spans="1:2">
      <c r="A324" s="11">
        <f>Returns!A324</f>
        <v>0</v>
      </c>
      <c r="B324" s="1">
        <f>ABS(Portfolios!B324-AVERAGE(Portfolios!$B$2:$B$1004))</f>
        <v>0</v>
      </c>
    </row>
    <row r="325" spans="1:2">
      <c r="A325" s="11">
        <f>Returns!A325</f>
        <v>0</v>
      </c>
      <c r="B325" s="1">
        <f>ABS(Portfolios!B325-AVERAGE(Portfolios!$B$2:$B$1004))</f>
        <v>0</v>
      </c>
    </row>
    <row r="326" spans="1:2">
      <c r="A326" s="11">
        <f>Returns!A326</f>
        <v>0</v>
      </c>
      <c r="B326" s="1">
        <f>ABS(Portfolios!B326-AVERAGE(Portfolios!$B$2:$B$1004))</f>
        <v>0</v>
      </c>
    </row>
    <row r="327" spans="1:2">
      <c r="A327" s="11">
        <f>Returns!A327</f>
        <v>0</v>
      </c>
      <c r="B327" s="1">
        <f>ABS(Portfolios!B327-AVERAGE(Portfolios!$B$2:$B$1004))</f>
        <v>0</v>
      </c>
    </row>
    <row r="328" spans="1:2">
      <c r="A328" s="11">
        <f>Returns!A328</f>
        <v>0</v>
      </c>
      <c r="B328" s="1">
        <f>ABS(Portfolios!B328-AVERAGE(Portfolios!$B$2:$B$1004))</f>
        <v>0</v>
      </c>
    </row>
    <row r="329" spans="1:2">
      <c r="A329" s="11">
        <f>Returns!A329</f>
        <v>0</v>
      </c>
      <c r="B329" s="1">
        <f>ABS(Portfolios!B329-AVERAGE(Portfolios!$B$2:$B$1004))</f>
        <v>0</v>
      </c>
    </row>
    <row r="330" spans="1:2">
      <c r="A330" s="11">
        <f>Returns!A330</f>
        <v>0</v>
      </c>
      <c r="B330" s="1">
        <f>ABS(Portfolios!B330-AVERAGE(Portfolios!$B$2:$B$1004))</f>
        <v>0</v>
      </c>
    </row>
    <row r="331" spans="1:2">
      <c r="A331" s="11">
        <f>Returns!A331</f>
        <v>0</v>
      </c>
      <c r="B331" s="1">
        <f>ABS(Portfolios!B331-AVERAGE(Portfolios!$B$2:$B$1004))</f>
        <v>0</v>
      </c>
    </row>
    <row r="332" spans="1:2">
      <c r="A332" s="11">
        <f>Returns!A332</f>
        <v>0</v>
      </c>
      <c r="B332" s="1">
        <f>ABS(Portfolios!B332-AVERAGE(Portfolios!$B$2:$B$1004))</f>
        <v>0</v>
      </c>
    </row>
    <row r="333" spans="1:2">
      <c r="A333" s="11">
        <f>Returns!A333</f>
        <v>0</v>
      </c>
      <c r="B333" s="1">
        <f>ABS(Portfolios!B333-AVERAGE(Portfolios!$B$2:$B$1004))</f>
        <v>0</v>
      </c>
    </row>
    <row r="334" spans="1:2">
      <c r="A334" s="11">
        <f>Returns!A334</f>
        <v>0</v>
      </c>
      <c r="B334" s="1">
        <f>ABS(Portfolios!B334-AVERAGE(Portfolios!$B$2:$B$1004))</f>
        <v>0</v>
      </c>
    </row>
    <row r="335" spans="1:2">
      <c r="A335" s="11">
        <f>Returns!A335</f>
        <v>0</v>
      </c>
      <c r="B335" s="1">
        <f>ABS(Portfolios!B335-AVERAGE(Portfolios!$B$2:$B$1004))</f>
        <v>0</v>
      </c>
    </row>
    <row r="336" spans="1:2">
      <c r="A336" s="11">
        <f>Returns!A336</f>
        <v>0</v>
      </c>
      <c r="B336" s="1">
        <f>ABS(Portfolios!B336-AVERAGE(Portfolios!$B$2:$B$1004))</f>
        <v>0</v>
      </c>
    </row>
    <row r="337" spans="1:2">
      <c r="A337" s="11">
        <f>Returns!A337</f>
        <v>0</v>
      </c>
      <c r="B337" s="1">
        <f>ABS(Portfolios!B337-AVERAGE(Portfolios!$B$2:$B$1004))</f>
        <v>0</v>
      </c>
    </row>
    <row r="338" spans="1:2">
      <c r="A338" s="11">
        <f>Returns!A338</f>
        <v>0</v>
      </c>
      <c r="B338" s="1">
        <f>ABS(Portfolios!B338-AVERAGE(Portfolios!$B$2:$B$1004))</f>
        <v>0</v>
      </c>
    </row>
    <row r="339" spans="1:2">
      <c r="A339" s="11">
        <f>Returns!A339</f>
        <v>0</v>
      </c>
      <c r="B339" s="1">
        <f>ABS(Portfolios!B339-AVERAGE(Portfolios!$B$2:$B$1004))</f>
        <v>0</v>
      </c>
    </row>
    <row r="340" spans="1:2">
      <c r="A340" s="11">
        <f>Returns!A340</f>
        <v>0</v>
      </c>
      <c r="B340" s="1">
        <f>ABS(Portfolios!B340-AVERAGE(Portfolios!$B$2:$B$1004))</f>
        <v>0</v>
      </c>
    </row>
    <row r="341" spans="1:2">
      <c r="A341" s="11">
        <f>Returns!A341</f>
        <v>0</v>
      </c>
      <c r="B341" s="1">
        <f>ABS(Portfolios!B341-AVERAGE(Portfolios!$B$2:$B$1004))</f>
        <v>0</v>
      </c>
    </row>
    <row r="342" spans="1:2">
      <c r="A342" s="11">
        <f>Returns!A342</f>
        <v>0</v>
      </c>
      <c r="B342" s="1">
        <f>ABS(Portfolios!B342-AVERAGE(Portfolios!$B$2:$B$1004))</f>
        <v>0</v>
      </c>
    </row>
    <row r="343" spans="1:2">
      <c r="A343" s="11">
        <f>Returns!A343</f>
        <v>0</v>
      </c>
      <c r="B343" s="1">
        <f>ABS(Portfolios!B343-AVERAGE(Portfolios!$B$2:$B$1004))</f>
        <v>0</v>
      </c>
    </row>
    <row r="344" spans="1:2">
      <c r="A344" s="11">
        <f>Returns!A344</f>
        <v>0</v>
      </c>
      <c r="B344" s="1">
        <f>ABS(Portfolios!B344-AVERAGE(Portfolios!$B$2:$B$1004))</f>
        <v>0</v>
      </c>
    </row>
    <row r="345" spans="1:2">
      <c r="A345" s="11">
        <f>Returns!A345</f>
        <v>0</v>
      </c>
      <c r="B345" s="1">
        <f>ABS(Portfolios!B345-AVERAGE(Portfolios!$B$2:$B$1004))</f>
        <v>0</v>
      </c>
    </row>
    <row r="346" spans="1:2">
      <c r="A346" s="11">
        <f>Returns!A346</f>
        <v>0</v>
      </c>
      <c r="B346" s="1">
        <f>ABS(Portfolios!B346-AVERAGE(Portfolios!$B$2:$B$1004))</f>
        <v>0</v>
      </c>
    </row>
    <row r="347" spans="1:2">
      <c r="A347" s="11">
        <f>Returns!A347</f>
        <v>0</v>
      </c>
      <c r="B347" s="1">
        <f>ABS(Portfolios!B347-AVERAGE(Portfolios!$B$2:$B$1004))</f>
        <v>0</v>
      </c>
    </row>
    <row r="348" spans="1:2">
      <c r="A348" s="11">
        <f>Returns!A348</f>
        <v>0</v>
      </c>
      <c r="B348" s="1">
        <f>ABS(Portfolios!B348-AVERAGE(Portfolios!$B$2:$B$1004))</f>
        <v>0</v>
      </c>
    </row>
    <row r="349" spans="1:2">
      <c r="A349" s="11">
        <f>Returns!A349</f>
        <v>0</v>
      </c>
      <c r="B349" s="1">
        <f>ABS(Portfolios!B349-AVERAGE(Portfolios!$B$2:$B$1004))</f>
        <v>0</v>
      </c>
    </row>
    <row r="350" spans="1:2">
      <c r="A350" s="11">
        <f>Returns!A350</f>
        <v>0</v>
      </c>
      <c r="B350" s="1">
        <f>ABS(Portfolios!B350-AVERAGE(Portfolios!$B$2:$B$1004))</f>
        <v>0</v>
      </c>
    </row>
    <row r="351" spans="1:2">
      <c r="A351" s="11">
        <f>Returns!A351</f>
        <v>0</v>
      </c>
      <c r="B351" s="1">
        <f>ABS(Portfolios!B351-AVERAGE(Portfolios!$B$2:$B$1004))</f>
        <v>0</v>
      </c>
    </row>
    <row r="352" spans="1:2">
      <c r="A352" s="11">
        <f>Returns!A352</f>
        <v>0</v>
      </c>
      <c r="B352" s="1">
        <f>ABS(Portfolios!B352-AVERAGE(Portfolios!$B$2:$B$1004))</f>
        <v>0</v>
      </c>
    </row>
    <row r="353" spans="1:2">
      <c r="A353" s="11">
        <f>Returns!A353</f>
        <v>0</v>
      </c>
      <c r="B353" s="1">
        <f>ABS(Portfolios!B353-AVERAGE(Portfolios!$B$2:$B$1004))</f>
        <v>0</v>
      </c>
    </row>
    <row r="354" spans="1:2">
      <c r="A354" s="11">
        <f>Returns!A354</f>
        <v>0</v>
      </c>
      <c r="B354" s="1">
        <f>ABS(Portfolios!B354-AVERAGE(Portfolios!$B$2:$B$1004))</f>
        <v>0</v>
      </c>
    </row>
    <row r="355" spans="1:2">
      <c r="A355" s="11">
        <f>Returns!A355</f>
        <v>0</v>
      </c>
      <c r="B355" s="1">
        <f>ABS(Portfolios!B355-AVERAGE(Portfolios!$B$2:$B$1004))</f>
        <v>0</v>
      </c>
    </row>
    <row r="356" spans="1:2">
      <c r="A356" s="11">
        <f>Returns!A356</f>
        <v>0</v>
      </c>
      <c r="B356" s="1">
        <f>ABS(Portfolios!B356-AVERAGE(Portfolios!$B$2:$B$1004))</f>
        <v>0</v>
      </c>
    </row>
    <row r="357" spans="1:2">
      <c r="A357" s="11">
        <f>Returns!A357</f>
        <v>0</v>
      </c>
      <c r="B357" s="1">
        <f>ABS(Portfolios!B357-AVERAGE(Portfolios!$B$2:$B$1004))</f>
        <v>0</v>
      </c>
    </row>
    <row r="358" spans="1:2">
      <c r="A358" s="11">
        <f>Returns!A358</f>
        <v>0</v>
      </c>
      <c r="B358" s="1">
        <f>ABS(Portfolios!B358-AVERAGE(Portfolios!$B$2:$B$1004))</f>
        <v>0</v>
      </c>
    </row>
    <row r="359" spans="1:2">
      <c r="A359" s="11">
        <f>Returns!A359</f>
        <v>0</v>
      </c>
      <c r="B359" s="1">
        <f>ABS(Portfolios!B359-AVERAGE(Portfolios!$B$2:$B$1004))</f>
        <v>0</v>
      </c>
    </row>
    <row r="360" spans="1:2">
      <c r="A360" s="11">
        <f>Returns!A360</f>
        <v>0</v>
      </c>
      <c r="B360" s="1">
        <f>ABS(Portfolios!B360-AVERAGE(Portfolios!$B$2:$B$1004))</f>
        <v>0</v>
      </c>
    </row>
    <row r="361" spans="1:2">
      <c r="A361" s="11">
        <f>Returns!A361</f>
        <v>0</v>
      </c>
      <c r="B361" s="1">
        <f>ABS(Portfolios!B361-AVERAGE(Portfolios!$B$2:$B$1004))</f>
        <v>0</v>
      </c>
    </row>
    <row r="362" spans="1:2">
      <c r="A362" s="11">
        <f>Returns!A362</f>
        <v>0</v>
      </c>
      <c r="B362" s="1">
        <f>ABS(Portfolios!B362-AVERAGE(Portfolios!$B$2:$B$1004))</f>
        <v>0</v>
      </c>
    </row>
    <row r="363" spans="1:2">
      <c r="A363" s="11">
        <f>Returns!A363</f>
        <v>0</v>
      </c>
      <c r="B363" s="1">
        <f>ABS(Portfolios!B363-AVERAGE(Portfolios!$B$2:$B$1004))</f>
        <v>0</v>
      </c>
    </row>
    <row r="364" spans="1:2">
      <c r="A364" s="11">
        <f>Returns!A364</f>
        <v>0</v>
      </c>
      <c r="B364" s="1">
        <f>ABS(Portfolios!B364-AVERAGE(Portfolios!$B$2:$B$1004))</f>
        <v>0</v>
      </c>
    </row>
    <row r="365" spans="1:2">
      <c r="A365" s="11">
        <f>Returns!A365</f>
        <v>0</v>
      </c>
      <c r="B365" s="1">
        <f>ABS(Portfolios!B365-AVERAGE(Portfolios!$B$2:$B$1004))</f>
        <v>0</v>
      </c>
    </row>
    <row r="366" spans="1:2">
      <c r="A366" s="11">
        <f>Returns!A366</f>
        <v>0</v>
      </c>
      <c r="B366" s="1">
        <f>ABS(Portfolios!B366-AVERAGE(Portfolios!$B$2:$B$1004))</f>
        <v>0</v>
      </c>
    </row>
    <row r="367" spans="1:2">
      <c r="A367" s="11">
        <f>Returns!A367</f>
        <v>0</v>
      </c>
      <c r="B367" s="1">
        <f>ABS(Portfolios!B367-AVERAGE(Portfolios!$B$2:$B$1004))</f>
        <v>0</v>
      </c>
    </row>
    <row r="368" spans="1:2">
      <c r="A368" s="11">
        <f>Returns!A368</f>
        <v>0</v>
      </c>
      <c r="B368" s="1">
        <f>ABS(Portfolios!B368-AVERAGE(Portfolios!$B$2:$B$1004))</f>
        <v>0</v>
      </c>
    </row>
    <row r="369" spans="1:2">
      <c r="A369" s="11">
        <f>Returns!A369</f>
        <v>0</v>
      </c>
      <c r="B369" s="1">
        <f>ABS(Portfolios!B369-AVERAGE(Portfolios!$B$2:$B$1004))</f>
        <v>0</v>
      </c>
    </row>
    <row r="370" spans="1:2">
      <c r="A370" s="11">
        <f>Returns!A370</f>
        <v>0</v>
      </c>
      <c r="B370" s="1">
        <f>ABS(Portfolios!B370-AVERAGE(Portfolios!$B$2:$B$1004))</f>
        <v>0</v>
      </c>
    </row>
    <row r="371" spans="1:2">
      <c r="A371" s="11">
        <f>Returns!A371</f>
        <v>0</v>
      </c>
      <c r="B371" s="1">
        <f>ABS(Portfolios!B371-AVERAGE(Portfolios!$B$2:$B$1004))</f>
        <v>0</v>
      </c>
    </row>
    <row r="372" spans="1:2">
      <c r="A372" s="11">
        <f>Returns!A372</f>
        <v>0</v>
      </c>
      <c r="B372" s="1">
        <f>ABS(Portfolios!B372-AVERAGE(Portfolios!$B$2:$B$1004))</f>
        <v>0</v>
      </c>
    </row>
    <row r="373" spans="1:2">
      <c r="A373" s="11">
        <f>Returns!A373</f>
        <v>0</v>
      </c>
      <c r="B373" s="1">
        <f>ABS(Portfolios!B373-AVERAGE(Portfolios!$B$2:$B$1004))</f>
        <v>0</v>
      </c>
    </row>
    <row r="374" spans="1:2">
      <c r="A374" s="11">
        <f>Returns!A374</f>
        <v>0</v>
      </c>
      <c r="B374" s="1">
        <f>ABS(Portfolios!B374-AVERAGE(Portfolios!$B$2:$B$1004))</f>
        <v>0</v>
      </c>
    </row>
    <row r="375" spans="1:2">
      <c r="A375" s="11">
        <f>Returns!A375</f>
        <v>0</v>
      </c>
      <c r="B375" s="1">
        <f>ABS(Portfolios!B375-AVERAGE(Portfolios!$B$2:$B$1004))</f>
        <v>0</v>
      </c>
    </row>
    <row r="376" spans="1:2">
      <c r="A376" s="11">
        <f>Returns!A376</f>
        <v>0</v>
      </c>
      <c r="B376" s="1">
        <f>ABS(Portfolios!B376-AVERAGE(Portfolios!$B$2:$B$1004))</f>
        <v>0</v>
      </c>
    </row>
    <row r="377" spans="1:2">
      <c r="A377" s="11">
        <f>Returns!A377</f>
        <v>0</v>
      </c>
      <c r="B377" s="1">
        <f>ABS(Portfolios!B377-AVERAGE(Portfolios!$B$2:$B$1004))</f>
        <v>0</v>
      </c>
    </row>
    <row r="378" spans="1:2">
      <c r="A378" s="11">
        <f>Returns!A378</f>
        <v>0</v>
      </c>
      <c r="B378" s="1">
        <f>ABS(Portfolios!B378-AVERAGE(Portfolios!$B$2:$B$1004))</f>
        <v>0</v>
      </c>
    </row>
    <row r="379" spans="1:2">
      <c r="A379" s="11">
        <f>Returns!A379</f>
        <v>0</v>
      </c>
      <c r="B379" s="1">
        <f>ABS(Portfolios!B379-AVERAGE(Portfolios!$B$2:$B$1004))</f>
        <v>0</v>
      </c>
    </row>
    <row r="380" spans="1:2">
      <c r="A380" s="11">
        <f>Returns!A380</f>
        <v>0</v>
      </c>
      <c r="B380" s="1">
        <f>ABS(Portfolios!B380-AVERAGE(Portfolios!$B$2:$B$1004))</f>
        <v>0</v>
      </c>
    </row>
    <row r="381" spans="1:2">
      <c r="A381" s="11">
        <f>Returns!A381</f>
        <v>0</v>
      </c>
      <c r="B381" s="1">
        <f>ABS(Portfolios!B381-AVERAGE(Portfolios!$B$2:$B$1004))</f>
        <v>0</v>
      </c>
    </row>
    <row r="382" spans="1:2">
      <c r="A382" s="11">
        <f>Returns!A382</f>
        <v>0</v>
      </c>
      <c r="B382" s="1">
        <f>ABS(Portfolios!B382-AVERAGE(Portfolios!$B$2:$B$1004))</f>
        <v>0</v>
      </c>
    </row>
    <row r="383" spans="1:2">
      <c r="A383" s="11">
        <f>Returns!A383</f>
        <v>0</v>
      </c>
      <c r="B383" s="1">
        <f>ABS(Portfolios!B383-AVERAGE(Portfolios!$B$2:$B$1004))</f>
        <v>0</v>
      </c>
    </row>
    <row r="384" spans="1:2">
      <c r="A384" s="11">
        <f>Returns!A384</f>
        <v>0</v>
      </c>
      <c r="B384" s="1">
        <f>ABS(Portfolios!B384-AVERAGE(Portfolios!$B$2:$B$1004))</f>
        <v>0</v>
      </c>
    </row>
    <row r="385" spans="1:2">
      <c r="A385" s="11">
        <f>Returns!A385</f>
        <v>0</v>
      </c>
      <c r="B385" s="1">
        <f>ABS(Portfolios!B385-AVERAGE(Portfolios!$B$2:$B$1004))</f>
        <v>0</v>
      </c>
    </row>
    <row r="386" spans="1:2">
      <c r="A386" s="11">
        <f>Returns!A386</f>
        <v>0</v>
      </c>
      <c r="B386" s="1">
        <f>ABS(Portfolios!B386-AVERAGE(Portfolios!$B$2:$B$1004))</f>
        <v>0</v>
      </c>
    </row>
    <row r="387" spans="1:2">
      <c r="A387" s="11">
        <f>Returns!A387</f>
        <v>0</v>
      </c>
      <c r="B387" s="1">
        <f>ABS(Portfolios!B387-AVERAGE(Portfolios!$B$2:$B$1004))</f>
        <v>0</v>
      </c>
    </row>
    <row r="388" spans="1:2">
      <c r="A388" s="11">
        <f>Returns!A388</f>
        <v>0</v>
      </c>
      <c r="B388" s="1">
        <f>ABS(Portfolios!B388-AVERAGE(Portfolios!$B$2:$B$1004))</f>
        <v>0</v>
      </c>
    </row>
    <row r="389" spans="1:2">
      <c r="A389" s="11">
        <f>Returns!A389</f>
        <v>0</v>
      </c>
      <c r="B389" s="1">
        <f>ABS(Portfolios!B389-AVERAGE(Portfolios!$B$2:$B$1004))</f>
        <v>0</v>
      </c>
    </row>
    <row r="390" spans="1:2">
      <c r="A390" s="11">
        <f>Returns!A390</f>
        <v>0</v>
      </c>
      <c r="B390" s="1">
        <f>ABS(Portfolios!B390-AVERAGE(Portfolios!$B$2:$B$1004))</f>
        <v>0</v>
      </c>
    </row>
    <row r="391" spans="1:2">
      <c r="A391" s="11">
        <f>Returns!A391</f>
        <v>0</v>
      </c>
      <c r="B391" s="1">
        <f>ABS(Portfolios!B391-AVERAGE(Portfolios!$B$2:$B$1004))</f>
        <v>0</v>
      </c>
    </row>
    <row r="392" spans="1:2">
      <c r="A392" s="11">
        <f>Returns!A392</f>
        <v>0</v>
      </c>
      <c r="B392" s="1">
        <f>ABS(Portfolios!B392-AVERAGE(Portfolios!$B$2:$B$1004))</f>
        <v>0</v>
      </c>
    </row>
    <row r="393" spans="1:2">
      <c r="A393" s="11">
        <f>Returns!A393</f>
        <v>0</v>
      </c>
      <c r="B393" s="1">
        <f>ABS(Portfolios!B393-AVERAGE(Portfolios!$B$2:$B$1004))</f>
        <v>0</v>
      </c>
    </row>
    <row r="394" spans="1:2">
      <c r="A394" s="11">
        <f>Returns!A394</f>
        <v>0</v>
      </c>
      <c r="B394" s="1">
        <f>ABS(Portfolios!B394-AVERAGE(Portfolios!$B$2:$B$1004))</f>
        <v>0</v>
      </c>
    </row>
    <row r="395" spans="1:2">
      <c r="A395" s="11">
        <f>Returns!A395</f>
        <v>0</v>
      </c>
      <c r="B395" s="1">
        <f>ABS(Portfolios!B395-AVERAGE(Portfolios!$B$2:$B$1004))</f>
        <v>0</v>
      </c>
    </row>
    <row r="396" spans="1:2">
      <c r="A396" s="11">
        <f>Returns!A396</f>
        <v>0</v>
      </c>
      <c r="B396" s="1">
        <f>ABS(Portfolios!B396-AVERAGE(Portfolios!$B$2:$B$1004))</f>
        <v>0</v>
      </c>
    </row>
    <row r="397" spans="1:2">
      <c r="A397" s="11">
        <f>Returns!A397</f>
        <v>0</v>
      </c>
      <c r="B397" s="1">
        <f>ABS(Portfolios!B397-AVERAGE(Portfolios!$B$2:$B$1004))</f>
        <v>0</v>
      </c>
    </row>
    <row r="398" spans="1:2">
      <c r="A398" s="11">
        <f>Returns!A398</f>
        <v>0</v>
      </c>
      <c r="B398" s="1">
        <f>ABS(Portfolios!B398-AVERAGE(Portfolios!$B$2:$B$1004))</f>
        <v>0</v>
      </c>
    </row>
    <row r="399" spans="1:2">
      <c r="A399" s="11">
        <f>Returns!A399</f>
        <v>0</v>
      </c>
      <c r="B399" s="1">
        <f>ABS(Portfolios!B399-AVERAGE(Portfolios!$B$2:$B$1004))</f>
        <v>0</v>
      </c>
    </row>
    <row r="400" spans="1:2">
      <c r="A400" s="11">
        <f>Returns!A400</f>
        <v>0</v>
      </c>
      <c r="B400" s="1">
        <f>ABS(Portfolios!B400-AVERAGE(Portfolios!$B$2:$B$1004))</f>
        <v>0</v>
      </c>
    </row>
    <row r="401" spans="1:2">
      <c r="A401" s="11">
        <f>Returns!A401</f>
        <v>0</v>
      </c>
      <c r="B401" s="1">
        <f>ABS(Portfolios!B401-AVERAGE(Portfolios!$B$2:$B$1004))</f>
        <v>0</v>
      </c>
    </row>
    <row r="402" spans="1:2">
      <c r="A402" s="11">
        <f>Returns!A402</f>
        <v>0</v>
      </c>
      <c r="B402" s="1">
        <f>ABS(Portfolios!B402-AVERAGE(Portfolios!$B$2:$B$1004))</f>
        <v>0</v>
      </c>
    </row>
    <row r="403" spans="1:2">
      <c r="A403" s="11">
        <f>Returns!A403</f>
        <v>0</v>
      </c>
      <c r="B403" s="1">
        <f>ABS(Portfolios!B403-AVERAGE(Portfolios!$B$2:$B$1004))</f>
        <v>0</v>
      </c>
    </row>
    <row r="404" spans="1:2">
      <c r="A404" s="11">
        <f>Returns!A404</f>
        <v>0</v>
      </c>
      <c r="B404" s="1">
        <f>ABS(Portfolios!B404-AVERAGE(Portfolios!$B$2:$B$1004))</f>
        <v>0</v>
      </c>
    </row>
    <row r="405" spans="1:2">
      <c r="A405" s="11">
        <f>Returns!A405</f>
        <v>0</v>
      </c>
      <c r="B405" s="1">
        <f>ABS(Portfolios!B405-AVERAGE(Portfolios!$B$2:$B$1004))</f>
        <v>0</v>
      </c>
    </row>
    <row r="406" spans="1:2">
      <c r="A406" s="11">
        <f>Returns!A406</f>
        <v>0</v>
      </c>
      <c r="B406" s="1">
        <f>ABS(Portfolios!B406-AVERAGE(Portfolios!$B$2:$B$1004))</f>
        <v>0</v>
      </c>
    </row>
    <row r="407" spans="1:2">
      <c r="A407" s="11">
        <f>Returns!A407</f>
        <v>0</v>
      </c>
      <c r="B407" s="1">
        <f>ABS(Portfolios!B407-AVERAGE(Portfolios!$B$2:$B$1004))</f>
        <v>0</v>
      </c>
    </row>
    <row r="408" spans="1:2">
      <c r="A408" s="11">
        <f>Returns!A408</f>
        <v>0</v>
      </c>
      <c r="B408" s="1">
        <f>ABS(Portfolios!B408-AVERAGE(Portfolios!$B$2:$B$1004))</f>
        <v>0</v>
      </c>
    </row>
    <row r="409" spans="1:2">
      <c r="A409" s="11">
        <f>Returns!A409</f>
        <v>0</v>
      </c>
      <c r="B409" s="1">
        <f>ABS(Portfolios!B409-AVERAGE(Portfolios!$B$2:$B$1004))</f>
        <v>0</v>
      </c>
    </row>
    <row r="410" spans="1:2">
      <c r="A410" s="11">
        <f>Returns!A410</f>
        <v>0</v>
      </c>
      <c r="B410" s="1">
        <f>ABS(Portfolios!B410-AVERAGE(Portfolios!$B$2:$B$1004))</f>
        <v>0</v>
      </c>
    </row>
    <row r="411" spans="1:2">
      <c r="A411" s="11">
        <f>Returns!A411</f>
        <v>0</v>
      </c>
      <c r="B411" s="1">
        <f>ABS(Portfolios!B411-AVERAGE(Portfolios!$B$2:$B$1004))</f>
        <v>0</v>
      </c>
    </row>
    <row r="412" spans="1:2">
      <c r="A412" s="11">
        <f>Returns!A412</f>
        <v>0</v>
      </c>
      <c r="B412" s="1">
        <f>ABS(Portfolios!B412-AVERAGE(Portfolios!$B$2:$B$1004))</f>
        <v>0</v>
      </c>
    </row>
    <row r="413" spans="1:2">
      <c r="A413" s="11">
        <f>Returns!A413</f>
        <v>0</v>
      </c>
      <c r="B413" s="1">
        <f>ABS(Portfolios!B413-AVERAGE(Portfolios!$B$2:$B$1004))</f>
        <v>0</v>
      </c>
    </row>
    <row r="414" spans="1:2">
      <c r="A414" s="11">
        <f>Returns!A414</f>
        <v>0</v>
      </c>
      <c r="B414" s="1">
        <f>ABS(Portfolios!B414-AVERAGE(Portfolios!$B$2:$B$1004))</f>
        <v>0</v>
      </c>
    </row>
    <row r="415" spans="1:2">
      <c r="A415" s="11">
        <f>Returns!A415</f>
        <v>0</v>
      </c>
      <c r="B415" s="1">
        <f>ABS(Portfolios!B415-AVERAGE(Portfolios!$B$2:$B$1004))</f>
        <v>0</v>
      </c>
    </row>
    <row r="416" spans="1:2">
      <c r="A416" s="11">
        <f>Returns!A416</f>
        <v>0</v>
      </c>
      <c r="B416" s="1">
        <f>ABS(Portfolios!B416-AVERAGE(Portfolios!$B$2:$B$1004))</f>
        <v>0</v>
      </c>
    </row>
    <row r="417" spans="1:2">
      <c r="A417" s="11">
        <f>Returns!A417</f>
        <v>0</v>
      </c>
      <c r="B417" s="1">
        <f>ABS(Portfolios!B417-AVERAGE(Portfolios!$B$2:$B$1004))</f>
        <v>0</v>
      </c>
    </row>
    <row r="418" spans="1:2">
      <c r="A418" s="11">
        <f>Returns!A418</f>
        <v>0</v>
      </c>
      <c r="B418" s="1">
        <f>ABS(Portfolios!B418-AVERAGE(Portfolios!$B$2:$B$1004))</f>
        <v>0</v>
      </c>
    </row>
    <row r="419" spans="1:2">
      <c r="A419" s="11">
        <f>Returns!A419</f>
        <v>0</v>
      </c>
      <c r="B419" s="1">
        <f>ABS(Portfolios!B419-AVERAGE(Portfolios!$B$2:$B$1004))</f>
        <v>0</v>
      </c>
    </row>
    <row r="420" spans="1:2">
      <c r="A420" s="11">
        <f>Returns!A420</f>
        <v>0</v>
      </c>
      <c r="B420" s="1">
        <f>ABS(Portfolios!B420-AVERAGE(Portfolios!$B$2:$B$1004))</f>
        <v>0</v>
      </c>
    </row>
    <row r="421" spans="1:2">
      <c r="A421" s="11">
        <f>Returns!A421</f>
        <v>0</v>
      </c>
      <c r="B421" s="1">
        <f>ABS(Portfolios!B421-AVERAGE(Portfolios!$B$2:$B$1004))</f>
        <v>0</v>
      </c>
    </row>
    <row r="422" spans="1:2">
      <c r="A422" s="11">
        <f>Returns!A422</f>
        <v>0</v>
      </c>
      <c r="B422" s="1">
        <f>ABS(Portfolios!B422-AVERAGE(Portfolios!$B$2:$B$1004))</f>
        <v>0</v>
      </c>
    </row>
    <row r="423" spans="1:2">
      <c r="A423" s="11">
        <f>Returns!A423</f>
        <v>0</v>
      </c>
      <c r="B423" s="1">
        <f>ABS(Portfolios!B423-AVERAGE(Portfolios!$B$2:$B$1004))</f>
        <v>0</v>
      </c>
    </row>
    <row r="424" spans="1:2">
      <c r="A424" s="11">
        <f>Returns!A424</f>
        <v>0</v>
      </c>
      <c r="B424" s="1">
        <f>ABS(Portfolios!B424-AVERAGE(Portfolios!$B$2:$B$1004))</f>
        <v>0</v>
      </c>
    </row>
    <row r="425" spans="1:2">
      <c r="A425" s="11">
        <f>Returns!A425</f>
        <v>0</v>
      </c>
      <c r="B425" s="1">
        <f>ABS(Portfolios!B425-AVERAGE(Portfolios!$B$2:$B$1004))</f>
        <v>0</v>
      </c>
    </row>
    <row r="426" spans="1:2">
      <c r="A426" s="11">
        <f>Returns!A426</f>
        <v>0</v>
      </c>
      <c r="B426" s="1">
        <f>ABS(Portfolios!B426-AVERAGE(Portfolios!$B$2:$B$1004))</f>
        <v>0</v>
      </c>
    </row>
    <row r="427" spans="1:2">
      <c r="A427" s="11">
        <f>Returns!A427</f>
        <v>0</v>
      </c>
      <c r="B427" s="1">
        <f>ABS(Portfolios!B427-AVERAGE(Portfolios!$B$2:$B$1004))</f>
        <v>0</v>
      </c>
    </row>
    <row r="428" spans="1:2">
      <c r="A428" s="11">
        <f>Returns!A428</f>
        <v>0</v>
      </c>
      <c r="B428" s="1">
        <f>ABS(Portfolios!B428-AVERAGE(Portfolios!$B$2:$B$1004))</f>
        <v>0</v>
      </c>
    </row>
    <row r="429" spans="1:2">
      <c r="A429" s="11">
        <f>Returns!A429</f>
        <v>0</v>
      </c>
      <c r="B429" s="1">
        <f>ABS(Portfolios!B429-AVERAGE(Portfolios!$B$2:$B$1004))</f>
        <v>0</v>
      </c>
    </row>
    <row r="430" spans="1:2">
      <c r="A430" s="11">
        <f>Returns!A430</f>
        <v>0</v>
      </c>
      <c r="B430" s="1">
        <f>ABS(Portfolios!B430-AVERAGE(Portfolios!$B$2:$B$1004))</f>
        <v>0</v>
      </c>
    </row>
    <row r="431" spans="1:2">
      <c r="A431" s="11">
        <f>Returns!A431</f>
        <v>0</v>
      </c>
      <c r="B431" s="1">
        <f>ABS(Portfolios!B431-AVERAGE(Portfolios!$B$2:$B$1004))</f>
        <v>0</v>
      </c>
    </row>
    <row r="432" spans="1:2">
      <c r="A432" s="11">
        <f>Returns!A432</f>
        <v>0</v>
      </c>
      <c r="B432" s="1">
        <f>ABS(Portfolios!B432-AVERAGE(Portfolios!$B$2:$B$1004))</f>
        <v>0</v>
      </c>
    </row>
    <row r="433" spans="1:2">
      <c r="A433" s="11">
        <f>Returns!A433</f>
        <v>0</v>
      </c>
      <c r="B433" s="1">
        <f>ABS(Portfolios!B433-AVERAGE(Portfolios!$B$2:$B$1004))</f>
        <v>0</v>
      </c>
    </row>
    <row r="434" spans="1:2">
      <c r="A434" s="11">
        <f>Returns!A434</f>
        <v>0</v>
      </c>
      <c r="B434" s="1">
        <f>ABS(Portfolios!B434-AVERAGE(Portfolios!$B$2:$B$1004))</f>
        <v>0</v>
      </c>
    </row>
    <row r="435" spans="1:2">
      <c r="A435" s="11">
        <f>Returns!A435</f>
        <v>0</v>
      </c>
      <c r="B435" s="1">
        <f>ABS(Portfolios!B435-AVERAGE(Portfolios!$B$2:$B$1004))</f>
        <v>0</v>
      </c>
    </row>
    <row r="436" spans="1:2">
      <c r="A436" s="11">
        <f>Returns!A436</f>
        <v>0</v>
      </c>
      <c r="B436" s="1">
        <f>ABS(Portfolios!B436-AVERAGE(Portfolios!$B$2:$B$1004))</f>
        <v>0</v>
      </c>
    </row>
    <row r="437" spans="1:2">
      <c r="A437" s="11">
        <f>Returns!A437</f>
        <v>0</v>
      </c>
      <c r="B437" s="1">
        <f>ABS(Portfolios!B437-AVERAGE(Portfolios!$B$2:$B$1004))</f>
        <v>0</v>
      </c>
    </row>
    <row r="438" spans="1:2">
      <c r="A438" s="11">
        <f>Returns!A438</f>
        <v>0</v>
      </c>
      <c r="B438" s="1">
        <f>ABS(Portfolios!B438-AVERAGE(Portfolios!$B$2:$B$1004))</f>
        <v>0</v>
      </c>
    </row>
    <row r="439" spans="1:2">
      <c r="A439" s="11">
        <f>Returns!A439</f>
        <v>0</v>
      </c>
      <c r="B439" s="1">
        <f>ABS(Portfolios!B439-AVERAGE(Portfolios!$B$2:$B$1004))</f>
        <v>0</v>
      </c>
    </row>
    <row r="440" spans="1:2">
      <c r="A440" s="11">
        <f>Returns!A440</f>
        <v>0</v>
      </c>
      <c r="B440" s="1">
        <f>ABS(Portfolios!B440-AVERAGE(Portfolios!$B$2:$B$1004))</f>
        <v>0</v>
      </c>
    </row>
    <row r="441" spans="1:2">
      <c r="A441" s="11">
        <f>Returns!A441</f>
        <v>0</v>
      </c>
      <c r="B441" s="1">
        <f>ABS(Portfolios!B441-AVERAGE(Portfolios!$B$2:$B$1004))</f>
        <v>0</v>
      </c>
    </row>
    <row r="442" spans="1:2">
      <c r="A442" s="11">
        <f>Returns!A442</f>
        <v>0</v>
      </c>
      <c r="B442" s="1">
        <f>ABS(Portfolios!B442-AVERAGE(Portfolios!$B$2:$B$1004))</f>
        <v>0</v>
      </c>
    </row>
    <row r="443" spans="1:2">
      <c r="A443" s="11">
        <f>Returns!A443</f>
        <v>0</v>
      </c>
      <c r="B443" s="1">
        <f>ABS(Portfolios!B443-AVERAGE(Portfolios!$B$2:$B$1004))</f>
        <v>0</v>
      </c>
    </row>
    <row r="444" spans="1:2">
      <c r="A444" s="11">
        <f>Returns!A444</f>
        <v>0</v>
      </c>
      <c r="B444" s="1">
        <f>ABS(Portfolios!B444-AVERAGE(Portfolios!$B$2:$B$1004))</f>
        <v>0</v>
      </c>
    </row>
    <row r="445" spans="1:2">
      <c r="A445" s="11">
        <f>Returns!A445</f>
        <v>0</v>
      </c>
      <c r="B445" s="1">
        <f>ABS(Portfolios!B445-AVERAGE(Portfolios!$B$2:$B$1004))</f>
        <v>0</v>
      </c>
    </row>
    <row r="446" spans="1:2">
      <c r="A446" s="11">
        <f>Returns!A446</f>
        <v>0</v>
      </c>
      <c r="B446" s="1">
        <f>ABS(Portfolios!B446-AVERAGE(Portfolios!$B$2:$B$1004))</f>
        <v>0</v>
      </c>
    </row>
    <row r="447" spans="1:2">
      <c r="A447" s="11">
        <f>Returns!A447</f>
        <v>0</v>
      </c>
      <c r="B447" s="1">
        <f>ABS(Portfolios!B447-AVERAGE(Portfolios!$B$2:$B$1004))</f>
        <v>0</v>
      </c>
    </row>
    <row r="448" spans="1:2">
      <c r="A448" s="11">
        <f>Returns!A448</f>
        <v>0</v>
      </c>
      <c r="B448" s="1">
        <f>ABS(Portfolios!B448-AVERAGE(Portfolios!$B$2:$B$1004))</f>
        <v>0</v>
      </c>
    </row>
    <row r="449" spans="1:2">
      <c r="A449" s="11">
        <f>Returns!A449</f>
        <v>0</v>
      </c>
      <c r="B449" s="1">
        <f>ABS(Portfolios!B449-AVERAGE(Portfolios!$B$2:$B$1004))</f>
        <v>0</v>
      </c>
    </row>
    <row r="450" spans="1:2">
      <c r="A450" s="11">
        <f>Returns!A450</f>
        <v>0</v>
      </c>
      <c r="B450" s="1">
        <f>ABS(Portfolios!B450-AVERAGE(Portfolios!$B$2:$B$1004))</f>
        <v>0</v>
      </c>
    </row>
    <row r="451" spans="1:2">
      <c r="A451" s="11">
        <f>Returns!A451</f>
        <v>0</v>
      </c>
      <c r="B451" s="1">
        <f>ABS(Portfolios!B451-AVERAGE(Portfolios!$B$2:$B$1004))</f>
        <v>0</v>
      </c>
    </row>
    <row r="452" spans="1:2">
      <c r="A452" s="11">
        <f>Returns!A452</f>
        <v>0</v>
      </c>
      <c r="B452" s="1">
        <f>ABS(Portfolios!B452-AVERAGE(Portfolios!$B$2:$B$1004))</f>
        <v>0</v>
      </c>
    </row>
    <row r="453" spans="1:2">
      <c r="A453" s="11">
        <f>Returns!A453</f>
        <v>0</v>
      </c>
      <c r="B453" s="1">
        <f>ABS(Portfolios!B453-AVERAGE(Portfolios!$B$2:$B$1004))</f>
        <v>0</v>
      </c>
    </row>
    <row r="454" spans="1:2">
      <c r="A454" s="11">
        <f>Returns!A454</f>
        <v>0</v>
      </c>
      <c r="B454" s="1">
        <f>ABS(Portfolios!B454-AVERAGE(Portfolios!$B$2:$B$1004))</f>
        <v>0</v>
      </c>
    </row>
    <row r="455" spans="1:2">
      <c r="A455" s="11">
        <f>Returns!A455</f>
        <v>0</v>
      </c>
      <c r="B455" s="1">
        <f>ABS(Portfolios!B455-AVERAGE(Portfolios!$B$2:$B$1004))</f>
        <v>0</v>
      </c>
    </row>
    <row r="456" spans="1:2">
      <c r="A456" s="11">
        <f>Returns!A456</f>
        <v>0</v>
      </c>
      <c r="B456" s="1">
        <f>ABS(Portfolios!B456-AVERAGE(Portfolios!$B$2:$B$1004))</f>
        <v>0</v>
      </c>
    </row>
    <row r="457" spans="1:2">
      <c r="A457" s="11">
        <f>Returns!A457</f>
        <v>0</v>
      </c>
      <c r="B457" s="1">
        <f>ABS(Portfolios!B457-AVERAGE(Portfolios!$B$2:$B$1004))</f>
        <v>0</v>
      </c>
    </row>
    <row r="458" spans="1:2">
      <c r="A458" s="11">
        <f>Returns!A458</f>
        <v>0</v>
      </c>
      <c r="B458" s="1">
        <f>ABS(Portfolios!B458-AVERAGE(Portfolios!$B$2:$B$1004))</f>
        <v>0</v>
      </c>
    </row>
    <row r="459" spans="1:2">
      <c r="A459" s="11">
        <f>Returns!A459</f>
        <v>0</v>
      </c>
      <c r="B459" s="1">
        <f>ABS(Portfolios!B459-AVERAGE(Portfolios!$B$2:$B$1004))</f>
        <v>0</v>
      </c>
    </row>
    <row r="460" spans="1:2">
      <c r="A460" s="11">
        <f>Returns!A460</f>
        <v>0</v>
      </c>
      <c r="B460" s="1">
        <f>ABS(Portfolios!B460-AVERAGE(Portfolios!$B$2:$B$1004))</f>
        <v>0</v>
      </c>
    </row>
    <row r="461" spans="1:2">
      <c r="A461" s="11">
        <f>Returns!A461</f>
        <v>0</v>
      </c>
      <c r="B461" s="1">
        <f>ABS(Portfolios!B461-AVERAGE(Portfolios!$B$2:$B$1004))</f>
        <v>0</v>
      </c>
    </row>
    <row r="462" spans="1:2">
      <c r="A462" s="11">
        <f>Returns!A462</f>
        <v>0</v>
      </c>
      <c r="B462" s="1">
        <f>ABS(Portfolios!B462-AVERAGE(Portfolios!$B$2:$B$1004))</f>
        <v>0</v>
      </c>
    </row>
    <row r="463" spans="1:2">
      <c r="A463" s="11">
        <f>Returns!A463</f>
        <v>0</v>
      </c>
      <c r="B463" s="1">
        <f>ABS(Portfolios!B463-AVERAGE(Portfolios!$B$2:$B$1004))</f>
        <v>0</v>
      </c>
    </row>
    <row r="464" spans="1:2">
      <c r="A464" s="11">
        <f>Returns!A464</f>
        <v>0</v>
      </c>
      <c r="B464" s="1">
        <f>ABS(Portfolios!B464-AVERAGE(Portfolios!$B$2:$B$1004))</f>
        <v>0</v>
      </c>
    </row>
    <row r="465" spans="1:2">
      <c r="A465" s="11">
        <f>Returns!A465</f>
        <v>0</v>
      </c>
      <c r="B465" s="1">
        <f>ABS(Portfolios!B465-AVERAGE(Portfolios!$B$2:$B$1004))</f>
        <v>0</v>
      </c>
    </row>
    <row r="466" spans="1:2">
      <c r="A466" s="11">
        <f>Returns!A466</f>
        <v>0</v>
      </c>
      <c r="B466" s="1">
        <f>ABS(Portfolios!B466-AVERAGE(Portfolios!$B$2:$B$1004))</f>
        <v>0</v>
      </c>
    </row>
    <row r="467" spans="1:2">
      <c r="A467" s="11">
        <f>Returns!A467</f>
        <v>0</v>
      </c>
      <c r="B467" s="1">
        <f>ABS(Portfolios!B467-AVERAGE(Portfolios!$B$2:$B$1004))</f>
        <v>0</v>
      </c>
    </row>
    <row r="468" spans="1:2">
      <c r="A468" s="11">
        <f>Returns!A468</f>
        <v>0</v>
      </c>
      <c r="B468" s="1">
        <f>ABS(Portfolios!B468-AVERAGE(Portfolios!$B$2:$B$1004))</f>
        <v>0</v>
      </c>
    </row>
    <row r="469" spans="1:2">
      <c r="A469" s="11">
        <f>Returns!A469</f>
        <v>0</v>
      </c>
      <c r="B469" s="1">
        <f>ABS(Portfolios!B469-AVERAGE(Portfolios!$B$2:$B$1004))</f>
        <v>0</v>
      </c>
    </row>
    <row r="470" spans="1:2">
      <c r="A470" s="11">
        <f>Returns!A470</f>
        <v>0</v>
      </c>
      <c r="B470" s="1">
        <f>ABS(Portfolios!B470-AVERAGE(Portfolios!$B$2:$B$1004))</f>
        <v>0</v>
      </c>
    </row>
    <row r="471" spans="1:2">
      <c r="A471" s="11">
        <f>Returns!A471</f>
        <v>0</v>
      </c>
      <c r="B471" s="1">
        <f>ABS(Portfolios!B471-AVERAGE(Portfolios!$B$2:$B$1004))</f>
        <v>0</v>
      </c>
    </row>
    <row r="472" spans="1:2">
      <c r="A472" s="11">
        <f>Returns!A472</f>
        <v>0</v>
      </c>
      <c r="B472" s="1">
        <f>ABS(Portfolios!B472-AVERAGE(Portfolios!$B$2:$B$1004))</f>
        <v>0</v>
      </c>
    </row>
    <row r="473" spans="1:2">
      <c r="A473" s="11">
        <f>Returns!A473</f>
        <v>0</v>
      </c>
      <c r="B473" s="1">
        <f>ABS(Portfolios!B473-AVERAGE(Portfolios!$B$2:$B$1004))</f>
        <v>0</v>
      </c>
    </row>
    <row r="474" spans="1:2">
      <c r="A474" s="11">
        <f>Returns!A474</f>
        <v>0</v>
      </c>
      <c r="B474" s="1">
        <f>ABS(Portfolios!B474-AVERAGE(Portfolios!$B$2:$B$1004))</f>
        <v>0</v>
      </c>
    </row>
    <row r="475" spans="1:2">
      <c r="A475" s="11">
        <f>Returns!A475</f>
        <v>0</v>
      </c>
      <c r="B475" s="1">
        <f>ABS(Portfolios!B475-AVERAGE(Portfolios!$B$2:$B$1004))</f>
        <v>0</v>
      </c>
    </row>
    <row r="476" spans="1:2">
      <c r="A476" s="11">
        <f>Returns!A476</f>
        <v>0</v>
      </c>
      <c r="B476" s="1">
        <f>ABS(Portfolios!B476-AVERAGE(Portfolios!$B$2:$B$1004))</f>
        <v>0</v>
      </c>
    </row>
    <row r="477" spans="1:2">
      <c r="A477" s="11">
        <f>Returns!A477</f>
        <v>0</v>
      </c>
      <c r="B477" s="1">
        <f>ABS(Portfolios!B477-AVERAGE(Portfolios!$B$2:$B$1004))</f>
        <v>0</v>
      </c>
    </row>
    <row r="478" spans="1:2">
      <c r="A478" s="11">
        <f>Returns!A478</f>
        <v>0</v>
      </c>
      <c r="B478" s="1">
        <f>ABS(Portfolios!B478-AVERAGE(Portfolios!$B$2:$B$1004))</f>
        <v>0</v>
      </c>
    </row>
    <row r="479" spans="1:2">
      <c r="A479" s="11">
        <f>Returns!A479</f>
        <v>0</v>
      </c>
      <c r="B479" s="1">
        <f>ABS(Portfolios!B479-AVERAGE(Portfolios!$B$2:$B$1004))</f>
        <v>0</v>
      </c>
    </row>
    <row r="480" spans="1:2">
      <c r="A480" s="11">
        <f>Returns!A480</f>
        <v>0</v>
      </c>
      <c r="B480" s="1">
        <f>ABS(Portfolios!B480-AVERAGE(Portfolios!$B$2:$B$1004))</f>
        <v>0</v>
      </c>
    </row>
    <row r="481" spans="1:2">
      <c r="A481" s="11">
        <f>Returns!A481</f>
        <v>0</v>
      </c>
      <c r="B481" s="1">
        <f>ABS(Portfolios!B481-AVERAGE(Portfolios!$B$2:$B$1004))</f>
        <v>0</v>
      </c>
    </row>
    <row r="482" spans="1:2">
      <c r="A482" s="11">
        <f>Returns!A482</f>
        <v>0</v>
      </c>
      <c r="B482" s="1">
        <f>ABS(Portfolios!B482-AVERAGE(Portfolios!$B$2:$B$1004))</f>
        <v>0</v>
      </c>
    </row>
    <row r="483" spans="1:2">
      <c r="A483" s="11">
        <f>Returns!A483</f>
        <v>0</v>
      </c>
      <c r="B483" s="1">
        <f>ABS(Portfolios!B483-AVERAGE(Portfolios!$B$2:$B$1004))</f>
        <v>0</v>
      </c>
    </row>
    <row r="484" spans="1:2">
      <c r="A484" s="11">
        <f>Returns!A484</f>
        <v>0</v>
      </c>
      <c r="B484" s="1">
        <f>ABS(Portfolios!B484-AVERAGE(Portfolios!$B$2:$B$1004))</f>
        <v>0</v>
      </c>
    </row>
    <row r="485" spans="1:2">
      <c r="A485" s="11">
        <f>Returns!A485</f>
        <v>0</v>
      </c>
      <c r="B485" s="1">
        <f>ABS(Portfolios!B485-AVERAGE(Portfolios!$B$2:$B$1004))</f>
        <v>0</v>
      </c>
    </row>
    <row r="486" spans="1:2">
      <c r="A486" s="11">
        <f>Returns!A486</f>
        <v>0</v>
      </c>
      <c r="B486" s="1">
        <f>ABS(Portfolios!B486-AVERAGE(Portfolios!$B$2:$B$1004))</f>
        <v>0</v>
      </c>
    </row>
    <row r="487" spans="1:2">
      <c r="A487" s="11">
        <f>Returns!A487</f>
        <v>0</v>
      </c>
      <c r="B487" s="1">
        <f>ABS(Portfolios!B487-AVERAGE(Portfolios!$B$2:$B$1004))</f>
        <v>0</v>
      </c>
    </row>
    <row r="488" spans="1:2">
      <c r="A488" s="11">
        <f>Returns!A488</f>
        <v>0</v>
      </c>
      <c r="B488" s="1">
        <f>ABS(Portfolios!B488-AVERAGE(Portfolios!$B$2:$B$1004))</f>
        <v>0</v>
      </c>
    </row>
    <row r="489" spans="1:2">
      <c r="A489" s="11">
        <f>Returns!A489</f>
        <v>0</v>
      </c>
      <c r="B489" s="1">
        <f>ABS(Portfolios!B489-AVERAGE(Portfolios!$B$2:$B$1004))</f>
        <v>0</v>
      </c>
    </row>
    <row r="490" spans="1:2">
      <c r="A490" s="11">
        <f>Returns!A490</f>
        <v>0</v>
      </c>
      <c r="B490" s="1">
        <f>ABS(Portfolios!B490-AVERAGE(Portfolios!$B$2:$B$1004))</f>
        <v>0</v>
      </c>
    </row>
    <row r="491" spans="1:2">
      <c r="A491" s="11">
        <f>Returns!A491</f>
        <v>0</v>
      </c>
      <c r="B491" s="1">
        <f>ABS(Portfolios!B491-AVERAGE(Portfolios!$B$2:$B$1004))</f>
        <v>0</v>
      </c>
    </row>
    <row r="492" spans="1:2">
      <c r="A492" s="11">
        <f>Returns!A492</f>
        <v>0</v>
      </c>
      <c r="B492" s="1">
        <f>ABS(Portfolios!B492-AVERAGE(Portfolios!$B$2:$B$1004))</f>
        <v>0</v>
      </c>
    </row>
    <row r="493" spans="1:2">
      <c r="A493" s="11">
        <f>Returns!A493</f>
        <v>0</v>
      </c>
      <c r="B493" s="1">
        <f>ABS(Portfolios!B493-AVERAGE(Portfolios!$B$2:$B$1004))</f>
        <v>0</v>
      </c>
    </row>
    <row r="494" spans="1:2">
      <c r="A494" s="11">
        <f>Returns!A494</f>
        <v>0</v>
      </c>
      <c r="B494" s="1">
        <f>ABS(Portfolios!B494-AVERAGE(Portfolios!$B$2:$B$1004))</f>
        <v>0</v>
      </c>
    </row>
    <row r="495" spans="1:2">
      <c r="A495" s="11">
        <f>Returns!A495</f>
        <v>0</v>
      </c>
      <c r="B495" s="1">
        <f>ABS(Portfolios!B495-AVERAGE(Portfolios!$B$2:$B$1004))</f>
        <v>0</v>
      </c>
    </row>
    <row r="496" spans="1:2">
      <c r="A496" s="11">
        <f>Returns!A496</f>
        <v>0</v>
      </c>
      <c r="B496" s="1">
        <f>ABS(Portfolios!B496-AVERAGE(Portfolios!$B$2:$B$1004))</f>
        <v>0</v>
      </c>
    </row>
    <row r="497" spans="1:2">
      <c r="A497" s="11">
        <f>Returns!A497</f>
        <v>0</v>
      </c>
      <c r="B497" s="1">
        <f>ABS(Portfolios!B497-AVERAGE(Portfolios!$B$2:$B$1004))</f>
        <v>0</v>
      </c>
    </row>
    <row r="498" spans="1:2">
      <c r="A498" s="11">
        <f>Returns!A498</f>
        <v>0</v>
      </c>
      <c r="B498" s="1">
        <f>ABS(Portfolios!B498-AVERAGE(Portfolios!$B$2:$B$1004))</f>
        <v>0</v>
      </c>
    </row>
    <row r="499" spans="1:2">
      <c r="A499" s="11">
        <f>Returns!A499</f>
        <v>0</v>
      </c>
      <c r="B499" s="1">
        <f>ABS(Portfolios!B499-AVERAGE(Portfolios!$B$2:$B$1004))</f>
        <v>0</v>
      </c>
    </row>
    <row r="500" spans="1:2">
      <c r="A500" s="11">
        <f>Returns!A500</f>
        <v>0</v>
      </c>
      <c r="B500" s="1">
        <f>ABS(Portfolios!B500-AVERAGE(Portfolios!$B$2:$B$1004))</f>
        <v>0</v>
      </c>
    </row>
    <row r="501" spans="1:2">
      <c r="A501" s="11">
        <f>Returns!A501</f>
        <v>0</v>
      </c>
      <c r="B501" s="1">
        <f>ABS(Portfolios!B501-AVERAGE(Portfolios!$B$2:$B$1004))</f>
        <v>0</v>
      </c>
    </row>
    <row r="502" spans="1:2">
      <c r="A502" s="11">
        <f>Returns!A502</f>
        <v>0</v>
      </c>
      <c r="B502" s="1">
        <f>ABS(Portfolios!B502-AVERAGE(Portfolios!$B$2:$B$1004))</f>
        <v>0</v>
      </c>
    </row>
    <row r="503" spans="1:2">
      <c r="A503" s="11">
        <f>Returns!A503</f>
        <v>0</v>
      </c>
      <c r="B503" s="1">
        <f>ABS(Portfolios!B503-AVERAGE(Portfolios!$B$2:$B$1004))</f>
        <v>0</v>
      </c>
    </row>
    <row r="504" spans="1:2">
      <c r="A504" s="11">
        <f>Returns!A504</f>
        <v>0</v>
      </c>
      <c r="B504" s="1">
        <f>ABS(Portfolios!B504-AVERAGE(Portfolios!$B$2:$B$1004))</f>
        <v>0</v>
      </c>
    </row>
    <row r="505" spans="1:2">
      <c r="A505" s="11">
        <f>Returns!A505</f>
        <v>0</v>
      </c>
      <c r="B505" s="1">
        <f>ABS(Portfolios!B505-AVERAGE(Portfolios!$B$2:$B$1004))</f>
        <v>0</v>
      </c>
    </row>
    <row r="506" spans="1:2">
      <c r="A506" s="11">
        <f>Returns!A506</f>
        <v>0</v>
      </c>
      <c r="B506" s="1">
        <f>ABS(Portfolios!B506-AVERAGE(Portfolios!$B$2:$B$1004))</f>
        <v>0</v>
      </c>
    </row>
    <row r="507" spans="1:2">
      <c r="A507" s="11">
        <f>Returns!A507</f>
        <v>0</v>
      </c>
      <c r="B507" s="1">
        <f>ABS(Portfolios!B507-AVERAGE(Portfolios!$B$2:$B$1004))</f>
        <v>0</v>
      </c>
    </row>
    <row r="508" spans="1:2">
      <c r="A508" s="11">
        <f>Returns!A508</f>
        <v>0</v>
      </c>
      <c r="B508" s="1">
        <f>ABS(Portfolios!B508-AVERAGE(Portfolios!$B$2:$B$1004))</f>
        <v>0</v>
      </c>
    </row>
    <row r="509" spans="1:2">
      <c r="A509" s="11">
        <f>Returns!A509</f>
        <v>0</v>
      </c>
      <c r="B509" s="1">
        <f>ABS(Portfolios!B509-AVERAGE(Portfolios!$B$2:$B$1004))</f>
        <v>0</v>
      </c>
    </row>
    <row r="510" spans="1:2">
      <c r="A510" s="11">
        <f>Returns!A510</f>
        <v>0</v>
      </c>
      <c r="B510" s="1">
        <f>ABS(Portfolios!B510-AVERAGE(Portfolios!$B$2:$B$1004))</f>
        <v>0</v>
      </c>
    </row>
    <row r="511" spans="1:2">
      <c r="A511" s="11">
        <f>Returns!A511</f>
        <v>0</v>
      </c>
      <c r="B511" s="1">
        <f>ABS(Portfolios!B511-AVERAGE(Portfolios!$B$2:$B$1004))</f>
        <v>0</v>
      </c>
    </row>
    <row r="512" spans="1:2">
      <c r="A512" s="11">
        <f>Returns!A512</f>
        <v>0</v>
      </c>
      <c r="B512" s="1">
        <f>ABS(Portfolios!B512-AVERAGE(Portfolios!$B$2:$B$1004))</f>
        <v>0</v>
      </c>
    </row>
    <row r="513" spans="1:2">
      <c r="A513" s="11">
        <f>Returns!A513</f>
        <v>0</v>
      </c>
      <c r="B513" s="1">
        <f>ABS(Portfolios!B513-AVERAGE(Portfolios!$B$2:$B$1004))</f>
        <v>0</v>
      </c>
    </row>
    <row r="514" spans="1:2">
      <c r="A514" s="11">
        <f>Returns!A514</f>
        <v>0</v>
      </c>
      <c r="B514" s="1">
        <f>ABS(Portfolios!B514-AVERAGE(Portfolios!$B$2:$B$1004))</f>
        <v>0</v>
      </c>
    </row>
    <row r="515" spans="1:2">
      <c r="A515" s="11">
        <f>Returns!A515</f>
        <v>0</v>
      </c>
      <c r="B515" s="1">
        <f>ABS(Portfolios!B515-AVERAGE(Portfolios!$B$2:$B$1004))</f>
        <v>0</v>
      </c>
    </row>
    <row r="516" spans="1:2">
      <c r="A516" s="11">
        <f>Returns!A516</f>
        <v>0</v>
      </c>
      <c r="B516" s="1">
        <f>ABS(Portfolios!B516-AVERAGE(Portfolios!$B$2:$B$1004))</f>
        <v>0</v>
      </c>
    </row>
    <row r="517" spans="1:2">
      <c r="A517" s="11">
        <f>Returns!A517</f>
        <v>0</v>
      </c>
      <c r="B517" s="1">
        <f>ABS(Portfolios!B517-AVERAGE(Portfolios!$B$2:$B$1004))</f>
        <v>0</v>
      </c>
    </row>
    <row r="518" spans="1:2">
      <c r="A518" s="11">
        <f>Returns!A518</f>
        <v>0</v>
      </c>
      <c r="B518" s="1">
        <f>ABS(Portfolios!B518-AVERAGE(Portfolios!$B$2:$B$1004))</f>
        <v>0</v>
      </c>
    </row>
    <row r="519" spans="1:2">
      <c r="A519" s="11">
        <f>Returns!A519</f>
        <v>0</v>
      </c>
      <c r="B519" s="1">
        <f>ABS(Portfolios!B519-AVERAGE(Portfolios!$B$2:$B$1004))</f>
        <v>0</v>
      </c>
    </row>
    <row r="520" spans="1:2">
      <c r="A520" s="11">
        <f>Returns!A520</f>
        <v>0</v>
      </c>
      <c r="B520" s="1">
        <f>ABS(Portfolios!B520-AVERAGE(Portfolios!$B$2:$B$1004))</f>
        <v>0</v>
      </c>
    </row>
    <row r="521" spans="1:2">
      <c r="A521" s="11">
        <f>Returns!A521</f>
        <v>0</v>
      </c>
      <c r="B521" s="1">
        <f>ABS(Portfolios!B521-AVERAGE(Portfolios!$B$2:$B$1004))</f>
        <v>0</v>
      </c>
    </row>
    <row r="522" spans="1:2">
      <c r="A522" s="11">
        <f>Returns!A522</f>
        <v>0</v>
      </c>
      <c r="B522" s="1">
        <f>ABS(Portfolios!B522-AVERAGE(Portfolios!$B$2:$B$1004))</f>
        <v>0</v>
      </c>
    </row>
    <row r="523" spans="1:2">
      <c r="A523" s="11">
        <f>Returns!A523</f>
        <v>0</v>
      </c>
      <c r="B523" s="1">
        <f>ABS(Portfolios!B523-AVERAGE(Portfolios!$B$2:$B$1004))</f>
        <v>0</v>
      </c>
    </row>
    <row r="524" spans="1:2">
      <c r="A524" s="11">
        <f>Returns!A524</f>
        <v>0</v>
      </c>
      <c r="B524" s="1">
        <f>ABS(Portfolios!B524-AVERAGE(Portfolios!$B$2:$B$1004))</f>
        <v>0</v>
      </c>
    </row>
    <row r="525" spans="1:2">
      <c r="A525" s="11">
        <f>Returns!A525</f>
        <v>0</v>
      </c>
      <c r="B525" s="1">
        <f>ABS(Portfolios!B525-AVERAGE(Portfolios!$B$2:$B$1004))</f>
        <v>0</v>
      </c>
    </row>
    <row r="526" spans="1:2">
      <c r="A526" s="11">
        <f>Returns!A526</f>
        <v>0</v>
      </c>
      <c r="B526" s="1">
        <f>ABS(Portfolios!B526-AVERAGE(Portfolios!$B$2:$B$1004))</f>
        <v>0</v>
      </c>
    </row>
    <row r="527" spans="1:2">
      <c r="A527" s="11">
        <f>Returns!A527</f>
        <v>0</v>
      </c>
      <c r="B527" s="1">
        <f>ABS(Portfolios!B527-AVERAGE(Portfolios!$B$2:$B$1004))</f>
        <v>0</v>
      </c>
    </row>
    <row r="528" spans="1:2">
      <c r="A528" s="11">
        <f>Returns!A528</f>
        <v>0</v>
      </c>
      <c r="B528" s="1">
        <f>ABS(Portfolios!B528-AVERAGE(Portfolios!$B$2:$B$1004))</f>
        <v>0</v>
      </c>
    </row>
    <row r="529" spans="1:2">
      <c r="A529" s="11">
        <f>Returns!A529</f>
        <v>0</v>
      </c>
      <c r="B529" s="1">
        <f>ABS(Portfolios!B529-AVERAGE(Portfolios!$B$2:$B$1004))</f>
        <v>0</v>
      </c>
    </row>
    <row r="530" spans="1:2">
      <c r="A530" s="11">
        <f>Returns!A530</f>
        <v>0</v>
      </c>
      <c r="B530" s="1">
        <f>ABS(Portfolios!B530-AVERAGE(Portfolios!$B$2:$B$1004))</f>
        <v>0</v>
      </c>
    </row>
    <row r="531" spans="1:2">
      <c r="A531" s="11">
        <f>Returns!A531</f>
        <v>0</v>
      </c>
      <c r="B531" s="1">
        <f>ABS(Portfolios!B531-AVERAGE(Portfolios!$B$2:$B$1004))</f>
        <v>0</v>
      </c>
    </row>
    <row r="532" spans="1:2">
      <c r="A532" s="11">
        <f>Returns!A532</f>
        <v>0</v>
      </c>
      <c r="B532" s="1">
        <f>ABS(Portfolios!B532-AVERAGE(Portfolios!$B$2:$B$1004))</f>
        <v>0</v>
      </c>
    </row>
    <row r="533" spans="1:2">
      <c r="A533" s="11">
        <f>Returns!A533</f>
        <v>0</v>
      </c>
      <c r="B533" s="1">
        <f>ABS(Portfolios!B533-AVERAGE(Portfolios!$B$2:$B$1004))</f>
        <v>0</v>
      </c>
    </row>
    <row r="534" spans="1:2">
      <c r="A534" s="11">
        <f>Returns!A534</f>
        <v>0</v>
      </c>
      <c r="B534" s="1">
        <f>ABS(Portfolios!B534-AVERAGE(Portfolios!$B$2:$B$1004))</f>
        <v>0</v>
      </c>
    </row>
    <row r="535" spans="1:2">
      <c r="A535" s="11">
        <f>Returns!A535</f>
        <v>0</v>
      </c>
      <c r="B535" s="1">
        <f>ABS(Portfolios!B535-AVERAGE(Portfolios!$B$2:$B$1004))</f>
        <v>0</v>
      </c>
    </row>
    <row r="536" spans="1:2">
      <c r="A536" s="11">
        <f>Returns!A536</f>
        <v>0</v>
      </c>
      <c r="B536" s="1">
        <f>ABS(Portfolios!B536-AVERAGE(Portfolios!$B$2:$B$1004))</f>
        <v>0</v>
      </c>
    </row>
    <row r="537" spans="1:2">
      <c r="A537" s="11">
        <f>Returns!A537</f>
        <v>0</v>
      </c>
      <c r="B537" s="1">
        <f>ABS(Portfolios!B537-AVERAGE(Portfolios!$B$2:$B$1004))</f>
        <v>0</v>
      </c>
    </row>
    <row r="538" spans="1:2">
      <c r="A538" s="11">
        <f>Returns!A538</f>
        <v>0</v>
      </c>
      <c r="B538" s="1">
        <f>ABS(Portfolios!B538-AVERAGE(Portfolios!$B$2:$B$1004))</f>
        <v>0</v>
      </c>
    </row>
    <row r="539" spans="1:2">
      <c r="A539" s="11">
        <f>Returns!A539</f>
        <v>0</v>
      </c>
      <c r="B539" s="1">
        <f>ABS(Portfolios!B539-AVERAGE(Portfolios!$B$2:$B$1004))</f>
        <v>0</v>
      </c>
    </row>
    <row r="540" spans="1:2">
      <c r="A540" s="11">
        <f>Returns!A540</f>
        <v>0</v>
      </c>
      <c r="B540" s="1">
        <f>ABS(Portfolios!B540-AVERAGE(Portfolios!$B$2:$B$1004))</f>
        <v>0</v>
      </c>
    </row>
    <row r="541" spans="1:2">
      <c r="A541" s="11">
        <f>Returns!A541</f>
        <v>0</v>
      </c>
      <c r="B541" s="1">
        <f>ABS(Portfolios!B541-AVERAGE(Portfolios!$B$2:$B$1004))</f>
        <v>0</v>
      </c>
    </row>
    <row r="542" spans="1:2">
      <c r="A542" s="11">
        <f>Returns!A542</f>
        <v>0</v>
      </c>
      <c r="B542" s="1">
        <f>ABS(Portfolios!B542-AVERAGE(Portfolios!$B$2:$B$1004))</f>
        <v>0</v>
      </c>
    </row>
    <row r="543" spans="1:2">
      <c r="A543" s="11">
        <f>Returns!A543</f>
        <v>0</v>
      </c>
      <c r="B543" s="1">
        <f>ABS(Portfolios!B543-AVERAGE(Portfolios!$B$2:$B$1004))</f>
        <v>0</v>
      </c>
    </row>
    <row r="544" spans="1:2">
      <c r="A544" s="11">
        <f>Returns!A544</f>
        <v>0</v>
      </c>
      <c r="B544" s="1">
        <f>ABS(Portfolios!B544-AVERAGE(Portfolios!$B$2:$B$1004))</f>
        <v>0</v>
      </c>
    </row>
    <row r="545" spans="1:2">
      <c r="A545" s="11">
        <f>Returns!A545</f>
        <v>0</v>
      </c>
      <c r="B545" s="1">
        <f>ABS(Portfolios!B545-AVERAGE(Portfolios!$B$2:$B$1004))</f>
        <v>0</v>
      </c>
    </row>
    <row r="546" spans="1:2">
      <c r="A546" s="11">
        <f>Returns!A546</f>
        <v>0</v>
      </c>
      <c r="B546" s="1">
        <f>ABS(Portfolios!B546-AVERAGE(Portfolios!$B$2:$B$1004))</f>
        <v>0</v>
      </c>
    </row>
    <row r="547" spans="1:2">
      <c r="A547" s="11">
        <f>Returns!A547</f>
        <v>0</v>
      </c>
      <c r="B547" s="1">
        <f>ABS(Portfolios!B547-AVERAGE(Portfolios!$B$2:$B$1004))</f>
        <v>0</v>
      </c>
    </row>
    <row r="548" spans="1:2">
      <c r="A548" s="11">
        <f>Returns!A548</f>
        <v>0</v>
      </c>
      <c r="B548" s="1">
        <f>ABS(Portfolios!B548-AVERAGE(Portfolios!$B$2:$B$1004))</f>
        <v>0</v>
      </c>
    </row>
    <row r="549" spans="1:2">
      <c r="A549" s="11">
        <f>Returns!A549</f>
        <v>0</v>
      </c>
      <c r="B549" s="1">
        <f>ABS(Portfolios!B549-AVERAGE(Portfolios!$B$2:$B$1004))</f>
        <v>0</v>
      </c>
    </row>
    <row r="550" spans="1:2">
      <c r="A550" s="11">
        <f>Returns!A550</f>
        <v>0</v>
      </c>
      <c r="B550" s="1">
        <f>ABS(Portfolios!B550-AVERAGE(Portfolios!$B$2:$B$1004))</f>
        <v>0</v>
      </c>
    </row>
    <row r="551" spans="1:2">
      <c r="A551" s="11">
        <f>Returns!A551</f>
        <v>0</v>
      </c>
      <c r="B551" s="1">
        <f>ABS(Portfolios!B551-AVERAGE(Portfolios!$B$2:$B$1004))</f>
        <v>0</v>
      </c>
    </row>
    <row r="552" spans="1:2">
      <c r="A552" s="11">
        <f>Returns!A552</f>
        <v>0</v>
      </c>
      <c r="B552" s="1">
        <f>ABS(Portfolios!B552-AVERAGE(Portfolios!$B$2:$B$1004))</f>
        <v>0</v>
      </c>
    </row>
    <row r="553" spans="1:2">
      <c r="A553" s="11">
        <f>Returns!A553</f>
        <v>0</v>
      </c>
      <c r="B553" s="1">
        <f>ABS(Portfolios!B553-AVERAGE(Portfolios!$B$2:$B$1004))</f>
        <v>0</v>
      </c>
    </row>
    <row r="554" spans="1:2">
      <c r="A554" s="11">
        <f>Returns!A554</f>
        <v>0</v>
      </c>
      <c r="B554" s="1">
        <f>ABS(Portfolios!B554-AVERAGE(Portfolios!$B$2:$B$1004))</f>
        <v>0</v>
      </c>
    </row>
    <row r="555" spans="1:2">
      <c r="A555" s="11">
        <f>Returns!A555</f>
        <v>0</v>
      </c>
      <c r="B555" s="1">
        <f>ABS(Portfolios!B555-AVERAGE(Portfolios!$B$2:$B$1004))</f>
        <v>0</v>
      </c>
    </row>
    <row r="556" spans="1:2">
      <c r="A556" s="11">
        <f>Returns!A556</f>
        <v>0</v>
      </c>
      <c r="B556" s="1">
        <f>ABS(Portfolios!B556-AVERAGE(Portfolios!$B$2:$B$1004))</f>
        <v>0</v>
      </c>
    </row>
    <row r="557" spans="1:2">
      <c r="A557" s="11">
        <f>Returns!A557</f>
        <v>0</v>
      </c>
      <c r="B557" s="1">
        <f>ABS(Portfolios!B557-AVERAGE(Portfolios!$B$2:$B$1004))</f>
        <v>0</v>
      </c>
    </row>
    <row r="558" spans="1:2">
      <c r="A558" s="11">
        <f>Returns!A558</f>
        <v>0</v>
      </c>
      <c r="B558" s="1">
        <f>ABS(Portfolios!B558-AVERAGE(Portfolios!$B$2:$B$1004))</f>
        <v>0</v>
      </c>
    </row>
    <row r="559" spans="1:2">
      <c r="A559" s="11">
        <f>Returns!A559</f>
        <v>0</v>
      </c>
      <c r="B559" s="1">
        <f>ABS(Portfolios!B559-AVERAGE(Portfolios!$B$2:$B$1004))</f>
        <v>0</v>
      </c>
    </row>
    <row r="560" spans="1:2">
      <c r="A560" s="11">
        <f>Returns!A560</f>
        <v>0</v>
      </c>
      <c r="B560" s="1">
        <f>ABS(Portfolios!B560-AVERAGE(Portfolios!$B$2:$B$1004))</f>
        <v>0</v>
      </c>
    </row>
    <row r="561" spans="1:2">
      <c r="A561" s="11">
        <f>Returns!A561</f>
        <v>0</v>
      </c>
      <c r="B561" s="1">
        <f>ABS(Portfolios!B561-AVERAGE(Portfolios!$B$2:$B$1004))</f>
        <v>0</v>
      </c>
    </row>
    <row r="562" spans="1:2">
      <c r="A562" s="11">
        <f>Returns!A562</f>
        <v>0</v>
      </c>
      <c r="B562" s="1">
        <f>ABS(Portfolios!B562-AVERAGE(Portfolios!$B$2:$B$1004))</f>
        <v>0</v>
      </c>
    </row>
    <row r="563" spans="1:2">
      <c r="A563" s="11">
        <f>Returns!A563</f>
        <v>0</v>
      </c>
      <c r="B563" s="1">
        <f>ABS(Portfolios!B563-AVERAGE(Portfolios!$B$2:$B$1004))</f>
        <v>0</v>
      </c>
    </row>
    <row r="564" spans="1:2">
      <c r="A564" s="11">
        <f>Returns!A564</f>
        <v>0</v>
      </c>
      <c r="B564" s="1">
        <f>ABS(Portfolios!B564-AVERAGE(Portfolios!$B$2:$B$1004))</f>
        <v>0</v>
      </c>
    </row>
    <row r="565" spans="1:2">
      <c r="A565" s="11">
        <f>Returns!A565</f>
        <v>0</v>
      </c>
      <c r="B565" s="1">
        <f>ABS(Portfolios!B565-AVERAGE(Portfolios!$B$2:$B$1004))</f>
        <v>0</v>
      </c>
    </row>
    <row r="566" spans="1:2">
      <c r="A566" s="11">
        <f>Returns!A566</f>
        <v>0</v>
      </c>
      <c r="B566" s="1">
        <f>ABS(Portfolios!B566-AVERAGE(Portfolios!$B$2:$B$1004))</f>
        <v>0</v>
      </c>
    </row>
    <row r="567" spans="1:2">
      <c r="A567" s="11">
        <f>Returns!A567</f>
        <v>0</v>
      </c>
      <c r="B567" s="1">
        <f>ABS(Portfolios!B567-AVERAGE(Portfolios!$B$2:$B$1004))</f>
        <v>0</v>
      </c>
    </row>
    <row r="568" spans="1:2">
      <c r="A568" s="11">
        <f>Returns!A568</f>
        <v>0</v>
      </c>
      <c r="B568" s="1">
        <f>ABS(Portfolios!B568-AVERAGE(Portfolios!$B$2:$B$1004))</f>
        <v>0</v>
      </c>
    </row>
    <row r="569" spans="1:2">
      <c r="A569" s="11">
        <f>Returns!A569</f>
        <v>0</v>
      </c>
      <c r="B569" s="1">
        <f>ABS(Portfolios!B569-AVERAGE(Portfolios!$B$2:$B$1004))</f>
        <v>0</v>
      </c>
    </row>
    <row r="570" spans="1:2">
      <c r="A570" s="11">
        <f>Returns!A570</f>
        <v>0</v>
      </c>
      <c r="B570" s="1">
        <f>ABS(Portfolios!B570-AVERAGE(Portfolios!$B$2:$B$1004))</f>
        <v>0</v>
      </c>
    </row>
    <row r="571" spans="1:2">
      <c r="A571" s="11">
        <f>Returns!A571</f>
        <v>0</v>
      </c>
      <c r="B571" s="1">
        <f>ABS(Portfolios!B571-AVERAGE(Portfolios!$B$2:$B$1004))</f>
        <v>0</v>
      </c>
    </row>
    <row r="572" spans="1:2">
      <c r="A572" s="11">
        <f>Returns!A572</f>
        <v>0</v>
      </c>
      <c r="B572" s="1">
        <f>ABS(Portfolios!B572-AVERAGE(Portfolios!$B$2:$B$1004))</f>
        <v>0</v>
      </c>
    </row>
    <row r="573" spans="1:2">
      <c r="A573" s="11">
        <f>Returns!A573</f>
        <v>0</v>
      </c>
      <c r="B573" s="1">
        <f>ABS(Portfolios!B573-AVERAGE(Portfolios!$B$2:$B$1004))</f>
        <v>0</v>
      </c>
    </row>
    <row r="574" spans="1:2">
      <c r="A574" s="11">
        <f>Returns!A574</f>
        <v>0</v>
      </c>
      <c r="B574" s="1">
        <f>ABS(Portfolios!B574-AVERAGE(Portfolios!$B$2:$B$1004))</f>
        <v>0</v>
      </c>
    </row>
    <row r="575" spans="1:2">
      <c r="A575" s="11">
        <f>Returns!A575</f>
        <v>0</v>
      </c>
      <c r="B575" s="1">
        <f>ABS(Portfolios!B575-AVERAGE(Portfolios!$B$2:$B$1004))</f>
        <v>0</v>
      </c>
    </row>
    <row r="576" spans="1:2">
      <c r="A576" s="11">
        <f>Returns!A576</f>
        <v>0</v>
      </c>
      <c r="B576" s="1">
        <f>ABS(Portfolios!B576-AVERAGE(Portfolios!$B$2:$B$1004))</f>
        <v>0</v>
      </c>
    </row>
    <row r="577" spans="1:2">
      <c r="A577" s="11">
        <f>Returns!A577</f>
        <v>0</v>
      </c>
      <c r="B577" s="1">
        <f>ABS(Portfolios!B577-AVERAGE(Portfolios!$B$2:$B$1004))</f>
        <v>0</v>
      </c>
    </row>
    <row r="578" spans="1:2">
      <c r="A578" s="11">
        <f>Returns!A578</f>
        <v>0</v>
      </c>
      <c r="B578" s="1">
        <f>ABS(Portfolios!B578-AVERAGE(Portfolios!$B$2:$B$1004))</f>
        <v>0</v>
      </c>
    </row>
    <row r="579" spans="1:2">
      <c r="A579" s="11">
        <f>Returns!A579</f>
        <v>0</v>
      </c>
      <c r="B579" s="1">
        <f>ABS(Portfolios!B579-AVERAGE(Portfolios!$B$2:$B$1004))</f>
        <v>0</v>
      </c>
    </row>
    <row r="580" spans="1:2">
      <c r="A580" s="11">
        <f>Returns!A580</f>
        <v>0</v>
      </c>
      <c r="B580" s="1">
        <f>ABS(Portfolios!B580-AVERAGE(Portfolios!$B$2:$B$1004))</f>
        <v>0</v>
      </c>
    </row>
    <row r="581" spans="1:2">
      <c r="A581" s="11">
        <f>Returns!A581</f>
        <v>0</v>
      </c>
      <c r="B581" s="1">
        <f>ABS(Portfolios!B581-AVERAGE(Portfolios!$B$2:$B$1004))</f>
        <v>0</v>
      </c>
    </row>
    <row r="582" spans="1:2">
      <c r="A582" s="11">
        <f>Returns!A582</f>
        <v>0</v>
      </c>
      <c r="B582" s="1">
        <f>ABS(Portfolios!B582-AVERAGE(Portfolios!$B$2:$B$1004))</f>
        <v>0</v>
      </c>
    </row>
    <row r="583" spans="1:2">
      <c r="A583" s="11">
        <f>Returns!A583</f>
        <v>0</v>
      </c>
      <c r="B583" s="1">
        <f>ABS(Portfolios!B583-AVERAGE(Portfolios!$B$2:$B$1004))</f>
        <v>0</v>
      </c>
    </row>
    <row r="584" spans="1:2">
      <c r="A584" s="11">
        <f>Returns!A584</f>
        <v>0</v>
      </c>
      <c r="B584" s="1">
        <f>ABS(Portfolios!B584-AVERAGE(Portfolios!$B$2:$B$1004))</f>
        <v>0</v>
      </c>
    </row>
    <row r="585" spans="1:2">
      <c r="A585" s="11">
        <f>Returns!A585</f>
        <v>0</v>
      </c>
      <c r="B585" s="1">
        <f>ABS(Portfolios!B585-AVERAGE(Portfolios!$B$2:$B$1004))</f>
        <v>0</v>
      </c>
    </row>
    <row r="586" spans="1:2">
      <c r="A586" s="11">
        <f>Returns!A586</f>
        <v>0</v>
      </c>
      <c r="B586" s="1">
        <f>ABS(Portfolios!B586-AVERAGE(Portfolios!$B$2:$B$1004))</f>
        <v>0</v>
      </c>
    </row>
    <row r="587" spans="1:2">
      <c r="A587" s="11">
        <f>Returns!A587</f>
        <v>0</v>
      </c>
      <c r="B587" s="1">
        <f>ABS(Portfolios!B587-AVERAGE(Portfolios!$B$2:$B$1004))</f>
        <v>0</v>
      </c>
    </row>
    <row r="588" spans="1:2">
      <c r="A588" s="11">
        <f>Returns!A588</f>
        <v>0</v>
      </c>
      <c r="B588" s="1">
        <f>ABS(Portfolios!B588-AVERAGE(Portfolios!$B$2:$B$1004))</f>
        <v>0</v>
      </c>
    </row>
    <row r="589" spans="1:2">
      <c r="A589" s="11">
        <f>Returns!A589</f>
        <v>0</v>
      </c>
      <c r="B589" s="1">
        <f>ABS(Portfolios!B589-AVERAGE(Portfolios!$B$2:$B$1004))</f>
        <v>0</v>
      </c>
    </row>
    <row r="590" spans="1:2">
      <c r="A590" s="11">
        <f>Returns!A590</f>
        <v>0</v>
      </c>
      <c r="B590" s="1">
        <f>ABS(Portfolios!B590-AVERAGE(Portfolios!$B$2:$B$1004))</f>
        <v>0</v>
      </c>
    </row>
    <row r="591" spans="1:2">
      <c r="A591" s="11">
        <f>Returns!A591</f>
        <v>0</v>
      </c>
      <c r="B591" s="1">
        <f>ABS(Portfolios!B591-AVERAGE(Portfolios!$B$2:$B$1004))</f>
        <v>0</v>
      </c>
    </row>
    <row r="592" spans="1:2">
      <c r="A592" s="11">
        <f>Returns!A592</f>
        <v>0</v>
      </c>
      <c r="B592" s="1">
        <f>ABS(Portfolios!B592-AVERAGE(Portfolios!$B$2:$B$1004))</f>
        <v>0</v>
      </c>
    </row>
    <row r="593" spans="1:2">
      <c r="A593" s="11">
        <f>Returns!A593</f>
        <v>0</v>
      </c>
      <c r="B593" s="1">
        <f>ABS(Portfolios!B593-AVERAGE(Portfolios!$B$2:$B$1004))</f>
        <v>0</v>
      </c>
    </row>
    <row r="594" spans="1:2">
      <c r="A594" s="11">
        <f>Returns!A594</f>
        <v>0</v>
      </c>
      <c r="B594" s="1">
        <f>ABS(Portfolios!B594-AVERAGE(Portfolios!$B$2:$B$1004))</f>
        <v>0</v>
      </c>
    </row>
    <row r="595" spans="1:2">
      <c r="A595" s="11">
        <f>Returns!A595</f>
        <v>0</v>
      </c>
      <c r="B595" s="1">
        <f>ABS(Portfolios!B595-AVERAGE(Portfolios!$B$2:$B$1004))</f>
        <v>0</v>
      </c>
    </row>
    <row r="596" spans="1:2">
      <c r="A596" s="11">
        <f>Returns!A596</f>
        <v>0</v>
      </c>
      <c r="B596" s="1">
        <f>ABS(Portfolios!B596-AVERAGE(Portfolios!$B$2:$B$1004))</f>
        <v>0</v>
      </c>
    </row>
    <row r="597" spans="1:2">
      <c r="A597" s="11">
        <f>Returns!A597</f>
        <v>0</v>
      </c>
      <c r="B597" s="1">
        <f>ABS(Portfolios!B597-AVERAGE(Portfolios!$B$2:$B$1004))</f>
        <v>0</v>
      </c>
    </row>
    <row r="598" spans="1:2">
      <c r="A598" s="11">
        <f>Returns!A598</f>
        <v>0</v>
      </c>
      <c r="B598" s="1">
        <f>ABS(Portfolios!B598-AVERAGE(Portfolios!$B$2:$B$1004))</f>
        <v>0</v>
      </c>
    </row>
    <row r="599" spans="1:2">
      <c r="A599" s="11">
        <f>Returns!A599</f>
        <v>0</v>
      </c>
      <c r="B599" s="1">
        <f>ABS(Portfolios!B599-AVERAGE(Portfolios!$B$2:$B$1004))</f>
        <v>0</v>
      </c>
    </row>
    <row r="600" spans="1:2">
      <c r="A600" s="11">
        <f>Returns!A600</f>
        <v>0</v>
      </c>
      <c r="B600" s="1">
        <f>ABS(Portfolios!B600-AVERAGE(Portfolios!$B$2:$B$1004))</f>
        <v>0</v>
      </c>
    </row>
    <row r="601" spans="1:2">
      <c r="A601" s="11">
        <f>Returns!A601</f>
        <v>0</v>
      </c>
      <c r="B601" s="1">
        <f>ABS(Portfolios!B601-AVERAGE(Portfolios!$B$2:$B$1004))</f>
        <v>0</v>
      </c>
    </row>
    <row r="602" spans="1:2">
      <c r="A602" s="11">
        <f>Returns!A602</f>
        <v>0</v>
      </c>
      <c r="B602" s="1">
        <f>ABS(Portfolios!B602-AVERAGE(Portfolios!$B$2:$B$1004))</f>
        <v>0</v>
      </c>
    </row>
    <row r="603" spans="1:2">
      <c r="A603" s="11">
        <f>Returns!A603</f>
        <v>0</v>
      </c>
      <c r="B603" s="1">
        <f>ABS(Portfolios!B603-AVERAGE(Portfolios!$B$2:$B$1004))</f>
        <v>0</v>
      </c>
    </row>
    <row r="604" spans="1:2">
      <c r="A604" s="11">
        <f>Returns!A604</f>
        <v>0</v>
      </c>
      <c r="B604" s="1">
        <f>ABS(Portfolios!B604-AVERAGE(Portfolios!$B$2:$B$1004))</f>
        <v>0</v>
      </c>
    </row>
    <row r="605" spans="1:2">
      <c r="A605" s="11">
        <f>Returns!A605</f>
        <v>0</v>
      </c>
      <c r="B605" s="1">
        <f>ABS(Portfolios!B605-AVERAGE(Portfolios!$B$2:$B$1004))</f>
        <v>0</v>
      </c>
    </row>
    <row r="606" spans="1:2">
      <c r="A606" s="11">
        <f>Returns!A606</f>
        <v>0</v>
      </c>
      <c r="B606" s="1">
        <f>ABS(Portfolios!B606-AVERAGE(Portfolios!$B$2:$B$1004))</f>
        <v>0</v>
      </c>
    </row>
    <row r="607" spans="1:2">
      <c r="A607" s="11">
        <f>Returns!A607</f>
        <v>0</v>
      </c>
      <c r="B607" s="1">
        <f>ABS(Portfolios!B607-AVERAGE(Portfolios!$B$2:$B$1004))</f>
        <v>0</v>
      </c>
    </row>
    <row r="608" spans="1:2">
      <c r="A608" s="11">
        <f>Returns!A608</f>
        <v>0</v>
      </c>
      <c r="B608" s="1">
        <f>ABS(Portfolios!B608-AVERAGE(Portfolios!$B$2:$B$1004))</f>
        <v>0</v>
      </c>
    </row>
    <row r="609" spans="1:2">
      <c r="A609" s="11">
        <f>Returns!A609</f>
        <v>0</v>
      </c>
      <c r="B609" s="1">
        <f>ABS(Portfolios!B609-AVERAGE(Portfolios!$B$2:$B$1004))</f>
        <v>0</v>
      </c>
    </row>
    <row r="610" spans="1:2">
      <c r="A610" s="11">
        <f>Returns!A610</f>
        <v>0</v>
      </c>
      <c r="B610" s="1">
        <f>ABS(Portfolios!B610-AVERAGE(Portfolios!$B$2:$B$1004))</f>
        <v>0</v>
      </c>
    </row>
    <row r="611" spans="1:2">
      <c r="A611" s="11">
        <f>Returns!A611</f>
        <v>0</v>
      </c>
      <c r="B611" s="1">
        <f>ABS(Portfolios!B611-AVERAGE(Portfolios!$B$2:$B$1004))</f>
        <v>0</v>
      </c>
    </row>
    <row r="612" spans="1:2">
      <c r="A612" s="11">
        <f>Returns!A612</f>
        <v>0</v>
      </c>
      <c r="B612" s="1">
        <f>ABS(Portfolios!B612-AVERAGE(Portfolios!$B$2:$B$1004))</f>
        <v>0</v>
      </c>
    </row>
    <row r="613" spans="1:2">
      <c r="A613" s="11">
        <f>Returns!A613</f>
        <v>0</v>
      </c>
      <c r="B613" s="1">
        <f>ABS(Portfolios!B613-AVERAGE(Portfolios!$B$2:$B$1004))</f>
        <v>0</v>
      </c>
    </row>
    <row r="614" spans="1:2">
      <c r="A614" s="11">
        <f>Returns!A614</f>
        <v>0</v>
      </c>
      <c r="B614" s="1">
        <f>ABS(Portfolios!B614-AVERAGE(Portfolios!$B$2:$B$1004))</f>
        <v>0</v>
      </c>
    </row>
    <row r="615" spans="1:2">
      <c r="A615" s="11">
        <f>Returns!A615</f>
        <v>0</v>
      </c>
      <c r="B615" s="1">
        <f>ABS(Portfolios!B615-AVERAGE(Portfolios!$B$2:$B$1004))</f>
        <v>0</v>
      </c>
    </row>
    <row r="616" spans="1:2">
      <c r="A616" s="11">
        <f>Returns!A616</f>
        <v>0</v>
      </c>
      <c r="B616" s="1">
        <f>ABS(Portfolios!B616-AVERAGE(Portfolios!$B$2:$B$1004))</f>
        <v>0</v>
      </c>
    </row>
    <row r="617" spans="1:2">
      <c r="A617" s="11">
        <f>Returns!A617</f>
        <v>0</v>
      </c>
      <c r="B617" s="1">
        <f>ABS(Portfolios!B617-AVERAGE(Portfolios!$B$2:$B$1004))</f>
        <v>0</v>
      </c>
    </row>
    <row r="618" spans="1:2">
      <c r="A618" s="11">
        <f>Returns!A618</f>
        <v>0</v>
      </c>
      <c r="B618" s="1">
        <f>ABS(Portfolios!B618-AVERAGE(Portfolios!$B$2:$B$1004))</f>
        <v>0</v>
      </c>
    </row>
    <row r="619" spans="1:2">
      <c r="A619" s="11">
        <f>Returns!A619</f>
        <v>0</v>
      </c>
      <c r="B619" s="1">
        <f>ABS(Portfolios!B619-AVERAGE(Portfolios!$B$2:$B$1004))</f>
        <v>0</v>
      </c>
    </row>
    <row r="620" spans="1:2">
      <c r="A620" s="11">
        <f>Returns!A620</f>
        <v>0</v>
      </c>
      <c r="B620" s="1">
        <f>ABS(Portfolios!B620-AVERAGE(Portfolios!$B$2:$B$1004))</f>
        <v>0</v>
      </c>
    </row>
    <row r="621" spans="1:2">
      <c r="A621" s="11">
        <f>Returns!A621</f>
        <v>0</v>
      </c>
      <c r="B621" s="1">
        <f>ABS(Portfolios!B621-AVERAGE(Portfolios!$B$2:$B$1004))</f>
        <v>0</v>
      </c>
    </row>
    <row r="622" spans="1:2">
      <c r="A622" s="11">
        <f>Returns!A622</f>
        <v>0</v>
      </c>
      <c r="B622" s="1">
        <f>ABS(Portfolios!B622-AVERAGE(Portfolios!$B$2:$B$1004))</f>
        <v>0</v>
      </c>
    </row>
    <row r="623" spans="1:2">
      <c r="A623" s="11">
        <f>Returns!A623</f>
        <v>0</v>
      </c>
      <c r="B623" s="1">
        <f>ABS(Portfolios!B623-AVERAGE(Portfolios!$B$2:$B$1004))</f>
        <v>0</v>
      </c>
    </row>
    <row r="624" spans="1:2">
      <c r="A624" s="11">
        <f>Returns!A624</f>
        <v>0</v>
      </c>
      <c r="B624" s="1">
        <f>ABS(Portfolios!B624-AVERAGE(Portfolios!$B$2:$B$1004))</f>
        <v>0</v>
      </c>
    </row>
    <row r="625" spans="1:2">
      <c r="A625" s="11">
        <f>Returns!A625</f>
        <v>0</v>
      </c>
      <c r="B625" s="1">
        <f>ABS(Portfolios!B625-AVERAGE(Portfolios!$B$2:$B$1004))</f>
        <v>0</v>
      </c>
    </row>
    <row r="626" spans="1:2">
      <c r="A626" s="11">
        <f>Returns!A626</f>
        <v>0</v>
      </c>
      <c r="B626" s="1">
        <f>ABS(Portfolios!B626-AVERAGE(Portfolios!$B$2:$B$1004))</f>
        <v>0</v>
      </c>
    </row>
    <row r="627" spans="1:2">
      <c r="A627" s="11">
        <f>Returns!A627</f>
        <v>0</v>
      </c>
      <c r="B627" s="1">
        <f>ABS(Portfolios!B627-AVERAGE(Portfolios!$B$2:$B$1004))</f>
        <v>0</v>
      </c>
    </row>
    <row r="628" spans="1:2">
      <c r="A628" s="11">
        <f>Returns!A628</f>
        <v>0</v>
      </c>
      <c r="B628" s="1">
        <f>ABS(Portfolios!B628-AVERAGE(Portfolios!$B$2:$B$1004))</f>
        <v>0</v>
      </c>
    </row>
    <row r="629" spans="1:2">
      <c r="A629" s="11">
        <f>Returns!A629</f>
        <v>0</v>
      </c>
      <c r="B629" s="1">
        <f>ABS(Portfolios!B629-AVERAGE(Portfolios!$B$2:$B$1004))</f>
        <v>0</v>
      </c>
    </row>
    <row r="630" spans="1:2">
      <c r="A630" s="11">
        <f>Returns!A630</f>
        <v>0</v>
      </c>
      <c r="B630" s="1">
        <f>ABS(Portfolios!B630-AVERAGE(Portfolios!$B$2:$B$1004))</f>
        <v>0</v>
      </c>
    </row>
    <row r="631" spans="1:2">
      <c r="A631" s="11">
        <f>Returns!A631</f>
        <v>0</v>
      </c>
      <c r="B631" s="1">
        <f>ABS(Portfolios!B631-AVERAGE(Portfolios!$B$2:$B$1004))</f>
        <v>0</v>
      </c>
    </row>
    <row r="632" spans="1:2">
      <c r="A632" s="11">
        <f>Returns!A632</f>
        <v>0</v>
      </c>
      <c r="B632" s="1">
        <f>ABS(Portfolios!B632-AVERAGE(Portfolios!$B$2:$B$1004))</f>
        <v>0</v>
      </c>
    </row>
    <row r="633" spans="1:2">
      <c r="A633" s="11">
        <f>Returns!A633</f>
        <v>0</v>
      </c>
      <c r="B633" s="1">
        <f>ABS(Portfolios!B633-AVERAGE(Portfolios!$B$2:$B$1004))</f>
        <v>0</v>
      </c>
    </row>
    <row r="634" spans="1:2">
      <c r="A634" s="11">
        <f>Returns!A634</f>
        <v>0</v>
      </c>
      <c r="B634" s="1">
        <f>ABS(Portfolios!B634-AVERAGE(Portfolios!$B$2:$B$1004))</f>
        <v>0</v>
      </c>
    </row>
    <row r="635" spans="1:2">
      <c r="A635" s="11">
        <f>Returns!A635</f>
        <v>0</v>
      </c>
      <c r="B635" s="1">
        <f>ABS(Portfolios!B635-AVERAGE(Portfolios!$B$2:$B$1004))</f>
        <v>0</v>
      </c>
    </row>
    <row r="636" spans="1:2">
      <c r="A636" s="11">
        <f>Returns!A636</f>
        <v>0</v>
      </c>
      <c r="B636" s="1">
        <f>ABS(Portfolios!B636-AVERAGE(Portfolios!$B$2:$B$1004))</f>
        <v>0</v>
      </c>
    </row>
    <row r="637" spans="1:2">
      <c r="A637" s="11">
        <f>Returns!A637</f>
        <v>0</v>
      </c>
      <c r="B637" s="1">
        <f>ABS(Portfolios!B637-AVERAGE(Portfolios!$B$2:$B$1004))</f>
        <v>0</v>
      </c>
    </row>
    <row r="638" spans="1:2">
      <c r="A638" s="11">
        <f>Returns!A638</f>
        <v>0</v>
      </c>
      <c r="B638" s="1">
        <f>ABS(Portfolios!B638-AVERAGE(Portfolios!$B$2:$B$1004))</f>
        <v>0</v>
      </c>
    </row>
    <row r="639" spans="1:2">
      <c r="A639" s="11">
        <f>Returns!A639</f>
        <v>0</v>
      </c>
      <c r="B639" s="1">
        <f>ABS(Portfolios!B639-AVERAGE(Portfolios!$B$2:$B$1004))</f>
        <v>0</v>
      </c>
    </row>
    <row r="640" spans="1:2">
      <c r="A640" s="11">
        <f>Returns!A640</f>
        <v>0</v>
      </c>
      <c r="B640" s="1">
        <f>ABS(Portfolios!B640-AVERAGE(Portfolios!$B$2:$B$1004))</f>
        <v>0</v>
      </c>
    </row>
    <row r="641" spans="1:2">
      <c r="A641" s="11">
        <f>Returns!A641</f>
        <v>0</v>
      </c>
      <c r="B641" s="1">
        <f>ABS(Portfolios!B641-AVERAGE(Portfolios!$B$2:$B$1004))</f>
        <v>0</v>
      </c>
    </row>
    <row r="642" spans="1:2">
      <c r="A642" s="11">
        <f>Returns!A642</f>
        <v>0</v>
      </c>
      <c r="B642" s="1">
        <f>ABS(Portfolios!B642-AVERAGE(Portfolios!$B$2:$B$1004))</f>
        <v>0</v>
      </c>
    </row>
    <row r="643" spans="1:2">
      <c r="A643" s="11">
        <f>Returns!A643</f>
        <v>0</v>
      </c>
      <c r="B643" s="1">
        <f>ABS(Portfolios!B643-AVERAGE(Portfolios!$B$2:$B$1004))</f>
        <v>0</v>
      </c>
    </row>
    <row r="644" spans="1:2">
      <c r="A644" s="11">
        <f>Returns!A644</f>
        <v>0</v>
      </c>
      <c r="B644" s="1">
        <f>ABS(Portfolios!B644-AVERAGE(Portfolios!$B$2:$B$1004))</f>
        <v>0</v>
      </c>
    </row>
    <row r="645" spans="1:2">
      <c r="A645" s="11">
        <f>Returns!A645</f>
        <v>0</v>
      </c>
      <c r="B645" s="1">
        <f>ABS(Portfolios!B645-AVERAGE(Portfolios!$B$2:$B$1004))</f>
        <v>0</v>
      </c>
    </row>
    <row r="646" spans="1:2">
      <c r="A646" s="11">
        <f>Returns!A646</f>
        <v>0</v>
      </c>
      <c r="B646" s="1">
        <f>ABS(Portfolios!B646-AVERAGE(Portfolios!$B$2:$B$1004))</f>
        <v>0</v>
      </c>
    </row>
    <row r="647" spans="1:2">
      <c r="A647" s="11">
        <f>Returns!A647</f>
        <v>0</v>
      </c>
      <c r="B647" s="1">
        <f>ABS(Portfolios!B647-AVERAGE(Portfolios!$B$2:$B$1004))</f>
        <v>0</v>
      </c>
    </row>
    <row r="648" spans="1:2">
      <c r="A648" s="11">
        <f>Returns!A648</f>
        <v>0</v>
      </c>
      <c r="B648" s="1">
        <f>ABS(Portfolios!B648-AVERAGE(Portfolios!$B$2:$B$1004))</f>
        <v>0</v>
      </c>
    </row>
    <row r="649" spans="1:2">
      <c r="A649" s="11">
        <f>Returns!A649</f>
        <v>0</v>
      </c>
      <c r="B649" s="1">
        <f>ABS(Portfolios!B649-AVERAGE(Portfolios!$B$2:$B$1004))</f>
        <v>0</v>
      </c>
    </row>
    <row r="650" spans="1:2">
      <c r="A650" s="11">
        <f>Returns!A650</f>
        <v>0</v>
      </c>
      <c r="B650" s="1">
        <f>ABS(Portfolios!B650-AVERAGE(Portfolios!$B$2:$B$1004))</f>
        <v>0</v>
      </c>
    </row>
    <row r="651" spans="1:2">
      <c r="A651" s="11">
        <f>Returns!A651</f>
        <v>0</v>
      </c>
      <c r="B651" s="1">
        <f>ABS(Portfolios!B651-AVERAGE(Portfolios!$B$2:$B$1004))</f>
        <v>0</v>
      </c>
    </row>
    <row r="652" spans="1:2">
      <c r="A652" s="11">
        <f>Returns!A652</f>
        <v>0</v>
      </c>
      <c r="B652" s="1">
        <f>ABS(Portfolios!B652-AVERAGE(Portfolios!$B$2:$B$1004))</f>
        <v>0</v>
      </c>
    </row>
    <row r="653" spans="1:2">
      <c r="A653" s="11">
        <f>Returns!A653</f>
        <v>0</v>
      </c>
      <c r="B653" s="1">
        <f>ABS(Portfolios!B653-AVERAGE(Portfolios!$B$2:$B$1004))</f>
        <v>0</v>
      </c>
    </row>
    <row r="654" spans="1:2">
      <c r="A654" s="11">
        <f>Returns!A654</f>
        <v>0</v>
      </c>
      <c r="B654" s="1">
        <f>ABS(Portfolios!B654-AVERAGE(Portfolios!$B$2:$B$1004))</f>
        <v>0</v>
      </c>
    </row>
    <row r="655" spans="1:2">
      <c r="A655" s="11">
        <f>Returns!A655</f>
        <v>0</v>
      </c>
      <c r="B655" s="1">
        <f>ABS(Portfolios!B655-AVERAGE(Portfolios!$B$2:$B$1004))</f>
        <v>0</v>
      </c>
    </row>
    <row r="656" spans="1:2">
      <c r="A656" s="11">
        <f>Returns!A656</f>
        <v>0</v>
      </c>
      <c r="B656" s="1">
        <f>ABS(Portfolios!B656-AVERAGE(Portfolios!$B$2:$B$1004))</f>
        <v>0</v>
      </c>
    </row>
    <row r="657" spans="1:2">
      <c r="A657" s="11">
        <f>Returns!A657</f>
        <v>0</v>
      </c>
      <c r="B657" s="1">
        <f>ABS(Portfolios!B657-AVERAGE(Portfolios!$B$2:$B$1004))</f>
        <v>0</v>
      </c>
    </row>
    <row r="658" spans="1:2">
      <c r="A658" s="11">
        <f>Returns!A658</f>
        <v>0</v>
      </c>
      <c r="B658" s="1">
        <f>ABS(Portfolios!B658-AVERAGE(Portfolios!$B$2:$B$1004))</f>
        <v>0</v>
      </c>
    </row>
    <row r="659" spans="1:2">
      <c r="A659" s="11">
        <f>Returns!A659</f>
        <v>0</v>
      </c>
      <c r="B659" s="1">
        <f>ABS(Portfolios!B659-AVERAGE(Portfolios!$B$2:$B$1004))</f>
        <v>0</v>
      </c>
    </row>
    <row r="660" spans="1:2">
      <c r="A660" s="11">
        <f>Returns!A660</f>
        <v>0</v>
      </c>
      <c r="B660" s="1">
        <f>ABS(Portfolios!B660-AVERAGE(Portfolios!$B$2:$B$1004))</f>
        <v>0</v>
      </c>
    </row>
    <row r="661" spans="1:2">
      <c r="A661" s="11">
        <f>Returns!A661</f>
        <v>0</v>
      </c>
      <c r="B661" s="1">
        <f>ABS(Portfolios!B661-AVERAGE(Portfolios!$B$2:$B$1004))</f>
        <v>0</v>
      </c>
    </row>
    <row r="662" spans="1:2">
      <c r="A662" s="11">
        <f>Returns!A662</f>
        <v>0</v>
      </c>
      <c r="B662" s="1">
        <f>ABS(Portfolios!B662-AVERAGE(Portfolios!$B$2:$B$1004))</f>
        <v>0</v>
      </c>
    </row>
    <row r="663" spans="1:2">
      <c r="A663" s="11">
        <f>Returns!A663</f>
        <v>0</v>
      </c>
      <c r="B663" s="1">
        <f>ABS(Portfolios!B663-AVERAGE(Portfolios!$B$2:$B$1004))</f>
        <v>0</v>
      </c>
    </row>
    <row r="664" spans="1:2">
      <c r="A664" s="11">
        <f>Returns!A664</f>
        <v>0</v>
      </c>
      <c r="B664" s="1">
        <f>ABS(Portfolios!B664-AVERAGE(Portfolios!$B$2:$B$1004))</f>
        <v>0</v>
      </c>
    </row>
    <row r="665" spans="1:2">
      <c r="A665" s="11">
        <f>Returns!A665</f>
        <v>0</v>
      </c>
      <c r="B665" s="1">
        <f>ABS(Portfolios!B665-AVERAGE(Portfolios!$B$2:$B$1004))</f>
        <v>0</v>
      </c>
    </row>
    <row r="666" spans="1:2">
      <c r="A666" s="11">
        <f>Returns!A666</f>
        <v>0</v>
      </c>
      <c r="B666" s="1">
        <f>ABS(Portfolios!B666-AVERAGE(Portfolios!$B$2:$B$1004))</f>
        <v>0</v>
      </c>
    </row>
    <row r="667" spans="1:2">
      <c r="A667" s="11">
        <f>Returns!A667</f>
        <v>0</v>
      </c>
      <c r="B667" s="1">
        <f>ABS(Portfolios!B667-AVERAGE(Portfolios!$B$2:$B$1004))</f>
        <v>0</v>
      </c>
    </row>
    <row r="668" spans="1:2">
      <c r="A668" s="11">
        <f>Returns!A668</f>
        <v>0</v>
      </c>
      <c r="B668" s="1">
        <f>ABS(Portfolios!B668-AVERAGE(Portfolios!$B$2:$B$1004))</f>
        <v>0</v>
      </c>
    </row>
    <row r="669" spans="1:2">
      <c r="A669" s="11">
        <f>Returns!A669</f>
        <v>0</v>
      </c>
      <c r="B669" s="1">
        <f>ABS(Portfolios!B669-AVERAGE(Portfolios!$B$2:$B$1004))</f>
        <v>0</v>
      </c>
    </row>
    <row r="670" spans="1:2">
      <c r="A670" s="11">
        <f>Returns!A670</f>
        <v>0</v>
      </c>
      <c r="B670" s="1">
        <f>ABS(Portfolios!B670-AVERAGE(Portfolios!$B$2:$B$1004))</f>
        <v>0</v>
      </c>
    </row>
    <row r="671" spans="1:2">
      <c r="A671" s="11">
        <f>Returns!A671</f>
        <v>0</v>
      </c>
      <c r="B671" s="1">
        <f>ABS(Portfolios!B671-AVERAGE(Portfolios!$B$2:$B$1004))</f>
        <v>0</v>
      </c>
    </row>
    <row r="672" spans="1:2">
      <c r="A672" s="11">
        <f>Returns!A672</f>
        <v>0</v>
      </c>
      <c r="B672" s="1">
        <f>ABS(Portfolios!B672-AVERAGE(Portfolios!$B$2:$B$1004))</f>
        <v>0</v>
      </c>
    </row>
    <row r="673" spans="1:2">
      <c r="A673" s="11">
        <f>Returns!A673</f>
        <v>0</v>
      </c>
      <c r="B673" s="1">
        <f>ABS(Portfolios!B673-AVERAGE(Portfolios!$B$2:$B$1004))</f>
        <v>0</v>
      </c>
    </row>
    <row r="674" spans="1:2">
      <c r="A674" s="11">
        <f>Returns!A674</f>
        <v>0</v>
      </c>
      <c r="B674" s="1">
        <f>ABS(Portfolios!B674-AVERAGE(Portfolios!$B$2:$B$1004))</f>
        <v>0</v>
      </c>
    </row>
    <row r="675" spans="1:2">
      <c r="A675" s="11">
        <f>Returns!A675</f>
        <v>0</v>
      </c>
      <c r="B675" s="1">
        <f>ABS(Portfolios!B675-AVERAGE(Portfolios!$B$2:$B$1004))</f>
        <v>0</v>
      </c>
    </row>
    <row r="676" spans="1:2">
      <c r="A676" s="11">
        <f>Returns!A676</f>
        <v>0</v>
      </c>
      <c r="B676" s="1">
        <f>ABS(Portfolios!B676-AVERAGE(Portfolios!$B$2:$B$1004))</f>
        <v>0</v>
      </c>
    </row>
    <row r="677" spans="1:2">
      <c r="A677" s="11">
        <f>Returns!A677</f>
        <v>0</v>
      </c>
      <c r="B677" s="1">
        <f>ABS(Portfolios!B677-AVERAGE(Portfolios!$B$2:$B$1004))</f>
        <v>0</v>
      </c>
    </row>
    <row r="678" spans="1:2">
      <c r="A678" s="11">
        <f>Returns!A678</f>
        <v>0</v>
      </c>
      <c r="B678" s="1">
        <f>ABS(Portfolios!B678-AVERAGE(Portfolios!$B$2:$B$1004))</f>
        <v>0</v>
      </c>
    </row>
    <row r="679" spans="1:2">
      <c r="A679" s="11">
        <f>Returns!A679</f>
        <v>0</v>
      </c>
      <c r="B679" s="1">
        <f>ABS(Portfolios!B679-AVERAGE(Portfolios!$B$2:$B$1004))</f>
        <v>0</v>
      </c>
    </row>
    <row r="680" spans="1:2">
      <c r="A680" s="11">
        <f>Returns!A680</f>
        <v>0</v>
      </c>
      <c r="B680" s="1">
        <f>ABS(Portfolios!B680-AVERAGE(Portfolios!$B$2:$B$1004))</f>
        <v>0</v>
      </c>
    </row>
    <row r="681" spans="1:2">
      <c r="A681" s="11">
        <f>Returns!A681</f>
        <v>0</v>
      </c>
      <c r="B681" s="1">
        <f>ABS(Portfolios!B681-AVERAGE(Portfolios!$B$2:$B$1004))</f>
        <v>0</v>
      </c>
    </row>
    <row r="682" spans="1:2">
      <c r="A682" s="11">
        <f>Returns!A682</f>
        <v>0</v>
      </c>
      <c r="B682" s="1">
        <f>ABS(Portfolios!B682-AVERAGE(Portfolios!$B$2:$B$1004))</f>
        <v>0</v>
      </c>
    </row>
    <row r="683" spans="1:2">
      <c r="A683" s="11">
        <f>Returns!A683</f>
        <v>0</v>
      </c>
      <c r="B683" s="1">
        <f>ABS(Portfolios!B683-AVERAGE(Portfolios!$B$2:$B$1004))</f>
        <v>0</v>
      </c>
    </row>
    <row r="684" spans="1:2">
      <c r="A684" s="11">
        <f>Returns!A684</f>
        <v>0</v>
      </c>
      <c r="B684" s="1">
        <f>ABS(Portfolios!B684-AVERAGE(Portfolios!$B$2:$B$1004))</f>
        <v>0</v>
      </c>
    </row>
    <row r="685" spans="1:2">
      <c r="A685" s="11">
        <f>Returns!A685</f>
        <v>0</v>
      </c>
      <c r="B685" s="1">
        <f>ABS(Portfolios!B685-AVERAGE(Portfolios!$B$2:$B$1004))</f>
        <v>0</v>
      </c>
    </row>
    <row r="686" spans="1:2">
      <c r="A686" s="11">
        <f>Returns!A686</f>
        <v>0</v>
      </c>
      <c r="B686" s="1">
        <f>ABS(Portfolios!B686-AVERAGE(Portfolios!$B$2:$B$1004))</f>
        <v>0</v>
      </c>
    </row>
    <row r="687" spans="1:2">
      <c r="A687" s="11">
        <f>Returns!A687</f>
        <v>0</v>
      </c>
      <c r="B687" s="1">
        <f>ABS(Portfolios!B687-AVERAGE(Portfolios!$B$2:$B$1004))</f>
        <v>0</v>
      </c>
    </row>
    <row r="688" spans="1:2">
      <c r="A688" s="11">
        <f>Returns!A688</f>
        <v>0</v>
      </c>
      <c r="B688" s="1">
        <f>ABS(Portfolios!B688-AVERAGE(Portfolios!$B$2:$B$1004))</f>
        <v>0</v>
      </c>
    </row>
    <row r="689" spans="1:2">
      <c r="A689" s="11">
        <f>Returns!A689</f>
        <v>0</v>
      </c>
      <c r="B689" s="1">
        <f>ABS(Portfolios!B689-AVERAGE(Portfolios!$B$2:$B$1004))</f>
        <v>0</v>
      </c>
    </row>
    <row r="690" spans="1:2">
      <c r="A690" s="11">
        <f>Returns!A690</f>
        <v>0</v>
      </c>
      <c r="B690" s="1">
        <f>ABS(Portfolios!B690-AVERAGE(Portfolios!$B$2:$B$1004))</f>
        <v>0</v>
      </c>
    </row>
    <row r="691" spans="1:2">
      <c r="A691" s="11">
        <f>Returns!A691</f>
        <v>0</v>
      </c>
      <c r="B691" s="1">
        <f>ABS(Portfolios!B691-AVERAGE(Portfolios!$B$2:$B$1004))</f>
        <v>0</v>
      </c>
    </row>
    <row r="692" spans="1:2">
      <c r="A692" s="11">
        <f>Returns!A692</f>
        <v>0</v>
      </c>
      <c r="B692" s="1">
        <f>ABS(Portfolios!B692-AVERAGE(Portfolios!$B$2:$B$1004))</f>
        <v>0</v>
      </c>
    </row>
    <row r="693" spans="1:2">
      <c r="A693" s="11">
        <f>Returns!A693</f>
        <v>0</v>
      </c>
      <c r="B693" s="1">
        <f>ABS(Portfolios!B693-AVERAGE(Portfolios!$B$2:$B$1004))</f>
        <v>0</v>
      </c>
    </row>
    <row r="694" spans="1:2">
      <c r="A694" s="11">
        <f>Returns!A694</f>
        <v>0</v>
      </c>
      <c r="B694" s="1">
        <f>ABS(Portfolios!B694-AVERAGE(Portfolios!$B$2:$B$1004))</f>
        <v>0</v>
      </c>
    </row>
    <row r="695" spans="1:2">
      <c r="A695" s="11">
        <f>Returns!A695</f>
        <v>0</v>
      </c>
      <c r="B695" s="1">
        <f>ABS(Portfolios!B695-AVERAGE(Portfolios!$B$2:$B$1004))</f>
        <v>0</v>
      </c>
    </row>
    <row r="696" spans="1:2">
      <c r="A696" s="11">
        <f>Returns!A696</f>
        <v>0</v>
      </c>
      <c r="B696" s="1">
        <f>ABS(Portfolios!B696-AVERAGE(Portfolios!$B$2:$B$1004))</f>
        <v>0</v>
      </c>
    </row>
    <row r="697" spans="1:2">
      <c r="A697" s="11">
        <f>Returns!A697</f>
        <v>0</v>
      </c>
      <c r="B697" s="1">
        <f>ABS(Portfolios!B697-AVERAGE(Portfolios!$B$2:$B$1004))</f>
        <v>0</v>
      </c>
    </row>
    <row r="698" spans="1:2">
      <c r="A698" s="11">
        <f>Returns!A698</f>
        <v>0</v>
      </c>
      <c r="B698" s="1">
        <f>ABS(Portfolios!B698-AVERAGE(Portfolios!$B$2:$B$1004))</f>
        <v>0</v>
      </c>
    </row>
    <row r="699" spans="1:2">
      <c r="A699" s="11">
        <f>Returns!A699</f>
        <v>0</v>
      </c>
      <c r="B699" s="1">
        <f>ABS(Portfolios!B699-AVERAGE(Portfolios!$B$2:$B$1004))</f>
        <v>0</v>
      </c>
    </row>
    <row r="700" spans="1:2">
      <c r="A700" s="11">
        <f>Returns!A700</f>
        <v>0</v>
      </c>
      <c r="B700" s="1">
        <f>ABS(Portfolios!B700-AVERAGE(Portfolios!$B$2:$B$1004))</f>
        <v>0</v>
      </c>
    </row>
    <row r="701" spans="1:2">
      <c r="A701" s="11">
        <f>Returns!A701</f>
        <v>0</v>
      </c>
      <c r="B701" s="1">
        <f>ABS(Portfolios!B701-AVERAGE(Portfolios!$B$2:$B$1004))</f>
        <v>0</v>
      </c>
    </row>
    <row r="702" spans="1:2">
      <c r="A702" s="11">
        <f>Returns!A702</f>
        <v>0</v>
      </c>
      <c r="B702" s="1">
        <f>ABS(Portfolios!B702-AVERAGE(Portfolios!$B$2:$B$1004))</f>
        <v>0</v>
      </c>
    </row>
    <row r="703" spans="1:2">
      <c r="A703" s="11">
        <f>Returns!A703</f>
        <v>0</v>
      </c>
      <c r="B703" s="1">
        <f>ABS(Portfolios!B703-AVERAGE(Portfolios!$B$2:$B$1004))</f>
        <v>0</v>
      </c>
    </row>
    <row r="704" spans="1:2">
      <c r="A704" s="11">
        <f>Returns!A704</f>
        <v>0</v>
      </c>
      <c r="B704" s="1">
        <f>ABS(Portfolios!B704-AVERAGE(Portfolios!$B$2:$B$1004))</f>
        <v>0</v>
      </c>
    </row>
    <row r="705" spans="1:2">
      <c r="A705" s="11">
        <f>Returns!A705</f>
        <v>0</v>
      </c>
      <c r="B705" s="1">
        <f>ABS(Portfolios!B705-AVERAGE(Portfolios!$B$2:$B$1004))</f>
        <v>0</v>
      </c>
    </row>
    <row r="706" spans="1:2">
      <c r="A706" s="11">
        <f>Returns!A706</f>
        <v>0</v>
      </c>
      <c r="B706" s="1">
        <f>ABS(Portfolios!B706-AVERAGE(Portfolios!$B$2:$B$1004))</f>
        <v>0</v>
      </c>
    </row>
    <row r="707" spans="1:2">
      <c r="A707" s="11">
        <f>Returns!A707</f>
        <v>0</v>
      </c>
      <c r="B707" s="1">
        <f>ABS(Portfolios!B707-AVERAGE(Portfolios!$B$2:$B$1004))</f>
        <v>0</v>
      </c>
    </row>
    <row r="708" spans="1:2">
      <c r="A708" s="11">
        <f>Returns!A708</f>
        <v>0</v>
      </c>
      <c r="B708" s="1">
        <f>ABS(Portfolios!B708-AVERAGE(Portfolios!$B$2:$B$1004))</f>
        <v>0</v>
      </c>
    </row>
    <row r="709" spans="1:2">
      <c r="A709" s="11">
        <f>Returns!A709</f>
        <v>0</v>
      </c>
      <c r="B709" s="1">
        <f>ABS(Portfolios!B709-AVERAGE(Portfolios!$B$2:$B$1004))</f>
        <v>0</v>
      </c>
    </row>
    <row r="710" spans="1:2">
      <c r="A710" s="11">
        <f>Returns!A710</f>
        <v>0</v>
      </c>
      <c r="B710" s="1">
        <f>ABS(Portfolios!B710-AVERAGE(Portfolios!$B$2:$B$1004))</f>
        <v>0</v>
      </c>
    </row>
    <row r="711" spans="1:2">
      <c r="A711" s="11">
        <f>Returns!A711</f>
        <v>0</v>
      </c>
      <c r="B711" s="1">
        <f>ABS(Portfolios!B711-AVERAGE(Portfolios!$B$2:$B$1004))</f>
        <v>0</v>
      </c>
    </row>
    <row r="712" spans="1:2">
      <c r="A712" s="11">
        <f>Returns!A712</f>
        <v>0</v>
      </c>
      <c r="B712" s="1">
        <f>ABS(Portfolios!B712-AVERAGE(Portfolios!$B$2:$B$1004))</f>
        <v>0</v>
      </c>
    </row>
    <row r="713" spans="1:2">
      <c r="A713" s="11">
        <f>Returns!A713</f>
        <v>0</v>
      </c>
      <c r="B713" s="1">
        <f>ABS(Portfolios!B713-AVERAGE(Portfolios!$B$2:$B$1004))</f>
        <v>0</v>
      </c>
    </row>
    <row r="714" spans="1:2">
      <c r="A714" s="11">
        <f>Returns!A714</f>
        <v>0</v>
      </c>
      <c r="B714" s="1">
        <f>ABS(Portfolios!B714-AVERAGE(Portfolios!$B$2:$B$1004))</f>
        <v>0</v>
      </c>
    </row>
    <row r="715" spans="1:2">
      <c r="A715" s="11">
        <f>Returns!A715</f>
        <v>0</v>
      </c>
      <c r="B715" s="1">
        <f>ABS(Portfolios!B715-AVERAGE(Portfolios!$B$2:$B$1004))</f>
        <v>0</v>
      </c>
    </row>
    <row r="716" spans="1:2">
      <c r="A716" s="11">
        <f>Returns!A716</f>
        <v>0</v>
      </c>
      <c r="B716" s="1">
        <f>ABS(Portfolios!B716-AVERAGE(Portfolios!$B$2:$B$1004))</f>
        <v>0</v>
      </c>
    </row>
    <row r="717" spans="1:2">
      <c r="A717" s="11">
        <f>Returns!A717</f>
        <v>0</v>
      </c>
      <c r="B717" s="1">
        <f>ABS(Portfolios!B717-AVERAGE(Portfolios!$B$2:$B$1004))</f>
        <v>0</v>
      </c>
    </row>
    <row r="718" spans="1:2">
      <c r="A718" s="11">
        <f>Returns!A718</f>
        <v>0</v>
      </c>
      <c r="B718" s="1">
        <f>ABS(Portfolios!B718-AVERAGE(Portfolios!$B$2:$B$1004))</f>
        <v>0</v>
      </c>
    </row>
    <row r="719" spans="1:2">
      <c r="A719" s="11">
        <f>Returns!A719</f>
        <v>0</v>
      </c>
      <c r="B719" s="1">
        <f>ABS(Portfolios!B719-AVERAGE(Portfolios!$B$2:$B$1004))</f>
        <v>0</v>
      </c>
    </row>
    <row r="720" spans="1:2">
      <c r="A720" s="11">
        <f>Returns!A720</f>
        <v>0</v>
      </c>
      <c r="B720" s="1">
        <f>ABS(Portfolios!B720-AVERAGE(Portfolios!$B$2:$B$1004))</f>
        <v>0</v>
      </c>
    </row>
    <row r="721" spans="1:2">
      <c r="A721" s="11">
        <f>Returns!A721</f>
        <v>0</v>
      </c>
      <c r="B721" s="1">
        <f>ABS(Portfolios!B721-AVERAGE(Portfolios!$B$2:$B$1004))</f>
        <v>0</v>
      </c>
    </row>
    <row r="722" spans="1:2">
      <c r="A722" s="11">
        <f>Returns!A722</f>
        <v>0</v>
      </c>
      <c r="B722" s="1">
        <f>ABS(Portfolios!B722-AVERAGE(Portfolios!$B$2:$B$1004))</f>
        <v>0</v>
      </c>
    </row>
    <row r="723" spans="1:2">
      <c r="A723" s="11">
        <f>Returns!A723</f>
        <v>0</v>
      </c>
      <c r="B723" s="1">
        <f>ABS(Portfolios!B723-AVERAGE(Portfolios!$B$2:$B$1004))</f>
        <v>0</v>
      </c>
    </row>
    <row r="724" spans="1:2">
      <c r="A724" s="11">
        <f>Returns!A724</f>
        <v>0</v>
      </c>
      <c r="B724" s="1">
        <f>ABS(Portfolios!B724-AVERAGE(Portfolios!$B$2:$B$1004))</f>
        <v>0</v>
      </c>
    </row>
    <row r="725" spans="1:2">
      <c r="A725" s="11">
        <f>Returns!A725</f>
        <v>0</v>
      </c>
      <c r="B725" s="1">
        <f>ABS(Portfolios!B725-AVERAGE(Portfolios!$B$2:$B$1004))</f>
        <v>0</v>
      </c>
    </row>
    <row r="726" spans="1:2">
      <c r="A726" s="11">
        <f>Returns!A726</f>
        <v>0</v>
      </c>
      <c r="B726" s="1">
        <f>ABS(Portfolios!B726-AVERAGE(Portfolios!$B$2:$B$1004))</f>
        <v>0</v>
      </c>
    </row>
    <row r="727" spans="1:2">
      <c r="A727" s="11">
        <f>Returns!A727</f>
        <v>0</v>
      </c>
      <c r="B727" s="1">
        <f>ABS(Portfolios!B727-AVERAGE(Portfolios!$B$2:$B$1004))</f>
        <v>0</v>
      </c>
    </row>
    <row r="728" spans="1:2">
      <c r="A728" s="11">
        <f>Returns!A728</f>
        <v>0</v>
      </c>
      <c r="B728" s="1">
        <f>ABS(Portfolios!B728-AVERAGE(Portfolios!$B$2:$B$1004))</f>
        <v>0</v>
      </c>
    </row>
    <row r="729" spans="1:2">
      <c r="A729" s="11">
        <f>Returns!A729</f>
        <v>0</v>
      </c>
      <c r="B729" s="1">
        <f>ABS(Portfolios!B729-AVERAGE(Portfolios!$B$2:$B$1004))</f>
        <v>0</v>
      </c>
    </row>
    <row r="730" spans="1:2">
      <c r="A730" s="11">
        <f>Returns!A730</f>
        <v>0</v>
      </c>
      <c r="B730" s="1">
        <f>ABS(Portfolios!B730-AVERAGE(Portfolios!$B$2:$B$1004))</f>
        <v>0</v>
      </c>
    </row>
    <row r="731" spans="1:2">
      <c r="A731" s="11">
        <f>Returns!A731</f>
        <v>0</v>
      </c>
      <c r="B731" s="1">
        <f>ABS(Portfolios!B731-AVERAGE(Portfolios!$B$2:$B$1004))</f>
        <v>0</v>
      </c>
    </row>
    <row r="732" spans="1:2">
      <c r="A732" s="11">
        <f>Returns!A732</f>
        <v>0</v>
      </c>
      <c r="B732" s="1">
        <f>ABS(Portfolios!B732-AVERAGE(Portfolios!$B$2:$B$1004))</f>
        <v>0</v>
      </c>
    </row>
    <row r="733" spans="1:2">
      <c r="A733" s="11">
        <f>Returns!A733</f>
        <v>0</v>
      </c>
      <c r="B733" s="1">
        <f>ABS(Portfolios!B733-AVERAGE(Portfolios!$B$2:$B$1004))</f>
        <v>0</v>
      </c>
    </row>
    <row r="734" spans="1:2">
      <c r="A734" s="11">
        <f>Returns!A734</f>
        <v>0</v>
      </c>
      <c r="B734" s="1">
        <f>ABS(Portfolios!B734-AVERAGE(Portfolios!$B$2:$B$1004))</f>
        <v>0</v>
      </c>
    </row>
    <row r="735" spans="1:2">
      <c r="A735" s="11">
        <f>Returns!A735</f>
        <v>0</v>
      </c>
      <c r="B735" s="1">
        <f>ABS(Portfolios!B735-AVERAGE(Portfolios!$B$2:$B$1004))</f>
        <v>0</v>
      </c>
    </row>
    <row r="736" spans="1:2">
      <c r="A736" s="11">
        <f>Returns!A736</f>
        <v>0</v>
      </c>
      <c r="B736" s="1">
        <f>ABS(Portfolios!B736-AVERAGE(Portfolios!$B$2:$B$1004))</f>
        <v>0</v>
      </c>
    </row>
    <row r="737" spans="1:2">
      <c r="A737" s="11">
        <f>Returns!A737</f>
        <v>0</v>
      </c>
      <c r="B737" s="1">
        <f>ABS(Portfolios!B737-AVERAGE(Portfolios!$B$2:$B$1004))</f>
        <v>0</v>
      </c>
    </row>
    <row r="738" spans="1:2">
      <c r="A738" s="11">
        <f>Returns!A738</f>
        <v>0</v>
      </c>
      <c r="B738" s="1">
        <f>ABS(Portfolios!B738-AVERAGE(Portfolios!$B$2:$B$1004))</f>
        <v>0</v>
      </c>
    </row>
    <row r="739" spans="1:2">
      <c r="A739" s="11">
        <f>Returns!A739</f>
        <v>0</v>
      </c>
      <c r="B739" s="1">
        <f>ABS(Portfolios!B739-AVERAGE(Portfolios!$B$2:$B$1004))</f>
        <v>0</v>
      </c>
    </row>
    <row r="740" spans="1:2">
      <c r="A740" s="11">
        <f>Returns!A740</f>
        <v>0</v>
      </c>
      <c r="B740" s="1">
        <f>ABS(Portfolios!B740-AVERAGE(Portfolios!$B$2:$B$1004))</f>
        <v>0</v>
      </c>
    </row>
    <row r="741" spans="1:2">
      <c r="A741" s="11">
        <f>Returns!A741</f>
        <v>0</v>
      </c>
      <c r="B741" s="1">
        <f>ABS(Portfolios!B741-AVERAGE(Portfolios!$B$2:$B$1004))</f>
        <v>0</v>
      </c>
    </row>
    <row r="742" spans="1:2">
      <c r="A742" s="11">
        <f>Returns!A742</f>
        <v>0</v>
      </c>
      <c r="B742" s="1">
        <f>ABS(Portfolios!B742-AVERAGE(Portfolios!$B$2:$B$1004))</f>
        <v>0</v>
      </c>
    </row>
    <row r="743" spans="1:2">
      <c r="A743" s="11">
        <f>Returns!A743</f>
        <v>0</v>
      </c>
      <c r="B743" s="1">
        <f>ABS(Portfolios!B743-AVERAGE(Portfolios!$B$2:$B$1004))</f>
        <v>0</v>
      </c>
    </row>
    <row r="744" spans="1:2">
      <c r="A744" s="11">
        <f>Returns!A744</f>
        <v>0</v>
      </c>
      <c r="B744" s="1">
        <f>ABS(Portfolios!B744-AVERAGE(Portfolios!$B$2:$B$1004))</f>
        <v>0</v>
      </c>
    </row>
    <row r="745" spans="1:2">
      <c r="A745" s="11">
        <f>Returns!A745</f>
        <v>0</v>
      </c>
      <c r="B745" s="1">
        <f>ABS(Portfolios!B745-AVERAGE(Portfolios!$B$2:$B$1004))</f>
        <v>0</v>
      </c>
    </row>
    <row r="746" spans="1:2">
      <c r="A746" s="11">
        <f>Returns!A746</f>
        <v>0</v>
      </c>
      <c r="B746" s="1">
        <f>ABS(Portfolios!B746-AVERAGE(Portfolios!$B$2:$B$1004))</f>
        <v>0</v>
      </c>
    </row>
    <row r="747" spans="1:2">
      <c r="A747" s="11">
        <f>Returns!A747</f>
        <v>0</v>
      </c>
      <c r="B747" s="1">
        <f>ABS(Portfolios!B747-AVERAGE(Portfolios!$B$2:$B$1004))</f>
        <v>0</v>
      </c>
    </row>
    <row r="748" spans="1:2">
      <c r="A748" s="11">
        <f>Returns!A748</f>
        <v>0</v>
      </c>
      <c r="B748" s="1">
        <f>ABS(Portfolios!B748-AVERAGE(Portfolios!$B$2:$B$1004))</f>
        <v>0</v>
      </c>
    </row>
    <row r="749" spans="1:2">
      <c r="A749" s="11">
        <f>Returns!A749</f>
        <v>0</v>
      </c>
      <c r="B749" s="1">
        <f>ABS(Portfolios!B749-AVERAGE(Portfolios!$B$2:$B$1004))</f>
        <v>0</v>
      </c>
    </row>
    <row r="750" spans="1:2">
      <c r="A750" s="11">
        <f>Returns!A750</f>
        <v>0</v>
      </c>
      <c r="B750" s="1">
        <f>ABS(Portfolios!B750-AVERAGE(Portfolios!$B$2:$B$1004))</f>
        <v>0</v>
      </c>
    </row>
    <row r="751" spans="1:2">
      <c r="A751" s="11">
        <f>Returns!A751</f>
        <v>0</v>
      </c>
      <c r="B751" s="1">
        <f>ABS(Portfolios!B751-AVERAGE(Portfolios!$B$2:$B$1004))</f>
        <v>0</v>
      </c>
    </row>
    <row r="752" spans="1:2">
      <c r="A752" s="11">
        <f>Returns!A752</f>
        <v>0</v>
      </c>
      <c r="B752" s="1">
        <f>ABS(Portfolios!B752-AVERAGE(Portfolios!$B$2:$B$1004))</f>
        <v>0</v>
      </c>
    </row>
    <row r="753" spans="1:2">
      <c r="A753" s="11">
        <f>Returns!A753</f>
        <v>0</v>
      </c>
      <c r="B753" s="1">
        <f>ABS(Portfolios!B753-AVERAGE(Portfolios!$B$2:$B$1004))</f>
        <v>0</v>
      </c>
    </row>
    <row r="754" spans="1:2">
      <c r="A754" s="11">
        <f>Returns!A754</f>
        <v>0</v>
      </c>
      <c r="B754" s="1">
        <f>ABS(Portfolios!B754-AVERAGE(Portfolios!$B$2:$B$1004))</f>
        <v>0</v>
      </c>
    </row>
    <row r="755" spans="1:2">
      <c r="A755" s="11">
        <f>Returns!A755</f>
        <v>0</v>
      </c>
      <c r="B755" s="1">
        <f>ABS(Portfolios!B755-AVERAGE(Portfolios!$B$2:$B$1004))</f>
        <v>0</v>
      </c>
    </row>
    <row r="756" spans="1:2">
      <c r="A756" s="11">
        <f>Returns!A756</f>
        <v>0</v>
      </c>
      <c r="B756" s="1">
        <f>ABS(Portfolios!B756-AVERAGE(Portfolios!$B$2:$B$1004))</f>
        <v>0</v>
      </c>
    </row>
    <row r="757" spans="1:2">
      <c r="A757" s="11">
        <f>Returns!A757</f>
        <v>0</v>
      </c>
      <c r="B757" s="1">
        <f>ABS(Portfolios!B757-AVERAGE(Portfolios!$B$2:$B$1004))</f>
        <v>0</v>
      </c>
    </row>
    <row r="758" spans="1:2">
      <c r="A758" s="11">
        <f>Returns!A758</f>
        <v>0</v>
      </c>
      <c r="B758" s="1">
        <f>ABS(Portfolios!B758-AVERAGE(Portfolios!$B$2:$B$1004))</f>
        <v>0</v>
      </c>
    </row>
    <row r="759" spans="1:2">
      <c r="A759" s="11">
        <f>Returns!A759</f>
        <v>0</v>
      </c>
      <c r="B759" s="1">
        <f>ABS(Portfolios!B759-AVERAGE(Portfolios!$B$2:$B$1004))</f>
        <v>0</v>
      </c>
    </row>
    <row r="760" spans="1:2">
      <c r="A760" s="11">
        <f>Returns!A760</f>
        <v>0</v>
      </c>
      <c r="B760" s="1">
        <f>ABS(Portfolios!B760-AVERAGE(Portfolios!$B$2:$B$1004))</f>
        <v>0</v>
      </c>
    </row>
    <row r="761" spans="1:2">
      <c r="A761" s="11">
        <f>Returns!A761</f>
        <v>0</v>
      </c>
      <c r="B761" s="1">
        <f>ABS(Portfolios!B761-AVERAGE(Portfolios!$B$2:$B$1004))</f>
        <v>0</v>
      </c>
    </row>
    <row r="762" spans="1:2">
      <c r="A762" s="11">
        <f>Returns!A762</f>
        <v>0</v>
      </c>
      <c r="B762" s="1">
        <f>ABS(Portfolios!B762-AVERAGE(Portfolios!$B$2:$B$1004))</f>
        <v>0</v>
      </c>
    </row>
    <row r="763" spans="1:2">
      <c r="A763" s="11">
        <f>Returns!A763</f>
        <v>0</v>
      </c>
      <c r="B763" s="1">
        <f>ABS(Portfolios!B763-AVERAGE(Portfolios!$B$2:$B$1004))</f>
        <v>0</v>
      </c>
    </row>
    <row r="764" spans="1:2">
      <c r="A764" s="11">
        <f>Returns!A764</f>
        <v>0</v>
      </c>
      <c r="B764" s="1">
        <f>ABS(Portfolios!B764-AVERAGE(Portfolios!$B$2:$B$1004))</f>
        <v>0</v>
      </c>
    </row>
    <row r="765" spans="1:2">
      <c r="A765" s="11">
        <f>Returns!A765</f>
        <v>0</v>
      </c>
      <c r="B765" s="1">
        <f>ABS(Portfolios!B765-AVERAGE(Portfolios!$B$2:$B$1004))</f>
        <v>0</v>
      </c>
    </row>
    <row r="766" spans="1:2">
      <c r="A766" s="11">
        <f>Returns!A766</f>
        <v>0</v>
      </c>
      <c r="B766" s="1">
        <f>ABS(Portfolios!B766-AVERAGE(Portfolios!$B$2:$B$1004))</f>
        <v>0</v>
      </c>
    </row>
    <row r="767" spans="1:2">
      <c r="A767" s="11">
        <f>Returns!A767</f>
        <v>0</v>
      </c>
      <c r="B767" s="1">
        <f>ABS(Portfolios!B767-AVERAGE(Portfolios!$B$2:$B$1004))</f>
        <v>0</v>
      </c>
    </row>
    <row r="768" spans="1:2">
      <c r="A768" s="11">
        <f>Returns!A768</f>
        <v>0</v>
      </c>
      <c r="B768" s="1">
        <f>ABS(Portfolios!B768-AVERAGE(Portfolios!$B$2:$B$1004))</f>
        <v>0</v>
      </c>
    </row>
    <row r="769" spans="1:2">
      <c r="A769" s="11">
        <f>Returns!A769</f>
        <v>0</v>
      </c>
      <c r="B769" s="1">
        <f>ABS(Portfolios!B769-AVERAGE(Portfolios!$B$2:$B$1004))</f>
        <v>0</v>
      </c>
    </row>
    <row r="770" spans="1:2">
      <c r="A770" s="11">
        <f>Returns!A770</f>
        <v>0</v>
      </c>
      <c r="B770" s="1">
        <f>ABS(Portfolios!B770-AVERAGE(Portfolios!$B$2:$B$1004))</f>
        <v>0</v>
      </c>
    </row>
    <row r="771" spans="1:2">
      <c r="A771" s="11">
        <f>Returns!A771</f>
        <v>0</v>
      </c>
      <c r="B771" s="1">
        <f>ABS(Portfolios!B771-AVERAGE(Portfolios!$B$2:$B$1004))</f>
        <v>0</v>
      </c>
    </row>
    <row r="772" spans="1:2">
      <c r="A772" s="11">
        <f>Returns!A772</f>
        <v>0</v>
      </c>
      <c r="B772" s="1">
        <f>ABS(Portfolios!B772-AVERAGE(Portfolios!$B$2:$B$1004))</f>
        <v>0</v>
      </c>
    </row>
    <row r="773" spans="1:2">
      <c r="A773" s="11">
        <f>Returns!A773</f>
        <v>0</v>
      </c>
      <c r="B773" s="1">
        <f>ABS(Portfolios!B773-AVERAGE(Portfolios!$B$2:$B$1004))</f>
        <v>0</v>
      </c>
    </row>
    <row r="774" spans="1:2">
      <c r="A774" s="11">
        <f>Returns!A774</f>
        <v>0</v>
      </c>
      <c r="B774" s="1">
        <f>ABS(Portfolios!B774-AVERAGE(Portfolios!$B$2:$B$1004))</f>
        <v>0</v>
      </c>
    </row>
    <row r="775" spans="1:2">
      <c r="A775" s="11">
        <f>Returns!A775</f>
        <v>0</v>
      </c>
      <c r="B775" s="1">
        <f>ABS(Portfolios!B775-AVERAGE(Portfolios!$B$2:$B$1004))</f>
        <v>0</v>
      </c>
    </row>
    <row r="776" spans="1:2">
      <c r="A776" s="11">
        <f>Returns!A776</f>
        <v>0</v>
      </c>
      <c r="B776" s="1">
        <f>ABS(Portfolios!B776-AVERAGE(Portfolios!$B$2:$B$1004))</f>
        <v>0</v>
      </c>
    </row>
    <row r="777" spans="1:2">
      <c r="A777" s="11">
        <f>Returns!A777</f>
        <v>0</v>
      </c>
      <c r="B777" s="1">
        <f>ABS(Portfolios!B777-AVERAGE(Portfolios!$B$2:$B$1004))</f>
        <v>0</v>
      </c>
    </row>
    <row r="778" spans="1:2">
      <c r="A778" s="11">
        <f>Returns!A778</f>
        <v>0</v>
      </c>
      <c r="B778" s="1">
        <f>ABS(Portfolios!B778-AVERAGE(Portfolios!$B$2:$B$1004))</f>
        <v>0</v>
      </c>
    </row>
    <row r="779" spans="1:2">
      <c r="A779" s="11">
        <f>Returns!A779</f>
        <v>0</v>
      </c>
      <c r="B779" s="1">
        <f>ABS(Portfolios!B779-AVERAGE(Portfolios!$B$2:$B$1004))</f>
        <v>0</v>
      </c>
    </row>
    <row r="780" spans="1:2">
      <c r="A780" s="11">
        <f>Returns!A780</f>
        <v>0</v>
      </c>
      <c r="B780" s="1">
        <f>ABS(Portfolios!B780-AVERAGE(Portfolios!$B$2:$B$1004))</f>
        <v>0</v>
      </c>
    </row>
    <row r="781" spans="1:2">
      <c r="A781" s="11">
        <f>Returns!A781</f>
        <v>0</v>
      </c>
      <c r="B781" s="1">
        <f>ABS(Portfolios!B781-AVERAGE(Portfolios!$B$2:$B$1004))</f>
        <v>0</v>
      </c>
    </row>
    <row r="782" spans="1:2">
      <c r="A782" s="11">
        <f>Returns!A782</f>
        <v>0</v>
      </c>
      <c r="B782" s="1">
        <f>ABS(Portfolios!B782-AVERAGE(Portfolios!$B$2:$B$1004))</f>
        <v>0</v>
      </c>
    </row>
    <row r="783" spans="1:2">
      <c r="A783" s="11">
        <f>Returns!A783</f>
        <v>0</v>
      </c>
      <c r="B783" s="1">
        <f>ABS(Portfolios!B783-AVERAGE(Portfolios!$B$2:$B$1004))</f>
        <v>0</v>
      </c>
    </row>
    <row r="784" spans="1:2">
      <c r="A784" s="11">
        <f>Returns!A784</f>
        <v>0</v>
      </c>
      <c r="B784" s="1">
        <f>ABS(Portfolios!B784-AVERAGE(Portfolios!$B$2:$B$1004))</f>
        <v>0</v>
      </c>
    </row>
    <row r="785" spans="1:2">
      <c r="A785" s="11">
        <f>Returns!A785</f>
        <v>0</v>
      </c>
      <c r="B785" s="1">
        <f>ABS(Portfolios!B785-AVERAGE(Portfolios!$B$2:$B$1004))</f>
        <v>0</v>
      </c>
    </row>
    <row r="786" spans="1:2">
      <c r="A786" s="11">
        <f>Returns!A786</f>
        <v>0</v>
      </c>
      <c r="B786" s="1">
        <f>ABS(Portfolios!B786-AVERAGE(Portfolios!$B$2:$B$1004))</f>
        <v>0</v>
      </c>
    </row>
    <row r="787" spans="1:2">
      <c r="A787" s="11">
        <f>Returns!A787</f>
        <v>0</v>
      </c>
      <c r="B787" s="1">
        <f>ABS(Portfolios!B787-AVERAGE(Portfolios!$B$2:$B$1004))</f>
        <v>0</v>
      </c>
    </row>
    <row r="788" spans="1:2">
      <c r="A788" s="11">
        <f>Returns!A788</f>
        <v>0</v>
      </c>
      <c r="B788" s="1">
        <f>ABS(Portfolios!B788-AVERAGE(Portfolios!$B$2:$B$1004))</f>
        <v>0</v>
      </c>
    </row>
    <row r="789" spans="1:2">
      <c r="A789" s="11">
        <f>Returns!A789</f>
        <v>0</v>
      </c>
      <c r="B789" s="1">
        <f>ABS(Portfolios!B789-AVERAGE(Portfolios!$B$2:$B$1004))</f>
        <v>0</v>
      </c>
    </row>
    <row r="790" spans="1:2">
      <c r="A790" s="11">
        <f>Returns!A790</f>
        <v>0</v>
      </c>
      <c r="B790" s="1">
        <f>ABS(Portfolios!B790-AVERAGE(Portfolios!$B$2:$B$1004))</f>
        <v>0</v>
      </c>
    </row>
    <row r="791" spans="1:2">
      <c r="A791" s="11">
        <f>Returns!A791</f>
        <v>0</v>
      </c>
      <c r="B791" s="1">
        <f>ABS(Portfolios!B791-AVERAGE(Portfolios!$B$2:$B$1004))</f>
        <v>0</v>
      </c>
    </row>
    <row r="792" spans="1:2">
      <c r="A792" s="11">
        <f>Returns!A792</f>
        <v>0</v>
      </c>
      <c r="B792" s="1">
        <f>ABS(Portfolios!B792-AVERAGE(Portfolios!$B$2:$B$1004))</f>
        <v>0</v>
      </c>
    </row>
    <row r="793" spans="1:2">
      <c r="A793" s="11">
        <f>Returns!A793</f>
        <v>0</v>
      </c>
      <c r="B793" s="1">
        <f>ABS(Portfolios!B793-AVERAGE(Portfolios!$B$2:$B$1004))</f>
        <v>0</v>
      </c>
    </row>
    <row r="794" spans="1:2">
      <c r="A794" s="11">
        <f>Returns!A794</f>
        <v>0</v>
      </c>
      <c r="B794" s="1">
        <f>ABS(Portfolios!B794-AVERAGE(Portfolios!$B$2:$B$1004))</f>
        <v>0</v>
      </c>
    </row>
    <row r="795" spans="1:2">
      <c r="A795" s="11">
        <f>Returns!A795</f>
        <v>0</v>
      </c>
      <c r="B795" s="1">
        <f>ABS(Portfolios!B795-AVERAGE(Portfolios!$B$2:$B$1004))</f>
        <v>0</v>
      </c>
    </row>
    <row r="796" spans="1:2">
      <c r="A796" s="11">
        <f>Returns!A796</f>
        <v>0</v>
      </c>
      <c r="B796" s="1">
        <f>ABS(Portfolios!B796-AVERAGE(Portfolios!$B$2:$B$1004))</f>
        <v>0</v>
      </c>
    </row>
    <row r="797" spans="1:2">
      <c r="A797" s="11">
        <f>Returns!A797</f>
        <v>0</v>
      </c>
      <c r="B797" s="1">
        <f>ABS(Portfolios!B797-AVERAGE(Portfolios!$B$2:$B$1004))</f>
        <v>0</v>
      </c>
    </row>
    <row r="798" spans="1:2">
      <c r="A798" s="11">
        <f>Returns!A798</f>
        <v>0</v>
      </c>
      <c r="B798" s="1">
        <f>ABS(Portfolios!B798-AVERAGE(Portfolios!$B$2:$B$1004))</f>
        <v>0</v>
      </c>
    </row>
    <row r="799" spans="1:2">
      <c r="A799" s="11">
        <f>Returns!A799</f>
        <v>0</v>
      </c>
      <c r="B799" s="1">
        <f>ABS(Portfolios!B799-AVERAGE(Portfolios!$B$2:$B$1004))</f>
        <v>0</v>
      </c>
    </row>
    <row r="800" spans="1:2">
      <c r="A800" s="11">
        <f>Returns!A800</f>
        <v>0</v>
      </c>
      <c r="B800" s="1">
        <f>ABS(Portfolios!B800-AVERAGE(Portfolios!$B$2:$B$1004))</f>
        <v>0</v>
      </c>
    </row>
    <row r="801" spans="1:2">
      <c r="A801" s="11">
        <f>Returns!A801</f>
        <v>0</v>
      </c>
      <c r="B801" s="1">
        <f>ABS(Portfolios!B801-AVERAGE(Portfolios!$B$2:$B$1004))</f>
        <v>0</v>
      </c>
    </row>
    <row r="802" spans="1:2">
      <c r="A802" s="11">
        <f>Returns!A802</f>
        <v>0</v>
      </c>
      <c r="B802" s="1">
        <f>ABS(Portfolios!B802-AVERAGE(Portfolios!$B$2:$B$1004))</f>
        <v>0</v>
      </c>
    </row>
    <row r="803" spans="1:2">
      <c r="A803" s="11">
        <f>Returns!A803</f>
        <v>0</v>
      </c>
      <c r="B803" s="1">
        <f>ABS(Portfolios!B803-AVERAGE(Portfolios!$B$2:$B$1004))</f>
        <v>0</v>
      </c>
    </row>
    <row r="804" spans="1:2">
      <c r="A804" s="11">
        <f>Returns!A804</f>
        <v>0</v>
      </c>
      <c r="B804" s="1">
        <f>ABS(Portfolios!B804-AVERAGE(Portfolios!$B$2:$B$1004))</f>
        <v>0</v>
      </c>
    </row>
    <row r="805" spans="1:2">
      <c r="A805" s="11">
        <f>Returns!A805</f>
        <v>0</v>
      </c>
      <c r="B805" s="1">
        <f>ABS(Portfolios!B805-AVERAGE(Portfolios!$B$2:$B$1004))</f>
        <v>0</v>
      </c>
    </row>
    <row r="806" spans="1:2">
      <c r="A806" s="11">
        <f>Returns!A806</f>
        <v>0</v>
      </c>
      <c r="B806" s="1">
        <f>ABS(Portfolios!B806-AVERAGE(Portfolios!$B$2:$B$1004))</f>
        <v>0</v>
      </c>
    </row>
    <row r="807" spans="1:2">
      <c r="A807" s="11">
        <f>Returns!A807</f>
        <v>0</v>
      </c>
      <c r="B807" s="1">
        <f>ABS(Portfolios!B807-AVERAGE(Portfolios!$B$2:$B$1004))</f>
        <v>0</v>
      </c>
    </row>
    <row r="808" spans="1:2">
      <c r="A808" s="11">
        <f>Returns!A808</f>
        <v>0</v>
      </c>
      <c r="B808" s="1">
        <f>ABS(Portfolios!B808-AVERAGE(Portfolios!$B$2:$B$1004))</f>
        <v>0</v>
      </c>
    </row>
    <row r="809" spans="1:2">
      <c r="A809" s="11">
        <f>Returns!A809</f>
        <v>0</v>
      </c>
      <c r="B809" s="1">
        <f>ABS(Portfolios!B809-AVERAGE(Portfolios!$B$2:$B$1004))</f>
        <v>0</v>
      </c>
    </row>
    <row r="810" spans="1:2">
      <c r="A810" s="11">
        <f>Returns!A810</f>
        <v>0</v>
      </c>
      <c r="B810" s="1">
        <f>ABS(Portfolios!B810-AVERAGE(Portfolios!$B$2:$B$1004))</f>
        <v>0</v>
      </c>
    </row>
    <row r="811" spans="1:2">
      <c r="A811" s="11">
        <f>Returns!A811</f>
        <v>0</v>
      </c>
      <c r="B811" s="1">
        <f>ABS(Portfolios!B811-AVERAGE(Portfolios!$B$2:$B$1004))</f>
        <v>0</v>
      </c>
    </row>
    <row r="812" spans="1:2">
      <c r="A812" s="11">
        <f>Returns!A812</f>
        <v>0</v>
      </c>
      <c r="B812" s="1">
        <f>ABS(Portfolios!B812-AVERAGE(Portfolios!$B$2:$B$1004))</f>
        <v>0</v>
      </c>
    </row>
    <row r="813" spans="1:2">
      <c r="A813" s="11">
        <f>Returns!A813</f>
        <v>0</v>
      </c>
      <c r="B813" s="1">
        <f>ABS(Portfolios!B813-AVERAGE(Portfolios!$B$2:$B$1004))</f>
        <v>0</v>
      </c>
    </row>
    <row r="814" spans="1:2">
      <c r="A814" s="11">
        <f>Returns!A814</f>
        <v>0</v>
      </c>
      <c r="B814" s="1">
        <f>ABS(Portfolios!B814-AVERAGE(Portfolios!$B$2:$B$1004))</f>
        <v>0</v>
      </c>
    </row>
    <row r="815" spans="1:2">
      <c r="A815" s="11">
        <f>Returns!A815</f>
        <v>0</v>
      </c>
      <c r="B815" s="1">
        <f>ABS(Portfolios!B815-AVERAGE(Portfolios!$B$2:$B$1004))</f>
        <v>0</v>
      </c>
    </row>
    <row r="816" spans="1:2">
      <c r="A816" s="11">
        <f>Returns!A816</f>
        <v>0</v>
      </c>
      <c r="B816" s="1">
        <f>ABS(Portfolios!B816-AVERAGE(Portfolios!$B$2:$B$1004))</f>
        <v>0</v>
      </c>
    </row>
    <row r="817" spans="1:2">
      <c r="A817" s="11">
        <f>Returns!A817</f>
        <v>0</v>
      </c>
      <c r="B817" s="1">
        <f>ABS(Portfolios!B817-AVERAGE(Portfolios!$B$2:$B$1004))</f>
        <v>0</v>
      </c>
    </row>
    <row r="818" spans="1:2">
      <c r="A818" s="11">
        <f>Returns!A818</f>
        <v>0</v>
      </c>
      <c r="B818" s="1">
        <f>ABS(Portfolios!B818-AVERAGE(Portfolios!$B$2:$B$1004))</f>
        <v>0</v>
      </c>
    </row>
    <row r="819" spans="1:2">
      <c r="A819" s="11">
        <f>Returns!A819</f>
        <v>0</v>
      </c>
      <c r="B819" s="1">
        <f>ABS(Portfolios!B819-AVERAGE(Portfolios!$B$2:$B$1004))</f>
        <v>0</v>
      </c>
    </row>
    <row r="820" spans="1:2">
      <c r="A820" s="11">
        <f>Returns!A820</f>
        <v>0</v>
      </c>
      <c r="B820" s="1">
        <f>ABS(Portfolios!B820-AVERAGE(Portfolios!$B$2:$B$1004))</f>
        <v>0</v>
      </c>
    </row>
    <row r="821" spans="1:2">
      <c r="A821" s="11">
        <f>Returns!A821</f>
        <v>0</v>
      </c>
      <c r="B821" s="1">
        <f>ABS(Portfolios!B821-AVERAGE(Portfolios!$B$2:$B$1004))</f>
        <v>0</v>
      </c>
    </row>
    <row r="822" spans="1:2">
      <c r="A822" s="11">
        <f>Returns!A822</f>
        <v>0</v>
      </c>
      <c r="B822" s="1">
        <f>ABS(Portfolios!B822-AVERAGE(Portfolios!$B$2:$B$1004))</f>
        <v>0</v>
      </c>
    </row>
    <row r="823" spans="1:2">
      <c r="A823" s="11">
        <f>Returns!A823</f>
        <v>0</v>
      </c>
      <c r="B823" s="1">
        <f>ABS(Portfolios!B823-AVERAGE(Portfolios!$B$2:$B$1004))</f>
        <v>0</v>
      </c>
    </row>
    <row r="824" spans="1:2">
      <c r="A824" s="11">
        <f>Returns!A824</f>
        <v>0</v>
      </c>
      <c r="B824" s="1">
        <f>ABS(Portfolios!B824-AVERAGE(Portfolios!$B$2:$B$1004))</f>
        <v>0</v>
      </c>
    </row>
    <row r="825" spans="1:2">
      <c r="A825" s="11">
        <f>Returns!A825</f>
        <v>0</v>
      </c>
      <c r="B825" s="1">
        <f>ABS(Portfolios!B825-AVERAGE(Portfolios!$B$2:$B$1004))</f>
        <v>0</v>
      </c>
    </row>
    <row r="826" spans="1:2">
      <c r="A826" s="11">
        <f>Returns!A826</f>
        <v>0</v>
      </c>
      <c r="B826" s="1">
        <f>ABS(Portfolios!B826-AVERAGE(Portfolios!$B$2:$B$1004))</f>
        <v>0</v>
      </c>
    </row>
    <row r="827" spans="1:2">
      <c r="A827" s="11">
        <f>Returns!A827</f>
        <v>0</v>
      </c>
      <c r="B827" s="1">
        <f>ABS(Portfolios!B827-AVERAGE(Portfolios!$B$2:$B$1004))</f>
        <v>0</v>
      </c>
    </row>
    <row r="828" spans="1:2">
      <c r="A828" s="11">
        <f>Returns!A828</f>
        <v>0</v>
      </c>
      <c r="B828" s="1">
        <f>ABS(Portfolios!B828-AVERAGE(Portfolios!$B$2:$B$1004))</f>
        <v>0</v>
      </c>
    </row>
    <row r="829" spans="1:2">
      <c r="A829" s="11">
        <f>Returns!A829</f>
        <v>0</v>
      </c>
      <c r="B829" s="1">
        <f>ABS(Portfolios!B829-AVERAGE(Portfolios!$B$2:$B$1004))</f>
        <v>0</v>
      </c>
    </row>
    <row r="830" spans="1:2">
      <c r="A830" s="11">
        <f>Returns!A830</f>
        <v>0</v>
      </c>
      <c r="B830" s="1">
        <f>ABS(Portfolios!B830-AVERAGE(Portfolios!$B$2:$B$1004))</f>
        <v>0</v>
      </c>
    </row>
    <row r="831" spans="1:2">
      <c r="A831" s="11">
        <f>Returns!A831</f>
        <v>0</v>
      </c>
      <c r="B831" s="1">
        <f>ABS(Portfolios!B831-AVERAGE(Portfolios!$B$2:$B$1004))</f>
        <v>0</v>
      </c>
    </row>
    <row r="832" spans="1:2">
      <c r="A832" s="11">
        <f>Returns!A832</f>
        <v>0</v>
      </c>
      <c r="B832" s="1">
        <f>ABS(Portfolios!B832-AVERAGE(Portfolios!$B$2:$B$1004))</f>
        <v>0</v>
      </c>
    </row>
    <row r="833" spans="1:2">
      <c r="A833" s="11">
        <f>Returns!A833</f>
        <v>0</v>
      </c>
      <c r="B833" s="1">
        <f>ABS(Portfolios!B833-AVERAGE(Portfolios!$B$2:$B$1004))</f>
        <v>0</v>
      </c>
    </row>
    <row r="834" spans="1:2">
      <c r="A834" s="11">
        <f>Returns!A834</f>
        <v>0</v>
      </c>
      <c r="B834" s="1">
        <f>ABS(Portfolios!B834-AVERAGE(Portfolios!$B$2:$B$1004))</f>
        <v>0</v>
      </c>
    </row>
    <row r="835" spans="1:2">
      <c r="A835" s="11">
        <f>Returns!A835</f>
        <v>0</v>
      </c>
      <c r="B835" s="1">
        <f>ABS(Portfolios!B835-AVERAGE(Portfolios!$B$2:$B$1004))</f>
        <v>0</v>
      </c>
    </row>
    <row r="836" spans="1:2">
      <c r="A836" s="11">
        <f>Returns!A836</f>
        <v>0</v>
      </c>
      <c r="B836" s="1">
        <f>ABS(Portfolios!B836-AVERAGE(Portfolios!$B$2:$B$1004))</f>
        <v>0</v>
      </c>
    </row>
    <row r="837" spans="1:2">
      <c r="A837" s="11">
        <f>Returns!A837</f>
        <v>0</v>
      </c>
      <c r="B837" s="1">
        <f>ABS(Portfolios!B837-AVERAGE(Portfolios!$B$2:$B$1004))</f>
        <v>0</v>
      </c>
    </row>
    <row r="838" spans="1:2">
      <c r="A838" s="11">
        <f>Returns!A838</f>
        <v>0</v>
      </c>
      <c r="B838" s="1">
        <f>ABS(Portfolios!B838-AVERAGE(Portfolios!$B$2:$B$1004))</f>
        <v>0</v>
      </c>
    </row>
    <row r="839" spans="1:2">
      <c r="A839" s="11">
        <f>Returns!A839</f>
        <v>0</v>
      </c>
      <c r="B839" s="1">
        <f>ABS(Portfolios!B839-AVERAGE(Portfolios!$B$2:$B$1004))</f>
        <v>0</v>
      </c>
    </row>
    <row r="840" spans="1:2">
      <c r="A840" s="11">
        <f>Returns!A840</f>
        <v>0</v>
      </c>
      <c r="B840" s="1">
        <f>ABS(Portfolios!B840-AVERAGE(Portfolios!$B$2:$B$1004))</f>
        <v>0</v>
      </c>
    </row>
    <row r="841" spans="1:2">
      <c r="A841" s="11">
        <f>Returns!A841</f>
        <v>0</v>
      </c>
      <c r="B841" s="1">
        <f>ABS(Portfolios!B841-AVERAGE(Portfolios!$B$2:$B$1004))</f>
        <v>0</v>
      </c>
    </row>
    <row r="842" spans="1:2">
      <c r="A842" s="11">
        <f>Returns!A842</f>
        <v>0</v>
      </c>
      <c r="B842" s="1">
        <f>ABS(Portfolios!B842-AVERAGE(Portfolios!$B$2:$B$1004))</f>
        <v>0</v>
      </c>
    </row>
    <row r="843" spans="1:2">
      <c r="A843" s="11">
        <f>Returns!A843</f>
        <v>0</v>
      </c>
      <c r="B843" s="1">
        <f>ABS(Portfolios!B843-AVERAGE(Portfolios!$B$2:$B$1004))</f>
        <v>0</v>
      </c>
    </row>
    <row r="844" spans="1:2">
      <c r="A844" s="11">
        <f>Returns!A844</f>
        <v>0</v>
      </c>
      <c r="B844" s="1">
        <f>ABS(Portfolios!B844-AVERAGE(Portfolios!$B$2:$B$1004))</f>
        <v>0</v>
      </c>
    </row>
    <row r="845" spans="1:2">
      <c r="A845" s="11">
        <f>Returns!A845</f>
        <v>0</v>
      </c>
      <c r="B845" s="1">
        <f>ABS(Portfolios!B845-AVERAGE(Portfolios!$B$2:$B$1004))</f>
        <v>0</v>
      </c>
    </row>
    <row r="846" spans="1:2">
      <c r="A846" s="11">
        <f>Returns!A846</f>
        <v>0</v>
      </c>
      <c r="B846" s="1">
        <f>ABS(Portfolios!B846-AVERAGE(Portfolios!$B$2:$B$1004))</f>
        <v>0</v>
      </c>
    </row>
    <row r="847" spans="1:2">
      <c r="A847" s="11">
        <f>Returns!A847</f>
        <v>0</v>
      </c>
      <c r="B847" s="1">
        <f>ABS(Portfolios!B847-AVERAGE(Portfolios!$B$2:$B$1004))</f>
        <v>0</v>
      </c>
    </row>
    <row r="848" spans="1:2">
      <c r="A848" s="11">
        <f>Returns!A848</f>
        <v>0</v>
      </c>
      <c r="B848" s="1">
        <f>ABS(Portfolios!B848-AVERAGE(Portfolios!$B$2:$B$1004))</f>
        <v>0</v>
      </c>
    </row>
    <row r="849" spans="1:2">
      <c r="A849" s="11">
        <f>Returns!A849</f>
        <v>0</v>
      </c>
      <c r="B849" s="1">
        <f>ABS(Portfolios!B849-AVERAGE(Portfolios!$B$2:$B$1004))</f>
        <v>0</v>
      </c>
    </row>
    <row r="850" spans="1:2">
      <c r="A850" s="11">
        <f>Returns!A850</f>
        <v>0</v>
      </c>
      <c r="B850" s="1">
        <f>ABS(Portfolios!B850-AVERAGE(Portfolios!$B$2:$B$1004))</f>
        <v>0</v>
      </c>
    </row>
    <row r="851" spans="1:2">
      <c r="A851" s="11">
        <f>Returns!A851</f>
        <v>0</v>
      </c>
      <c r="B851" s="1">
        <f>ABS(Portfolios!B851-AVERAGE(Portfolios!$B$2:$B$1004))</f>
        <v>0</v>
      </c>
    </row>
    <row r="852" spans="1:2">
      <c r="A852" s="11">
        <f>Returns!A852</f>
        <v>0</v>
      </c>
      <c r="B852" s="1">
        <f>ABS(Portfolios!B852-AVERAGE(Portfolios!$B$2:$B$1004))</f>
        <v>0</v>
      </c>
    </row>
    <row r="853" spans="1:2">
      <c r="A853" s="11">
        <f>Returns!A853</f>
        <v>0</v>
      </c>
      <c r="B853" s="1">
        <f>ABS(Portfolios!B853-AVERAGE(Portfolios!$B$2:$B$1004))</f>
        <v>0</v>
      </c>
    </row>
    <row r="854" spans="1:2">
      <c r="A854" s="11">
        <f>Returns!A854</f>
        <v>0</v>
      </c>
      <c r="B854" s="1">
        <f>ABS(Portfolios!B854-AVERAGE(Portfolios!$B$2:$B$1004))</f>
        <v>0</v>
      </c>
    </row>
    <row r="855" spans="1:2">
      <c r="A855" s="11">
        <f>Returns!A855</f>
        <v>0</v>
      </c>
      <c r="B855" s="1">
        <f>ABS(Portfolios!B855-AVERAGE(Portfolios!$B$2:$B$1004))</f>
        <v>0</v>
      </c>
    </row>
    <row r="856" spans="1:2">
      <c r="A856" s="11">
        <f>Returns!A856</f>
        <v>0</v>
      </c>
      <c r="B856" s="1">
        <f>ABS(Portfolios!B856-AVERAGE(Portfolios!$B$2:$B$1004))</f>
        <v>0</v>
      </c>
    </row>
    <row r="857" spans="1:2">
      <c r="A857" s="11">
        <f>Returns!A857</f>
        <v>0</v>
      </c>
      <c r="B857" s="1">
        <f>ABS(Portfolios!B857-AVERAGE(Portfolios!$B$2:$B$1004))</f>
        <v>0</v>
      </c>
    </row>
    <row r="858" spans="1:2">
      <c r="A858" s="11">
        <f>Returns!A858</f>
        <v>0</v>
      </c>
      <c r="B858" s="1">
        <f>ABS(Portfolios!B858-AVERAGE(Portfolios!$B$2:$B$1004))</f>
        <v>0</v>
      </c>
    </row>
    <row r="859" spans="1:2">
      <c r="A859" s="11">
        <f>Returns!A859</f>
        <v>0</v>
      </c>
      <c r="B859" s="1">
        <f>ABS(Portfolios!B859-AVERAGE(Portfolios!$B$2:$B$1004))</f>
        <v>0</v>
      </c>
    </row>
    <row r="860" spans="1:2">
      <c r="A860" s="11">
        <f>Returns!A860</f>
        <v>0</v>
      </c>
      <c r="B860" s="1">
        <f>ABS(Portfolios!B860-AVERAGE(Portfolios!$B$2:$B$1004))</f>
        <v>0</v>
      </c>
    </row>
    <row r="861" spans="1:2">
      <c r="A861" s="11">
        <f>Returns!A861</f>
        <v>0</v>
      </c>
      <c r="B861" s="1">
        <f>ABS(Portfolios!B861-AVERAGE(Portfolios!$B$2:$B$1004))</f>
        <v>0</v>
      </c>
    </row>
    <row r="862" spans="1:2">
      <c r="A862" s="11">
        <f>Returns!A862</f>
        <v>0</v>
      </c>
      <c r="B862" s="1">
        <f>ABS(Portfolios!B862-AVERAGE(Portfolios!$B$2:$B$1004))</f>
        <v>0</v>
      </c>
    </row>
    <row r="863" spans="1:2">
      <c r="A863" s="11">
        <f>Returns!A863</f>
        <v>0</v>
      </c>
      <c r="B863" s="1">
        <f>ABS(Portfolios!B863-AVERAGE(Portfolios!$B$2:$B$1004))</f>
        <v>0</v>
      </c>
    </row>
    <row r="864" spans="1:2">
      <c r="A864" s="11">
        <f>Returns!A864</f>
        <v>0</v>
      </c>
      <c r="B864" s="1">
        <f>ABS(Portfolios!B864-AVERAGE(Portfolios!$B$2:$B$1004))</f>
        <v>0</v>
      </c>
    </row>
    <row r="865" spans="1:2">
      <c r="A865" s="11">
        <f>Returns!A865</f>
        <v>0</v>
      </c>
      <c r="B865" s="1">
        <f>ABS(Portfolios!B865-AVERAGE(Portfolios!$B$2:$B$1004))</f>
        <v>0</v>
      </c>
    </row>
    <row r="866" spans="1:2">
      <c r="A866" s="11">
        <f>Returns!A866</f>
        <v>0</v>
      </c>
      <c r="B866" s="1">
        <f>ABS(Portfolios!B866-AVERAGE(Portfolios!$B$2:$B$1004))</f>
        <v>0</v>
      </c>
    </row>
    <row r="867" spans="1:2">
      <c r="A867" s="11">
        <f>Returns!A867</f>
        <v>0</v>
      </c>
      <c r="B867" s="1">
        <f>ABS(Portfolios!B867-AVERAGE(Portfolios!$B$2:$B$1004))</f>
        <v>0</v>
      </c>
    </row>
    <row r="868" spans="1:2">
      <c r="A868" s="11">
        <f>Returns!A868</f>
        <v>0</v>
      </c>
      <c r="B868" s="1">
        <f>ABS(Portfolios!B868-AVERAGE(Portfolios!$B$2:$B$1004))</f>
        <v>0</v>
      </c>
    </row>
    <row r="869" spans="1:2">
      <c r="A869" s="11">
        <f>Returns!A869</f>
        <v>0</v>
      </c>
      <c r="B869" s="1">
        <f>ABS(Portfolios!B869-AVERAGE(Portfolios!$B$2:$B$1004))</f>
        <v>0</v>
      </c>
    </row>
    <row r="870" spans="1:2">
      <c r="A870" s="11">
        <f>Returns!A870</f>
        <v>0</v>
      </c>
      <c r="B870" s="1">
        <f>ABS(Portfolios!B870-AVERAGE(Portfolios!$B$2:$B$1004))</f>
        <v>0</v>
      </c>
    </row>
    <row r="871" spans="1:2">
      <c r="A871" s="11">
        <f>Returns!A871</f>
        <v>0</v>
      </c>
      <c r="B871" s="1">
        <f>ABS(Portfolios!B871-AVERAGE(Portfolios!$B$2:$B$1004))</f>
        <v>0</v>
      </c>
    </row>
    <row r="872" spans="1:2">
      <c r="A872" s="11">
        <f>Returns!A872</f>
        <v>0</v>
      </c>
      <c r="B872" s="1">
        <f>ABS(Portfolios!B872-AVERAGE(Portfolios!$B$2:$B$1004))</f>
        <v>0</v>
      </c>
    </row>
    <row r="873" spans="1:2">
      <c r="A873" s="11">
        <f>Returns!A873</f>
        <v>0</v>
      </c>
      <c r="B873" s="1">
        <f>ABS(Portfolios!B873-AVERAGE(Portfolios!$B$2:$B$1004))</f>
        <v>0</v>
      </c>
    </row>
    <row r="874" spans="1:2">
      <c r="A874" s="11">
        <f>Returns!A874</f>
        <v>0</v>
      </c>
      <c r="B874" s="1">
        <f>ABS(Portfolios!B874-AVERAGE(Portfolios!$B$2:$B$1004))</f>
        <v>0</v>
      </c>
    </row>
    <row r="875" spans="1:2">
      <c r="A875" s="11">
        <f>Returns!A875</f>
        <v>0</v>
      </c>
      <c r="B875" s="1">
        <f>ABS(Portfolios!B875-AVERAGE(Portfolios!$B$2:$B$1004))</f>
        <v>0</v>
      </c>
    </row>
    <row r="876" spans="1:2">
      <c r="A876" s="11">
        <f>Returns!A876</f>
        <v>0</v>
      </c>
      <c r="B876" s="1">
        <f>ABS(Portfolios!B876-AVERAGE(Portfolios!$B$2:$B$1004))</f>
        <v>0</v>
      </c>
    </row>
    <row r="877" spans="1:2">
      <c r="A877" s="11">
        <f>Returns!A877</f>
        <v>0</v>
      </c>
      <c r="B877" s="1">
        <f>ABS(Portfolios!B877-AVERAGE(Portfolios!$B$2:$B$1004))</f>
        <v>0</v>
      </c>
    </row>
    <row r="878" spans="1:2">
      <c r="A878" s="11">
        <f>Returns!A878</f>
        <v>0</v>
      </c>
      <c r="B878" s="1">
        <f>ABS(Portfolios!B878-AVERAGE(Portfolios!$B$2:$B$1004))</f>
        <v>0</v>
      </c>
    </row>
    <row r="879" spans="1:2">
      <c r="A879" s="11">
        <f>Returns!A879</f>
        <v>0</v>
      </c>
      <c r="B879" s="1">
        <f>ABS(Portfolios!B879-AVERAGE(Portfolios!$B$2:$B$1004))</f>
        <v>0</v>
      </c>
    </row>
    <row r="880" spans="1:2">
      <c r="A880" s="11">
        <f>Returns!A880</f>
        <v>0</v>
      </c>
      <c r="B880" s="1">
        <f>ABS(Portfolios!B880-AVERAGE(Portfolios!$B$2:$B$1004))</f>
        <v>0</v>
      </c>
    </row>
    <row r="881" spans="1:2">
      <c r="A881" s="11">
        <f>Returns!A881</f>
        <v>0</v>
      </c>
      <c r="B881" s="1">
        <f>ABS(Portfolios!B881-AVERAGE(Portfolios!$B$2:$B$1004))</f>
        <v>0</v>
      </c>
    </row>
    <row r="882" spans="1:2">
      <c r="A882" s="11">
        <f>Returns!A882</f>
        <v>0</v>
      </c>
      <c r="B882" s="1">
        <f>ABS(Portfolios!B882-AVERAGE(Portfolios!$B$2:$B$1004))</f>
        <v>0</v>
      </c>
    </row>
    <row r="883" spans="1:2">
      <c r="A883" s="11">
        <f>Returns!A883</f>
        <v>0</v>
      </c>
      <c r="B883" s="1">
        <f>ABS(Portfolios!B883-AVERAGE(Portfolios!$B$2:$B$1004))</f>
        <v>0</v>
      </c>
    </row>
    <row r="884" spans="1:2">
      <c r="A884" s="11">
        <f>Returns!A884</f>
        <v>0</v>
      </c>
      <c r="B884" s="1">
        <f>ABS(Portfolios!B884-AVERAGE(Portfolios!$B$2:$B$1004))</f>
        <v>0</v>
      </c>
    </row>
    <row r="885" spans="1:2">
      <c r="A885" s="11">
        <f>Returns!A885</f>
        <v>0</v>
      </c>
      <c r="B885" s="1">
        <f>ABS(Portfolios!B885-AVERAGE(Portfolios!$B$2:$B$1004))</f>
        <v>0</v>
      </c>
    </row>
    <row r="886" spans="1:2">
      <c r="A886" s="11">
        <f>Returns!A886</f>
        <v>0</v>
      </c>
      <c r="B886" s="1">
        <f>ABS(Portfolios!B886-AVERAGE(Portfolios!$B$2:$B$1004))</f>
        <v>0</v>
      </c>
    </row>
    <row r="887" spans="1:2">
      <c r="A887" s="11">
        <f>Returns!A887</f>
        <v>0</v>
      </c>
      <c r="B887" s="1">
        <f>ABS(Portfolios!B887-AVERAGE(Portfolios!$B$2:$B$1004))</f>
        <v>0</v>
      </c>
    </row>
    <row r="888" spans="1:2">
      <c r="A888" s="11">
        <f>Returns!A888</f>
        <v>0</v>
      </c>
      <c r="B888" s="1">
        <f>ABS(Portfolios!B888-AVERAGE(Portfolios!$B$2:$B$1004))</f>
        <v>0</v>
      </c>
    </row>
    <row r="889" spans="1:2">
      <c r="A889" s="11">
        <f>Returns!A889</f>
        <v>0</v>
      </c>
      <c r="B889" s="1">
        <f>ABS(Portfolios!B889-AVERAGE(Portfolios!$B$2:$B$1004))</f>
        <v>0</v>
      </c>
    </row>
    <row r="890" spans="1:2">
      <c r="A890" s="11">
        <f>Returns!A890</f>
        <v>0</v>
      </c>
      <c r="B890" s="1">
        <f>ABS(Portfolios!B890-AVERAGE(Portfolios!$B$2:$B$1004))</f>
        <v>0</v>
      </c>
    </row>
    <row r="891" spans="1:2">
      <c r="A891" s="11">
        <f>Returns!A891</f>
        <v>0</v>
      </c>
      <c r="B891" s="1">
        <f>ABS(Portfolios!B891-AVERAGE(Portfolios!$B$2:$B$1004))</f>
        <v>0</v>
      </c>
    </row>
    <row r="892" spans="1:2">
      <c r="A892" s="11">
        <f>Returns!A892</f>
        <v>0</v>
      </c>
      <c r="B892" s="1">
        <f>ABS(Portfolios!B892-AVERAGE(Portfolios!$B$2:$B$1004))</f>
        <v>0</v>
      </c>
    </row>
    <row r="893" spans="1:2">
      <c r="A893" s="11">
        <f>Returns!A893</f>
        <v>0</v>
      </c>
      <c r="B893" s="1">
        <f>ABS(Portfolios!B893-AVERAGE(Portfolios!$B$2:$B$1004))</f>
        <v>0</v>
      </c>
    </row>
    <row r="894" spans="1:2">
      <c r="A894" s="11">
        <f>Returns!A894</f>
        <v>0</v>
      </c>
      <c r="B894" s="1">
        <f>ABS(Portfolios!B894-AVERAGE(Portfolios!$B$2:$B$1004))</f>
        <v>0</v>
      </c>
    </row>
    <row r="895" spans="1:2">
      <c r="A895" s="11">
        <f>Returns!A895</f>
        <v>0</v>
      </c>
      <c r="B895" s="1">
        <f>ABS(Portfolios!B895-AVERAGE(Portfolios!$B$2:$B$1004))</f>
        <v>0</v>
      </c>
    </row>
    <row r="896" spans="1:2">
      <c r="A896" s="11">
        <f>Returns!A896</f>
        <v>0</v>
      </c>
      <c r="B896" s="1">
        <f>ABS(Portfolios!B896-AVERAGE(Portfolios!$B$2:$B$1004))</f>
        <v>0</v>
      </c>
    </row>
    <row r="897" spans="1:2">
      <c r="A897" s="11">
        <f>Returns!A897</f>
        <v>0</v>
      </c>
      <c r="B897" s="1">
        <f>ABS(Portfolios!B897-AVERAGE(Portfolios!$B$2:$B$1004))</f>
        <v>0</v>
      </c>
    </row>
    <row r="898" spans="1:2">
      <c r="A898" s="11">
        <f>Returns!A898</f>
        <v>0</v>
      </c>
      <c r="B898" s="1">
        <f>ABS(Portfolios!B898-AVERAGE(Portfolios!$B$2:$B$1004))</f>
        <v>0</v>
      </c>
    </row>
    <row r="899" spans="1:2">
      <c r="A899" s="11">
        <f>Returns!A899</f>
        <v>0</v>
      </c>
      <c r="B899" s="1">
        <f>ABS(Portfolios!B899-AVERAGE(Portfolios!$B$2:$B$1004))</f>
        <v>0</v>
      </c>
    </row>
    <row r="900" spans="1:2">
      <c r="A900" s="11">
        <f>Returns!A900</f>
        <v>0</v>
      </c>
      <c r="B900" s="1">
        <f>ABS(Portfolios!B900-AVERAGE(Portfolios!$B$2:$B$1004))</f>
        <v>0</v>
      </c>
    </row>
    <row r="901" spans="1:2">
      <c r="A901" s="11">
        <f>Returns!A901</f>
        <v>0</v>
      </c>
      <c r="B901" s="1">
        <f>ABS(Portfolios!B901-AVERAGE(Portfolios!$B$2:$B$1004))</f>
        <v>0</v>
      </c>
    </row>
    <row r="902" spans="1:2">
      <c r="A902" s="11">
        <f>Returns!A902</f>
        <v>0</v>
      </c>
      <c r="B902" s="1">
        <f>ABS(Portfolios!B902-AVERAGE(Portfolios!$B$2:$B$1004))</f>
        <v>0</v>
      </c>
    </row>
    <row r="903" spans="1:2">
      <c r="A903" s="11">
        <f>Returns!A903</f>
        <v>0</v>
      </c>
      <c r="B903" s="1">
        <f>ABS(Portfolios!B903-AVERAGE(Portfolios!$B$2:$B$1004))</f>
        <v>0</v>
      </c>
    </row>
    <row r="904" spans="1:2">
      <c r="A904" s="11">
        <f>Returns!A904</f>
        <v>0</v>
      </c>
      <c r="B904" s="1">
        <f>ABS(Portfolios!B904-AVERAGE(Portfolios!$B$2:$B$1004))</f>
        <v>0</v>
      </c>
    </row>
    <row r="905" spans="1:2">
      <c r="A905" s="11">
        <f>Returns!A905</f>
        <v>0</v>
      </c>
      <c r="B905" s="1">
        <f>ABS(Portfolios!B905-AVERAGE(Portfolios!$B$2:$B$1004))</f>
        <v>0</v>
      </c>
    </row>
    <row r="906" spans="1:2">
      <c r="A906" s="11">
        <f>Returns!A906</f>
        <v>0</v>
      </c>
      <c r="B906" s="1">
        <f>ABS(Portfolios!B906-AVERAGE(Portfolios!$B$2:$B$1004))</f>
        <v>0</v>
      </c>
    </row>
    <row r="907" spans="1:2">
      <c r="A907" s="11">
        <f>Returns!A907</f>
        <v>0</v>
      </c>
      <c r="B907" s="1">
        <f>ABS(Portfolios!B907-AVERAGE(Portfolios!$B$2:$B$1004))</f>
        <v>0</v>
      </c>
    </row>
    <row r="908" spans="1:2">
      <c r="A908" s="11">
        <f>Returns!A908</f>
        <v>0</v>
      </c>
      <c r="B908" s="1">
        <f>ABS(Portfolios!B908-AVERAGE(Portfolios!$B$2:$B$1004))</f>
        <v>0</v>
      </c>
    </row>
    <row r="909" spans="1:2">
      <c r="A909" s="11">
        <f>Returns!A909</f>
        <v>0</v>
      </c>
      <c r="B909" s="1">
        <f>ABS(Portfolios!B909-AVERAGE(Portfolios!$B$2:$B$1004))</f>
        <v>0</v>
      </c>
    </row>
    <row r="910" spans="1:2">
      <c r="A910" s="11">
        <f>Returns!A910</f>
        <v>0</v>
      </c>
      <c r="B910" s="1">
        <f>ABS(Portfolios!B910-AVERAGE(Portfolios!$B$2:$B$1004))</f>
        <v>0</v>
      </c>
    </row>
    <row r="911" spans="1:2">
      <c r="A911" s="11">
        <f>Returns!A911</f>
        <v>0</v>
      </c>
      <c r="B911" s="1">
        <f>ABS(Portfolios!B911-AVERAGE(Portfolios!$B$2:$B$1004))</f>
        <v>0</v>
      </c>
    </row>
    <row r="912" spans="1:2">
      <c r="A912" s="11">
        <f>Returns!A912</f>
        <v>0</v>
      </c>
      <c r="B912" s="1">
        <f>ABS(Portfolios!B912-AVERAGE(Portfolios!$B$2:$B$1004))</f>
        <v>0</v>
      </c>
    </row>
    <row r="913" spans="1:2">
      <c r="A913" s="11">
        <f>Returns!A913</f>
        <v>0</v>
      </c>
      <c r="B913" s="1">
        <f>ABS(Portfolios!B913-AVERAGE(Portfolios!$B$2:$B$1004))</f>
        <v>0</v>
      </c>
    </row>
    <row r="914" spans="1:2">
      <c r="A914" s="11">
        <f>Returns!A914</f>
        <v>0</v>
      </c>
      <c r="B914" s="1">
        <f>ABS(Portfolios!B914-AVERAGE(Portfolios!$B$2:$B$1004))</f>
        <v>0</v>
      </c>
    </row>
    <row r="915" spans="1:2">
      <c r="A915" s="11">
        <f>Returns!A915</f>
        <v>0</v>
      </c>
      <c r="B915" s="1">
        <f>ABS(Portfolios!B915-AVERAGE(Portfolios!$B$2:$B$1004))</f>
        <v>0</v>
      </c>
    </row>
    <row r="916" spans="1:2">
      <c r="A916" s="11">
        <f>Returns!A916</f>
        <v>0</v>
      </c>
      <c r="B916" s="1">
        <f>ABS(Portfolios!B916-AVERAGE(Portfolios!$B$2:$B$1004))</f>
        <v>0</v>
      </c>
    </row>
    <row r="917" spans="1:2">
      <c r="A917" s="11">
        <f>Returns!A917</f>
        <v>0</v>
      </c>
      <c r="B917" s="1">
        <f>ABS(Portfolios!B917-AVERAGE(Portfolios!$B$2:$B$1004))</f>
        <v>0</v>
      </c>
    </row>
    <row r="918" spans="1:2">
      <c r="A918" s="11">
        <f>Returns!A918</f>
        <v>0</v>
      </c>
      <c r="B918" s="1">
        <f>ABS(Portfolios!B918-AVERAGE(Portfolios!$B$2:$B$1004))</f>
        <v>0</v>
      </c>
    </row>
    <row r="919" spans="1:2">
      <c r="A919" s="11">
        <f>Returns!A919</f>
        <v>0</v>
      </c>
      <c r="B919" s="1">
        <f>ABS(Portfolios!B919-AVERAGE(Portfolios!$B$2:$B$1004))</f>
        <v>0</v>
      </c>
    </row>
    <row r="920" spans="1:2">
      <c r="A920" s="11">
        <f>Returns!A920</f>
        <v>0</v>
      </c>
      <c r="B920" s="1">
        <f>ABS(Portfolios!B920-AVERAGE(Portfolios!$B$2:$B$1004))</f>
        <v>0</v>
      </c>
    </row>
    <row r="921" spans="1:2">
      <c r="A921" s="11">
        <f>Returns!A921</f>
        <v>0</v>
      </c>
      <c r="B921" s="1">
        <f>ABS(Portfolios!B921-AVERAGE(Portfolios!$B$2:$B$1004))</f>
        <v>0</v>
      </c>
    </row>
    <row r="922" spans="1:2">
      <c r="A922" s="11">
        <f>Returns!A922</f>
        <v>0</v>
      </c>
      <c r="B922" s="1">
        <f>ABS(Portfolios!B922-AVERAGE(Portfolios!$B$2:$B$1004))</f>
        <v>0</v>
      </c>
    </row>
    <row r="923" spans="1:2">
      <c r="A923" s="11">
        <f>Returns!A923</f>
        <v>0</v>
      </c>
      <c r="B923" s="1">
        <f>ABS(Portfolios!B923-AVERAGE(Portfolios!$B$2:$B$1004))</f>
        <v>0</v>
      </c>
    </row>
    <row r="924" spans="1:2">
      <c r="A924" s="11">
        <f>Returns!A924</f>
        <v>0</v>
      </c>
      <c r="B924" s="1">
        <f>ABS(Portfolios!B924-AVERAGE(Portfolios!$B$2:$B$1004))</f>
        <v>0</v>
      </c>
    </row>
    <row r="925" spans="1:2">
      <c r="A925" s="11">
        <f>Returns!A925</f>
        <v>0</v>
      </c>
      <c r="B925" s="1">
        <f>ABS(Portfolios!B925-AVERAGE(Portfolios!$B$2:$B$1004))</f>
        <v>0</v>
      </c>
    </row>
    <row r="926" spans="1:2">
      <c r="A926" s="11">
        <f>Returns!A926</f>
        <v>0</v>
      </c>
      <c r="B926" s="1">
        <f>ABS(Portfolios!B926-AVERAGE(Portfolios!$B$2:$B$1004))</f>
        <v>0</v>
      </c>
    </row>
    <row r="927" spans="1:2">
      <c r="A927" s="11">
        <f>Returns!A927</f>
        <v>0</v>
      </c>
      <c r="B927" s="1">
        <f>ABS(Portfolios!B927-AVERAGE(Portfolios!$B$2:$B$1004))</f>
        <v>0</v>
      </c>
    </row>
    <row r="928" spans="1:2">
      <c r="A928" s="11">
        <f>Returns!A928</f>
        <v>0</v>
      </c>
      <c r="B928" s="1">
        <f>ABS(Portfolios!B928-AVERAGE(Portfolios!$B$2:$B$1004))</f>
        <v>0</v>
      </c>
    </row>
    <row r="929" spans="1:2">
      <c r="A929" s="11">
        <f>Returns!A929</f>
        <v>0</v>
      </c>
      <c r="B929" s="1">
        <f>ABS(Portfolios!B929-AVERAGE(Portfolios!$B$2:$B$1004))</f>
        <v>0</v>
      </c>
    </row>
    <row r="930" spans="1:2">
      <c r="A930" s="11">
        <f>Returns!A930</f>
        <v>0</v>
      </c>
      <c r="B930" s="1">
        <f>ABS(Portfolios!B930-AVERAGE(Portfolios!$B$2:$B$1004))</f>
        <v>0</v>
      </c>
    </row>
    <row r="931" spans="1:2">
      <c r="A931" s="11">
        <f>Returns!A931</f>
        <v>0</v>
      </c>
      <c r="B931" s="1">
        <f>ABS(Portfolios!B931-AVERAGE(Portfolios!$B$2:$B$1004))</f>
        <v>0</v>
      </c>
    </row>
    <row r="932" spans="1:2">
      <c r="A932" s="11">
        <f>Returns!A932</f>
        <v>0</v>
      </c>
      <c r="B932" s="1">
        <f>ABS(Portfolios!B932-AVERAGE(Portfolios!$B$2:$B$1004))</f>
        <v>0</v>
      </c>
    </row>
    <row r="933" spans="1:2">
      <c r="A933" s="11">
        <f>Returns!A933</f>
        <v>0</v>
      </c>
      <c r="B933" s="1">
        <f>ABS(Portfolios!B933-AVERAGE(Portfolios!$B$2:$B$1004))</f>
        <v>0</v>
      </c>
    </row>
    <row r="934" spans="1:2">
      <c r="A934" s="11">
        <f>Returns!A934</f>
        <v>0</v>
      </c>
      <c r="B934" s="1">
        <f>ABS(Portfolios!B934-AVERAGE(Portfolios!$B$2:$B$1004))</f>
        <v>0</v>
      </c>
    </row>
    <row r="935" spans="1:2">
      <c r="A935" s="11">
        <f>Returns!A935</f>
        <v>0</v>
      </c>
      <c r="B935" s="1">
        <f>ABS(Portfolios!B935-AVERAGE(Portfolios!$B$2:$B$1004))</f>
        <v>0</v>
      </c>
    </row>
    <row r="936" spans="1:2">
      <c r="A936" s="11">
        <f>Returns!A936</f>
        <v>0</v>
      </c>
      <c r="B936" s="1">
        <f>ABS(Portfolios!B936-AVERAGE(Portfolios!$B$2:$B$1004))</f>
        <v>0</v>
      </c>
    </row>
    <row r="937" spans="1:2">
      <c r="A937" s="11">
        <f>Returns!A937</f>
        <v>0</v>
      </c>
      <c r="B937" s="1">
        <f>ABS(Portfolios!B937-AVERAGE(Portfolios!$B$2:$B$1004))</f>
        <v>0</v>
      </c>
    </row>
    <row r="938" spans="1:2">
      <c r="A938" s="11">
        <f>Returns!A938</f>
        <v>0</v>
      </c>
      <c r="B938" s="1">
        <f>ABS(Portfolios!B938-AVERAGE(Portfolios!$B$2:$B$1004))</f>
        <v>0</v>
      </c>
    </row>
    <row r="939" spans="1:2">
      <c r="A939" s="11">
        <f>Returns!A939</f>
        <v>0</v>
      </c>
      <c r="B939" s="1">
        <f>ABS(Portfolios!B939-AVERAGE(Portfolios!$B$2:$B$1004))</f>
        <v>0</v>
      </c>
    </row>
    <row r="940" spans="1:2">
      <c r="A940" s="11">
        <f>Returns!A940</f>
        <v>0</v>
      </c>
      <c r="B940" s="1">
        <f>ABS(Portfolios!B940-AVERAGE(Portfolios!$B$2:$B$1004))</f>
        <v>0</v>
      </c>
    </row>
    <row r="941" spans="1:2">
      <c r="A941" s="11">
        <f>Returns!A941</f>
        <v>0</v>
      </c>
      <c r="B941" s="1">
        <f>ABS(Portfolios!B941-AVERAGE(Portfolios!$B$2:$B$1004))</f>
        <v>0</v>
      </c>
    </row>
    <row r="942" spans="1:2">
      <c r="A942" s="11">
        <f>Returns!A942</f>
        <v>0</v>
      </c>
      <c r="B942" s="1">
        <f>ABS(Portfolios!B942-AVERAGE(Portfolios!$B$2:$B$1004))</f>
        <v>0</v>
      </c>
    </row>
    <row r="943" spans="1:2">
      <c r="A943" s="11">
        <f>Returns!A943</f>
        <v>0</v>
      </c>
      <c r="B943" s="1">
        <f>ABS(Portfolios!B943-AVERAGE(Portfolios!$B$2:$B$1004))</f>
        <v>0</v>
      </c>
    </row>
    <row r="944" spans="1:2">
      <c r="A944" s="11">
        <f>Returns!A944</f>
        <v>0</v>
      </c>
      <c r="B944" s="1">
        <f>ABS(Portfolios!B944-AVERAGE(Portfolios!$B$2:$B$1004))</f>
        <v>0</v>
      </c>
    </row>
    <row r="945" spans="1:2">
      <c r="A945" s="11">
        <f>Returns!A945</f>
        <v>0</v>
      </c>
      <c r="B945" s="1">
        <f>ABS(Portfolios!B945-AVERAGE(Portfolios!$B$2:$B$1004))</f>
        <v>0</v>
      </c>
    </row>
    <row r="946" spans="1:2">
      <c r="A946" s="11">
        <f>Returns!A946</f>
        <v>0</v>
      </c>
      <c r="B946" s="1">
        <f>ABS(Portfolios!B946-AVERAGE(Portfolios!$B$2:$B$1004))</f>
        <v>0</v>
      </c>
    </row>
    <row r="947" spans="1:2">
      <c r="A947" s="11">
        <f>Returns!A947</f>
        <v>0</v>
      </c>
      <c r="B947" s="1">
        <f>ABS(Portfolios!B947-AVERAGE(Portfolios!$B$2:$B$1004))</f>
        <v>0</v>
      </c>
    </row>
    <row r="948" spans="1:2">
      <c r="A948" s="11">
        <f>Returns!A948</f>
        <v>0</v>
      </c>
      <c r="B948" s="1">
        <f>ABS(Portfolios!B948-AVERAGE(Portfolios!$B$2:$B$1004))</f>
        <v>0</v>
      </c>
    </row>
    <row r="949" spans="1:2">
      <c r="A949" s="11">
        <f>Returns!A949</f>
        <v>0</v>
      </c>
      <c r="B949" s="1">
        <f>ABS(Portfolios!B949-AVERAGE(Portfolios!$B$2:$B$1004))</f>
        <v>0</v>
      </c>
    </row>
    <row r="950" spans="1:2">
      <c r="A950" s="11">
        <f>Returns!A950</f>
        <v>0</v>
      </c>
      <c r="B950" s="1">
        <f>ABS(Portfolios!B950-AVERAGE(Portfolios!$B$2:$B$1004))</f>
        <v>0</v>
      </c>
    </row>
    <row r="951" spans="1:2">
      <c r="A951" s="11">
        <f>Returns!A951</f>
        <v>0</v>
      </c>
      <c r="B951" s="1">
        <f>ABS(Portfolios!B951-AVERAGE(Portfolios!$B$2:$B$1004))</f>
        <v>0</v>
      </c>
    </row>
    <row r="952" spans="1:2">
      <c r="A952" s="11">
        <f>Returns!A952</f>
        <v>0</v>
      </c>
      <c r="B952" s="1">
        <f>ABS(Portfolios!B952-AVERAGE(Portfolios!$B$2:$B$1004))</f>
        <v>0</v>
      </c>
    </row>
    <row r="953" spans="1:2">
      <c r="A953" s="11">
        <f>Returns!A953</f>
        <v>0</v>
      </c>
      <c r="B953" s="1">
        <f>ABS(Portfolios!B953-AVERAGE(Portfolios!$B$2:$B$1004))</f>
        <v>0</v>
      </c>
    </row>
    <row r="954" spans="1:2">
      <c r="A954" s="11">
        <f>Returns!A954</f>
        <v>0</v>
      </c>
      <c r="B954" s="1">
        <f>ABS(Portfolios!B954-AVERAGE(Portfolios!$B$2:$B$1004))</f>
        <v>0</v>
      </c>
    </row>
    <row r="955" spans="1:2">
      <c r="A955" s="11">
        <f>Returns!A955</f>
        <v>0</v>
      </c>
      <c r="B955" s="1">
        <f>ABS(Portfolios!B955-AVERAGE(Portfolios!$B$2:$B$1004))</f>
        <v>0</v>
      </c>
    </row>
    <row r="956" spans="1:2">
      <c r="A956" s="11">
        <f>Returns!A956</f>
        <v>0</v>
      </c>
      <c r="B956" s="1">
        <f>ABS(Portfolios!B956-AVERAGE(Portfolios!$B$2:$B$1004))</f>
        <v>0</v>
      </c>
    </row>
    <row r="957" spans="1:2">
      <c r="A957" s="11">
        <f>Returns!A957</f>
        <v>0</v>
      </c>
      <c r="B957" s="1">
        <f>ABS(Portfolios!B957-AVERAGE(Portfolios!$B$2:$B$1004))</f>
        <v>0</v>
      </c>
    </row>
    <row r="958" spans="1:2">
      <c r="A958" s="11">
        <f>Returns!A958</f>
        <v>0</v>
      </c>
      <c r="B958" s="1">
        <f>ABS(Portfolios!B958-AVERAGE(Portfolios!$B$2:$B$1004))</f>
        <v>0</v>
      </c>
    </row>
    <row r="959" spans="1:2">
      <c r="A959" s="11">
        <f>Returns!A959</f>
        <v>0</v>
      </c>
      <c r="B959" s="1">
        <f>ABS(Portfolios!B959-AVERAGE(Portfolios!$B$2:$B$1004))</f>
        <v>0</v>
      </c>
    </row>
    <row r="960" spans="1:2">
      <c r="A960" s="11">
        <f>Returns!A960</f>
        <v>0</v>
      </c>
      <c r="B960" s="1">
        <f>ABS(Portfolios!B960-AVERAGE(Portfolios!$B$2:$B$1004))</f>
        <v>0</v>
      </c>
    </row>
    <row r="961" spans="1:2">
      <c r="A961" s="11">
        <f>Returns!A961</f>
        <v>0</v>
      </c>
      <c r="B961" s="1">
        <f>ABS(Portfolios!B961-AVERAGE(Portfolios!$B$2:$B$1004))</f>
        <v>0</v>
      </c>
    </row>
    <row r="962" spans="1:2">
      <c r="A962" s="11">
        <f>Returns!A962</f>
        <v>0</v>
      </c>
      <c r="B962" s="1">
        <f>ABS(Portfolios!B962-AVERAGE(Portfolios!$B$2:$B$1004))</f>
        <v>0</v>
      </c>
    </row>
    <row r="963" spans="1:2">
      <c r="A963" s="11">
        <f>Returns!A963</f>
        <v>0</v>
      </c>
      <c r="B963" s="1">
        <f>ABS(Portfolios!B963-AVERAGE(Portfolios!$B$2:$B$1004))</f>
        <v>0</v>
      </c>
    </row>
    <row r="964" spans="1:2">
      <c r="A964" s="11">
        <f>Returns!A964</f>
        <v>0</v>
      </c>
      <c r="B964" s="1">
        <f>ABS(Portfolios!B964-AVERAGE(Portfolios!$B$2:$B$1004))</f>
        <v>0</v>
      </c>
    </row>
    <row r="965" spans="1:2">
      <c r="A965" s="11">
        <f>Returns!A965</f>
        <v>0</v>
      </c>
      <c r="B965" s="1">
        <f>ABS(Portfolios!B965-AVERAGE(Portfolios!$B$2:$B$1004))</f>
        <v>0</v>
      </c>
    </row>
    <row r="966" spans="1:2">
      <c r="A966" s="11">
        <f>Returns!A966</f>
        <v>0</v>
      </c>
      <c r="B966" s="1">
        <f>ABS(Portfolios!B966-AVERAGE(Portfolios!$B$2:$B$1004))</f>
        <v>0</v>
      </c>
    </row>
    <row r="967" spans="1:2">
      <c r="A967" s="11">
        <f>Returns!A967</f>
        <v>0</v>
      </c>
      <c r="B967" s="1">
        <f>ABS(Portfolios!B967-AVERAGE(Portfolios!$B$2:$B$1004))</f>
        <v>0</v>
      </c>
    </row>
    <row r="968" spans="1:2">
      <c r="A968" s="11">
        <f>Returns!A968</f>
        <v>0</v>
      </c>
      <c r="B968" s="1">
        <f>ABS(Portfolios!B968-AVERAGE(Portfolios!$B$2:$B$1004))</f>
        <v>0</v>
      </c>
    </row>
    <row r="969" spans="1:2">
      <c r="A969" s="11">
        <f>Returns!A969</f>
        <v>0</v>
      </c>
      <c r="B969" s="1">
        <f>ABS(Portfolios!B969-AVERAGE(Portfolios!$B$2:$B$1004))</f>
        <v>0</v>
      </c>
    </row>
    <row r="970" spans="1:2">
      <c r="A970" s="11">
        <f>Returns!A970</f>
        <v>0</v>
      </c>
      <c r="B970" s="1">
        <f>ABS(Portfolios!B970-AVERAGE(Portfolios!$B$2:$B$1004))</f>
        <v>0</v>
      </c>
    </row>
    <row r="971" spans="1:2">
      <c r="A971" s="11">
        <f>Returns!A971</f>
        <v>0</v>
      </c>
      <c r="B971" s="1">
        <f>ABS(Portfolios!B971-AVERAGE(Portfolios!$B$2:$B$1004))</f>
        <v>0</v>
      </c>
    </row>
    <row r="972" spans="1:2">
      <c r="A972" s="11">
        <f>Returns!A972</f>
        <v>0</v>
      </c>
      <c r="B972" s="1">
        <f>ABS(Portfolios!B972-AVERAGE(Portfolios!$B$2:$B$1004))</f>
        <v>0</v>
      </c>
    </row>
    <row r="973" spans="1:2">
      <c r="A973" s="11">
        <f>Returns!A973</f>
        <v>0</v>
      </c>
      <c r="B973" s="1">
        <f>ABS(Portfolios!B973-AVERAGE(Portfolios!$B$2:$B$1004))</f>
        <v>0</v>
      </c>
    </row>
    <row r="974" spans="1:2">
      <c r="A974" s="11">
        <f>Returns!A974</f>
        <v>0</v>
      </c>
      <c r="B974" s="1">
        <f>ABS(Portfolios!B974-AVERAGE(Portfolios!$B$2:$B$1004))</f>
        <v>0</v>
      </c>
    </row>
    <row r="975" spans="1:2">
      <c r="A975" s="11">
        <f>Returns!A975</f>
        <v>0</v>
      </c>
      <c r="B975" s="1">
        <f>ABS(Portfolios!B975-AVERAGE(Portfolios!$B$2:$B$1004))</f>
        <v>0</v>
      </c>
    </row>
    <row r="976" spans="1:2">
      <c r="A976" s="11">
        <f>Returns!A976</f>
        <v>0</v>
      </c>
      <c r="B976" s="1">
        <f>ABS(Portfolios!B976-AVERAGE(Portfolios!$B$2:$B$1004))</f>
        <v>0</v>
      </c>
    </row>
    <row r="977" spans="1:2">
      <c r="A977" s="11">
        <f>Returns!A977</f>
        <v>0</v>
      </c>
      <c r="B977" s="1">
        <f>ABS(Portfolios!B977-AVERAGE(Portfolios!$B$2:$B$1004))</f>
        <v>0</v>
      </c>
    </row>
    <row r="978" spans="1:2">
      <c r="A978" s="11">
        <f>Returns!A978</f>
        <v>0</v>
      </c>
      <c r="B978" s="1">
        <f>ABS(Portfolios!B978-AVERAGE(Portfolios!$B$2:$B$1004))</f>
        <v>0</v>
      </c>
    </row>
    <row r="979" spans="1:2">
      <c r="A979" s="11">
        <f>Returns!A979</f>
        <v>0</v>
      </c>
      <c r="B979" s="1">
        <f>ABS(Portfolios!B979-AVERAGE(Portfolios!$B$2:$B$1004))</f>
        <v>0</v>
      </c>
    </row>
    <row r="980" spans="1:2">
      <c r="A980" s="11">
        <f>Returns!A980</f>
        <v>0</v>
      </c>
      <c r="B980" s="1">
        <f>ABS(Portfolios!B980-AVERAGE(Portfolios!$B$2:$B$1004))</f>
        <v>0</v>
      </c>
    </row>
    <row r="981" spans="1:2">
      <c r="A981" s="11">
        <f>Returns!A981</f>
        <v>0</v>
      </c>
      <c r="B981" s="1">
        <f>ABS(Portfolios!B981-AVERAGE(Portfolios!$B$2:$B$1004))</f>
        <v>0</v>
      </c>
    </row>
    <row r="982" spans="1:2">
      <c r="A982" s="11">
        <f>Returns!A982</f>
        <v>0</v>
      </c>
      <c r="B982" s="1">
        <f>ABS(Portfolios!B982-AVERAGE(Portfolios!$B$2:$B$1004))</f>
        <v>0</v>
      </c>
    </row>
    <row r="983" spans="1:2">
      <c r="A983" s="11">
        <f>Returns!A983</f>
        <v>0</v>
      </c>
      <c r="B983" s="1">
        <f>ABS(Portfolios!B983-AVERAGE(Portfolios!$B$2:$B$1004))</f>
        <v>0</v>
      </c>
    </row>
    <row r="984" spans="1:2">
      <c r="A984" s="11">
        <f>Returns!A984</f>
        <v>0</v>
      </c>
      <c r="B984" s="1">
        <f>ABS(Portfolios!B984-AVERAGE(Portfolios!$B$2:$B$1004))</f>
        <v>0</v>
      </c>
    </row>
    <row r="985" spans="1:2">
      <c r="A985" s="11">
        <f>Returns!A985</f>
        <v>0</v>
      </c>
      <c r="B985" s="1">
        <f>ABS(Portfolios!B985-AVERAGE(Portfolios!$B$2:$B$1004))</f>
        <v>0</v>
      </c>
    </row>
    <row r="986" spans="1:2">
      <c r="A986" s="11">
        <f>Returns!A986</f>
        <v>0</v>
      </c>
      <c r="B986" s="1">
        <f>ABS(Portfolios!B986-AVERAGE(Portfolios!$B$2:$B$1004))</f>
        <v>0</v>
      </c>
    </row>
    <row r="987" spans="1:2">
      <c r="A987" s="11">
        <f>Returns!A987</f>
        <v>0</v>
      </c>
      <c r="B987" s="1">
        <f>ABS(Portfolios!B987-AVERAGE(Portfolios!$B$2:$B$1004))</f>
        <v>0</v>
      </c>
    </row>
    <row r="988" spans="1:2">
      <c r="A988" s="11">
        <f>Returns!A988</f>
        <v>0</v>
      </c>
      <c r="B988" s="1">
        <f>ABS(Portfolios!B988-AVERAGE(Portfolios!$B$2:$B$1004))</f>
        <v>0</v>
      </c>
    </row>
    <row r="989" spans="1:2">
      <c r="A989" s="11">
        <f>Returns!A989</f>
        <v>0</v>
      </c>
      <c r="B989" s="1">
        <f>ABS(Portfolios!B989-AVERAGE(Portfolios!$B$2:$B$1004))</f>
        <v>0</v>
      </c>
    </row>
    <row r="990" spans="1:2">
      <c r="A990" s="11">
        <f>Returns!A990</f>
        <v>0</v>
      </c>
      <c r="B990" s="1">
        <f>ABS(Portfolios!B990-AVERAGE(Portfolios!$B$2:$B$1004))</f>
        <v>0</v>
      </c>
    </row>
    <row r="991" spans="1:2">
      <c r="A991" s="11">
        <f>Returns!A991</f>
        <v>0</v>
      </c>
      <c r="B991" s="1">
        <f>ABS(Portfolios!B991-AVERAGE(Portfolios!$B$2:$B$1004))</f>
        <v>0</v>
      </c>
    </row>
    <row r="992" spans="1:2">
      <c r="A992" s="11">
        <f>Returns!A992</f>
        <v>0</v>
      </c>
      <c r="B992" s="1">
        <f>ABS(Portfolios!B992-AVERAGE(Portfolios!$B$2:$B$1004))</f>
        <v>0</v>
      </c>
    </row>
    <row r="993" spans="1:2">
      <c r="A993" s="11">
        <f>Returns!A993</f>
        <v>0</v>
      </c>
      <c r="B993" s="1">
        <f>ABS(Portfolios!B993-AVERAGE(Portfolios!$B$2:$B$1004))</f>
        <v>0</v>
      </c>
    </row>
    <row r="994" spans="1:2">
      <c r="A994" s="11">
        <f>Returns!A994</f>
        <v>0</v>
      </c>
      <c r="B994" s="1">
        <f>ABS(Portfolios!B994-AVERAGE(Portfolios!$B$2:$B$1004))</f>
        <v>0</v>
      </c>
    </row>
    <row r="995" spans="1:2">
      <c r="A995" s="11">
        <f>Returns!A995</f>
        <v>0</v>
      </c>
      <c r="B995" s="1">
        <f>ABS(Portfolios!B995-AVERAGE(Portfolios!$B$2:$B$1004))</f>
        <v>0</v>
      </c>
    </row>
    <row r="996" spans="1:2">
      <c r="A996" s="11">
        <f>Returns!A996</f>
        <v>0</v>
      </c>
      <c r="B996" s="1">
        <f>ABS(Portfolios!B996-AVERAGE(Portfolios!$B$2:$B$1004))</f>
        <v>0</v>
      </c>
    </row>
    <row r="997" spans="1:2">
      <c r="A997" s="11">
        <f>Returns!A997</f>
        <v>0</v>
      </c>
      <c r="B997" s="1">
        <f>ABS(Portfolios!B997-AVERAGE(Portfolios!$B$2:$B$1004))</f>
        <v>0</v>
      </c>
    </row>
    <row r="998" spans="1:2">
      <c r="A998" s="11">
        <f>Returns!A998</f>
        <v>0</v>
      </c>
      <c r="B998" s="1">
        <f>ABS(Portfolios!B998-AVERAGE(Portfolios!$B$2:$B$1004))</f>
        <v>0</v>
      </c>
    </row>
    <row r="999" spans="1:2">
      <c r="A999" s="11">
        <f>Returns!A999</f>
        <v>0</v>
      </c>
      <c r="B999" s="1">
        <f>ABS(Portfolios!B999-AVERAGE(Portfolios!$B$2:$B$1004))</f>
        <v>0</v>
      </c>
    </row>
    <row r="1000" spans="1:2">
      <c r="A1000" s="11">
        <f>Returns!A1000</f>
        <v>0</v>
      </c>
      <c r="B1000" s="1">
        <f>ABS(Portfolios!B1000-AVERAGE(Portfolios!$B$2:$B$1004))</f>
        <v>0</v>
      </c>
    </row>
    <row r="1001" spans="1:2">
      <c r="A1001" s="11">
        <f>Returns!A1001</f>
        <v>0</v>
      </c>
      <c r="B1001" s="1">
        <f>ABS(Portfolios!B1001-AVERAGE(Portfolios!$B$2:$B$1004))</f>
        <v>0</v>
      </c>
    </row>
    <row r="1002" spans="1:2">
      <c r="A1002" s="11">
        <f>Returns!A1002</f>
        <v>0</v>
      </c>
      <c r="B1002" s="1">
        <f>ABS(Portfolios!B1002-AVERAGE(Portfolios!$B$2:$B$1004))</f>
        <v>0</v>
      </c>
    </row>
    <row r="1003" spans="1:2">
      <c r="A1003" s="11">
        <f>Returns!A1003</f>
        <v>0</v>
      </c>
      <c r="B1003" s="1">
        <f>ABS(Portfolios!B1003-AVERAGE(Portfolios!$B$2:$B$1004))</f>
        <v>0</v>
      </c>
    </row>
    <row r="1004" spans="1:2">
      <c r="A1004" s="11">
        <f>Returns!A1004</f>
        <v>0</v>
      </c>
      <c r="B1004" s="1">
        <f>ABS(Portfolios!B1004-AVERAGE(Portfolios!$B$2:$B$1004))</f>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B1004"/>
  <sheetViews>
    <sheetView showGridLines="0" workbookViewId="0"/>
  </sheetViews>
  <sheetFormatPr defaultRowHeight="15"/>
  <cols>
    <col min="1" max="1" width="10.7109375" style="10" customWidth="1"/>
  </cols>
  <sheetData>
    <row r="1" spans="1:2">
      <c r="A1" s="5" t="s">
        <v>26</v>
      </c>
      <c r="B1" s="5" t="s">
        <v>52</v>
      </c>
    </row>
    <row r="2" spans="1:2">
      <c r="A2" s="11">
        <f>Returns!A2</f>
        <v>0</v>
      </c>
      <c r="B2" s="1">
        <f>SUM(Portfolios!$B$2)</f>
        <v>0</v>
      </c>
    </row>
    <row r="3" spans="1:2">
      <c r="A3" s="11">
        <f>Returns!A3</f>
        <v>0</v>
      </c>
      <c r="B3" s="1">
        <f>SUM(Portfolios!$B$2:$B$3)</f>
        <v>0</v>
      </c>
    </row>
    <row r="4" spans="1:2">
      <c r="A4" s="11">
        <f>Returns!A4</f>
        <v>0</v>
      </c>
      <c r="B4" s="1">
        <f>SUM(Portfolios!$B$2:$B$4)</f>
        <v>0</v>
      </c>
    </row>
    <row r="5" spans="1:2">
      <c r="A5" s="11">
        <f>Returns!A5</f>
        <v>0</v>
      </c>
      <c r="B5" s="1">
        <f>SUM(Portfolios!$B$2:$B$5)</f>
        <v>0</v>
      </c>
    </row>
    <row r="6" spans="1:2">
      <c r="A6" s="11">
        <f>Returns!A6</f>
        <v>0</v>
      </c>
      <c r="B6" s="1">
        <f>SUM(Portfolios!$B$2:$B$6)</f>
        <v>0</v>
      </c>
    </row>
    <row r="7" spans="1:2">
      <c r="A7" s="11">
        <f>Returns!A7</f>
        <v>0</v>
      </c>
      <c r="B7" s="1">
        <f>SUM(Portfolios!$B$2:$B$7)</f>
        <v>0</v>
      </c>
    </row>
    <row r="8" spans="1:2">
      <c r="A8" s="11">
        <f>Returns!A8</f>
        <v>0</v>
      </c>
      <c r="B8" s="1">
        <f>SUM(Portfolios!$B$2:$B$8)</f>
        <v>0</v>
      </c>
    </row>
    <row r="9" spans="1:2">
      <c r="A9" s="11">
        <f>Returns!A9</f>
        <v>0</v>
      </c>
      <c r="B9" s="1">
        <f>SUM(Portfolios!$B$2:$B$9)</f>
        <v>0</v>
      </c>
    </row>
    <row r="10" spans="1:2">
      <c r="A10" s="11">
        <f>Returns!A10</f>
        <v>0</v>
      </c>
      <c r="B10" s="1">
        <f>SUM(Portfolios!$B$2:$B$10)</f>
        <v>0</v>
      </c>
    </row>
    <row r="11" spans="1:2">
      <c r="A11" s="11">
        <f>Returns!A11</f>
        <v>0</v>
      </c>
      <c r="B11" s="1">
        <f>SUM(Portfolios!$B$2:$B$11)</f>
        <v>0</v>
      </c>
    </row>
    <row r="12" spans="1:2">
      <c r="A12" s="11">
        <f>Returns!A12</f>
        <v>0</v>
      </c>
      <c r="B12" s="1">
        <f>SUM(Portfolios!$B$2:$B$12)</f>
        <v>0</v>
      </c>
    </row>
    <row r="13" spans="1:2">
      <c r="A13" s="11">
        <f>Returns!A13</f>
        <v>0</v>
      </c>
      <c r="B13" s="1">
        <f>SUM(Portfolios!$B$2:$B$13)</f>
        <v>0</v>
      </c>
    </row>
    <row r="14" spans="1:2">
      <c r="A14" s="11">
        <f>Returns!A14</f>
        <v>0</v>
      </c>
      <c r="B14" s="1">
        <f>SUM(Portfolios!$B$2:$B$14)</f>
        <v>0</v>
      </c>
    </row>
    <row r="15" spans="1:2">
      <c r="A15" s="11">
        <f>Returns!A15</f>
        <v>0</v>
      </c>
      <c r="B15" s="1">
        <f>SUM(Portfolios!$B$2:$B$15)</f>
        <v>0</v>
      </c>
    </row>
    <row r="16" spans="1:2">
      <c r="A16" s="11">
        <f>Returns!A16</f>
        <v>0</v>
      </c>
      <c r="B16" s="1">
        <f>SUM(Portfolios!$B$2:$B$16)</f>
        <v>0</v>
      </c>
    </row>
    <row r="17" spans="1:2">
      <c r="A17" s="11">
        <f>Returns!A17</f>
        <v>0</v>
      </c>
      <c r="B17" s="1">
        <f>SUM(Portfolios!$B$2:$B$17)</f>
        <v>0</v>
      </c>
    </row>
    <row r="18" spans="1:2">
      <c r="A18" s="11">
        <f>Returns!A18</f>
        <v>0</v>
      </c>
      <c r="B18" s="1">
        <f>SUM(Portfolios!$B$2:$B$18)</f>
        <v>0</v>
      </c>
    </row>
    <row r="19" spans="1:2">
      <c r="A19" s="11">
        <f>Returns!A19</f>
        <v>0</v>
      </c>
      <c r="B19" s="1">
        <f>SUM(Portfolios!$B$2:$B$19)</f>
        <v>0</v>
      </c>
    </row>
    <row r="20" spans="1:2">
      <c r="A20" s="11">
        <f>Returns!A20</f>
        <v>0</v>
      </c>
      <c r="B20" s="1">
        <f>SUM(Portfolios!$B$2:$B$20)</f>
        <v>0</v>
      </c>
    </row>
    <row r="21" spans="1:2">
      <c r="A21" s="11">
        <f>Returns!A21</f>
        <v>0</v>
      </c>
      <c r="B21" s="1">
        <f>SUM(Portfolios!$B$2:$B$21)</f>
        <v>0</v>
      </c>
    </row>
    <row r="22" spans="1:2">
      <c r="A22" s="11">
        <f>Returns!A22</f>
        <v>0</v>
      </c>
      <c r="B22" s="1">
        <f>SUM(Portfolios!$B$2:$B$22)</f>
        <v>0</v>
      </c>
    </row>
    <row r="23" spans="1:2">
      <c r="A23" s="11">
        <f>Returns!A23</f>
        <v>0</v>
      </c>
      <c r="B23" s="1">
        <f>SUM(Portfolios!$B$2:$B$23)</f>
        <v>0</v>
      </c>
    </row>
    <row r="24" spans="1:2">
      <c r="A24" s="11">
        <f>Returns!A24</f>
        <v>0</v>
      </c>
      <c r="B24" s="1">
        <f>SUM(Portfolios!$B$2:$B$24)</f>
        <v>0</v>
      </c>
    </row>
    <row r="25" spans="1:2">
      <c r="A25" s="11">
        <f>Returns!A25</f>
        <v>0</v>
      </c>
      <c r="B25" s="1">
        <f>SUM(Portfolios!$B$2:$B$25)</f>
        <v>0</v>
      </c>
    </row>
    <row r="26" spans="1:2">
      <c r="A26" s="11">
        <f>Returns!A26</f>
        <v>0</v>
      </c>
      <c r="B26" s="1">
        <f>SUM(Portfolios!$B$2:$B$26)</f>
        <v>0</v>
      </c>
    </row>
    <row r="27" spans="1:2">
      <c r="A27" s="11">
        <f>Returns!A27</f>
        <v>0</v>
      </c>
      <c r="B27" s="1">
        <f>SUM(Portfolios!$B$2:$B$27)</f>
        <v>0</v>
      </c>
    </row>
    <row r="28" spans="1:2">
      <c r="A28" s="11">
        <f>Returns!A28</f>
        <v>0</v>
      </c>
      <c r="B28" s="1">
        <f>SUM(Portfolios!$B$2:$B$28)</f>
        <v>0</v>
      </c>
    </row>
    <row r="29" spans="1:2">
      <c r="A29" s="11">
        <f>Returns!A29</f>
        <v>0</v>
      </c>
      <c r="B29" s="1">
        <f>SUM(Portfolios!$B$2:$B$29)</f>
        <v>0</v>
      </c>
    </row>
    <row r="30" spans="1:2">
      <c r="A30" s="11">
        <f>Returns!A30</f>
        <v>0</v>
      </c>
      <c r="B30" s="1">
        <f>SUM(Portfolios!$B$2:$B$30)</f>
        <v>0</v>
      </c>
    </row>
    <row r="31" spans="1:2">
      <c r="A31" s="11">
        <f>Returns!A31</f>
        <v>0</v>
      </c>
      <c r="B31" s="1">
        <f>SUM(Portfolios!$B$2:$B$31)</f>
        <v>0</v>
      </c>
    </row>
    <row r="32" spans="1:2">
      <c r="A32" s="11">
        <f>Returns!A32</f>
        <v>0</v>
      </c>
      <c r="B32" s="1">
        <f>SUM(Portfolios!$B$2:$B$32)</f>
        <v>0</v>
      </c>
    </row>
    <row r="33" spans="1:2">
      <c r="A33" s="11">
        <f>Returns!A33</f>
        <v>0</v>
      </c>
      <c r="B33" s="1">
        <f>SUM(Portfolios!$B$2:$B$33)</f>
        <v>0</v>
      </c>
    </row>
    <row r="34" spans="1:2">
      <c r="A34" s="11">
        <f>Returns!A34</f>
        <v>0</v>
      </c>
      <c r="B34" s="1">
        <f>SUM(Portfolios!$B$2:$B$34)</f>
        <v>0</v>
      </c>
    </row>
    <row r="35" spans="1:2">
      <c r="A35" s="11">
        <f>Returns!A35</f>
        <v>0</v>
      </c>
      <c r="B35" s="1">
        <f>SUM(Portfolios!$B$2:$B$35)</f>
        <v>0</v>
      </c>
    </row>
    <row r="36" spans="1:2">
      <c r="A36" s="11">
        <f>Returns!A36</f>
        <v>0</v>
      </c>
      <c r="B36" s="1">
        <f>SUM(Portfolios!$B$2:$B$36)</f>
        <v>0</v>
      </c>
    </row>
    <row r="37" spans="1:2">
      <c r="A37" s="11">
        <f>Returns!A37</f>
        <v>0</v>
      </c>
      <c r="B37" s="1">
        <f>SUM(Portfolios!$B$2:$B$37)</f>
        <v>0</v>
      </c>
    </row>
    <row r="38" spans="1:2">
      <c r="A38" s="11">
        <f>Returns!A38</f>
        <v>0</v>
      </c>
      <c r="B38" s="1">
        <f>SUM(Portfolios!$B$2:$B$38)</f>
        <v>0</v>
      </c>
    </row>
    <row r="39" spans="1:2">
      <c r="A39" s="11">
        <f>Returns!A39</f>
        <v>0</v>
      </c>
      <c r="B39" s="1">
        <f>SUM(Portfolios!$B$2:$B$39)</f>
        <v>0</v>
      </c>
    </row>
    <row r="40" spans="1:2">
      <c r="A40" s="11">
        <f>Returns!A40</f>
        <v>0</v>
      </c>
      <c r="B40" s="1">
        <f>SUM(Portfolios!$B$2:$B$40)</f>
        <v>0</v>
      </c>
    </row>
    <row r="41" spans="1:2">
      <c r="A41" s="11">
        <f>Returns!A41</f>
        <v>0</v>
      </c>
      <c r="B41" s="1">
        <f>SUM(Portfolios!$B$2:$B$41)</f>
        <v>0</v>
      </c>
    </row>
    <row r="42" spans="1:2">
      <c r="A42" s="11">
        <f>Returns!A42</f>
        <v>0</v>
      </c>
      <c r="B42" s="1">
        <f>SUM(Portfolios!$B$2:$B$42)</f>
        <v>0</v>
      </c>
    </row>
    <row r="43" spans="1:2">
      <c r="A43" s="11">
        <f>Returns!A43</f>
        <v>0</v>
      </c>
      <c r="B43" s="1">
        <f>SUM(Portfolios!$B$2:$B$43)</f>
        <v>0</v>
      </c>
    </row>
    <row r="44" spans="1:2">
      <c r="A44" s="11">
        <f>Returns!A44</f>
        <v>0</v>
      </c>
      <c r="B44" s="1">
        <f>SUM(Portfolios!$B$2:$B$44)</f>
        <v>0</v>
      </c>
    </row>
    <row r="45" spans="1:2">
      <c r="A45" s="11">
        <f>Returns!A45</f>
        <v>0</v>
      </c>
      <c r="B45" s="1">
        <f>SUM(Portfolios!$B$2:$B$45)</f>
        <v>0</v>
      </c>
    </row>
    <row r="46" spans="1:2">
      <c r="A46" s="11">
        <f>Returns!A46</f>
        <v>0</v>
      </c>
      <c r="B46" s="1">
        <f>SUM(Portfolios!$B$2:$B$46)</f>
        <v>0</v>
      </c>
    </row>
    <row r="47" spans="1:2">
      <c r="A47" s="11">
        <f>Returns!A47</f>
        <v>0</v>
      </c>
      <c r="B47" s="1">
        <f>SUM(Portfolios!$B$2:$B$47)</f>
        <v>0</v>
      </c>
    </row>
    <row r="48" spans="1:2">
      <c r="A48" s="11">
        <f>Returns!A48</f>
        <v>0</v>
      </c>
      <c r="B48" s="1">
        <f>SUM(Portfolios!$B$2:$B$48)</f>
        <v>0</v>
      </c>
    </row>
    <row r="49" spans="1:2">
      <c r="A49" s="11">
        <f>Returns!A49</f>
        <v>0</v>
      </c>
      <c r="B49" s="1">
        <f>SUM(Portfolios!$B$2:$B$49)</f>
        <v>0</v>
      </c>
    </row>
    <row r="50" spans="1:2">
      <c r="A50" s="11">
        <f>Returns!A50</f>
        <v>0</v>
      </c>
      <c r="B50" s="1">
        <f>SUM(Portfolios!$B$2:$B$50)</f>
        <v>0</v>
      </c>
    </row>
    <row r="51" spans="1:2">
      <c r="A51" s="11">
        <f>Returns!A51</f>
        <v>0</v>
      </c>
      <c r="B51" s="1">
        <f>SUM(Portfolios!$B$2:$B$51)</f>
        <v>0</v>
      </c>
    </row>
    <row r="52" spans="1:2">
      <c r="A52" s="11">
        <f>Returns!A52</f>
        <v>0</v>
      </c>
      <c r="B52" s="1">
        <f>SUM(Portfolios!$B$2:$B$52)</f>
        <v>0</v>
      </c>
    </row>
    <row r="53" spans="1:2">
      <c r="A53" s="11">
        <f>Returns!A53</f>
        <v>0</v>
      </c>
      <c r="B53" s="1">
        <f>SUM(Portfolios!$B$2:$B$53)</f>
        <v>0</v>
      </c>
    </row>
    <row r="54" spans="1:2">
      <c r="A54" s="11">
        <f>Returns!A54</f>
        <v>0</v>
      </c>
      <c r="B54" s="1">
        <f>SUM(Portfolios!$B$2:$B$54)</f>
        <v>0</v>
      </c>
    </row>
    <row r="55" spans="1:2">
      <c r="A55" s="11">
        <f>Returns!A55</f>
        <v>0</v>
      </c>
      <c r="B55" s="1">
        <f>SUM(Portfolios!$B$2:$B$55)</f>
        <v>0</v>
      </c>
    </row>
    <row r="56" spans="1:2">
      <c r="A56" s="11">
        <f>Returns!A56</f>
        <v>0</v>
      </c>
      <c r="B56" s="1">
        <f>SUM(Portfolios!$B$2:$B$56)</f>
        <v>0</v>
      </c>
    </row>
    <row r="57" spans="1:2">
      <c r="A57" s="11">
        <f>Returns!A57</f>
        <v>0</v>
      </c>
      <c r="B57" s="1">
        <f>SUM(Portfolios!$B$2:$B$57)</f>
        <v>0</v>
      </c>
    </row>
    <row r="58" spans="1:2">
      <c r="A58" s="11">
        <f>Returns!A58</f>
        <v>0</v>
      </c>
      <c r="B58" s="1">
        <f>SUM(Portfolios!$B$2:$B$58)</f>
        <v>0</v>
      </c>
    </row>
    <row r="59" spans="1:2">
      <c r="A59" s="11">
        <f>Returns!A59</f>
        <v>0</v>
      </c>
      <c r="B59" s="1">
        <f>SUM(Portfolios!$B$2:$B$59)</f>
        <v>0</v>
      </c>
    </row>
    <row r="60" spans="1:2">
      <c r="A60" s="11">
        <f>Returns!A60</f>
        <v>0</v>
      </c>
      <c r="B60" s="1">
        <f>SUM(Portfolios!$B$2:$B$60)</f>
        <v>0</v>
      </c>
    </row>
    <row r="61" spans="1:2">
      <c r="A61" s="11">
        <f>Returns!A61</f>
        <v>0</v>
      </c>
      <c r="B61" s="1">
        <f>SUM(Portfolios!$B$2:$B$61)</f>
        <v>0</v>
      </c>
    </row>
    <row r="62" spans="1:2">
      <c r="A62" s="11">
        <f>Returns!A62</f>
        <v>0</v>
      </c>
      <c r="B62" s="1">
        <f>SUM(Portfolios!$B$2:$B$62)</f>
        <v>0</v>
      </c>
    </row>
    <row r="63" spans="1:2">
      <c r="A63" s="11">
        <f>Returns!A63</f>
        <v>0</v>
      </c>
      <c r="B63" s="1">
        <f>SUM(Portfolios!$B$2:$B$63)</f>
        <v>0</v>
      </c>
    </row>
    <row r="64" spans="1:2">
      <c r="A64" s="11">
        <f>Returns!A64</f>
        <v>0</v>
      </c>
      <c r="B64" s="1">
        <f>SUM(Portfolios!$B$2:$B$64)</f>
        <v>0</v>
      </c>
    </row>
    <row r="65" spans="1:2">
      <c r="A65" s="11">
        <f>Returns!A65</f>
        <v>0</v>
      </c>
      <c r="B65" s="1">
        <f>SUM(Portfolios!$B$2:$B$65)</f>
        <v>0</v>
      </c>
    </row>
    <row r="66" spans="1:2">
      <c r="A66" s="11">
        <f>Returns!A66</f>
        <v>0</v>
      </c>
      <c r="B66" s="1">
        <f>SUM(Portfolios!$B$2:$B$66)</f>
        <v>0</v>
      </c>
    </row>
    <row r="67" spans="1:2">
      <c r="A67" s="11">
        <f>Returns!A67</f>
        <v>0</v>
      </c>
      <c r="B67" s="1">
        <f>SUM(Portfolios!$B$2:$B$67)</f>
        <v>0</v>
      </c>
    </row>
    <row r="68" spans="1:2">
      <c r="A68" s="11">
        <f>Returns!A68</f>
        <v>0</v>
      </c>
      <c r="B68" s="1">
        <f>SUM(Portfolios!$B$2:$B$68)</f>
        <v>0</v>
      </c>
    </row>
    <row r="69" spans="1:2">
      <c r="A69" s="11">
        <f>Returns!A69</f>
        <v>0</v>
      </c>
      <c r="B69" s="1">
        <f>SUM(Portfolios!$B$2:$B$69)</f>
        <v>0</v>
      </c>
    </row>
    <row r="70" spans="1:2">
      <c r="A70" s="11">
        <f>Returns!A70</f>
        <v>0</v>
      </c>
      <c r="B70" s="1">
        <f>SUM(Portfolios!$B$2:$B$70)</f>
        <v>0</v>
      </c>
    </row>
    <row r="71" spans="1:2">
      <c r="A71" s="11">
        <f>Returns!A71</f>
        <v>0</v>
      </c>
      <c r="B71" s="1">
        <f>SUM(Portfolios!$B$2:$B$71)</f>
        <v>0</v>
      </c>
    </row>
    <row r="72" spans="1:2">
      <c r="A72" s="11">
        <f>Returns!A72</f>
        <v>0</v>
      </c>
      <c r="B72" s="1">
        <f>SUM(Portfolios!$B$2:$B$72)</f>
        <v>0</v>
      </c>
    </row>
    <row r="73" spans="1:2">
      <c r="A73" s="11">
        <f>Returns!A73</f>
        <v>0</v>
      </c>
      <c r="B73" s="1">
        <f>SUM(Portfolios!$B$2:$B$73)</f>
        <v>0</v>
      </c>
    </row>
    <row r="74" spans="1:2">
      <c r="A74" s="11">
        <f>Returns!A74</f>
        <v>0</v>
      </c>
      <c r="B74" s="1">
        <f>SUM(Portfolios!$B$2:$B$74)</f>
        <v>0</v>
      </c>
    </row>
    <row r="75" spans="1:2">
      <c r="A75" s="11">
        <f>Returns!A75</f>
        <v>0</v>
      </c>
      <c r="B75" s="1">
        <f>SUM(Portfolios!$B$2:$B$75)</f>
        <v>0</v>
      </c>
    </row>
    <row r="76" spans="1:2">
      <c r="A76" s="11">
        <f>Returns!A76</f>
        <v>0</v>
      </c>
      <c r="B76" s="1">
        <f>SUM(Portfolios!$B$2:$B$76)</f>
        <v>0</v>
      </c>
    </row>
    <row r="77" spans="1:2">
      <c r="A77" s="11">
        <f>Returns!A77</f>
        <v>0</v>
      </c>
      <c r="B77" s="1">
        <f>SUM(Portfolios!$B$2:$B$77)</f>
        <v>0</v>
      </c>
    </row>
    <row r="78" spans="1:2">
      <c r="A78" s="11">
        <f>Returns!A78</f>
        <v>0</v>
      </c>
      <c r="B78" s="1">
        <f>SUM(Portfolios!$B$2:$B$78)</f>
        <v>0</v>
      </c>
    </row>
    <row r="79" spans="1:2">
      <c r="A79" s="11">
        <f>Returns!A79</f>
        <v>0</v>
      </c>
      <c r="B79" s="1">
        <f>SUM(Portfolios!$B$2:$B$79)</f>
        <v>0</v>
      </c>
    </row>
    <row r="80" spans="1:2">
      <c r="A80" s="11">
        <f>Returns!A80</f>
        <v>0</v>
      </c>
      <c r="B80" s="1">
        <f>SUM(Portfolios!$B$2:$B$80)</f>
        <v>0</v>
      </c>
    </row>
    <row r="81" spans="1:2">
      <c r="A81" s="11">
        <f>Returns!A81</f>
        <v>0</v>
      </c>
      <c r="B81" s="1">
        <f>SUM(Portfolios!$B$2:$B$81)</f>
        <v>0</v>
      </c>
    </row>
    <row r="82" spans="1:2">
      <c r="A82" s="11">
        <f>Returns!A82</f>
        <v>0</v>
      </c>
      <c r="B82" s="1">
        <f>SUM(Portfolios!$B$2:$B$82)</f>
        <v>0</v>
      </c>
    </row>
    <row r="83" spans="1:2">
      <c r="A83" s="11">
        <f>Returns!A83</f>
        <v>0</v>
      </c>
      <c r="B83" s="1">
        <f>SUM(Portfolios!$B$2:$B$83)</f>
        <v>0</v>
      </c>
    </row>
    <row r="84" spans="1:2">
      <c r="A84" s="11">
        <f>Returns!A84</f>
        <v>0</v>
      </c>
      <c r="B84" s="1">
        <f>SUM(Portfolios!$B$2:$B$84)</f>
        <v>0</v>
      </c>
    </row>
    <row r="85" spans="1:2">
      <c r="A85" s="11">
        <f>Returns!A85</f>
        <v>0</v>
      </c>
      <c r="B85" s="1">
        <f>SUM(Portfolios!$B$2:$B$85)</f>
        <v>0</v>
      </c>
    </row>
    <row r="86" spans="1:2">
      <c r="A86" s="11">
        <f>Returns!A86</f>
        <v>0</v>
      </c>
      <c r="B86" s="1">
        <f>SUM(Portfolios!$B$2:$B$86)</f>
        <v>0</v>
      </c>
    </row>
    <row r="87" spans="1:2">
      <c r="A87" s="11">
        <f>Returns!A87</f>
        <v>0</v>
      </c>
      <c r="B87" s="1">
        <f>SUM(Portfolios!$B$2:$B$87)</f>
        <v>0</v>
      </c>
    </row>
    <row r="88" spans="1:2">
      <c r="A88" s="11">
        <f>Returns!A88</f>
        <v>0</v>
      </c>
      <c r="B88" s="1">
        <f>SUM(Portfolios!$B$2:$B$88)</f>
        <v>0</v>
      </c>
    </row>
    <row r="89" spans="1:2">
      <c r="A89" s="11">
        <f>Returns!A89</f>
        <v>0</v>
      </c>
      <c r="B89" s="1">
        <f>SUM(Portfolios!$B$2:$B$89)</f>
        <v>0</v>
      </c>
    </row>
    <row r="90" spans="1:2">
      <c r="A90" s="11">
        <f>Returns!A90</f>
        <v>0</v>
      </c>
      <c r="B90" s="1">
        <f>SUM(Portfolios!$B$2:$B$90)</f>
        <v>0</v>
      </c>
    </row>
    <row r="91" spans="1:2">
      <c r="A91" s="11">
        <f>Returns!A91</f>
        <v>0</v>
      </c>
      <c r="B91" s="1">
        <f>SUM(Portfolios!$B$2:$B$91)</f>
        <v>0</v>
      </c>
    </row>
    <row r="92" spans="1:2">
      <c r="A92" s="11">
        <f>Returns!A92</f>
        <v>0</v>
      </c>
      <c r="B92" s="1">
        <f>SUM(Portfolios!$B$2:$B$92)</f>
        <v>0</v>
      </c>
    </row>
    <row r="93" spans="1:2">
      <c r="A93" s="11">
        <f>Returns!A93</f>
        <v>0</v>
      </c>
      <c r="B93" s="1">
        <f>SUM(Portfolios!$B$2:$B$93)</f>
        <v>0</v>
      </c>
    </row>
    <row r="94" spans="1:2">
      <c r="A94" s="11">
        <f>Returns!A94</f>
        <v>0</v>
      </c>
      <c r="B94" s="1">
        <f>SUM(Portfolios!$B$2:$B$94)</f>
        <v>0</v>
      </c>
    </row>
    <row r="95" spans="1:2">
      <c r="A95" s="11">
        <f>Returns!A95</f>
        <v>0</v>
      </c>
      <c r="B95" s="1">
        <f>SUM(Portfolios!$B$2:$B$95)</f>
        <v>0</v>
      </c>
    </row>
    <row r="96" spans="1:2">
      <c r="A96" s="11">
        <f>Returns!A96</f>
        <v>0</v>
      </c>
      <c r="B96" s="1">
        <f>SUM(Portfolios!$B$2:$B$96)</f>
        <v>0</v>
      </c>
    </row>
    <row r="97" spans="1:2">
      <c r="A97" s="11">
        <f>Returns!A97</f>
        <v>0</v>
      </c>
      <c r="B97" s="1">
        <f>SUM(Portfolios!$B$2:$B$97)</f>
        <v>0</v>
      </c>
    </row>
    <row r="98" spans="1:2">
      <c r="A98" s="11">
        <f>Returns!A98</f>
        <v>0</v>
      </c>
      <c r="B98" s="1">
        <f>SUM(Portfolios!$B$2:$B$98)</f>
        <v>0</v>
      </c>
    </row>
    <row r="99" spans="1:2">
      <c r="A99" s="11">
        <f>Returns!A99</f>
        <v>0</v>
      </c>
      <c r="B99" s="1">
        <f>SUM(Portfolios!$B$2:$B$99)</f>
        <v>0</v>
      </c>
    </row>
    <row r="100" spans="1:2">
      <c r="A100" s="11">
        <f>Returns!A100</f>
        <v>0</v>
      </c>
      <c r="B100" s="1">
        <f>SUM(Portfolios!$B$2:$B$100)</f>
        <v>0</v>
      </c>
    </row>
    <row r="101" spans="1:2">
      <c r="A101" s="11">
        <f>Returns!A101</f>
        <v>0</v>
      </c>
      <c r="B101" s="1">
        <f>SUM(Portfolios!$B$2:$B$101)</f>
        <v>0</v>
      </c>
    </row>
    <row r="102" spans="1:2">
      <c r="A102" s="11">
        <f>Returns!A102</f>
        <v>0</v>
      </c>
      <c r="B102" s="1">
        <f>SUM(Portfolios!$B$2:$B$102)</f>
        <v>0</v>
      </c>
    </row>
    <row r="103" spans="1:2">
      <c r="A103" s="11">
        <f>Returns!A103</f>
        <v>0</v>
      </c>
      <c r="B103" s="1">
        <f>SUM(Portfolios!$B$2:$B$103)</f>
        <v>0</v>
      </c>
    </row>
    <row r="104" spans="1:2">
      <c r="A104" s="11">
        <f>Returns!A104</f>
        <v>0</v>
      </c>
      <c r="B104" s="1">
        <f>SUM(Portfolios!$B$2:$B$104)</f>
        <v>0</v>
      </c>
    </row>
    <row r="105" spans="1:2">
      <c r="A105" s="11">
        <f>Returns!A105</f>
        <v>0</v>
      </c>
      <c r="B105" s="1">
        <f>SUM(Portfolios!$B$2:$B$105)</f>
        <v>0</v>
      </c>
    </row>
    <row r="106" spans="1:2">
      <c r="A106" s="11">
        <f>Returns!A106</f>
        <v>0</v>
      </c>
      <c r="B106" s="1">
        <f>SUM(Portfolios!$B$2:$B$106)</f>
        <v>0</v>
      </c>
    </row>
    <row r="107" spans="1:2">
      <c r="A107" s="11">
        <f>Returns!A107</f>
        <v>0</v>
      </c>
      <c r="B107" s="1">
        <f>SUM(Portfolios!$B$2:$B$107)</f>
        <v>0</v>
      </c>
    </row>
    <row r="108" spans="1:2">
      <c r="A108" s="11">
        <f>Returns!A108</f>
        <v>0</v>
      </c>
      <c r="B108" s="1">
        <f>SUM(Portfolios!$B$2:$B$108)</f>
        <v>0</v>
      </c>
    </row>
    <row r="109" spans="1:2">
      <c r="A109" s="11">
        <f>Returns!A109</f>
        <v>0</v>
      </c>
      <c r="B109" s="1">
        <f>SUM(Portfolios!$B$2:$B$109)</f>
        <v>0</v>
      </c>
    </row>
    <row r="110" spans="1:2">
      <c r="A110" s="11">
        <f>Returns!A110</f>
        <v>0</v>
      </c>
      <c r="B110" s="1">
        <f>SUM(Portfolios!$B$2:$B$110)</f>
        <v>0</v>
      </c>
    </row>
    <row r="111" spans="1:2">
      <c r="A111" s="11">
        <f>Returns!A111</f>
        <v>0</v>
      </c>
      <c r="B111" s="1">
        <f>SUM(Portfolios!$B$2:$B$111)</f>
        <v>0</v>
      </c>
    </row>
    <row r="112" spans="1:2">
      <c r="A112" s="11">
        <f>Returns!A112</f>
        <v>0</v>
      </c>
      <c r="B112" s="1">
        <f>SUM(Portfolios!$B$2:$B$112)</f>
        <v>0</v>
      </c>
    </row>
    <row r="113" spans="1:2">
      <c r="A113" s="11">
        <f>Returns!A113</f>
        <v>0</v>
      </c>
      <c r="B113" s="1">
        <f>SUM(Portfolios!$B$2:$B$113)</f>
        <v>0</v>
      </c>
    </row>
    <row r="114" spans="1:2">
      <c r="A114" s="11">
        <f>Returns!A114</f>
        <v>0</v>
      </c>
      <c r="B114" s="1">
        <f>SUM(Portfolios!$B$2:$B$114)</f>
        <v>0</v>
      </c>
    </row>
    <row r="115" spans="1:2">
      <c r="A115" s="11">
        <f>Returns!A115</f>
        <v>0</v>
      </c>
      <c r="B115" s="1">
        <f>SUM(Portfolios!$B$2:$B$115)</f>
        <v>0</v>
      </c>
    </row>
    <row r="116" spans="1:2">
      <c r="A116" s="11">
        <f>Returns!A116</f>
        <v>0</v>
      </c>
      <c r="B116" s="1">
        <f>SUM(Portfolios!$B$2:$B$116)</f>
        <v>0</v>
      </c>
    </row>
    <row r="117" spans="1:2">
      <c r="A117" s="11">
        <f>Returns!A117</f>
        <v>0</v>
      </c>
      <c r="B117" s="1">
        <f>SUM(Portfolios!$B$2:$B$117)</f>
        <v>0</v>
      </c>
    </row>
    <row r="118" spans="1:2">
      <c r="A118" s="11">
        <f>Returns!A118</f>
        <v>0</v>
      </c>
      <c r="B118" s="1">
        <f>SUM(Portfolios!$B$2:$B$118)</f>
        <v>0</v>
      </c>
    </row>
    <row r="119" spans="1:2">
      <c r="A119" s="11">
        <f>Returns!A119</f>
        <v>0</v>
      </c>
      <c r="B119" s="1">
        <f>SUM(Portfolios!$B$2:$B$119)</f>
        <v>0</v>
      </c>
    </row>
    <row r="120" spans="1:2">
      <c r="A120" s="11">
        <f>Returns!A120</f>
        <v>0</v>
      </c>
      <c r="B120" s="1">
        <f>SUM(Portfolios!$B$2:$B$120)</f>
        <v>0</v>
      </c>
    </row>
    <row r="121" spans="1:2">
      <c r="A121" s="11">
        <f>Returns!A121</f>
        <v>0</v>
      </c>
      <c r="B121" s="1">
        <f>SUM(Portfolios!$B$2:$B$121)</f>
        <v>0</v>
      </c>
    </row>
    <row r="122" spans="1:2">
      <c r="A122" s="11">
        <f>Returns!A122</f>
        <v>0</v>
      </c>
      <c r="B122" s="1">
        <f>SUM(Portfolios!$B$2:$B$122)</f>
        <v>0</v>
      </c>
    </row>
    <row r="123" spans="1:2">
      <c r="A123" s="11">
        <f>Returns!A123</f>
        <v>0</v>
      </c>
      <c r="B123" s="1">
        <f>SUM(Portfolios!$B$2:$B$123)</f>
        <v>0</v>
      </c>
    </row>
    <row r="124" spans="1:2">
      <c r="A124" s="11">
        <f>Returns!A124</f>
        <v>0</v>
      </c>
      <c r="B124" s="1">
        <f>SUM(Portfolios!$B$2:$B$124)</f>
        <v>0</v>
      </c>
    </row>
    <row r="125" spans="1:2">
      <c r="A125" s="11">
        <f>Returns!A125</f>
        <v>0</v>
      </c>
      <c r="B125" s="1">
        <f>SUM(Portfolios!$B$2:$B$125)</f>
        <v>0</v>
      </c>
    </row>
    <row r="126" spans="1:2">
      <c r="A126" s="11">
        <f>Returns!A126</f>
        <v>0</v>
      </c>
      <c r="B126" s="1">
        <f>SUM(Portfolios!$B$2:$B$126)</f>
        <v>0</v>
      </c>
    </row>
    <row r="127" spans="1:2">
      <c r="A127" s="11">
        <f>Returns!A127</f>
        <v>0</v>
      </c>
      <c r="B127" s="1">
        <f>SUM(Portfolios!$B$2:$B$127)</f>
        <v>0</v>
      </c>
    </row>
    <row r="128" spans="1:2">
      <c r="A128" s="11">
        <f>Returns!A128</f>
        <v>0</v>
      </c>
      <c r="B128" s="1">
        <f>SUM(Portfolios!$B$2:$B$128)</f>
        <v>0</v>
      </c>
    </row>
    <row r="129" spans="1:2">
      <c r="A129" s="11">
        <f>Returns!A129</f>
        <v>0</v>
      </c>
      <c r="B129" s="1">
        <f>SUM(Portfolios!$B$2:$B$129)</f>
        <v>0</v>
      </c>
    </row>
    <row r="130" spans="1:2">
      <c r="A130" s="11">
        <f>Returns!A130</f>
        <v>0</v>
      </c>
      <c r="B130" s="1">
        <f>SUM(Portfolios!$B$2:$B$130)</f>
        <v>0</v>
      </c>
    </row>
    <row r="131" spans="1:2">
      <c r="A131" s="11">
        <f>Returns!A131</f>
        <v>0</v>
      </c>
      <c r="B131" s="1">
        <f>SUM(Portfolios!$B$2:$B$131)</f>
        <v>0</v>
      </c>
    </row>
    <row r="132" spans="1:2">
      <c r="A132" s="11">
        <f>Returns!A132</f>
        <v>0</v>
      </c>
      <c r="B132" s="1">
        <f>SUM(Portfolios!$B$2:$B$132)</f>
        <v>0</v>
      </c>
    </row>
    <row r="133" spans="1:2">
      <c r="A133" s="11">
        <f>Returns!A133</f>
        <v>0</v>
      </c>
      <c r="B133" s="1">
        <f>SUM(Portfolios!$B$2:$B$133)</f>
        <v>0</v>
      </c>
    </row>
    <row r="134" spans="1:2">
      <c r="A134" s="11">
        <f>Returns!A134</f>
        <v>0</v>
      </c>
      <c r="B134" s="1">
        <f>SUM(Portfolios!$B$2:$B$134)</f>
        <v>0</v>
      </c>
    </row>
    <row r="135" spans="1:2">
      <c r="A135" s="11">
        <f>Returns!A135</f>
        <v>0</v>
      </c>
      <c r="B135" s="1">
        <f>SUM(Portfolios!$B$2:$B$135)</f>
        <v>0</v>
      </c>
    </row>
    <row r="136" spans="1:2">
      <c r="A136" s="11">
        <f>Returns!A136</f>
        <v>0</v>
      </c>
      <c r="B136" s="1">
        <f>SUM(Portfolios!$B$2:$B$136)</f>
        <v>0</v>
      </c>
    </row>
    <row r="137" spans="1:2">
      <c r="A137" s="11">
        <f>Returns!A137</f>
        <v>0</v>
      </c>
      <c r="B137" s="1">
        <f>SUM(Portfolios!$B$2:$B$137)</f>
        <v>0</v>
      </c>
    </row>
    <row r="138" spans="1:2">
      <c r="A138" s="11">
        <f>Returns!A138</f>
        <v>0</v>
      </c>
      <c r="B138" s="1">
        <f>SUM(Portfolios!$B$2:$B$138)</f>
        <v>0</v>
      </c>
    </row>
    <row r="139" spans="1:2">
      <c r="A139" s="11">
        <f>Returns!A139</f>
        <v>0</v>
      </c>
      <c r="B139" s="1">
        <f>SUM(Portfolios!$B$2:$B$139)</f>
        <v>0</v>
      </c>
    </row>
    <row r="140" spans="1:2">
      <c r="A140" s="11">
        <f>Returns!A140</f>
        <v>0</v>
      </c>
      <c r="B140" s="1">
        <f>SUM(Portfolios!$B$2:$B$140)</f>
        <v>0</v>
      </c>
    </row>
    <row r="141" spans="1:2">
      <c r="A141" s="11">
        <f>Returns!A141</f>
        <v>0</v>
      </c>
      <c r="B141" s="1">
        <f>SUM(Portfolios!$B$2:$B$141)</f>
        <v>0</v>
      </c>
    </row>
    <row r="142" spans="1:2">
      <c r="A142" s="11">
        <f>Returns!A142</f>
        <v>0</v>
      </c>
      <c r="B142" s="1">
        <f>SUM(Portfolios!$B$2:$B$142)</f>
        <v>0</v>
      </c>
    </row>
    <row r="143" spans="1:2">
      <c r="A143" s="11">
        <f>Returns!A143</f>
        <v>0</v>
      </c>
      <c r="B143" s="1">
        <f>SUM(Portfolios!$B$2:$B$143)</f>
        <v>0</v>
      </c>
    </row>
    <row r="144" spans="1:2">
      <c r="A144" s="11">
        <f>Returns!A144</f>
        <v>0</v>
      </c>
      <c r="B144" s="1">
        <f>SUM(Portfolios!$B$2:$B$144)</f>
        <v>0</v>
      </c>
    </row>
    <row r="145" spans="1:2">
      <c r="A145" s="11">
        <f>Returns!A145</f>
        <v>0</v>
      </c>
      <c r="B145" s="1">
        <f>SUM(Portfolios!$B$2:$B$145)</f>
        <v>0</v>
      </c>
    </row>
    <row r="146" spans="1:2">
      <c r="A146" s="11">
        <f>Returns!A146</f>
        <v>0</v>
      </c>
      <c r="B146" s="1">
        <f>SUM(Portfolios!$B$2:$B$146)</f>
        <v>0</v>
      </c>
    </row>
    <row r="147" spans="1:2">
      <c r="A147" s="11">
        <f>Returns!A147</f>
        <v>0</v>
      </c>
      <c r="B147" s="1">
        <f>SUM(Portfolios!$B$2:$B$147)</f>
        <v>0</v>
      </c>
    </row>
    <row r="148" spans="1:2">
      <c r="A148" s="11">
        <f>Returns!A148</f>
        <v>0</v>
      </c>
      <c r="B148" s="1">
        <f>SUM(Portfolios!$B$2:$B$148)</f>
        <v>0</v>
      </c>
    </row>
    <row r="149" spans="1:2">
      <c r="A149" s="11">
        <f>Returns!A149</f>
        <v>0</v>
      </c>
      <c r="B149" s="1">
        <f>SUM(Portfolios!$B$2:$B$149)</f>
        <v>0</v>
      </c>
    </row>
    <row r="150" spans="1:2">
      <c r="A150" s="11">
        <f>Returns!A150</f>
        <v>0</v>
      </c>
      <c r="B150" s="1">
        <f>SUM(Portfolios!$B$2:$B$150)</f>
        <v>0</v>
      </c>
    </row>
    <row r="151" spans="1:2">
      <c r="A151" s="11">
        <f>Returns!A151</f>
        <v>0</v>
      </c>
      <c r="B151" s="1">
        <f>SUM(Portfolios!$B$2:$B$151)</f>
        <v>0</v>
      </c>
    </row>
    <row r="152" spans="1:2">
      <c r="A152" s="11">
        <f>Returns!A152</f>
        <v>0</v>
      </c>
      <c r="B152" s="1">
        <f>SUM(Portfolios!$B$2:$B$152)</f>
        <v>0</v>
      </c>
    </row>
    <row r="153" spans="1:2">
      <c r="A153" s="11">
        <f>Returns!A153</f>
        <v>0</v>
      </c>
      <c r="B153" s="1">
        <f>SUM(Portfolios!$B$2:$B$153)</f>
        <v>0</v>
      </c>
    </row>
    <row r="154" spans="1:2">
      <c r="A154" s="11">
        <f>Returns!A154</f>
        <v>0</v>
      </c>
      <c r="B154" s="1">
        <f>SUM(Portfolios!$B$2:$B$154)</f>
        <v>0</v>
      </c>
    </row>
    <row r="155" spans="1:2">
      <c r="A155" s="11">
        <f>Returns!A155</f>
        <v>0</v>
      </c>
      <c r="B155" s="1">
        <f>SUM(Portfolios!$B$2:$B$155)</f>
        <v>0</v>
      </c>
    </row>
    <row r="156" spans="1:2">
      <c r="A156" s="11">
        <f>Returns!A156</f>
        <v>0</v>
      </c>
      <c r="B156" s="1">
        <f>SUM(Portfolios!$B$2:$B$156)</f>
        <v>0</v>
      </c>
    </row>
    <row r="157" spans="1:2">
      <c r="A157" s="11">
        <f>Returns!A157</f>
        <v>0</v>
      </c>
      <c r="B157" s="1">
        <f>SUM(Portfolios!$B$2:$B$157)</f>
        <v>0</v>
      </c>
    </row>
    <row r="158" spans="1:2">
      <c r="A158" s="11">
        <f>Returns!A158</f>
        <v>0</v>
      </c>
      <c r="B158" s="1">
        <f>SUM(Portfolios!$B$2:$B$158)</f>
        <v>0</v>
      </c>
    </row>
    <row r="159" spans="1:2">
      <c r="A159" s="11">
        <f>Returns!A159</f>
        <v>0</v>
      </c>
      <c r="B159" s="1">
        <f>SUM(Portfolios!$B$2:$B$159)</f>
        <v>0</v>
      </c>
    </row>
    <row r="160" spans="1:2">
      <c r="A160" s="11">
        <f>Returns!A160</f>
        <v>0</v>
      </c>
      <c r="B160" s="1">
        <f>SUM(Portfolios!$B$2:$B$160)</f>
        <v>0</v>
      </c>
    </row>
    <row r="161" spans="1:2">
      <c r="A161" s="11">
        <f>Returns!A161</f>
        <v>0</v>
      </c>
      <c r="B161" s="1">
        <f>SUM(Portfolios!$B$2:$B$161)</f>
        <v>0</v>
      </c>
    </row>
    <row r="162" spans="1:2">
      <c r="A162" s="11">
        <f>Returns!A162</f>
        <v>0</v>
      </c>
      <c r="B162" s="1">
        <f>SUM(Portfolios!$B$2:$B$162)</f>
        <v>0</v>
      </c>
    </row>
    <row r="163" spans="1:2">
      <c r="A163" s="11">
        <f>Returns!A163</f>
        <v>0</v>
      </c>
      <c r="B163" s="1">
        <f>SUM(Portfolios!$B$2:$B$163)</f>
        <v>0</v>
      </c>
    </row>
    <row r="164" spans="1:2">
      <c r="A164" s="11">
        <f>Returns!A164</f>
        <v>0</v>
      </c>
      <c r="B164" s="1">
        <f>SUM(Portfolios!$B$2:$B$164)</f>
        <v>0</v>
      </c>
    </row>
    <row r="165" spans="1:2">
      <c r="A165" s="11">
        <f>Returns!A165</f>
        <v>0</v>
      </c>
      <c r="B165" s="1">
        <f>SUM(Portfolios!$B$2:$B$165)</f>
        <v>0</v>
      </c>
    </row>
    <row r="166" spans="1:2">
      <c r="A166" s="11">
        <f>Returns!A166</f>
        <v>0</v>
      </c>
      <c r="B166" s="1">
        <f>SUM(Portfolios!$B$2:$B$166)</f>
        <v>0</v>
      </c>
    </row>
    <row r="167" spans="1:2">
      <c r="A167" s="11">
        <f>Returns!A167</f>
        <v>0</v>
      </c>
      <c r="B167" s="1">
        <f>SUM(Portfolios!$B$2:$B$167)</f>
        <v>0</v>
      </c>
    </row>
    <row r="168" spans="1:2">
      <c r="A168" s="11">
        <f>Returns!A168</f>
        <v>0</v>
      </c>
      <c r="B168" s="1">
        <f>SUM(Portfolios!$B$2:$B$168)</f>
        <v>0</v>
      </c>
    </row>
    <row r="169" spans="1:2">
      <c r="A169" s="11">
        <f>Returns!A169</f>
        <v>0</v>
      </c>
      <c r="B169" s="1">
        <f>SUM(Portfolios!$B$2:$B$169)</f>
        <v>0</v>
      </c>
    </row>
    <row r="170" spans="1:2">
      <c r="A170" s="11">
        <f>Returns!A170</f>
        <v>0</v>
      </c>
      <c r="B170" s="1">
        <f>SUM(Portfolios!$B$2:$B$170)</f>
        <v>0</v>
      </c>
    </row>
    <row r="171" spans="1:2">
      <c r="A171" s="11">
        <f>Returns!A171</f>
        <v>0</v>
      </c>
      <c r="B171" s="1">
        <f>SUM(Portfolios!$B$2:$B$171)</f>
        <v>0</v>
      </c>
    </row>
    <row r="172" spans="1:2">
      <c r="A172" s="11">
        <f>Returns!A172</f>
        <v>0</v>
      </c>
      <c r="B172" s="1">
        <f>SUM(Portfolios!$B$2:$B$172)</f>
        <v>0</v>
      </c>
    </row>
    <row r="173" spans="1:2">
      <c r="A173" s="11">
        <f>Returns!A173</f>
        <v>0</v>
      </c>
      <c r="B173" s="1">
        <f>SUM(Portfolios!$B$2:$B$173)</f>
        <v>0</v>
      </c>
    </row>
    <row r="174" spans="1:2">
      <c r="A174" s="11">
        <f>Returns!A174</f>
        <v>0</v>
      </c>
      <c r="B174" s="1">
        <f>SUM(Portfolios!$B$2:$B$174)</f>
        <v>0</v>
      </c>
    </row>
    <row r="175" spans="1:2">
      <c r="A175" s="11">
        <f>Returns!A175</f>
        <v>0</v>
      </c>
      <c r="B175" s="1">
        <f>SUM(Portfolios!$B$2:$B$175)</f>
        <v>0</v>
      </c>
    </row>
    <row r="176" spans="1:2">
      <c r="A176" s="11">
        <f>Returns!A176</f>
        <v>0</v>
      </c>
      <c r="B176" s="1">
        <f>SUM(Portfolios!$B$2:$B$176)</f>
        <v>0</v>
      </c>
    </row>
    <row r="177" spans="1:2">
      <c r="A177" s="11">
        <f>Returns!A177</f>
        <v>0</v>
      </c>
      <c r="B177" s="1">
        <f>SUM(Portfolios!$B$2:$B$177)</f>
        <v>0</v>
      </c>
    </row>
    <row r="178" spans="1:2">
      <c r="A178" s="11">
        <f>Returns!A178</f>
        <v>0</v>
      </c>
      <c r="B178" s="1">
        <f>SUM(Portfolios!$B$2:$B$178)</f>
        <v>0</v>
      </c>
    </row>
    <row r="179" spans="1:2">
      <c r="A179" s="11">
        <f>Returns!A179</f>
        <v>0</v>
      </c>
      <c r="B179" s="1">
        <f>SUM(Portfolios!$B$2:$B$179)</f>
        <v>0</v>
      </c>
    </row>
    <row r="180" spans="1:2">
      <c r="A180" s="11">
        <f>Returns!A180</f>
        <v>0</v>
      </c>
      <c r="B180" s="1">
        <f>SUM(Portfolios!$B$2:$B$180)</f>
        <v>0</v>
      </c>
    </row>
    <row r="181" spans="1:2">
      <c r="A181" s="11">
        <f>Returns!A181</f>
        <v>0</v>
      </c>
      <c r="B181" s="1">
        <f>SUM(Portfolios!$B$2:$B$181)</f>
        <v>0</v>
      </c>
    </row>
    <row r="182" spans="1:2">
      <c r="A182" s="11">
        <f>Returns!A182</f>
        <v>0</v>
      </c>
      <c r="B182" s="1">
        <f>SUM(Portfolios!$B$2:$B$182)</f>
        <v>0</v>
      </c>
    </row>
    <row r="183" spans="1:2">
      <c r="A183" s="11">
        <f>Returns!A183</f>
        <v>0</v>
      </c>
      <c r="B183" s="1">
        <f>SUM(Portfolios!$B$2:$B$183)</f>
        <v>0</v>
      </c>
    </row>
    <row r="184" spans="1:2">
      <c r="A184" s="11">
        <f>Returns!A184</f>
        <v>0</v>
      </c>
      <c r="B184" s="1">
        <f>SUM(Portfolios!$B$2:$B$184)</f>
        <v>0</v>
      </c>
    </row>
    <row r="185" spans="1:2">
      <c r="A185" s="11">
        <f>Returns!A185</f>
        <v>0</v>
      </c>
      <c r="B185" s="1">
        <f>SUM(Portfolios!$B$2:$B$185)</f>
        <v>0</v>
      </c>
    </row>
    <row r="186" spans="1:2">
      <c r="A186" s="11">
        <f>Returns!A186</f>
        <v>0</v>
      </c>
      <c r="B186" s="1">
        <f>SUM(Portfolios!$B$2:$B$186)</f>
        <v>0</v>
      </c>
    </row>
    <row r="187" spans="1:2">
      <c r="A187" s="11">
        <f>Returns!A187</f>
        <v>0</v>
      </c>
      <c r="B187" s="1">
        <f>SUM(Portfolios!$B$2:$B$187)</f>
        <v>0</v>
      </c>
    </row>
    <row r="188" spans="1:2">
      <c r="A188" s="11">
        <f>Returns!A188</f>
        <v>0</v>
      </c>
      <c r="B188" s="1">
        <f>SUM(Portfolios!$B$2:$B$188)</f>
        <v>0</v>
      </c>
    </row>
    <row r="189" spans="1:2">
      <c r="A189" s="11">
        <f>Returns!A189</f>
        <v>0</v>
      </c>
      <c r="B189" s="1">
        <f>SUM(Portfolios!$B$2:$B$189)</f>
        <v>0</v>
      </c>
    </row>
    <row r="190" spans="1:2">
      <c r="A190" s="11">
        <f>Returns!A190</f>
        <v>0</v>
      </c>
      <c r="B190" s="1">
        <f>SUM(Portfolios!$B$2:$B$190)</f>
        <v>0</v>
      </c>
    </row>
    <row r="191" spans="1:2">
      <c r="A191" s="11">
        <f>Returns!A191</f>
        <v>0</v>
      </c>
      <c r="B191" s="1">
        <f>SUM(Portfolios!$B$2:$B$191)</f>
        <v>0</v>
      </c>
    </row>
    <row r="192" spans="1:2">
      <c r="A192" s="11">
        <f>Returns!A192</f>
        <v>0</v>
      </c>
      <c r="B192" s="1">
        <f>SUM(Portfolios!$B$2:$B$192)</f>
        <v>0</v>
      </c>
    </row>
    <row r="193" spans="1:2">
      <c r="A193" s="11">
        <f>Returns!A193</f>
        <v>0</v>
      </c>
      <c r="B193" s="1">
        <f>SUM(Portfolios!$B$2:$B$193)</f>
        <v>0</v>
      </c>
    </row>
    <row r="194" spans="1:2">
      <c r="A194" s="11">
        <f>Returns!A194</f>
        <v>0</v>
      </c>
      <c r="B194" s="1">
        <f>SUM(Portfolios!$B$2:$B$194)</f>
        <v>0</v>
      </c>
    </row>
    <row r="195" spans="1:2">
      <c r="A195" s="11">
        <f>Returns!A195</f>
        <v>0</v>
      </c>
      <c r="B195" s="1">
        <f>SUM(Portfolios!$B$2:$B$195)</f>
        <v>0</v>
      </c>
    </row>
    <row r="196" spans="1:2">
      <c r="A196" s="11">
        <f>Returns!A196</f>
        <v>0</v>
      </c>
      <c r="B196" s="1">
        <f>SUM(Portfolios!$B$2:$B$196)</f>
        <v>0</v>
      </c>
    </row>
    <row r="197" spans="1:2">
      <c r="A197" s="11">
        <f>Returns!A197</f>
        <v>0</v>
      </c>
      <c r="B197" s="1">
        <f>SUM(Portfolios!$B$2:$B$197)</f>
        <v>0</v>
      </c>
    </row>
    <row r="198" spans="1:2">
      <c r="A198" s="11">
        <f>Returns!A198</f>
        <v>0</v>
      </c>
      <c r="B198" s="1">
        <f>SUM(Portfolios!$B$2:$B$198)</f>
        <v>0</v>
      </c>
    </row>
    <row r="199" spans="1:2">
      <c r="A199" s="11">
        <f>Returns!A199</f>
        <v>0</v>
      </c>
      <c r="B199" s="1">
        <f>SUM(Portfolios!$B$2:$B$199)</f>
        <v>0</v>
      </c>
    </row>
    <row r="200" spans="1:2">
      <c r="A200" s="11">
        <f>Returns!A200</f>
        <v>0</v>
      </c>
      <c r="B200" s="1">
        <f>SUM(Portfolios!$B$2:$B$200)</f>
        <v>0</v>
      </c>
    </row>
    <row r="201" spans="1:2">
      <c r="A201" s="11">
        <f>Returns!A201</f>
        <v>0</v>
      </c>
      <c r="B201" s="1">
        <f>SUM(Portfolios!$B$2:$B$201)</f>
        <v>0</v>
      </c>
    </row>
    <row r="202" spans="1:2">
      <c r="A202" s="11">
        <f>Returns!A202</f>
        <v>0</v>
      </c>
      <c r="B202" s="1">
        <f>SUM(Portfolios!$B$2:$B$202)</f>
        <v>0</v>
      </c>
    </row>
    <row r="203" spans="1:2">
      <c r="A203" s="11">
        <f>Returns!A203</f>
        <v>0</v>
      </c>
      <c r="B203" s="1">
        <f>SUM(Portfolios!$B$2:$B$203)</f>
        <v>0</v>
      </c>
    </row>
    <row r="204" spans="1:2">
      <c r="A204" s="11">
        <f>Returns!A204</f>
        <v>0</v>
      </c>
      <c r="B204" s="1">
        <f>SUM(Portfolios!$B$2:$B$204)</f>
        <v>0</v>
      </c>
    </row>
    <row r="205" spans="1:2">
      <c r="A205" s="11">
        <f>Returns!A205</f>
        <v>0</v>
      </c>
      <c r="B205" s="1">
        <f>SUM(Portfolios!$B$2:$B$205)</f>
        <v>0</v>
      </c>
    </row>
    <row r="206" spans="1:2">
      <c r="A206" s="11">
        <f>Returns!A206</f>
        <v>0</v>
      </c>
      <c r="B206" s="1">
        <f>SUM(Portfolios!$B$2:$B$206)</f>
        <v>0</v>
      </c>
    </row>
    <row r="207" spans="1:2">
      <c r="A207" s="11">
        <f>Returns!A207</f>
        <v>0</v>
      </c>
      <c r="B207" s="1">
        <f>SUM(Portfolios!$B$2:$B$207)</f>
        <v>0</v>
      </c>
    </row>
    <row r="208" spans="1:2">
      <c r="A208" s="11">
        <f>Returns!A208</f>
        <v>0</v>
      </c>
      <c r="B208" s="1">
        <f>SUM(Portfolios!$B$2:$B$208)</f>
        <v>0</v>
      </c>
    </row>
    <row r="209" spans="1:2">
      <c r="A209" s="11">
        <f>Returns!A209</f>
        <v>0</v>
      </c>
      <c r="B209" s="1">
        <f>SUM(Portfolios!$B$2:$B$209)</f>
        <v>0</v>
      </c>
    </row>
    <row r="210" spans="1:2">
      <c r="A210" s="11">
        <f>Returns!A210</f>
        <v>0</v>
      </c>
      <c r="B210" s="1">
        <f>SUM(Portfolios!$B$2:$B$210)</f>
        <v>0</v>
      </c>
    </row>
    <row r="211" spans="1:2">
      <c r="A211" s="11">
        <f>Returns!A211</f>
        <v>0</v>
      </c>
      <c r="B211" s="1">
        <f>SUM(Portfolios!$B$2:$B$211)</f>
        <v>0</v>
      </c>
    </row>
    <row r="212" spans="1:2">
      <c r="A212" s="11">
        <f>Returns!A212</f>
        <v>0</v>
      </c>
      <c r="B212" s="1">
        <f>SUM(Portfolios!$B$2:$B$212)</f>
        <v>0</v>
      </c>
    </row>
    <row r="213" spans="1:2">
      <c r="A213" s="11">
        <f>Returns!A213</f>
        <v>0</v>
      </c>
      <c r="B213" s="1">
        <f>SUM(Portfolios!$B$2:$B$213)</f>
        <v>0</v>
      </c>
    </row>
    <row r="214" spans="1:2">
      <c r="A214" s="11">
        <f>Returns!A214</f>
        <v>0</v>
      </c>
      <c r="B214" s="1">
        <f>SUM(Portfolios!$B$2:$B$214)</f>
        <v>0</v>
      </c>
    </row>
    <row r="215" spans="1:2">
      <c r="A215" s="11">
        <f>Returns!A215</f>
        <v>0</v>
      </c>
      <c r="B215" s="1">
        <f>SUM(Portfolios!$B$2:$B$215)</f>
        <v>0</v>
      </c>
    </row>
    <row r="216" spans="1:2">
      <c r="A216" s="11">
        <f>Returns!A216</f>
        <v>0</v>
      </c>
      <c r="B216" s="1">
        <f>SUM(Portfolios!$B$2:$B$216)</f>
        <v>0</v>
      </c>
    </row>
    <row r="217" spans="1:2">
      <c r="A217" s="11">
        <f>Returns!A217</f>
        <v>0</v>
      </c>
      <c r="B217" s="1">
        <f>SUM(Portfolios!$B$2:$B$217)</f>
        <v>0</v>
      </c>
    </row>
    <row r="218" spans="1:2">
      <c r="A218" s="11">
        <f>Returns!A218</f>
        <v>0</v>
      </c>
      <c r="B218" s="1">
        <f>SUM(Portfolios!$B$2:$B$218)</f>
        <v>0</v>
      </c>
    </row>
    <row r="219" spans="1:2">
      <c r="A219" s="11">
        <f>Returns!A219</f>
        <v>0</v>
      </c>
      <c r="B219" s="1">
        <f>SUM(Portfolios!$B$2:$B$219)</f>
        <v>0</v>
      </c>
    </row>
    <row r="220" spans="1:2">
      <c r="A220" s="11">
        <f>Returns!A220</f>
        <v>0</v>
      </c>
      <c r="B220" s="1">
        <f>SUM(Portfolios!$B$2:$B$220)</f>
        <v>0</v>
      </c>
    </row>
    <row r="221" spans="1:2">
      <c r="A221" s="11">
        <f>Returns!A221</f>
        <v>0</v>
      </c>
      <c r="B221" s="1">
        <f>SUM(Portfolios!$B$2:$B$221)</f>
        <v>0</v>
      </c>
    </row>
    <row r="222" spans="1:2">
      <c r="A222" s="11">
        <f>Returns!A222</f>
        <v>0</v>
      </c>
      <c r="B222" s="1">
        <f>SUM(Portfolios!$B$2:$B$222)</f>
        <v>0</v>
      </c>
    </row>
    <row r="223" spans="1:2">
      <c r="A223" s="11">
        <f>Returns!A223</f>
        <v>0</v>
      </c>
      <c r="B223" s="1">
        <f>SUM(Portfolios!$B$2:$B$223)</f>
        <v>0</v>
      </c>
    </row>
    <row r="224" spans="1:2">
      <c r="A224" s="11">
        <f>Returns!A224</f>
        <v>0</v>
      </c>
      <c r="B224" s="1">
        <f>SUM(Portfolios!$B$2:$B$224)</f>
        <v>0</v>
      </c>
    </row>
    <row r="225" spans="1:2">
      <c r="A225" s="11">
        <f>Returns!A225</f>
        <v>0</v>
      </c>
      <c r="B225" s="1">
        <f>SUM(Portfolios!$B$2:$B$225)</f>
        <v>0</v>
      </c>
    </row>
    <row r="226" spans="1:2">
      <c r="A226" s="11">
        <f>Returns!A226</f>
        <v>0</v>
      </c>
      <c r="B226" s="1">
        <f>SUM(Portfolios!$B$2:$B$226)</f>
        <v>0</v>
      </c>
    </row>
    <row r="227" spans="1:2">
      <c r="A227" s="11">
        <f>Returns!A227</f>
        <v>0</v>
      </c>
      <c r="B227" s="1">
        <f>SUM(Portfolios!$B$2:$B$227)</f>
        <v>0</v>
      </c>
    </row>
    <row r="228" spans="1:2">
      <c r="A228" s="11">
        <f>Returns!A228</f>
        <v>0</v>
      </c>
      <c r="B228" s="1">
        <f>SUM(Portfolios!$B$2:$B$228)</f>
        <v>0</v>
      </c>
    </row>
    <row r="229" spans="1:2">
      <c r="A229" s="11">
        <f>Returns!A229</f>
        <v>0</v>
      </c>
      <c r="B229" s="1">
        <f>SUM(Portfolios!$B$2:$B$229)</f>
        <v>0</v>
      </c>
    </row>
    <row r="230" spans="1:2">
      <c r="A230" s="11">
        <f>Returns!A230</f>
        <v>0</v>
      </c>
      <c r="B230" s="1">
        <f>SUM(Portfolios!$B$2:$B$230)</f>
        <v>0</v>
      </c>
    </row>
    <row r="231" spans="1:2">
      <c r="A231" s="11">
        <f>Returns!A231</f>
        <v>0</v>
      </c>
      <c r="B231" s="1">
        <f>SUM(Portfolios!$B$2:$B$231)</f>
        <v>0</v>
      </c>
    </row>
    <row r="232" spans="1:2">
      <c r="A232" s="11">
        <f>Returns!A232</f>
        <v>0</v>
      </c>
      <c r="B232" s="1">
        <f>SUM(Portfolios!$B$2:$B$232)</f>
        <v>0</v>
      </c>
    </row>
    <row r="233" spans="1:2">
      <c r="A233" s="11">
        <f>Returns!A233</f>
        <v>0</v>
      </c>
      <c r="B233" s="1">
        <f>SUM(Portfolios!$B$2:$B$233)</f>
        <v>0</v>
      </c>
    </row>
    <row r="234" spans="1:2">
      <c r="A234" s="11">
        <f>Returns!A234</f>
        <v>0</v>
      </c>
      <c r="B234" s="1">
        <f>SUM(Portfolios!$B$2:$B$234)</f>
        <v>0</v>
      </c>
    </row>
    <row r="235" spans="1:2">
      <c r="A235" s="11">
        <f>Returns!A235</f>
        <v>0</v>
      </c>
      <c r="B235" s="1">
        <f>SUM(Portfolios!$B$2:$B$235)</f>
        <v>0</v>
      </c>
    </row>
    <row r="236" spans="1:2">
      <c r="A236" s="11">
        <f>Returns!A236</f>
        <v>0</v>
      </c>
      <c r="B236" s="1">
        <f>SUM(Portfolios!$B$2:$B$236)</f>
        <v>0</v>
      </c>
    </row>
    <row r="237" spans="1:2">
      <c r="A237" s="11">
        <f>Returns!A237</f>
        <v>0</v>
      </c>
      <c r="B237" s="1">
        <f>SUM(Portfolios!$B$2:$B$237)</f>
        <v>0</v>
      </c>
    </row>
    <row r="238" spans="1:2">
      <c r="A238" s="11">
        <f>Returns!A238</f>
        <v>0</v>
      </c>
      <c r="B238" s="1">
        <f>SUM(Portfolios!$B$2:$B$238)</f>
        <v>0</v>
      </c>
    </row>
    <row r="239" spans="1:2">
      <c r="A239" s="11">
        <f>Returns!A239</f>
        <v>0</v>
      </c>
      <c r="B239" s="1">
        <f>SUM(Portfolios!$B$2:$B$239)</f>
        <v>0</v>
      </c>
    </row>
    <row r="240" spans="1:2">
      <c r="A240" s="11">
        <f>Returns!A240</f>
        <v>0</v>
      </c>
      <c r="B240" s="1">
        <f>SUM(Portfolios!$B$2:$B$240)</f>
        <v>0</v>
      </c>
    </row>
    <row r="241" spans="1:2">
      <c r="A241" s="11">
        <f>Returns!A241</f>
        <v>0</v>
      </c>
      <c r="B241" s="1">
        <f>SUM(Portfolios!$B$2:$B$241)</f>
        <v>0</v>
      </c>
    </row>
    <row r="242" spans="1:2">
      <c r="A242" s="11">
        <f>Returns!A242</f>
        <v>0</v>
      </c>
      <c r="B242" s="1">
        <f>SUM(Portfolios!$B$2:$B$242)</f>
        <v>0</v>
      </c>
    </row>
    <row r="243" spans="1:2">
      <c r="A243" s="11">
        <f>Returns!A243</f>
        <v>0</v>
      </c>
      <c r="B243" s="1">
        <f>SUM(Portfolios!$B$2:$B$243)</f>
        <v>0</v>
      </c>
    </row>
    <row r="244" spans="1:2">
      <c r="A244" s="11">
        <f>Returns!A244</f>
        <v>0</v>
      </c>
      <c r="B244" s="1">
        <f>SUM(Portfolios!$B$2:$B$244)</f>
        <v>0</v>
      </c>
    </row>
    <row r="245" spans="1:2">
      <c r="A245" s="11">
        <f>Returns!A245</f>
        <v>0</v>
      </c>
      <c r="B245" s="1">
        <f>SUM(Portfolios!$B$2:$B$245)</f>
        <v>0</v>
      </c>
    </row>
    <row r="246" spans="1:2">
      <c r="A246" s="11">
        <f>Returns!A246</f>
        <v>0</v>
      </c>
      <c r="B246" s="1">
        <f>SUM(Portfolios!$B$2:$B$246)</f>
        <v>0</v>
      </c>
    </row>
    <row r="247" spans="1:2">
      <c r="A247" s="11">
        <f>Returns!A247</f>
        <v>0</v>
      </c>
      <c r="B247" s="1">
        <f>SUM(Portfolios!$B$2:$B$247)</f>
        <v>0</v>
      </c>
    </row>
    <row r="248" spans="1:2">
      <c r="A248" s="11">
        <f>Returns!A248</f>
        <v>0</v>
      </c>
      <c r="B248" s="1">
        <f>SUM(Portfolios!$B$2:$B$248)</f>
        <v>0</v>
      </c>
    </row>
    <row r="249" spans="1:2">
      <c r="A249" s="11">
        <f>Returns!A249</f>
        <v>0</v>
      </c>
      <c r="B249" s="1">
        <f>SUM(Portfolios!$B$2:$B$249)</f>
        <v>0</v>
      </c>
    </row>
    <row r="250" spans="1:2">
      <c r="A250" s="11">
        <f>Returns!A250</f>
        <v>0</v>
      </c>
      <c r="B250" s="1">
        <f>SUM(Portfolios!$B$2:$B$250)</f>
        <v>0</v>
      </c>
    </row>
    <row r="251" spans="1:2">
      <c r="A251" s="11">
        <f>Returns!A251</f>
        <v>0</v>
      </c>
      <c r="B251" s="1">
        <f>SUM(Portfolios!$B$2:$B$251)</f>
        <v>0</v>
      </c>
    </row>
    <row r="252" spans="1:2">
      <c r="A252" s="11">
        <f>Returns!A252</f>
        <v>0</v>
      </c>
      <c r="B252" s="1">
        <f>SUM(Portfolios!$B$2:$B$252)</f>
        <v>0</v>
      </c>
    </row>
    <row r="253" spans="1:2">
      <c r="A253" s="11">
        <f>Returns!A253</f>
        <v>0</v>
      </c>
      <c r="B253" s="1">
        <f>SUM(Portfolios!$B$2:$B$253)</f>
        <v>0</v>
      </c>
    </row>
    <row r="254" spans="1:2">
      <c r="A254" s="11">
        <f>Returns!A254</f>
        <v>0</v>
      </c>
      <c r="B254" s="1">
        <f>SUM(Portfolios!$B$2:$B$254)</f>
        <v>0</v>
      </c>
    </row>
    <row r="255" spans="1:2">
      <c r="A255" s="11">
        <f>Returns!A255</f>
        <v>0</v>
      </c>
      <c r="B255" s="1">
        <f>SUM(Portfolios!$B$2:$B$255)</f>
        <v>0</v>
      </c>
    </row>
    <row r="256" spans="1:2">
      <c r="A256" s="11">
        <f>Returns!A256</f>
        <v>0</v>
      </c>
      <c r="B256" s="1">
        <f>SUM(Portfolios!$B$2:$B$256)</f>
        <v>0</v>
      </c>
    </row>
    <row r="257" spans="1:2">
      <c r="A257" s="11">
        <f>Returns!A257</f>
        <v>0</v>
      </c>
      <c r="B257" s="1">
        <f>SUM(Portfolios!$B$2:$B$257)</f>
        <v>0</v>
      </c>
    </row>
    <row r="258" spans="1:2">
      <c r="A258" s="11">
        <f>Returns!A258</f>
        <v>0</v>
      </c>
      <c r="B258" s="1">
        <f>SUM(Portfolios!$B$2:$B$258)</f>
        <v>0</v>
      </c>
    </row>
    <row r="259" spans="1:2">
      <c r="A259" s="11">
        <f>Returns!A259</f>
        <v>0</v>
      </c>
      <c r="B259" s="1">
        <f>SUM(Portfolios!$B$2:$B$259)</f>
        <v>0</v>
      </c>
    </row>
    <row r="260" spans="1:2">
      <c r="A260" s="11">
        <f>Returns!A260</f>
        <v>0</v>
      </c>
      <c r="B260" s="1">
        <f>SUM(Portfolios!$B$2:$B$260)</f>
        <v>0</v>
      </c>
    </row>
    <row r="261" spans="1:2">
      <c r="A261" s="11">
        <f>Returns!A261</f>
        <v>0</v>
      </c>
      <c r="B261" s="1">
        <f>SUM(Portfolios!$B$2:$B$261)</f>
        <v>0</v>
      </c>
    </row>
    <row r="262" spans="1:2">
      <c r="A262" s="11">
        <f>Returns!A262</f>
        <v>0</v>
      </c>
      <c r="B262" s="1">
        <f>SUM(Portfolios!$B$2:$B$262)</f>
        <v>0</v>
      </c>
    </row>
    <row r="263" spans="1:2">
      <c r="A263" s="11">
        <f>Returns!A263</f>
        <v>0</v>
      </c>
      <c r="B263" s="1">
        <f>SUM(Portfolios!$B$2:$B$263)</f>
        <v>0</v>
      </c>
    </row>
    <row r="264" spans="1:2">
      <c r="A264" s="11">
        <f>Returns!A264</f>
        <v>0</v>
      </c>
      <c r="B264" s="1">
        <f>SUM(Portfolios!$B$2:$B$264)</f>
        <v>0</v>
      </c>
    </row>
    <row r="265" spans="1:2">
      <c r="A265" s="11">
        <f>Returns!A265</f>
        <v>0</v>
      </c>
      <c r="B265" s="1">
        <f>SUM(Portfolios!$B$2:$B$265)</f>
        <v>0</v>
      </c>
    </row>
    <row r="266" spans="1:2">
      <c r="A266" s="11">
        <f>Returns!A266</f>
        <v>0</v>
      </c>
      <c r="B266" s="1">
        <f>SUM(Portfolios!$B$2:$B$266)</f>
        <v>0</v>
      </c>
    </row>
    <row r="267" spans="1:2">
      <c r="A267" s="11">
        <f>Returns!A267</f>
        <v>0</v>
      </c>
      <c r="B267" s="1">
        <f>SUM(Portfolios!$B$2:$B$267)</f>
        <v>0</v>
      </c>
    </row>
    <row r="268" spans="1:2">
      <c r="A268" s="11">
        <f>Returns!A268</f>
        <v>0</v>
      </c>
      <c r="B268" s="1">
        <f>SUM(Portfolios!$B$2:$B$268)</f>
        <v>0</v>
      </c>
    </row>
    <row r="269" spans="1:2">
      <c r="A269" s="11">
        <f>Returns!A269</f>
        <v>0</v>
      </c>
      <c r="B269" s="1">
        <f>SUM(Portfolios!$B$2:$B$269)</f>
        <v>0</v>
      </c>
    </row>
    <row r="270" spans="1:2">
      <c r="A270" s="11">
        <f>Returns!A270</f>
        <v>0</v>
      </c>
      <c r="B270" s="1">
        <f>SUM(Portfolios!$B$2:$B$270)</f>
        <v>0</v>
      </c>
    </row>
    <row r="271" spans="1:2">
      <c r="A271" s="11">
        <f>Returns!A271</f>
        <v>0</v>
      </c>
      <c r="B271" s="1">
        <f>SUM(Portfolios!$B$2:$B$271)</f>
        <v>0</v>
      </c>
    </row>
    <row r="272" spans="1:2">
      <c r="A272" s="11">
        <f>Returns!A272</f>
        <v>0</v>
      </c>
      <c r="B272" s="1">
        <f>SUM(Portfolios!$B$2:$B$272)</f>
        <v>0</v>
      </c>
    </row>
    <row r="273" spans="1:2">
      <c r="A273" s="11">
        <f>Returns!A273</f>
        <v>0</v>
      </c>
      <c r="B273" s="1">
        <f>SUM(Portfolios!$B$2:$B$273)</f>
        <v>0</v>
      </c>
    </row>
    <row r="274" spans="1:2">
      <c r="A274" s="11">
        <f>Returns!A274</f>
        <v>0</v>
      </c>
      <c r="B274" s="1">
        <f>SUM(Portfolios!$B$2:$B$274)</f>
        <v>0</v>
      </c>
    </row>
    <row r="275" spans="1:2">
      <c r="A275" s="11">
        <f>Returns!A275</f>
        <v>0</v>
      </c>
      <c r="B275" s="1">
        <f>SUM(Portfolios!$B$2:$B$275)</f>
        <v>0</v>
      </c>
    </row>
    <row r="276" spans="1:2">
      <c r="A276" s="11">
        <f>Returns!A276</f>
        <v>0</v>
      </c>
      <c r="B276" s="1">
        <f>SUM(Portfolios!$B$2:$B$276)</f>
        <v>0</v>
      </c>
    </row>
    <row r="277" spans="1:2">
      <c r="A277" s="11">
        <f>Returns!A277</f>
        <v>0</v>
      </c>
      <c r="B277" s="1">
        <f>SUM(Portfolios!$B$2:$B$277)</f>
        <v>0</v>
      </c>
    </row>
    <row r="278" spans="1:2">
      <c r="A278" s="11">
        <f>Returns!A278</f>
        <v>0</v>
      </c>
      <c r="B278" s="1">
        <f>SUM(Portfolios!$B$2:$B$278)</f>
        <v>0</v>
      </c>
    </row>
    <row r="279" spans="1:2">
      <c r="A279" s="11">
        <f>Returns!A279</f>
        <v>0</v>
      </c>
      <c r="B279" s="1">
        <f>SUM(Portfolios!$B$2:$B$279)</f>
        <v>0</v>
      </c>
    </row>
    <row r="280" spans="1:2">
      <c r="A280" s="11">
        <f>Returns!A280</f>
        <v>0</v>
      </c>
      <c r="B280" s="1">
        <f>SUM(Portfolios!$B$2:$B$280)</f>
        <v>0</v>
      </c>
    </row>
    <row r="281" spans="1:2">
      <c r="A281" s="11">
        <f>Returns!A281</f>
        <v>0</v>
      </c>
      <c r="B281" s="1">
        <f>SUM(Portfolios!$B$2:$B$281)</f>
        <v>0</v>
      </c>
    </row>
    <row r="282" spans="1:2">
      <c r="A282" s="11">
        <f>Returns!A282</f>
        <v>0</v>
      </c>
      <c r="B282" s="1">
        <f>SUM(Portfolios!$B$2:$B$282)</f>
        <v>0</v>
      </c>
    </row>
    <row r="283" spans="1:2">
      <c r="A283" s="11">
        <f>Returns!A283</f>
        <v>0</v>
      </c>
      <c r="B283" s="1">
        <f>SUM(Portfolios!$B$2:$B$283)</f>
        <v>0</v>
      </c>
    </row>
    <row r="284" spans="1:2">
      <c r="A284" s="11">
        <f>Returns!A284</f>
        <v>0</v>
      </c>
      <c r="B284" s="1">
        <f>SUM(Portfolios!$B$2:$B$284)</f>
        <v>0</v>
      </c>
    </row>
    <row r="285" spans="1:2">
      <c r="A285" s="11">
        <f>Returns!A285</f>
        <v>0</v>
      </c>
      <c r="B285" s="1">
        <f>SUM(Portfolios!$B$2:$B$285)</f>
        <v>0</v>
      </c>
    </row>
    <row r="286" spans="1:2">
      <c r="A286" s="11">
        <f>Returns!A286</f>
        <v>0</v>
      </c>
      <c r="B286" s="1">
        <f>SUM(Portfolios!$B$2:$B$286)</f>
        <v>0</v>
      </c>
    </row>
    <row r="287" spans="1:2">
      <c r="A287" s="11">
        <f>Returns!A287</f>
        <v>0</v>
      </c>
      <c r="B287" s="1">
        <f>SUM(Portfolios!$B$2:$B$287)</f>
        <v>0</v>
      </c>
    </row>
    <row r="288" spans="1:2">
      <c r="A288" s="11">
        <f>Returns!A288</f>
        <v>0</v>
      </c>
      <c r="B288" s="1">
        <f>SUM(Portfolios!$B$2:$B$288)</f>
        <v>0</v>
      </c>
    </row>
    <row r="289" spans="1:2">
      <c r="A289" s="11">
        <f>Returns!A289</f>
        <v>0</v>
      </c>
      <c r="B289" s="1">
        <f>SUM(Portfolios!$B$2:$B$289)</f>
        <v>0</v>
      </c>
    </row>
    <row r="290" spans="1:2">
      <c r="A290" s="11">
        <f>Returns!A290</f>
        <v>0</v>
      </c>
      <c r="B290" s="1">
        <f>SUM(Portfolios!$B$2:$B$290)</f>
        <v>0</v>
      </c>
    </row>
    <row r="291" spans="1:2">
      <c r="A291" s="11">
        <f>Returns!A291</f>
        <v>0</v>
      </c>
      <c r="B291" s="1">
        <f>SUM(Portfolios!$B$2:$B$291)</f>
        <v>0</v>
      </c>
    </row>
    <row r="292" spans="1:2">
      <c r="A292" s="11">
        <f>Returns!A292</f>
        <v>0</v>
      </c>
      <c r="B292" s="1">
        <f>SUM(Portfolios!$B$2:$B$292)</f>
        <v>0</v>
      </c>
    </row>
    <row r="293" spans="1:2">
      <c r="A293" s="11">
        <f>Returns!A293</f>
        <v>0</v>
      </c>
      <c r="B293" s="1">
        <f>SUM(Portfolios!$B$2:$B$293)</f>
        <v>0</v>
      </c>
    </row>
    <row r="294" spans="1:2">
      <c r="A294" s="11">
        <f>Returns!A294</f>
        <v>0</v>
      </c>
      <c r="B294" s="1">
        <f>SUM(Portfolios!$B$2:$B$294)</f>
        <v>0</v>
      </c>
    </row>
    <row r="295" spans="1:2">
      <c r="A295" s="11">
        <f>Returns!A295</f>
        <v>0</v>
      </c>
      <c r="B295" s="1">
        <f>SUM(Portfolios!$B$2:$B$295)</f>
        <v>0</v>
      </c>
    </row>
    <row r="296" spans="1:2">
      <c r="A296" s="11">
        <f>Returns!A296</f>
        <v>0</v>
      </c>
      <c r="B296" s="1">
        <f>SUM(Portfolios!$B$2:$B$296)</f>
        <v>0</v>
      </c>
    </row>
    <row r="297" spans="1:2">
      <c r="A297" s="11">
        <f>Returns!A297</f>
        <v>0</v>
      </c>
      <c r="B297" s="1">
        <f>SUM(Portfolios!$B$2:$B$297)</f>
        <v>0</v>
      </c>
    </row>
    <row r="298" spans="1:2">
      <c r="A298" s="11">
        <f>Returns!A298</f>
        <v>0</v>
      </c>
      <c r="B298" s="1">
        <f>SUM(Portfolios!$B$2:$B$298)</f>
        <v>0</v>
      </c>
    </row>
    <row r="299" spans="1:2">
      <c r="A299" s="11">
        <f>Returns!A299</f>
        <v>0</v>
      </c>
      <c r="B299" s="1">
        <f>SUM(Portfolios!$B$2:$B$299)</f>
        <v>0</v>
      </c>
    </row>
    <row r="300" spans="1:2">
      <c r="A300" s="11">
        <f>Returns!A300</f>
        <v>0</v>
      </c>
      <c r="B300" s="1">
        <f>SUM(Portfolios!$B$2:$B$300)</f>
        <v>0</v>
      </c>
    </row>
    <row r="301" spans="1:2">
      <c r="A301" s="11">
        <f>Returns!A301</f>
        <v>0</v>
      </c>
      <c r="B301" s="1">
        <f>SUM(Portfolios!$B$2:$B$301)</f>
        <v>0</v>
      </c>
    </row>
    <row r="302" spans="1:2">
      <c r="A302" s="11">
        <f>Returns!A302</f>
        <v>0</v>
      </c>
      <c r="B302" s="1">
        <f>SUM(Portfolios!$B$2:$B$302)</f>
        <v>0</v>
      </c>
    </row>
    <row r="303" spans="1:2">
      <c r="A303" s="11">
        <f>Returns!A303</f>
        <v>0</v>
      </c>
      <c r="B303" s="1">
        <f>SUM(Portfolios!$B$2:$B$303)</f>
        <v>0</v>
      </c>
    </row>
    <row r="304" spans="1:2">
      <c r="A304" s="11">
        <f>Returns!A304</f>
        <v>0</v>
      </c>
      <c r="B304" s="1">
        <f>SUM(Portfolios!$B$2:$B$304)</f>
        <v>0</v>
      </c>
    </row>
    <row r="305" spans="1:2">
      <c r="A305" s="11">
        <f>Returns!A305</f>
        <v>0</v>
      </c>
      <c r="B305" s="1">
        <f>SUM(Portfolios!$B$2:$B$305)</f>
        <v>0</v>
      </c>
    </row>
    <row r="306" spans="1:2">
      <c r="A306" s="11">
        <f>Returns!A306</f>
        <v>0</v>
      </c>
      <c r="B306" s="1">
        <f>SUM(Portfolios!$B$2:$B$306)</f>
        <v>0</v>
      </c>
    </row>
    <row r="307" spans="1:2">
      <c r="A307" s="11">
        <f>Returns!A307</f>
        <v>0</v>
      </c>
      <c r="B307" s="1">
        <f>SUM(Portfolios!$B$2:$B$307)</f>
        <v>0</v>
      </c>
    </row>
    <row r="308" spans="1:2">
      <c r="A308" s="11">
        <f>Returns!A308</f>
        <v>0</v>
      </c>
      <c r="B308" s="1">
        <f>SUM(Portfolios!$B$2:$B$308)</f>
        <v>0</v>
      </c>
    </row>
    <row r="309" spans="1:2">
      <c r="A309" s="11">
        <f>Returns!A309</f>
        <v>0</v>
      </c>
      <c r="B309" s="1">
        <f>SUM(Portfolios!$B$2:$B$309)</f>
        <v>0</v>
      </c>
    </row>
    <row r="310" spans="1:2">
      <c r="A310" s="11">
        <f>Returns!A310</f>
        <v>0</v>
      </c>
      <c r="B310" s="1">
        <f>SUM(Portfolios!$B$2:$B$310)</f>
        <v>0</v>
      </c>
    </row>
    <row r="311" spans="1:2">
      <c r="A311" s="11">
        <f>Returns!A311</f>
        <v>0</v>
      </c>
      <c r="B311" s="1">
        <f>SUM(Portfolios!$B$2:$B$311)</f>
        <v>0</v>
      </c>
    </row>
    <row r="312" spans="1:2">
      <c r="A312" s="11">
        <f>Returns!A312</f>
        <v>0</v>
      </c>
      <c r="B312" s="1">
        <f>SUM(Portfolios!$B$2:$B$312)</f>
        <v>0</v>
      </c>
    </row>
    <row r="313" spans="1:2">
      <c r="A313" s="11">
        <f>Returns!A313</f>
        <v>0</v>
      </c>
      <c r="B313" s="1">
        <f>SUM(Portfolios!$B$2:$B$313)</f>
        <v>0</v>
      </c>
    </row>
    <row r="314" spans="1:2">
      <c r="A314" s="11">
        <f>Returns!A314</f>
        <v>0</v>
      </c>
      <c r="B314" s="1">
        <f>SUM(Portfolios!$B$2:$B$314)</f>
        <v>0</v>
      </c>
    </row>
    <row r="315" spans="1:2">
      <c r="A315" s="11">
        <f>Returns!A315</f>
        <v>0</v>
      </c>
      <c r="B315" s="1">
        <f>SUM(Portfolios!$B$2:$B$315)</f>
        <v>0</v>
      </c>
    </row>
    <row r="316" spans="1:2">
      <c r="A316" s="11">
        <f>Returns!A316</f>
        <v>0</v>
      </c>
      <c r="B316" s="1">
        <f>SUM(Portfolios!$B$2:$B$316)</f>
        <v>0</v>
      </c>
    </row>
    <row r="317" spans="1:2">
      <c r="A317" s="11">
        <f>Returns!A317</f>
        <v>0</v>
      </c>
      <c r="B317" s="1">
        <f>SUM(Portfolios!$B$2:$B$317)</f>
        <v>0</v>
      </c>
    </row>
    <row r="318" spans="1:2">
      <c r="A318" s="11">
        <f>Returns!A318</f>
        <v>0</v>
      </c>
      <c r="B318" s="1">
        <f>SUM(Portfolios!$B$2:$B$318)</f>
        <v>0</v>
      </c>
    </row>
    <row r="319" spans="1:2">
      <c r="A319" s="11">
        <f>Returns!A319</f>
        <v>0</v>
      </c>
      <c r="B319" s="1">
        <f>SUM(Portfolios!$B$2:$B$319)</f>
        <v>0</v>
      </c>
    </row>
    <row r="320" spans="1:2">
      <c r="A320" s="11">
        <f>Returns!A320</f>
        <v>0</v>
      </c>
      <c r="B320" s="1">
        <f>SUM(Portfolios!$B$2:$B$320)</f>
        <v>0</v>
      </c>
    </row>
    <row r="321" spans="1:2">
      <c r="A321" s="11">
        <f>Returns!A321</f>
        <v>0</v>
      </c>
      <c r="B321" s="1">
        <f>SUM(Portfolios!$B$2:$B$321)</f>
        <v>0</v>
      </c>
    </row>
    <row r="322" spans="1:2">
      <c r="A322" s="11">
        <f>Returns!A322</f>
        <v>0</v>
      </c>
      <c r="B322" s="1">
        <f>SUM(Portfolios!$B$2:$B$322)</f>
        <v>0</v>
      </c>
    </row>
    <row r="323" spans="1:2">
      <c r="A323" s="11">
        <f>Returns!A323</f>
        <v>0</v>
      </c>
      <c r="B323" s="1">
        <f>SUM(Portfolios!$B$2:$B$323)</f>
        <v>0</v>
      </c>
    </row>
    <row r="324" spans="1:2">
      <c r="A324" s="11">
        <f>Returns!A324</f>
        <v>0</v>
      </c>
      <c r="B324" s="1">
        <f>SUM(Portfolios!$B$2:$B$324)</f>
        <v>0</v>
      </c>
    </row>
    <row r="325" spans="1:2">
      <c r="A325" s="11">
        <f>Returns!A325</f>
        <v>0</v>
      </c>
      <c r="B325" s="1">
        <f>SUM(Portfolios!$B$2:$B$325)</f>
        <v>0</v>
      </c>
    </row>
    <row r="326" spans="1:2">
      <c r="A326" s="11">
        <f>Returns!A326</f>
        <v>0</v>
      </c>
      <c r="B326" s="1">
        <f>SUM(Portfolios!$B$2:$B$326)</f>
        <v>0</v>
      </c>
    </row>
    <row r="327" spans="1:2">
      <c r="A327" s="11">
        <f>Returns!A327</f>
        <v>0</v>
      </c>
      <c r="B327" s="1">
        <f>SUM(Portfolios!$B$2:$B$327)</f>
        <v>0</v>
      </c>
    </row>
    <row r="328" spans="1:2">
      <c r="A328" s="11">
        <f>Returns!A328</f>
        <v>0</v>
      </c>
      <c r="B328" s="1">
        <f>SUM(Portfolios!$B$2:$B$328)</f>
        <v>0</v>
      </c>
    </row>
    <row r="329" spans="1:2">
      <c r="A329" s="11">
        <f>Returns!A329</f>
        <v>0</v>
      </c>
      <c r="B329" s="1">
        <f>SUM(Portfolios!$B$2:$B$329)</f>
        <v>0</v>
      </c>
    </row>
    <row r="330" spans="1:2">
      <c r="A330" s="11">
        <f>Returns!A330</f>
        <v>0</v>
      </c>
      <c r="B330" s="1">
        <f>SUM(Portfolios!$B$2:$B$330)</f>
        <v>0</v>
      </c>
    </row>
    <row r="331" spans="1:2">
      <c r="A331" s="11">
        <f>Returns!A331</f>
        <v>0</v>
      </c>
      <c r="B331" s="1">
        <f>SUM(Portfolios!$B$2:$B$331)</f>
        <v>0</v>
      </c>
    </row>
    <row r="332" spans="1:2">
      <c r="A332" s="11">
        <f>Returns!A332</f>
        <v>0</v>
      </c>
      <c r="B332" s="1">
        <f>SUM(Portfolios!$B$2:$B$332)</f>
        <v>0</v>
      </c>
    </row>
    <row r="333" spans="1:2">
      <c r="A333" s="11">
        <f>Returns!A333</f>
        <v>0</v>
      </c>
      <c r="B333" s="1">
        <f>SUM(Portfolios!$B$2:$B$333)</f>
        <v>0</v>
      </c>
    </row>
    <row r="334" spans="1:2">
      <c r="A334" s="11">
        <f>Returns!A334</f>
        <v>0</v>
      </c>
      <c r="B334" s="1">
        <f>SUM(Portfolios!$B$2:$B$334)</f>
        <v>0</v>
      </c>
    </row>
    <row r="335" spans="1:2">
      <c r="A335" s="11">
        <f>Returns!A335</f>
        <v>0</v>
      </c>
      <c r="B335" s="1">
        <f>SUM(Portfolios!$B$2:$B$335)</f>
        <v>0</v>
      </c>
    </row>
    <row r="336" spans="1:2">
      <c r="A336" s="11">
        <f>Returns!A336</f>
        <v>0</v>
      </c>
      <c r="B336" s="1">
        <f>SUM(Portfolios!$B$2:$B$336)</f>
        <v>0</v>
      </c>
    </row>
    <row r="337" spans="1:2">
      <c r="A337" s="11">
        <f>Returns!A337</f>
        <v>0</v>
      </c>
      <c r="B337" s="1">
        <f>SUM(Portfolios!$B$2:$B$337)</f>
        <v>0</v>
      </c>
    </row>
    <row r="338" spans="1:2">
      <c r="A338" s="11">
        <f>Returns!A338</f>
        <v>0</v>
      </c>
      <c r="B338" s="1">
        <f>SUM(Portfolios!$B$2:$B$338)</f>
        <v>0</v>
      </c>
    </row>
    <row r="339" spans="1:2">
      <c r="A339" s="11">
        <f>Returns!A339</f>
        <v>0</v>
      </c>
      <c r="B339" s="1">
        <f>SUM(Portfolios!$B$2:$B$339)</f>
        <v>0</v>
      </c>
    </row>
    <row r="340" spans="1:2">
      <c r="A340" s="11">
        <f>Returns!A340</f>
        <v>0</v>
      </c>
      <c r="B340" s="1">
        <f>SUM(Portfolios!$B$2:$B$340)</f>
        <v>0</v>
      </c>
    </row>
    <row r="341" spans="1:2">
      <c r="A341" s="11">
        <f>Returns!A341</f>
        <v>0</v>
      </c>
      <c r="B341" s="1">
        <f>SUM(Portfolios!$B$2:$B$341)</f>
        <v>0</v>
      </c>
    </row>
    <row r="342" spans="1:2">
      <c r="A342" s="11">
        <f>Returns!A342</f>
        <v>0</v>
      </c>
      <c r="B342" s="1">
        <f>SUM(Portfolios!$B$2:$B$342)</f>
        <v>0</v>
      </c>
    </row>
    <row r="343" spans="1:2">
      <c r="A343" s="11">
        <f>Returns!A343</f>
        <v>0</v>
      </c>
      <c r="B343" s="1">
        <f>SUM(Portfolios!$B$2:$B$343)</f>
        <v>0</v>
      </c>
    </row>
    <row r="344" spans="1:2">
      <c r="A344" s="11">
        <f>Returns!A344</f>
        <v>0</v>
      </c>
      <c r="B344" s="1">
        <f>SUM(Portfolios!$B$2:$B$344)</f>
        <v>0</v>
      </c>
    </row>
    <row r="345" spans="1:2">
      <c r="A345" s="11">
        <f>Returns!A345</f>
        <v>0</v>
      </c>
      <c r="B345" s="1">
        <f>SUM(Portfolios!$B$2:$B$345)</f>
        <v>0</v>
      </c>
    </row>
    <row r="346" spans="1:2">
      <c r="A346" s="11">
        <f>Returns!A346</f>
        <v>0</v>
      </c>
      <c r="B346" s="1">
        <f>SUM(Portfolios!$B$2:$B$346)</f>
        <v>0</v>
      </c>
    </row>
    <row r="347" spans="1:2">
      <c r="A347" s="11">
        <f>Returns!A347</f>
        <v>0</v>
      </c>
      <c r="B347" s="1">
        <f>SUM(Portfolios!$B$2:$B$347)</f>
        <v>0</v>
      </c>
    </row>
    <row r="348" spans="1:2">
      <c r="A348" s="11">
        <f>Returns!A348</f>
        <v>0</v>
      </c>
      <c r="B348" s="1">
        <f>SUM(Portfolios!$B$2:$B$348)</f>
        <v>0</v>
      </c>
    </row>
    <row r="349" spans="1:2">
      <c r="A349" s="11">
        <f>Returns!A349</f>
        <v>0</v>
      </c>
      <c r="B349" s="1">
        <f>SUM(Portfolios!$B$2:$B$349)</f>
        <v>0</v>
      </c>
    </row>
    <row r="350" spans="1:2">
      <c r="A350" s="11">
        <f>Returns!A350</f>
        <v>0</v>
      </c>
      <c r="B350" s="1">
        <f>SUM(Portfolios!$B$2:$B$350)</f>
        <v>0</v>
      </c>
    </row>
    <row r="351" spans="1:2">
      <c r="A351" s="11">
        <f>Returns!A351</f>
        <v>0</v>
      </c>
      <c r="B351" s="1">
        <f>SUM(Portfolios!$B$2:$B$351)</f>
        <v>0</v>
      </c>
    </row>
    <row r="352" spans="1:2">
      <c r="A352" s="11">
        <f>Returns!A352</f>
        <v>0</v>
      </c>
      <c r="B352" s="1">
        <f>SUM(Portfolios!$B$2:$B$352)</f>
        <v>0</v>
      </c>
    </row>
    <row r="353" spans="1:2">
      <c r="A353" s="11">
        <f>Returns!A353</f>
        <v>0</v>
      </c>
      <c r="B353" s="1">
        <f>SUM(Portfolios!$B$2:$B$353)</f>
        <v>0</v>
      </c>
    </row>
    <row r="354" spans="1:2">
      <c r="A354" s="11">
        <f>Returns!A354</f>
        <v>0</v>
      </c>
      <c r="B354" s="1">
        <f>SUM(Portfolios!$B$2:$B$354)</f>
        <v>0</v>
      </c>
    </row>
    <row r="355" spans="1:2">
      <c r="A355" s="11">
        <f>Returns!A355</f>
        <v>0</v>
      </c>
      <c r="B355" s="1">
        <f>SUM(Portfolios!$B$2:$B$355)</f>
        <v>0</v>
      </c>
    </row>
    <row r="356" spans="1:2">
      <c r="A356" s="11">
        <f>Returns!A356</f>
        <v>0</v>
      </c>
      <c r="B356" s="1">
        <f>SUM(Portfolios!$B$2:$B$356)</f>
        <v>0</v>
      </c>
    </row>
    <row r="357" spans="1:2">
      <c r="A357" s="11">
        <f>Returns!A357</f>
        <v>0</v>
      </c>
      <c r="B357" s="1">
        <f>SUM(Portfolios!$B$2:$B$357)</f>
        <v>0</v>
      </c>
    </row>
    <row r="358" spans="1:2">
      <c r="A358" s="11">
        <f>Returns!A358</f>
        <v>0</v>
      </c>
      <c r="B358" s="1">
        <f>SUM(Portfolios!$B$2:$B$358)</f>
        <v>0</v>
      </c>
    </row>
    <row r="359" spans="1:2">
      <c r="A359" s="11">
        <f>Returns!A359</f>
        <v>0</v>
      </c>
      <c r="B359" s="1">
        <f>SUM(Portfolios!$B$2:$B$359)</f>
        <v>0</v>
      </c>
    </row>
    <row r="360" spans="1:2">
      <c r="A360" s="11">
        <f>Returns!A360</f>
        <v>0</v>
      </c>
      <c r="B360" s="1">
        <f>SUM(Portfolios!$B$2:$B$360)</f>
        <v>0</v>
      </c>
    </row>
    <row r="361" spans="1:2">
      <c r="A361" s="11">
        <f>Returns!A361</f>
        <v>0</v>
      </c>
      <c r="B361" s="1">
        <f>SUM(Portfolios!$B$2:$B$361)</f>
        <v>0</v>
      </c>
    </row>
    <row r="362" spans="1:2">
      <c r="A362" s="11">
        <f>Returns!A362</f>
        <v>0</v>
      </c>
      <c r="B362" s="1">
        <f>SUM(Portfolios!$B$2:$B$362)</f>
        <v>0</v>
      </c>
    </row>
    <row r="363" spans="1:2">
      <c r="A363" s="11">
        <f>Returns!A363</f>
        <v>0</v>
      </c>
      <c r="B363" s="1">
        <f>SUM(Portfolios!$B$2:$B$363)</f>
        <v>0</v>
      </c>
    </row>
    <row r="364" spans="1:2">
      <c r="A364" s="11">
        <f>Returns!A364</f>
        <v>0</v>
      </c>
      <c r="B364" s="1">
        <f>SUM(Portfolios!$B$2:$B$364)</f>
        <v>0</v>
      </c>
    </row>
    <row r="365" spans="1:2">
      <c r="A365" s="11">
        <f>Returns!A365</f>
        <v>0</v>
      </c>
      <c r="B365" s="1">
        <f>SUM(Portfolios!$B$2:$B$365)</f>
        <v>0</v>
      </c>
    </row>
    <row r="366" spans="1:2">
      <c r="A366" s="11">
        <f>Returns!A366</f>
        <v>0</v>
      </c>
      <c r="B366" s="1">
        <f>SUM(Portfolios!$B$2:$B$366)</f>
        <v>0</v>
      </c>
    </row>
    <row r="367" spans="1:2">
      <c r="A367" s="11">
        <f>Returns!A367</f>
        <v>0</v>
      </c>
      <c r="B367" s="1">
        <f>SUM(Portfolios!$B$2:$B$367)</f>
        <v>0</v>
      </c>
    </row>
    <row r="368" spans="1:2">
      <c r="A368" s="11">
        <f>Returns!A368</f>
        <v>0</v>
      </c>
      <c r="B368" s="1">
        <f>SUM(Portfolios!$B$2:$B$368)</f>
        <v>0</v>
      </c>
    </row>
    <row r="369" spans="1:2">
      <c r="A369" s="11">
        <f>Returns!A369</f>
        <v>0</v>
      </c>
      <c r="B369" s="1">
        <f>SUM(Portfolios!$B$2:$B$369)</f>
        <v>0</v>
      </c>
    </row>
    <row r="370" spans="1:2">
      <c r="A370" s="11">
        <f>Returns!A370</f>
        <v>0</v>
      </c>
      <c r="B370" s="1">
        <f>SUM(Portfolios!$B$2:$B$370)</f>
        <v>0</v>
      </c>
    </row>
    <row r="371" spans="1:2">
      <c r="A371" s="11">
        <f>Returns!A371</f>
        <v>0</v>
      </c>
      <c r="B371" s="1">
        <f>SUM(Portfolios!$B$2:$B$371)</f>
        <v>0</v>
      </c>
    </row>
    <row r="372" spans="1:2">
      <c r="A372" s="11">
        <f>Returns!A372</f>
        <v>0</v>
      </c>
      <c r="B372" s="1">
        <f>SUM(Portfolios!$B$2:$B$372)</f>
        <v>0</v>
      </c>
    </row>
    <row r="373" spans="1:2">
      <c r="A373" s="11">
        <f>Returns!A373</f>
        <v>0</v>
      </c>
      <c r="B373" s="1">
        <f>SUM(Portfolios!$B$2:$B$373)</f>
        <v>0</v>
      </c>
    </row>
    <row r="374" spans="1:2">
      <c r="A374" s="11">
        <f>Returns!A374</f>
        <v>0</v>
      </c>
      <c r="B374" s="1">
        <f>SUM(Portfolios!$B$2:$B$374)</f>
        <v>0</v>
      </c>
    </row>
    <row r="375" spans="1:2">
      <c r="A375" s="11">
        <f>Returns!A375</f>
        <v>0</v>
      </c>
      <c r="B375" s="1">
        <f>SUM(Portfolios!$B$2:$B$375)</f>
        <v>0</v>
      </c>
    </row>
    <row r="376" spans="1:2">
      <c r="A376" s="11">
        <f>Returns!A376</f>
        <v>0</v>
      </c>
      <c r="B376" s="1">
        <f>SUM(Portfolios!$B$2:$B$376)</f>
        <v>0</v>
      </c>
    </row>
    <row r="377" spans="1:2">
      <c r="A377" s="11">
        <f>Returns!A377</f>
        <v>0</v>
      </c>
      <c r="B377" s="1">
        <f>SUM(Portfolios!$B$2:$B$377)</f>
        <v>0</v>
      </c>
    </row>
    <row r="378" spans="1:2">
      <c r="A378" s="11">
        <f>Returns!A378</f>
        <v>0</v>
      </c>
      <c r="B378" s="1">
        <f>SUM(Portfolios!$B$2:$B$378)</f>
        <v>0</v>
      </c>
    </row>
    <row r="379" spans="1:2">
      <c r="A379" s="11">
        <f>Returns!A379</f>
        <v>0</v>
      </c>
      <c r="B379" s="1">
        <f>SUM(Portfolios!$B$2:$B$379)</f>
        <v>0</v>
      </c>
    </row>
    <row r="380" spans="1:2">
      <c r="A380" s="11">
        <f>Returns!A380</f>
        <v>0</v>
      </c>
      <c r="B380" s="1">
        <f>SUM(Portfolios!$B$2:$B$380)</f>
        <v>0</v>
      </c>
    </row>
    <row r="381" spans="1:2">
      <c r="A381" s="11">
        <f>Returns!A381</f>
        <v>0</v>
      </c>
      <c r="B381" s="1">
        <f>SUM(Portfolios!$B$2:$B$381)</f>
        <v>0</v>
      </c>
    </row>
    <row r="382" spans="1:2">
      <c r="A382" s="11">
        <f>Returns!A382</f>
        <v>0</v>
      </c>
      <c r="B382" s="1">
        <f>SUM(Portfolios!$B$2:$B$382)</f>
        <v>0</v>
      </c>
    </row>
    <row r="383" spans="1:2">
      <c r="A383" s="11">
        <f>Returns!A383</f>
        <v>0</v>
      </c>
      <c r="B383" s="1">
        <f>SUM(Portfolios!$B$2:$B$383)</f>
        <v>0</v>
      </c>
    </row>
    <row r="384" spans="1:2">
      <c r="A384" s="11">
        <f>Returns!A384</f>
        <v>0</v>
      </c>
      <c r="B384" s="1">
        <f>SUM(Portfolios!$B$2:$B$384)</f>
        <v>0</v>
      </c>
    </row>
    <row r="385" spans="1:2">
      <c r="A385" s="11">
        <f>Returns!A385</f>
        <v>0</v>
      </c>
      <c r="B385" s="1">
        <f>SUM(Portfolios!$B$2:$B$385)</f>
        <v>0</v>
      </c>
    </row>
    <row r="386" spans="1:2">
      <c r="A386" s="11">
        <f>Returns!A386</f>
        <v>0</v>
      </c>
      <c r="B386" s="1">
        <f>SUM(Portfolios!$B$2:$B$386)</f>
        <v>0</v>
      </c>
    </row>
    <row r="387" spans="1:2">
      <c r="A387" s="11">
        <f>Returns!A387</f>
        <v>0</v>
      </c>
      <c r="B387" s="1">
        <f>SUM(Portfolios!$B$2:$B$387)</f>
        <v>0</v>
      </c>
    </row>
    <row r="388" spans="1:2">
      <c r="A388" s="11">
        <f>Returns!A388</f>
        <v>0</v>
      </c>
      <c r="B388" s="1">
        <f>SUM(Portfolios!$B$2:$B$388)</f>
        <v>0</v>
      </c>
    </row>
    <row r="389" spans="1:2">
      <c r="A389" s="11">
        <f>Returns!A389</f>
        <v>0</v>
      </c>
      <c r="B389" s="1">
        <f>SUM(Portfolios!$B$2:$B$389)</f>
        <v>0</v>
      </c>
    </row>
    <row r="390" spans="1:2">
      <c r="A390" s="11">
        <f>Returns!A390</f>
        <v>0</v>
      </c>
      <c r="B390" s="1">
        <f>SUM(Portfolios!$B$2:$B$390)</f>
        <v>0</v>
      </c>
    </row>
    <row r="391" spans="1:2">
      <c r="A391" s="11">
        <f>Returns!A391</f>
        <v>0</v>
      </c>
      <c r="B391" s="1">
        <f>SUM(Portfolios!$B$2:$B$391)</f>
        <v>0</v>
      </c>
    </row>
    <row r="392" spans="1:2">
      <c r="A392" s="11">
        <f>Returns!A392</f>
        <v>0</v>
      </c>
      <c r="B392" s="1">
        <f>SUM(Portfolios!$B$2:$B$392)</f>
        <v>0</v>
      </c>
    </row>
    <row r="393" spans="1:2">
      <c r="A393" s="11">
        <f>Returns!A393</f>
        <v>0</v>
      </c>
      <c r="B393" s="1">
        <f>SUM(Portfolios!$B$2:$B$393)</f>
        <v>0</v>
      </c>
    </row>
    <row r="394" spans="1:2">
      <c r="A394" s="11">
        <f>Returns!A394</f>
        <v>0</v>
      </c>
      <c r="B394" s="1">
        <f>SUM(Portfolios!$B$2:$B$394)</f>
        <v>0</v>
      </c>
    </row>
    <row r="395" spans="1:2">
      <c r="A395" s="11">
        <f>Returns!A395</f>
        <v>0</v>
      </c>
      <c r="B395" s="1">
        <f>SUM(Portfolios!$B$2:$B$395)</f>
        <v>0</v>
      </c>
    </row>
    <row r="396" spans="1:2">
      <c r="A396" s="11">
        <f>Returns!A396</f>
        <v>0</v>
      </c>
      <c r="B396" s="1">
        <f>SUM(Portfolios!$B$2:$B$396)</f>
        <v>0</v>
      </c>
    </row>
    <row r="397" spans="1:2">
      <c r="A397" s="11">
        <f>Returns!A397</f>
        <v>0</v>
      </c>
      <c r="B397" s="1">
        <f>SUM(Portfolios!$B$2:$B$397)</f>
        <v>0</v>
      </c>
    </row>
    <row r="398" spans="1:2">
      <c r="A398" s="11">
        <f>Returns!A398</f>
        <v>0</v>
      </c>
      <c r="B398" s="1">
        <f>SUM(Portfolios!$B$2:$B$398)</f>
        <v>0</v>
      </c>
    </row>
    <row r="399" spans="1:2">
      <c r="A399" s="11">
        <f>Returns!A399</f>
        <v>0</v>
      </c>
      <c r="B399" s="1">
        <f>SUM(Portfolios!$B$2:$B$399)</f>
        <v>0</v>
      </c>
    </row>
    <row r="400" spans="1:2">
      <c r="A400" s="11">
        <f>Returns!A400</f>
        <v>0</v>
      </c>
      <c r="B400" s="1">
        <f>SUM(Portfolios!$B$2:$B$400)</f>
        <v>0</v>
      </c>
    </row>
    <row r="401" spans="1:2">
      <c r="A401" s="11">
        <f>Returns!A401</f>
        <v>0</v>
      </c>
      <c r="B401" s="1">
        <f>SUM(Portfolios!$B$2:$B$401)</f>
        <v>0</v>
      </c>
    </row>
    <row r="402" spans="1:2">
      <c r="A402" s="11">
        <f>Returns!A402</f>
        <v>0</v>
      </c>
      <c r="B402" s="1">
        <f>SUM(Portfolios!$B$2:$B$402)</f>
        <v>0</v>
      </c>
    </row>
    <row r="403" spans="1:2">
      <c r="A403" s="11">
        <f>Returns!A403</f>
        <v>0</v>
      </c>
      <c r="B403" s="1">
        <f>SUM(Portfolios!$B$2:$B$403)</f>
        <v>0</v>
      </c>
    </row>
    <row r="404" spans="1:2">
      <c r="A404" s="11">
        <f>Returns!A404</f>
        <v>0</v>
      </c>
      <c r="B404" s="1">
        <f>SUM(Portfolios!$B$2:$B$404)</f>
        <v>0</v>
      </c>
    </row>
    <row r="405" spans="1:2">
      <c r="A405" s="11">
        <f>Returns!A405</f>
        <v>0</v>
      </c>
      <c r="B405" s="1">
        <f>SUM(Portfolios!$B$2:$B$405)</f>
        <v>0</v>
      </c>
    </row>
    <row r="406" spans="1:2">
      <c r="A406" s="11">
        <f>Returns!A406</f>
        <v>0</v>
      </c>
      <c r="B406" s="1">
        <f>SUM(Portfolios!$B$2:$B$406)</f>
        <v>0</v>
      </c>
    </row>
    <row r="407" spans="1:2">
      <c r="A407" s="11">
        <f>Returns!A407</f>
        <v>0</v>
      </c>
      <c r="B407" s="1">
        <f>SUM(Portfolios!$B$2:$B$407)</f>
        <v>0</v>
      </c>
    </row>
    <row r="408" spans="1:2">
      <c r="A408" s="11">
        <f>Returns!A408</f>
        <v>0</v>
      </c>
      <c r="B408" s="1">
        <f>SUM(Portfolios!$B$2:$B$408)</f>
        <v>0</v>
      </c>
    </row>
    <row r="409" spans="1:2">
      <c r="A409" s="11">
        <f>Returns!A409</f>
        <v>0</v>
      </c>
      <c r="B409" s="1">
        <f>SUM(Portfolios!$B$2:$B$409)</f>
        <v>0</v>
      </c>
    </row>
    <row r="410" spans="1:2">
      <c r="A410" s="11">
        <f>Returns!A410</f>
        <v>0</v>
      </c>
      <c r="B410" s="1">
        <f>SUM(Portfolios!$B$2:$B$410)</f>
        <v>0</v>
      </c>
    </row>
    <row r="411" spans="1:2">
      <c r="A411" s="11">
        <f>Returns!A411</f>
        <v>0</v>
      </c>
      <c r="B411" s="1">
        <f>SUM(Portfolios!$B$2:$B$411)</f>
        <v>0</v>
      </c>
    </row>
    <row r="412" spans="1:2">
      <c r="A412" s="11">
        <f>Returns!A412</f>
        <v>0</v>
      </c>
      <c r="B412" s="1">
        <f>SUM(Portfolios!$B$2:$B$412)</f>
        <v>0</v>
      </c>
    </row>
    <row r="413" spans="1:2">
      <c r="A413" s="11">
        <f>Returns!A413</f>
        <v>0</v>
      </c>
      <c r="B413" s="1">
        <f>SUM(Portfolios!$B$2:$B$413)</f>
        <v>0</v>
      </c>
    </row>
    <row r="414" spans="1:2">
      <c r="A414" s="11">
        <f>Returns!A414</f>
        <v>0</v>
      </c>
      <c r="B414" s="1">
        <f>SUM(Portfolios!$B$2:$B$414)</f>
        <v>0</v>
      </c>
    </row>
    <row r="415" spans="1:2">
      <c r="A415" s="11">
        <f>Returns!A415</f>
        <v>0</v>
      </c>
      <c r="B415" s="1">
        <f>SUM(Portfolios!$B$2:$B$415)</f>
        <v>0</v>
      </c>
    </row>
    <row r="416" spans="1:2">
      <c r="A416" s="11">
        <f>Returns!A416</f>
        <v>0</v>
      </c>
      <c r="B416" s="1">
        <f>SUM(Portfolios!$B$2:$B$416)</f>
        <v>0</v>
      </c>
    </row>
    <row r="417" spans="1:2">
      <c r="A417" s="11">
        <f>Returns!A417</f>
        <v>0</v>
      </c>
      <c r="B417" s="1">
        <f>SUM(Portfolios!$B$2:$B$417)</f>
        <v>0</v>
      </c>
    </row>
    <row r="418" spans="1:2">
      <c r="A418" s="11">
        <f>Returns!A418</f>
        <v>0</v>
      </c>
      <c r="B418" s="1">
        <f>SUM(Portfolios!$B$2:$B$418)</f>
        <v>0</v>
      </c>
    </row>
    <row r="419" spans="1:2">
      <c r="A419" s="11">
        <f>Returns!A419</f>
        <v>0</v>
      </c>
      <c r="B419" s="1">
        <f>SUM(Portfolios!$B$2:$B$419)</f>
        <v>0</v>
      </c>
    </row>
    <row r="420" spans="1:2">
      <c r="A420" s="11">
        <f>Returns!A420</f>
        <v>0</v>
      </c>
      <c r="B420" s="1">
        <f>SUM(Portfolios!$B$2:$B$420)</f>
        <v>0</v>
      </c>
    </row>
    <row r="421" spans="1:2">
      <c r="A421" s="11">
        <f>Returns!A421</f>
        <v>0</v>
      </c>
      <c r="B421" s="1">
        <f>SUM(Portfolios!$B$2:$B$421)</f>
        <v>0</v>
      </c>
    </row>
    <row r="422" spans="1:2">
      <c r="A422" s="11">
        <f>Returns!A422</f>
        <v>0</v>
      </c>
      <c r="B422" s="1">
        <f>SUM(Portfolios!$B$2:$B$422)</f>
        <v>0</v>
      </c>
    </row>
    <row r="423" spans="1:2">
      <c r="A423" s="11">
        <f>Returns!A423</f>
        <v>0</v>
      </c>
      <c r="B423" s="1">
        <f>SUM(Portfolios!$B$2:$B$423)</f>
        <v>0</v>
      </c>
    </row>
    <row r="424" spans="1:2">
      <c r="A424" s="11">
        <f>Returns!A424</f>
        <v>0</v>
      </c>
      <c r="B424" s="1">
        <f>SUM(Portfolios!$B$2:$B$424)</f>
        <v>0</v>
      </c>
    </row>
    <row r="425" spans="1:2">
      <c r="A425" s="11">
        <f>Returns!A425</f>
        <v>0</v>
      </c>
      <c r="B425" s="1">
        <f>SUM(Portfolios!$B$2:$B$425)</f>
        <v>0</v>
      </c>
    </row>
    <row r="426" spans="1:2">
      <c r="A426" s="11">
        <f>Returns!A426</f>
        <v>0</v>
      </c>
      <c r="B426" s="1">
        <f>SUM(Portfolios!$B$2:$B$426)</f>
        <v>0</v>
      </c>
    </row>
    <row r="427" spans="1:2">
      <c r="A427" s="11">
        <f>Returns!A427</f>
        <v>0</v>
      </c>
      <c r="B427" s="1">
        <f>SUM(Portfolios!$B$2:$B$427)</f>
        <v>0</v>
      </c>
    </row>
    <row r="428" spans="1:2">
      <c r="A428" s="11">
        <f>Returns!A428</f>
        <v>0</v>
      </c>
      <c r="B428" s="1">
        <f>SUM(Portfolios!$B$2:$B$428)</f>
        <v>0</v>
      </c>
    </row>
    <row r="429" spans="1:2">
      <c r="A429" s="11">
        <f>Returns!A429</f>
        <v>0</v>
      </c>
      <c r="B429" s="1">
        <f>SUM(Portfolios!$B$2:$B$429)</f>
        <v>0</v>
      </c>
    </row>
    <row r="430" spans="1:2">
      <c r="A430" s="11">
        <f>Returns!A430</f>
        <v>0</v>
      </c>
      <c r="B430" s="1">
        <f>SUM(Portfolios!$B$2:$B$430)</f>
        <v>0</v>
      </c>
    </row>
    <row r="431" spans="1:2">
      <c r="A431" s="11">
        <f>Returns!A431</f>
        <v>0</v>
      </c>
      <c r="B431" s="1">
        <f>SUM(Portfolios!$B$2:$B$431)</f>
        <v>0</v>
      </c>
    </row>
    <row r="432" spans="1:2">
      <c r="A432" s="11">
        <f>Returns!A432</f>
        <v>0</v>
      </c>
      <c r="B432" s="1">
        <f>SUM(Portfolios!$B$2:$B$432)</f>
        <v>0</v>
      </c>
    </row>
    <row r="433" spans="1:2">
      <c r="A433" s="11">
        <f>Returns!A433</f>
        <v>0</v>
      </c>
      <c r="B433" s="1">
        <f>SUM(Portfolios!$B$2:$B$433)</f>
        <v>0</v>
      </c>
    </row>
    <row r="434" spans="1:2">
      <c r="A434" s="11">
        <f>Returns!A434</f>
        <v>0</v>
      </c>
      <c r="B434" s="1">
        <f>SUM(Portfolios!$B$2:$B$434)</f>
        <v>0</v>
      </c>
    </row>
    <row r="435" spans="1:2">
      <c r="A435" s="11">
        <f>Returns!A435</f>
        <v>0</v>
      </c>
      <c r="B435" s="1">
        <f>SUM(Portfolios!$B$2:$B$435)</f>
        <v>0</v>
      </c>
    </row>
    <row r="436" spans="1:2">
      <c r="A436" s="11">
        <f>Returns!A436</f>
        <v>0</v>
      </c>
      <c r="B436" s="1">
        <f>SUM(Portfolios!$B$2:$B$436)</f>
        <v>0</v>
      </c>
    </row>
    <row r="437" spans="1:2">
      <c r="A437" s="11">
        <f>Returns!A437</f>
        <v>0</v>
      </c>
      <c r="B437" s="1">
        <f>SUM(Portfolios!$B$2:$B$437)</f>
        <v>0</v>
      </c>
    </row>
    <row r="438" spans="1:2">
      <c r="A438" s="11">
        <f>Returns!A438</f>
        <v>0</v>
      </c>
      <c r="B438" s="1">
        <f>SUM(Portfolios!$B$2:$B$438)</f>
        <v>0</v>
      </c>
    </row>
    <row r="439" spans="1:2">
      <c r="A439" s="11">
        <f>Returns!A439</f>
        <v>0</v>
      </c>
      <c r="B439" s="1">
        <f>SUM(Portfolios!$B$2:$B$439)</f>
        <v>0</v>
      </c>
    </row>
    <row r="440" spans="1:2">
      <c r="A440" s="11">
        <f>Returns!A440</f>
        <v>0</v>
      </c>
      <c r="B440" s="1">
        <f>SUM(Portfolios!$B$2:$B$440)</f>
        <v>0</v>
      </c>
    </row>
    <row r="441" spans="1:2">
      <c r="A441" s="11">
        <f>Returns!A441</f>
        <v>0</v>
      </c>
      <c r="B441" s="1">
        <f>SUM(Portfolios!$B$2:$B$441)</f>
        <v>0</v>
      </c>
    </row>
    <row r="442" spans="1:2">
      <c r="A442" s="11">
        <f>Returns!A442</f>
        <v>0</v>
      </c>
      <c r="B442" s="1">
        <f>SUM(Portfolios!$B$2:$B$442)</f>
        <v>0</v>
      </c>
    </row>
    <row r="443" spans="1:2">
      <c r="A443" s="11">
        <f>Returns!A443</f>
        <v>0</v>
      </c>
      <c r="B443" s="1">
        <f>SUM(Portfolios!$B$2:$B$443)</f>
        <v>0</v>
      </c>
    </row>
    <row r="444" spans="1:2">
      <c r="A444" s="11">
        <f>Returns!A444</f>
        <v>0</v>
      </c>
      <c r="B444" s="1">
        <f>SUM(Portfolios!$B$2:$B$444)</f>
        <v>0</v>
      </c>
    </row>
    <row r="445" spans="1:2">
      <c r="A445" s="11">
        <f>Returns!A445</f>
        <v>0</v>
      </c>
      <c r="B445" s="1">
        <f>SUM(Portfolios!$B$2:$B$445)</f>
        <v>0</v>
      </c>
    </row>
    <row r="446" spans="1:2">
      <c r="A446" s="11">
        <f>Returns!A446</f>
        <v>0</v>
      </c>
      <c r="B446" s="1">
        <f>SUM(Portfolios!$B$2:$B$446)</f>
        <v>0</v>
      </c>
    </row>
    <row r="447" spans="1:2">
      <c r="A447" s="11">
        <f>Returns!A447</f>
        <v>0</v>
      </c>
      <c r="B447" s="1">
        <f>SUM(Portfolios!$B$2:$B$447)</f>
        <v>0</v>
      </c>
    </row>
    <row r="448" spans="1:2">
      <c r="A448" s="11">
        <f>Returns!A448</f>
        <v>0</v>
      </c>
      <c r="B448" s="1">
        <f>SUM(Portfolios!$B$2:$B$448)</f>
        <v>0</v>
      </c>
    </row>
    <row r="449" spans="1:2">
      <c r="A449" s="11">
        <f>Returns!A449</f>
        <v>0</v>
      </c>
      <c r="B449" s="1">
        <f>SUM(Portfolios!$B$2:$B$449)</f>
        <v>0</v>
      </c>
    </row>
    <row r="450" spans="1:2">
      <c r="A450" s="11">
        <f>Returns!A450</f>
        <v>0</v>
      </c>
      <c r="B450" s="1">
        <f>SUM(Portfolios!$B$2:$B$450)</f>
        <v>0</v>
      </c>
    </row>
    <row r="451" spans="1:2">
      <c r="A451" s="11">
        <f>Returns!A451</f>
        <v>0</v>
      </c>
      <c r="B451" s="1">
        <f>SUM(Portfolios!$B$2:$B$451)</f>
        <v>0</v>
      </c>
    </row>
    <row r="452" spans="1:2">
      <c r="A452" s="11">
        <f>Returns!A452</f>
        <v>0</v>
      </c>
      <c r="B452" s="1">
        <f>SUM(Portfolios!$B$2:$B$452)</f>
        <v>0</v>
      </c>
    </row>
    <row r="453" spans="1:2">
      <c r="A453" s="11">
        <f>Returns!A453</f>
        <v>0</v>
      </c>
      <c r="B453" s="1">
        <f>SUM(Portfolios!$B$2:$B$453)</f>
        <v>0</v>
      </c>
    </row>
    <row r="454" spans="1:2">
      <c r="A454" s="11">
        <f>Returns!A454</f>
        <v>0</v>
      </c>
      <c r="B454" s="1">
        <f>SUM(Portfolios!$B$2:$B$454)</f>
        <v>0</v>
      </c>
    </row>
    <row r="455" spans="1:2">
      <c r="A455" s="11">
        <f>Returns!A455</f>
        <v>0</v>
      </c>
      <c r="B455" s="1">
        <f>SUM(Portfolios!$B$2:$B$455)</f>
        <v>0</v>
      </c>
    </row>
    <row r="456" spans="1:2">
      <c r="A456" s="11">
        <f>Returns!A456</f>
        <v>0</v>
      </c>
      <c r="B456" s="1">
        <f>SUM(Portfolios!$B$2:$B$456)</f>
        <v>0</v>
      </c>
    </row>
    <row r="457" spans="1:2">
      <c r="A457" s="11">
        <f>Returns!A457</f>
        <v>0</v>
      </c>
      <c r="B457" s="1">
        <f>SUM(Portfolios!$B$2:$B$457)</f>
        <v>0</v>
      </c>
    </row>
    <row r="458" spans="1:2">
      <c r="A458" s="11">
        <f>Returns!A458</f>
        <v>0</v>
      </c>
      <c r="B458" s="1">
        <f>SUM(Portfolios!$B$2:$B$458)</f>
        <v>0</v>
      </c>
    </row>
    <row r="459" spans="1:2">
      <c r="A459" s="11">
        <f>Returns!A459</f>
        <v>0</v>
      </c>
      <c r="B459" s="1">
        <f>SUM(Portfolios!$B$2:$B$459)</f>
        <v>0</v>
      </c>
    </row>
    <row r="460" spans="1:2">
      <c r="A460" s="11">
        <f>Returns!A460</f>
        <v>0</v>
      </c>
      <c r="B460" s="1">
        <f>SUM(Portfolios!$B$2:$B$460)</f>
        <v>0</v>
      </c>
    </row>
    <row r="461" spans="1:2">
      <c r="A461" s="11">
        <f>Returns!A461</f>
        <v>0</v>
      </c>
      <c r="B461" s="1">
        <f>SUM(Portfolios!$B$2:$B$461)</f>
        <v>0</v>
      </c>
    </row>
    <row r="462" spans="1:2">
      <c r="A462" s="11">
        <f>Returns!A462</f>
        <v>0</v>
      </c>
      <c r="B462" s="1">
        <f>SUM(Portfolios!$B$2:$B$462)</f>
        <v>0</v>
      </c>
    </row>
    <row r="463" spans="1:2">
      <c r="A463" s="11">
        <f>Returns!A463</f>
        <v>0</v>
      </c>
      <c r="B463" s="1">
        <f>SUM(Portfolios!$B$2:$B$463)</f>
        <v>0</v>
      </c>
    </row>
    <row r="464" spans="1:2">
      <c r="A464" s="11">
        <f>Returns!A464</f>
        <v>0</v>
      </c>
      <c r="B464" s="1">
        <f>SUM(Portfolios!$B$2:$B$464)</f>
        <v>0</v>
      </c>
    </row>
    <row r="465" spans="1:2">
      <c r="A465" s="11">
        <f>Returns!A465</f>
        <v>0</v>
      </c>
      <c r="B465" s="1">
        <f>SUM(Portfolios!$B$2:$B$465)</f>
        <v>0</v>
      </c>
    </row>
    <row r="466" spans="1:2">
      <c r="A466" s="11">
        <f>Returns!A466</f>
        <v>0</v>
      </c>
      <c r="B466" s="1">
        <f>SUM(Portfolios!$B$2:$B$466)</f>
        <v>0</v>
      </c>
    </row>
    <row r="467" spans="1:2">
      <c r="A467" s="11">
        <f>Returns!A467</f>
        <v>0</v>
      </c>
      <c r="B467" s="1">
        <f>SUM(Portfolios!$B$2:$B$467)</f>
        <v>0</v>
      </c>
    </row>
    <row r="468" spans="1:2">
      <c r="A468" s="11">
        <f>Returns!A468</f>
        <v>0</v>
      </c>
      <c r="B468" s="1">
        <f>SUM(Portfolios!$B$2:$B$468)</f>
        <v>0</v>
      </c>
    </row>
    <row r="469" spans="1:2">
      <c r="A469" s="11">
        <f>Returns!A469</f>
        <v>0</v>
      </c>
      <c r="B469" s="1">
        <f>SUM(Portfolios!$B$2:$B$469)</f>
        <v>0</v>
      </c>
    </row>
    <row r="470" spans="1:2">
      <c r="A470" s="11">
        <f>Returns!A470</f>
        <v>0</v>
      </c>
      <c r="B470" s="1">
        <f>SUM(Portfolios!$B$2:$B$470)</f>
        <v>0</v>
      </c>
    </row>
    <row r="471" spans="1:2">
      <c r="A471" s="11">
        <f>Returns!A471</f>
        <v>0</v>
      </c>
      <c r="B471" s="1">
        <f>SUM(Portfolios!$B$2:$B$471)</f>
        <v>0</v>
      </c>
    </row>
    <row r="472" spans="1:2">
      <c r="A472" s="11">
        <f>Returns!A472</f>
        <v>0</v>
      </c>
      <c r="B472" s="1">
        <f>SUM(Portfolios!$B$2:$B$472)</f>
        <v>0</v>
      </c>
    </row>
    <row r="473" spans="1:2">
      <c r="A473" s="11">
        <f>Returns!A473</f>
        <v>0</v>
      </c>
      <c r="B473" s="1">
        <f>SUM(Portfolios!$B$2:$B$473)</f>
        <v>0</v>
      </c>
    </row>
    <row r="474" spans="1:2">
      <c r="A474" s="11">
        <f>Returns!A474</f>
        <v>0</v>
      </c>
      <c r="B474" s="1">
        <f>SUM(Portfolios!$B$2:$B$474)</f>
        <v>0</v>
      </c>
    </row>
    <row r="475" spans="1:2">
      <c r="A475" s="11">
        <f>Returns!A475</f>
        <v>0</v>
      </c>
      <c r="B475" s="1">
        <f>SUM(Portfolios!$B$2:$B$475)</f>
        <v>0</v>
      </c>
    </row>
    <row r="476" spans="1:2">
      <c r="A476" s="11">
        <f>Returns!A476</f>
        <v>0</v>
      </c>
      <c r="B476" s="1">
        <f>SUM(Portfolios!$B$2:$B$476)</f>
        <v>0</v>
      </c>
    </row>
    <row r="477" spans="1:2">
      <c r="A477" s="11">
        <f>Returns!A477</f>
        <v>0</v>
      </c>
      <c r="B477" s="1">
        <f>SUM(Portfolios!$B$2:$B$477)</f>
        <v>0</v>
      </c>
    </row>
    <row r="478" spans="1:2">
      <c r="A478" s="11">
        <f>Returns!A478</f>
        <v>0</v>
      </c>
      <c r="B478" s="1">
        <f>SUM(Portfolios!$B$2:$B$478)</f>
        <v>0</v>
      </c>
    </row>
    <row r="479" spans="1:2">
      <c r="A479" s="11">
        <f>Returns!A479</f>
        <v>0</v>
      </c>
      <c r="B479" s="1">
        <f>SUM(Portfolios!$B$2:$B$479)</f>
        <v>0</v>
      </c>
    </row>
    <row r="480" spans="1:2">
      <c r="A480" s="11">
        <f>Returns!A480</f>
        <v>0</v>
      </c>
      <c r="B480" s="1">
        <f>SUM(Portfolios!$B$2:$B$480)</f>
        <v>0</v>
      </c>
    </row>
    <row r="481" spans="1:2">
      <c r="A481" s="11">
        <f>Returns!A481</f>
        <v>0</v>
      </c>
      <c r="B481" s="1">
        <f>SUM(Portfolios!$B$2:$B$481)</f>
        <v>0</v>
      </c>
    </row>
    <row r="482" spans="1:2">
      <c r="A482" s="11">
        <f>Returns!A482</f>
        <v>0</v>
      </c>
      <c r="B482" s="1">
        <f>SUM(Portfolios!$B$2:$B$482)</f>
        <v>0</v>
      </c>
    </row>
    <row r="483" spans="1:2">
      <c r="A483" s="11">
        <f>Returns!A483</f>
        <v>0</v>
      </c>
      <c r="B483" s="1">
        <f>SUM(Portfolios!$B$2:$B$483)</f>
        <v>0</v>
      </c>
    </row>
    <row r="484" spans="1:2">
      <c r="A484" s="11">
        <f>Returns!A484</f>
        <v>0</v>
      </c>
      <c r="B484" s="1">
        <f>SUM(Portfolios!$B$2:$B$484)</f>
        <v>0</v>
      </c>
    </row>
    <row r="485" spans="1:2">
      <c r="A485" s="11">
        <f>Returns!A485</f>
        <v>0</v>
      </c>
      <c r="B485" s="1">
        <f>SUM(Portfolios!$B$2:$B$485)</f>
        <v>0</v>
      </c>
    </row>
    <row r="486" spans="1:2">
      <c r="A486" s="11">
        <f>Returns!A486</f>
        <v>0</v>
      </c>
      <c r="B486" s="1">
        <f>SUM(Portfolios!$B$2:$B$486)</f>
        <v>0</v>
      </c>
    </row>
    <row r="487" spans="1:2">
      <c r="A487" s="11">
        <f>Returns!A487</f>
        <v>0</v>
      </c>
      <c r="B487" s="1">
        <f>SUM(Portfolios!$B$2:$B$487)</f>
        <v>0</v>
      </c>
    </row>
    <row r="488" spans="1:2">
      <c r="A488" s="11">
        <f>Returns!A488</f>
        <v>0</v>
      </c>
      <c r="B488" s="1">
        <f>SUM(Portfolios!$B$2:$B$488)</f>
        <v>0</v>
      </c>
    </row>
    <row r="489" spans="1:2">
      <c r="A489" s="11">
        <f>Returns!A489</f>
        <v>0</v>
      </c>
      <c r="B489" s="1">
        <f>SUM(Portfolios!$B$2:$B$489)</f>
        <v>0</v>
      </c>
    </row>
    <row r="490" spans="1:2">
      <c r="A490" s="11">
        <f>Returns!A490</f>
        <v>0</v>
      </c>
      <c r="B490" s="1">
        <f>SUM(Portfolios!$B$2:$B$490)</f>
        <v>0</v>
      </c>
    </row>
    <row r="491" spans="1:2">
      <c r="A491" s="11">
        <f>Returns!A491</f>
        <v>0</v>
      </c>
      <c r="B491" s="1">
        <f>SUM(Portfolios!$B$2:$B$491)</f>
        <v>0</v>
      </c>
    </row>
    <row r="492" spans="1:2">
      <c r="A492" s="11">
        <f>Returns!A492</f>
        <v>0</v>
      </c>
      <c r="B492" s="1">
        <f>SUM(Portfolios!$B$2:$B$492)</f>
        <v>0</v>
      </c>
    </row>
    <row r="493" spans="1:2">
      <c r="A493" s="11">
        <f>Returns!A493</f>
        <v>0</v>
      </c>
      <c r="B493" s="1">
        <f>SUM(Portfolios!$B$2:$B$493)</f>
        <v>0</v>
      </c>
    </row>
    <row r="494" spans="1:2">
      <c r="A494" s="11">
        <f>Returns!A494</f>
        <v>0</v>
      </c>
      <c r="B494" s="1">
        <f>SUM(Portfolios!$B$2:$B$494)</f>
        <v>0</v>
      </c>
    </row>
    <row r="495" spans="1:2">
      <c r="A495" s="11">
        <f>Returns!A495</f>
        <v>0</v>
      </c>
      <c r="B495" s="1">
        <f>SUM(Portfolios!$B$2:$B$495)</f>
        <v>0</v>
      </c>
    </row>
    <row r="496" spans="1:2">
      <c r="A496" s="11">
        <f>Returns!A496</f>
        <v>0</v>
      </c>
      <c r="B496" s="1">
        <f>SUM(Portfolios!$B$2:$B$496)</f>
        <v>0</v>
      </c>
    </row>
    <row r="497" spans="1:2">
      <c r="A497" s="11">
        <f>Returns!A497</f>
        <v>0</v>
      </c>
      <c r="B497" s="1">
        <f>SUM(Portfolios!$B$2:$B$497)</f>
        <v>0</v>
      </c>
    </row>
    <row r="498" spans="1:2">
      <c r="A498" s="11">
        <f>Returns!A498</f>
        <v>0</v>
      </c>
      <c r="B498" s="1">
        <f>SUM(Portfolios!$B$2:$B$498)</f>
        <v>0</v>
      </c>
    </row>
    <row r="499" spans="1:2">
      <c r="A499" s="11">
        <f>Returns!A499</f>
        <v>0</v>
      </c>
      <c r="B499" s="1">
        <f>SUM(Portfolios!$B$2:$B$499)</f>
        <v>0</v>
      </c>
    </row>
    <row r="500" spans="1:2">
      <c r="A500" s="11">
        <f>Returns!A500</f>
        <v>0</v>
      </c>
      <c r="B500" s="1">
        <f>SUM(Portfolios!$B$2:$B$500)</f>
        <v>0</v>
      </c>
    </row>
    <row r="501" spans="1:2">
      <c r="A501" s="11">
        <f>Returns!A501</f>
        <v>0</v>
      </c>
      <c r="B501" s="1">
        <f>SUM(Portfolios!$B$2:$B$501)</f>
        <v>0</v>
      </c>
    </row>
    <row r="502" spans="1:2">
      <c r="A502" s="11">
        <f>Returns!A502</f>
        <v>0</v>
      </c>
      <c r="B502" s="1">
        <f>SUM(Portfolios!$B$2:$B$502)</f>
        <v>0</v>
      </c>
    </row>
    <row r="503" spans="1:2">
      <c r="A503" s="11">
        <f>Returns!A503</f>
        <v>0</v>
      </c>
      <c r="B503" s="1">
        <f>SUM(Portfolios!$B$2:$B$503)</f>
        <v>0</v>
      </c>
    </row>
    <row r="504" spans="1:2">
      <c r="A504" s="11">
        <f>Returns!A504</f>
        <v>0</v>
      </c>
      <c r="B504" s="1">
        <f>SUM(Portfolios!$B$2:$B$504)</f>
        <v>0</v>
      </c>
    </row>
    <row r="505" spans="1:2">
      <c r="A505" s="11">
        <f>Returns!A505</f>
        <v>0</v>
      </c>
      <c r="B505" s="1">
        <f>SUM(Portfolios!$B$2:$B$505)</f>
        <v>0</v>
      </c>
    </row>
    <row r="506" spans="1:2">
      <c r="A506" s="11">
        <f>Returns!A506</f>
        <v>0</v>
      </c>
      <c r="B506" s="1">
        <f>SUM(Portfolios!$B$2:$B$506)</f>
        <v>0</v>
      </c>
    </row>
    <row r="507" spans="1:2">
      <c r="A507" s="11">
        <f>Returns!A507</f>
        <v>0</v>
      </c>
      <c r="B507" s="1">
        <f>SUM(Portfolios!$B$2:$B$507)</f>
        <v>0</v>
      </c>
    </row>
    <row r="508" spans="1:2">
      <c r="A508" s="11">
        <f>Returns!A508</f>
        <v>0</v>
      </c>
      <c r="B508" s="1">
        <f>SUM(Portfolios!$B$2:$B$508)</f>
        <v>0</v>
      </c>
    </row>
    <row r="509" spans="1:2">
      <c r="A509" s="11">
        <f>Returns!A509</f>
        <v>0</v>
      </c>
      <c r="B509" s="1">
        <f>SUM(Portfolios!$B$2:$B$509)</f>
        <v>0</v>
      </c>
    </row>
    <row r="510" spans="1:2">
      <c r="A510" s="11">
        <f>Returns!A510</f>
        <v>0</v>
      </c>
      <c r="B510" s="1">
        <f>SUM(Portfolios!$B$2:$B$510)</f>
        <v>0</v>
      </c>
    </row>
    <row r="511" spans="1:2">
      <c r="A511" s="11">
        <f>Returns!A511</f>
        <v>0</v>
      </c>
      <c r="B511" s="1">
        <f>SUM(Portfolios!$B$2:$B$511)</f>
        <v>0</v>
      </c>
    </row>
    <row r="512" spans="1:2">
      <c r="A512" s="11">
        <f>Returns!A512</f>
        <v>0</v>
      </c>
      <c r="B512" s="1">
        <f>SUM(Portfolios!$B$2:$B$512)</f>
        <v>0</v>
      </c>
    </row>
    <row r="513" spans="1:2">
      <c r="A513" s="11">
        <f>Returns!A513</f>
        <v>0</v>
      </c>
      <c r="B513" s="1">
        <f>SUM(Portfolios!$B$2:$B$513)</f>
        <v>0</v>
      </c>
    </row>
    <row r="514" spans="1:2">
      <c r="A514" s="11">
        <f>Returns!A514</f>
        <v>0</v>
      </c>
      <c r="B514" s="1">
        <f>SUM(Portfolios!$B$2:$B$514)</f>
        <v>0</v>
      </c>
    </row>
    <row r="515" spans="1:2">
      <c r="A515" s="11">
        <f>Returns!A515</f>
        <v>0</v>
      </c>
      <c r="B515" s="1">
        <f>SUM(Portfolios!$B$2:$B$515)</f>
        <v>0</v>
      </c>
    </row>
    <row r="516" spans="1:2">
      <c r="A516" s="11">
        <f>Returns!A516</f>
        <v>0</v>
      </c>
      <c r="B516" s="1">
        <f>SUM(Portfolios!$B$2:$B$516)</f>
        <v>0</v>
      </c>
    </row>
    <row r="517" spans="1:2">
      <c r="A517" s="11">
        <f>Returns!A517</f>
        <v>0</v>
      </c>
      <c r="B517" s="1">
        <f>SUM(Portfolios!$B$2:$B$517)</f>
        <v>0</v>
      </c>
    </row>
    <row r="518" spans="1:2">
      <c r="A518" s="11">
        <f>Returns!A518</f>
        <v>0</v>
      </c>
      <c r="B518" s="1">
        <f>SUM(Portfolios!$B$2:$B$518)</f>
        <v>0</v>
      </c>
    </row>
    <row r="519" spans="1:2">
      <c r="A519" s="11">
        <f>Returns!A519</f>
        <v>0</v>
      </c>
      <c r="B519" s="1">
        <f>SUM(Portfolios!$B$2:$B$519)</f>
        <v>0</v>
      </c>
    </row>
    <row r="520" spans="1:2">
      <c r="A520" s="11">
        <f>Returns!A520</f>
        <v>0</v>
      </c>
      <c r="B520" s="1">
        <f>SUM(Portfolios!$B$2:$B$520)</f>
        <v>0</v>
      </c>
    </row>
    <row r="521" spans="1:2">
      <c r="A521" s="11">
        <f>Returns!A521</f>
        <v>0</v>
      </c>
      <c r="B521" s="1">
        <f>SUM(Portfolios!$B$2:$B$521)</f>
        <v>0</v>
      </c>
    </row>
    <row r="522" spans="1:2">
      <c r="A522" s="11">
        <f>Returns!A522</f>
        <v>0</v>
      </c>
      <c r="B522" s="1">
        <f>SUM(Portfolios!$B$2:$B$522)</f>
        <v>0</v>
      </c>
    </row>
    <row r="523" spans="1:2">
      <c r="A523" s="11">
        <f>Returns!A523</f>
        <v>0</v>
      </c>
      <c r="B523" s="1">
        <f>SUM(Portfolios!$B$2:$B$523)</f>
        <v>0</v>
      </c>
    </row>
    <row r="524" spans="1:2">
      <c r="A524" s="11">
        <f>Returns!A524</f>
        <v>0</v>
      </c>
      <c r="B524" s="1">
        <f>SUM(Portfolios!$B$2:$B$524)</f>
        <v>0</v>
      </c>
    </row>
    <row r="525" spans="1:2">
      <c r="A525" s="11">
        <f>Returns!A525</f>
        <v>0</v>
      </c>
      <c r="B525" s="1">
        <f>SUM(Portfolios!$B$2:$B$525)</f>
        <v>0</v>
      </c>
    </row>
    <row r="526" spans="1:2">
      <c r="A526" s="11">
        <f>Returns!A526</f>
        <v>0</v>
      </c>
      <c r="B526" s="1">
        <f>SUM(Portfolios!$B$2:$B$526)</f>
        <v>0</v>
      </c>
    </row>
    <row r="527" spans="1:2">
      <c r="A527" s="11">
        <f>Returns!A527</f>
        <v>0</v>
      </c>
      <c r="B527" s="1">
        <f>SUM(Portfolios!$B$2:$B$527)</f>
        <v>0</v>
      </c>
    </row>
    <row r="528" spans="1:2">
      <c r="A528" s="11">
        <f>Returns!A528</f>
        <v>0</v>
      </c>
      <c r="B528" s="1">
        <f>SUM(Portfolios!$B$2:$B$528)</f>
        <v>0</v>
      </c>
    </row>
    <row r="529" spans="1:2">
      <c r="A529" s="11">
        <f>Returns!A529</f>
        <v>0</v>
      </c>
      <c r="B529" s="1">
        <f>SUM(Portfolios!$B$2:$B$529)</f>
        <v>0</v>
      </c>
    </row>
    <row r="530" spans="1:2">
      <c r="A530" s="11">
        <f>Returns!A530</f>
        <v>0</v>
      </c>
      <c r="B530" s="1">
        <f>SUM(Portfolios!$B$2:$B$530)</f>
        <v>0</v>
      </c>
    </row>
    <row r="531" spans="1:2">
      <c r="A531" s="11">
        <f>Returns!A531</f>
        <v>0</v>
      </c>
      <c r="B531" s="1">
        <f>SUM(Portfolios!$B$2:$B$531)</f>
        <v>0</v>
      </c>
    </row>
    <row r="532" spans="1:2">
      <c r="A532" s="11">
        <f>Returns!A532</f>
        <v>0</v>
      </c>
      <c r="B532" s="1">
        <f>SUM(Portfolios!$B$2:$B$532)</f>
        <v>0</v>
      </c>
    </row>
    <row r="533" spans="1:2">
      <c r="A533" s="11">
        <f>Returns!A533</f>
        <v>0</v>
      </c>
      <c r="B533" s="1">
        <f>SUM(Portfolios!$B$2:$B$533)</f>
        <v>0</v>
      </c>
    </row>
    <row r="534" spans="1:2">
      <c r="A534" s="11">
        <f>Returns!A534</f>
        <v>0</v>
      </c>
      <c r="B534" s="1">
        <f>SUM(Portfolios!$B$2:$B$534)</f>
        <v>0</v>
      </c>
    </row>
    <row r="535" spans="1:2">
      <c r="A535" s="11">
        <f>Returns!A535</f>
        <v>0</v>
      </c>
      <c r="B535" s="1">
        <f>SUM(Portfolios!$B$2:$B$535)</f>
        <v>0</v>
      </c>
    </row>
    <row r="536" spans="1:2">
      <c r="A536" s="11">
        <f>Returns!A536</f>
        <v>0</v>
      </c>
      <c r="B536" s="1">
        <f>SUM(Portfolios!$B$2:$B$536)</f>
        <v>0</v>
      </c>
    </row>
    <row r="537" spans="1:2">
      <c r="A537" s="11">
        <f>Returns!A537</f>
        <v>0</v>
      </c>
      <c r="B537" s="1">
        <f>SUM(Portfolios!$B$2:$B$537)</f>
        <v>0</v>
      </c>
    </row>
    <row r="538" spans="1:2">
      <c r="A538" s="11">
        <f>Returns!A538</f>
        <v>0</v>
      </c>
      <c r="B538" s="1">
        <f>SUM(Portfolios!$B$2:$B$538)</f>
        <v>0</v>
      </c>
    </row>
    <row r="539" spans="1:2">
      <c r="A539" s="11">
        <f>Returns!A539</f>
        <v>0</v>
      </c>
      <c r="B539" s="1">
        <f>SUM(Portfolios!$B$2:$B$539)</f>
        <v>0</v>
      </c>
    </row>
    <row r="540" spans="1:2">
      <c r="A540" s="11">
        <f>Returns!A540</f>
        <v>0</v>
      </c>
      <c r="B540" s="1">
        <f>SUM(Portfolios!$B$2:$B$540)</f>
        <v>0</v>
      </c>
    </row>
    <row r="541" spans="1:2">
      <c r="A541" s="11">
        <f>Returns!A541</f>
        <v>0</v>
      </c>
      <c r="B541" s="1">
        <f>SUM(Portfolios!$B$2:$B$541)</f>
        <v>0</v>
      </c>
    </row>
    <row r="542" spans="1:2">
      <c r="A542" s="11">
        <f>Returns!A542</f>
        <v>0</v>
      </c>
      <c r="B542" s="1">
        <f>SUM(Portfolios!$B$2:$B$542)</f>
        <v>0</v>
      </c>
    </row>
    <row r="543" spans="1:2">
      <c r="A543" s="11">
        <f>Returns!A543</f>
        <v>0</v>
      </c>
      <c r="B543" s="1">
        <f>SUM(Portfolios!$B$2:$B$543)</f>
        <v>0</v>
      </c>
    </row>
    <row r="544" spans="1:2">
      <c r="A544" s="11">
        <f>Returns!A544</f>
        <v>0</v>
      </c>
      <c r="B544" s="1">
        <f>SUM(Portfolios!$B$2:$B$544)</f>
        <v>0</v>
      </c>
    </row>
    <row r="545" spans="1:2">
      <c r="A545" s="11">
        <f>Returns!A545</f>
        <v>0</v>
      </c>
      <c r="B545" s="1">
        <f>SUM(Portfolios!$B$2:$B$545)</f>
        <v>0</v>
      </c>
    </row>
    <row r="546" spans="1:2">
      <c r="A546" s="11">
        <f>Returns!A546</f>
        <v>0</v>
      </c>
      <c r="B546" s="1">
        <f>SUM(Portfolios!$B$2:$B$546)</f>
        <v>0</v>
      </c>
    </row>
    <row r="547" spans="1:2">
      <c r="A547" s="11">
        <f>Returns!A547</f>
        <v>0</v>
      </c>
      <c r="B547" s="1">
        <f>SUM(Portfolios!$B$2:$B$547)</f>
        <v>0</v>
      </c>
    </row>
    <row r="548" spans="1:2">
      <c r="A548" s="11">
        <f>Returns!A548</f>
        <v>0</v>
      </c>
      <c r="B548" s="1">
        <f>SUM(Portfolios!$B$2:$B$548)</f>
        <v>0</v>
      </c>
    </row>
    <row r="549" spans="1:2">
      <c r="A549" s="11">
        <f>Returns!A549</f>
        <v>0</v>
      </c>
      <c r="B549" s="1">
        <f>SUM(Portfolios!$B$2:$B$549)</f>
        <v>0</v>
      </c>
    </row>
    <row r="550" spans="1:2">
      <c r="A550" s="11">
        <f>Returns!A550</f>
        <v>0</v>
      </c>
      <c r="B550" s="1">
        <f>SUM(Portfolios!$B$2:$B$550)</f>
        <v>0</v>
      </c>
    </row>
    <row r="551" spans="1:2">
      <c r="A551" s="11">
        <f>Returns!A551</f>
        <v>0</v>
      </c>
      <c r="B551" s="1">
        <f>SUM(Portfolios!$B$2:$B$551)</f>
        <v>0</v>
      </c>
    </row>
    <row r="552" spans="1:2">
      <c r="A552" s="11">
        <f>Returns!A552</f>
        <v>0</v>
      </c>
      <c r="B552" s="1">
        <f>SUM(Portfolios!$B$2:$B$552)</f>
        <v>0</v>
      </c>
    </row>
    <row r="553" spans="1:2">
      <c r="A553" s="11">
        <f>Returns!A553</f>
        <v>0</v>
      </c>
      <c r="B553" s="1">
        <f>SUM(Portfolios!$B$2:$B$553)</f>
        <v>0</v>
      </c>
    </row>
    <row r="554" spans="1:2">
      <c r="A554" s="11">
        <f>Returns!A554</f>
        <v>0</v>
      </c>
      <c r="B554" s="1">
        <f>SUM(Portfolios!$B$2:$B$554)</f>
        <v>0</v>
      </c>
    </row>
    <row r="555" spans="1:2">
      <c r="A555" s="11">
        <f>Returns!A555</f>
        <v>0</v>
      </c>
      <c r="B555" s="1">
        <f>SUM(Portfolios!$B$2:$B$555)</f>
        <v>0</v>
      </c>
    </row>
    <row r="556" spans="1:2">
      <c r="A556" s="11">
        <f>Returns!A556</f>
        <v>0</v>
      </c>
      <c r="B556" s="1">
        <f>SUM(Portfolios!$B$2:$B$556)</f>
        <v>0</v>
      </c>
    </row>
    <row r="557" spans="1:2">
      <c r="A557" s="11">
        <f>Returns!A557</f>
        <v>0</v>
      </c>
      <c r="B557" s="1">
        <f>SUM(Portfolios!$B$2:$B$557)</f>
        <v>0</v>
      </c>
    </row>
    <row r="558" spans="1:2">
      <c r="A558" s="11">
        <f>Returns!A558</f>
        <v>0</v>
      </c>
      <c r="B558" s="1">
        <f>SUM(Portfolios!$B$2:$B$558)</f>
        <v>0</v>
      </c>
    </row>
    <row r="559" spans="1:2">
      <c r="A559" s="11">
        <f>Returns!A559</f>
        <v>0</v>
      </c>
      <c r="B559" s="1">
        <f>SUM(Portfolios!$B$2:$B$559)</f>
        <v>0</v>
      </c>
    </row>
    <row r="560" spans="1:2">
      <c r="A560" s="11">
        <f>Returns!A560</f>
        <v>0</v>
      </c>
      <c r="B560" s="1">
        <f>SUM(Portfolios!$B$2:$B$560)</f>
        <v>0</v>
      </c>
    </row>
    <row r="561" spans="1:2">
      <c r="A561" s="11">
        <f>Returns!A561</f>
        <v>0</v>
      </c>
      <c r="B561" s="1">
        <f>SUM(Portfolios!$B$2:$B$561)</f>
        <v>0</v>
      </c>
    </row>
    <row r="562" spans="1:2">
      <c r="A562" s="11">
        <f>Returns!A562</f>
        <v>0</v>
      </c>
      <c r="B562" s="1">
        <f>SUM(Portfolios!$B$2:$B$562)</f>
        <v>0</v>
      </c>
    </row>
    <row r="563" spans="1:2">
      <c r="A563" s="11">
        <f>Returns!A563</f>
        <v>0</v>
      </c>
      <c r="B563" s="1">
        <f>SUM(Portfolios!$B$2:$B$563)</f>
        <v>0</v>
      </c>
    </row>
    <row r="564" spans="1:2">
      <c r="A564" s="11">
        <f>Returns!A564</f>
        <v>0</v>
      </c>
      <c r="B564" s="1">
        <f>SUM(Portfolios!$B$2:$B$564)</f>
        <v>0</v>
      </c>
    </row>
    <row r="565" spans="1:2">
      <c r="A565" s="11">
        <f>Returns!A565</f>
        <v>0</v>
      </c>
      <c r="B565" s="1">
        <f>SUM(Portfolios!$B$2:$B$565)</f>
        <v>0</v>
      </c>
    </row>
    <row r="566" spans="1:2">
      <c r="A566" s="11">
        <f>Returns!A566</f>
        <v>0</v>
      </c>
      <c r="B566" s="1">
        <f>SUM(Portfolios!$B$2:$B$566)</f>
        <v>0</v>
      </c>
    </row>
    <row r="567" spans="1:2">
      <c r="A567" s="11">
        <f>Returns!A567</f>
        <v>0</v>
      </c>
      <c r="B567" s="1">
        <f>SUM(Portfolios!$B$2:$B$567)</f>
        <v>0</v>
      </c>
    </row>
    <row r="568" spans="1:2">
      <c r="A568" s="11">
        <f>Returns!A568</f>
        <v>0</v>
      </c>
      <c r="B568" s="1">
        <f>SUM(Portfolios!$B$2:$B$568)</f>
        <v>0</v>
      </c>
    </row>
    <row r="569" spans="1:2">
      <c r="A569" s="11">
        <f>Returns!A569</f>
        <v>0</v>
      </c>
      <c r="B569" s="1">
        <f>SUM(Portfolios!$B$2:$B$569)</f>
        <v>0</v>
      </c>
    </row>
    <row r="570" spans="1:2">
      <c r="A570" s="11">
        <f>Returns!A570</f>
        <v>0</v>
      </c>
      <c r="B570" s="1">
        <f>SUM(Portfolios!$B$2:$B$570)</f>
        <v>0</v>
      </c>
    </row>
    <row r="571" spans="1:2">
      <c r="A571" s="11">
        <f>Returns!A571</f>
        <v>0</v>
      </c>
      <c r="B571" s="1">
        <f>SUM(Portfolios!$B$2:$B$571)</f>
        <v>0</v>
      </c>
    </row>
    <row r="572" spans="1:2">
      <c r="A572" s="11">
        <f>Returns!A572</f>
        <v>0</v>
      </c>
      <c r="B572" s="1">
        <f>SUM(Portfolios!$B$2:$B$572)</f>
        <v>0</v>
      </c>
    </row>
    <row r="573" spans="1:2">
      <c r="A573" s="11">
        <f>Returns!A573</f>
        <v>0</v>
      </c>
      <c r="B573" s="1">
        <f>SUM(Portfolios!$B$2:$B$573)</f>
        <v>0</v>
      </c>
    </row>
    <row r="574" spans="1:2">
      <c r="A574" s="11">
        <f>Returns!A574</f>
        <v>0</v>
      </c>
      <c r="B574" s="1">
        <f>SUM(Portfolios!$B$2:$B$574)</f>
        <v>0</v>
      </c>
    </row>
    <row r="575" spans="1:2">
      <c r="A575" s="11">
        <f>Returns!A575</f>
        <v>0</v>
      </c>
      <c r="B575" s="1">
        <f>SUM(Portfolios!$B$2:$B$575)</f>
        <v>0</v>
      </c>
    </row>
    <row r="576" spans="1:2">
      <c r="A576" s="11">
        <f>Returns!A576</f>
        <v>0</v>
      </c>
      <c r="B576" s="1">
        <f>SUM(Portfolios!$B$2:$B$576)</f>
        <v>0</v>
      </c>
    </row>
    <row r="577" spans="1:2">
      <c r="A577" s="11">
        <f>Returns!A577</f>
        <v>0</v>
      </c>
      <c r="B577" s="1">
        <f>SUM(Portfolios!$B$2:$B$577)</f>
        <v>0</v>
      </c>
    </row>
    <row r="578" spans="1:2">
      <c r="A578" s="11">
        <f>Returns!A578</f>
        <v>0</v>
      </c>
      <c r="B578" s="1">
        <f>SUM(Portfolios!$B$2:$B$578)</f>
        <v>0</v>
      </c>
    </row>
    <row r="579" spans="1:2">
      <c r="A579" s="11">
        <f>Returns!A579</f>
        <v>0</v>
      </c>
      <c r="B579" s="1">
        <f>SUM(Portfolios!$B$2:$B$579)</f>
        <v>0</v>
      </c>
    </row>
    <row r="580" spans="1:2">
      <c r="A580" s="11">
        <f>Returns!A580</f>
        <v>0</v>
      </c>
      <c r="B580" s="1">
        <f>SUM(Portfolios!$B$2:$B$580)</f>
        <v>0</v>
      </c>
    </row>
    <row r="581" spans="1:2">
      <c r="A581" s="11">
        <f>Returns!A581</f>
        <v>0</v>
      </c>
      <c r="B581" s="1">
        <f>SUM(Portfolios!$B$2:$B$581)</f>
        <v>0</v>
      </c>
    </row>
    <row r="582" spans="1:2">
      <c r="A582" s="11">
        <f>Returns!A582</f>
        <v>0</v>
      </c>
      <c r="B582" s="1">
        <f>SUM(Portfolios!$B$2:$B$582)</f>
        <v>0</v>
      </c>
    </row>
    <row r="583" spans="1:2">
      <c r="A583" s="11">
        <f>Returns!A583</f>
        <v>0</v>
      </c>
      <c r="B583" s="1">
        <f>SUM(Portfolios!$B$2:$B$583)</f>
        <v>0</v>
      </c>
    </row>
    <row r="584" spans="1:2">
      <c r="A584" s="11">
        <f>Returns!A584</f>
        <v>0</v>
      </c>
      <c r="B584" s="1">
        <f>SUM(Portfolios!$B$2:$B$584)</f>
        <v>0</v>
      </c>
    </row>
    <row r="585" spans="1:2">
      <c r="A585" s="11">
        <f>Returns!A585</f>
        <v>0</v>
      </c>
      <c r="B585" s="1">
        <f>SUM(Portfolios!$B$2:$B$585)</f>
        <v>0</v>
      </c>
    </row>
    <row r="586" spans="1:2">
      <c r="A586" s="11">
        <f>Returns!A586</f>
        <v>0</v>
      </c>
      <c r="B586" s="1">
        <f>SUM(Portfolios!$B$2:$B$586)</f>
        <v>0</v>
      </c>
    </row>
    <row r="587" spans="1:2">
      <c r="A587" s="11">
        <f>Returns!A587</f>
        <v>0</v>
      </c>
      <c r="B587" s="1">
        <f>SUM(Portfolios!$B$2:$B$587)</f>
        <v>0</v>
      </c>
    </row>
    <row r="588" spans="1:2">
      <c r="A588" s="11">
        <f>Returns!A588</f>
        <v>0</v>
      </c>
      <c r="B588" s="1">
        <f>SUM(Portfolios!$B$2:$B$588)</f>
        <v>0</v>
      </c>
    </row>
    <row r="589" spans="1:2">
      <c r="A589" s="11">
        <f>Returns!A589</f>
        <v>0</v>
      </c>
      <c r="B589" s="1">
        <f>SUM(Portfolios!$B$2:$B$589)</f>
        <v>0</v>
      </c>
    </row>
    <row r="590" spans="1:2">
      <c r="A590" s="11">
        <f>Returns!A590</f>
        <v>0</v>
      </c>
      <c r="B590" s="1">
        <f>SUM(Portfolios!$B$2:$B$590)</f>
        <v>0</v>
      </c>
    </row>
    <row r="591" spans="1:2">
      <c r="A591" s="11">
        <f>Returns!A591</f>
        <v>0</v>
      </c>
      <c r="B591" s="1">
        <f>SUM(Portfolios!$B$2:$B$591)</f>
        <v>0</v>
      </c>
    </row>
    <row r="592" spans="1:2">
      <c r="A592" s="11">
        <f>Returns!A592</f>
        <v>0</v>
      </c>
      <c r="B592" s="1">
        <f>SUM(Portfolios!$B$2:$B$592)</f>
        <v>0</v>
      </c>
    </row>
    <row r="593" spans="1:2">
      <c r="A593" s="11">
        <f>Returns!A593</f>
        <v>0</v>
      </c>
      <c r="B593" s="1">
        <f>SUM(Portfolios!$B$2:$B$593)</f>
        <v>0</v>
      </c>
    </row>
    <row r="594" spans="1:2">
      <c r="A594" s="11">
        <f>Returns!A594</f>
        <v>0</v>
      </c>
      <c r="B594" s="1">
        <f>SUM(Portfolios!$B$2:$B$594)</f>
        <v>0</v>
      </c>
    </row>
    <row r="595" spans="1:2">
      <c r="A595" s="11">
        <f>Returns!A595</f>
        <v>0</v>
      </c>
      <c r="B595" s="1">
        <f>SUM(Portfolios!$B$2:$B$595)</f>
        <v>0</v>
      </c>
    </row>
    <row r="596" spans="1:2">
      <c r="A596" s="11">
        <f>Returns!A596</f>
        <v>0</v>
      </c>
      <c r="B596" s="1">
        <f>SUM(Portfolios!$B$2:$B$596)</f>
        <v>0</v>
      </c>
    </row>
    <row r="597" spans="1:2">
      <c r="A597" s="11">
        <f>Returns!A597</f>
        <v>0</v>
      </c>
      <c r="B597" s="1">
        <f>SUM(Portfolios!$B$2:$B$597)</f>
        <v>0</v>
      </c>
    </row>
    <row r="598" spans="1:2">
      <c r="A598" s="11">
        <f>Returns!A598</f>
        <v>0</v>
      </c>
      <c r="B598" s="1">
        <f>SUM(Portfolios!$B$2:$B$598)</f>
        <v>0</v>
      </c>
    </row>
    <row r="599" spans="1:2">
      <c r="A599" s="11">
        <f>Returns!A599</f>
        <v>0</v>
      </c>
      <c r="B599" s="1">
        <f>SUM(Portfolios!$B$2:$B$599)</f>
        <v>0</v>
      </c>
    </row>
    <row r="600" spans="1:2">
      <c r="A600" s="11">
        <f>Returns!A600</f>
        <v>0</v>
      </c>
      <c r="B600" s="1">
        <f>SUM(Portfolios!$B$2:$B$600)</f>
        <v>0</v>
      </c>
    </row>
    <row r="601" spans="1:2">
      <c r="A601" s="11">
        <f>Returns!A601</f>
        <v>0</v>
      </c>
      <c r="B601" s="1">
        <f>SUM(Portfolios!$B$2:$B$601)</f>
        <v>0</v>
      </c>
    </row>
    <row r="602" spans="1:2">
      <c r="A602" s="11">
        <f>Returns!A602</f>
        <v>0</v>
      </c>
      <c r="B602" s="1">
        <f>SUM(Portfolios!$B$2:$B$602)</f>
        <v>0</v>
      </c>
    </row>
    <row r="603" spans="1:2">
      <c r="A603" s="11">
        <f>Returns!A603</f>
        <v>0</v>
      </c>
      <c r="B603" s="1">
        <f>SUM(Portfolios!$B$2:$B$603)</f>
        <v>0</v>
      </c>
    </row>
    <row r="604" spans="1:2">
      <c r="A604" s="11">
        <f>Returns!A604</f>
        <v>0</v>
      </c>
      <c r="B604" s="1">
        <f>SUM(Portfolios!$B$2:$B$604)</f>
        <v>0</v>
      </c>
    </row>
    <row r="605" spans="1:2">
      <c r="A605" s="11">
        <f>Returns!A605</f>
        <v>0</v>
      </c>
      <c r="B605" s="1">
        <f>SUM(Portfolios!$B$2:$B$605)</f>
        <v>0</v>
      </c>
    </row>
    <row r="606" spans="1:2">
      <c r="A606" s="11">
        <f>Returns!A606</f>
        <v>0</v>
      </c>
      <c r="B606" s="1">
        <f>SUM(Portfolios!$B$2:$B$606)</f>
        <v>0</v>
      </c>
    </row>
    <row r="607" spans="1:2">
      <c r="A607" s="11">
        <f>Returns!A607</f>
        <v>0</v>
      </c>
      <c r="B607" s="1">
        <f>SUM(Portfolios!$B$2:$B$607)</f>
        <v>0</v>
      </c>
    </row>
    <row r="608" spans="1:2">
      <c r="A608" s="11">
        <f>Returns!A608</f>
        <v>0</v>
      </c>
      <c r="B608" s="1">
        <f>SUM(Portfolios!$B$2:$B$608)</f>
        <v>0</v>
      </c>
    </row>
    <row r="609" spans="1:2">
      <c r="A609" s="11">
        <f>Returns!A609</f>
        <v>0</v>
      </c>
      <c r="B609" s="1">
        <f>SUM(Portfolios!$B$2:$B$609)</f>
        <v>0</v>
      </c>
    </row>
    <row r="610" spans="1:2">
      <c r="A610" s="11">
        <f>Returns!A610</f>
        <v>0</v>
      </c>
      <c r="B610" s="1">
        <f>SUM(Portfolios!$B$2:$B$610)</f>
        <v>0</v>
      </c>
    </row>
    <row r="611" spans="1:2">
      <c r="A611" s="11">
        <f>Returns!A611</f>
        <v>0</v>
      </c>
      <c r="B611" s="1">
        <f>SUM(Portfolios!$B$2:$B$611)</f>
        <v>0</v>
      </c>
    </row>
    <row r="612" spans="1:2">
      <c r="A612" s="11">
        <f>Returns!A612</f>
        <v>0</v>
      </c>
      <c r="B612" s="1">
        <f>SUM(Portfolios!$B$2:$B$612)</f>
        <v>0</v>
      </c>
    </row>
    <row r="613" spans="1:2">
      <c r="A613" s="11">
        <f>Returns!A613</f>
        <v>0</v>
      </c>
      <c r="B613" s="1">
        <f>SUM(Portfolios!$B$2:$B$613)</f>
        <v>0</v>
      </c>
    </row>
    <row r="614" spans="1:2">
      <c r="A614" s="11">
        <f>Returns!A614</f>
        <v>0</v>
      </c>
      <c r="B614" s="1">
        <f>SUM(Portfolios!$B$2:$B$614)</f>
        <v>0</v>
      </c>
    </row>
    <row r="615" spans="1:2">
      <c r="A615" s="11">
        <f>Returns!A615</f>
        <v>0</v>
      </c>
      <c r="B615" s="1">
        <f>SUM(Portfolios!$B$2:$B$615)</f>
        <v>0</v>
      </c>
    </row>
    <row r="616" spans="1:2">
      <c r="A616" s="11">
        <f>Returns!A616</f>
        <v>0</v>
      </c>
      <c r="B616" s="1">
        <f>SUM(Portfolios!$B$2:$B$616)</f>
        <v>0</v>
      </c>
    </row>
    <row r="617" spans="1:2">
      <c r="A617" s="11">
        <f>Returns!A617</f>
        <v>0</v>
      </c>
      <c r="B617" s="1">
        <f>SUM(Portfolios!$B$2:$B$617)</f>
        <v>0</v>
      </c>
    </row>
    <row r="618" spans="1:2">
      <c r="A618" s="11">
        <f>Returns!A618</f>
        <v>0</v>
      </c>
      <c r="B618" s="1">
        <f>SUM(Portfolios!$B$2:$B$618)</f>
        <v>0</v>
      </c>
    </row>
    <row r="619" spans="1:2">
      <c r="A619" s="11">
        <f>Returns!A619</f>
        <v>0</v>
      </c>
      <c r="B619" s="1">
        <f>SUM(Portfolios!$B$2:$B$619)</f>
        <v>0</v>
      </c>
    </row>
    <row r="620" spans="1:2">
      <c r="A620" s="11">
        <f>Returns!A620</f>
        <v>0</v>
      </c>
      <c r="B620" s="1">
        <f>SUM(Portfolios!$B$2:$B$620)</f>
        <v>0</v>
      </c>
    </row>
    <row r="621" spans="1:2">
      <c r="A621" s="11">
        <f>Returns!A621</f>
        <v>0</v>
      </c>
      <c r="B621" s="1">
        <f>SUM(Portfolios!$B$2:$B$621)</f>
        <v>0</v>
      </c>
    </row>
    <row r="622" spans="1:2">
      <c r="A622" s="11">
        <f>Returns!A622</f>
        <v>0</v>
      </c>
      <c r="B622" s="1">
        <f>SUM(Portfolios!$B$2:$B$622)</f>
        <v>0</v>
      </c>
    </row>
    <row r="623" spans="1:2">
      <c r="A623" s="11">
        <f>Returns!A623</f>
        <v>0</v>
      </c>
      <c r="B623" s="1">
        <f>SUM(Portfolios!$B$2:$B$623)</f>
        <v>0</v>
      </c>
    </row>
    <row r="624" spans="1:2">
      <c r="A624" s="11">
        <f>Returns!A624</f>
        <v>0</v>
      </c>
      <c r="B624" s="1">
        <f>SUM(Portfolios!$B$2:$B$624)</f>
        <v>0</v>
      </c>
    </row>
    <row r="625" spans="1:2">
      <c r="A625" s="11">
        <f>Returns!A625</f>
        <v>0</v>
      </c>
      <c r="B625" s="1">
        <f>SUM(Portfolios!$B$2:$B$625)</f>
        <v>0</v>
      </c>
    </row>
    <row r="626" spans="1:2">
      <c r="A626" s="11">
        <f>Returns!A626</f>
        <v>0</v>
      </c>
      <c r="B626" s="1">
        <f>SUM(Portfolios!$B$2:$B$626)</f>
        <v>0</v>
      </c>
    </row>
    <row r="627" spans="1:2">
      <c r="A627" s="11">
        <f>Returns!A627</f>
        <v>0</v>
      </c>
      <c r="B627" s="1">
        <f>SUM(Portfolios!$B$2:$B$627)</f>
        <v>0</v>
      </c>
    </row>
    <row r="628" spans="1:2">
      <c r="A628" s="11">
        <f>Returns!A628</f>
        <v>0</v>
      </c>
      <c r="B628" s="1">
        <f>SUM(Portfolios!$B$2:$B$628)</f>
        <v>0</v>
      </c>
    </row>
    <row r="629" spans="1:2">
      <c r="A629" s="11">
        <f>Returns!A629</f>
        <v>0</v>
      </c>
      <c r="B629" s="1">
        <f>SUM(Portfolios!$B$2:$B$629)</f>
        <v>0</v>
      </c>
    </row>
    <row r="630" spans="1:2">
      <c r="A630" s="11">
        <f>Returns!A630</f>
        <v>0</v>
      </c>
      <c r="B630" s="1">
        <f>SUM(Portfolios!$B$2:$B$630)</f>
        <v>0</v>
      </c>
    </row>
    <row r="631" spans="1:2">
      <c r="A631" s="11">
        <f>Returns!A631</f>
        <v>0</v>
      </c>
      <c r="B631" s="1">
        <f>SUM(Portfolios!$B$2:$B$631)</f>
        <v>0</v>
      </c>
    </row>
    <row r="632" spans="1:2">
      <c r="A632" s="11">
        <f>Returns!A632</f>
        <v>0</v>
      </c>
      <c r="B632" s="1">
        <f>SUM(Portfolios!$B$2:$B$632)</f>
        <v>0</v>
      </c>
    </row>
    <row r="633" spans="1:2">
      <c r="A633" s="11">
        <f>Returns!A633</f>
        <v>0</v>
      </c>
      <c r="B633" s="1">
        <f>SUM(Portfolios!$B$2:$B$633)</f>
        <v>0</v>
      </c>
    </row>
    <row r="634" spans="1:2">
      <c r="A634" s="11">
        <f>Returns!A634</f>
        <v>0</v>
      </c>
      <c r="B634" s="1">
        <f>SUM(Portfolios!$B$2:$B$634)</f>
        <v>0</v>
      </c>
    </row>
    <row r="635" spans="1:2">
      <c r="A635" s="11">
        <f>Returns!A635</f>
        <v>0</v>
      </c>
      <c r="B635" s="1">
        <f>SUM(Portfolios!$B$2:$B$635)</f>
        <v>0</v>
      </c>
    </row>
    <row r="636" spans="1:2">
      <c r="A636" s="11">
        <f>Returns!A636</f>
        <v>0</v>
      </c>
      <c r="B636" s="1">
        <f>SUM(Portfolios!$B$2:$B$636)</f>
        <v>0</v>
      </c>
    </row>
    <row r="637" spans="1:2">
      <c r="A637" s="11">
        <f>Returns!A637</f>
        <v>0</v>
      </c>
      <c r="B637" s="1">
        <f>SUM(Portfolios!$B$2:$B$637)</f>
        <v>0</v>
      </c>
    </row>
    <row r="638" spans="1:2">
      <c r="A638" s="11">
        <f>Returns!A638</f>
        <v>0</v>
      </c>
      <c r="B638" s="1">
        <f>SUM(Portfolios!$B$2:$B$638)</f>
        <v>0</v>
      </c>
    </row>
    <row r="639" spans="1:2">
      <c r="A639" s="11">
        <f>Returns!A639</f>
        <v>0</v>
      </c>
      <c r="B639" s="1">
        <f>SUM(Portfolios!$B$2:$B$639)</f>
        <v>0</v>
      </c>
    </row>
    <row r="640" spans="1:2">
      <c r="A640" s="11">
        <f>Returns!A640</f>
        <v>0</v>
      </c>
      <c r="B640" s="1">
        <f>SUM(Portfolios!$B$2:$B$640)</f>
        <v>0</v>
      </c>
    </row>
    <row r="641" spans="1:2">
      <c r="A641" s="11">
        <f>Returns!A641</f>
        <v>0</v>
      </c>
      <c r="B641" s="1">
        <f>SUM(Portfolios!$B$2:$B$641)</f>
        <v>0</v>
      </c>
    </row>
    <row r="642" spans="1:2">
      <c r="A642" s="11">
        <f>Returns!A642</f>
        <v>0</v>
      </c>
      <c r="B642" s="1">
        <f>SUM(Portfolios!$B$2:$B$642)</f>
        <v>0</v>
      </c>
    </row>
    <row r="643" spans="1:2">
      <c r="A643" s="11">
        <f>Returns!A643</f>
        <v>0</v>
      </c>
      <c r="B643" s="1">
        <f>SUM(Portfolios!$B$2:$B$643)</f>
        <v>0</v>
      </c>
    </row>
    <row r="644" spans="1:2">
      <c r="A644" s="11">
        <f>Returns!A644</f>
        <v>0</v>
      </c>
      <c r="B644" s="1">
        <f>SUM(Portfolios!$B$2:$B$644)</f>
        <v>0</v>
      </c>
    </row>
    <row r="645" spans="1:2">
      <c r="A645" s="11">
        <f>Returns!A645</f>
        <v>0</v>
      </c>
      <c r="B645" s="1">
        <f>SUM(Portfolios!$B$2:$B$645)</f>
        <v>0</v>
      </c>
    </row>
    <row r="646" spans="1:2">
      <c r="A646" s="11">
        <f>Returns!A646</f>
        <v>0</v>
      </c>
      <c r="B646" s="1">
        <f>SUM(Portfolios!$B$2:$B$646)</f>
        <v>0</v>
      </c>
    </row>
    <row r="647" spans="1:2">
      <c r="A647" s="11">
        <f>Returns!A647</f>
        <v>0</v>
      </c>
      <c r="B647" s="1">
        <f>SUM(Portfolios!$B$2:$B$647)</f>
        <v>0</v>
      </c>
    </row>
    <row r="648" spans="1:2">
      <c r="A648" s="11">
        <f>Returns!A648</f>
        <v>0</v>
      </c>
      <c r="B648" s="1">
        <f>SUM(Portfolios!$B$2:$B$648)</f>
        <v>0</v>
      </c>
    </row>
    <row r="649" spans="1:2">
      <c r="A649" s="11">
        <f>Returns!A649</f>
        <v>0</v>
      </c>
      <c r="B649" s="1">
        <f>SUM(Portfolios!$B$2:$B$649)</f>
        <v>0</v>
      </c>
    </row>
    <row r="650" spans="1:2">
      <c r="A650" s="11">
        <f>Returns!A650</f>
        <v>0</v>
      </c>
      <c r="B650" s="1">
        <f>SUM(Portfolios!$B$2:$B$650)</f>
        <v>0</v>
      </c>
    </row>
    <row r="651" spans="1:2">
      <c r="A651" s="11">
        <f>Returns!A651</f>
        <v>0</v>
      </c>
      <c r="B651" s="1">
        <f>SUM(Portfolios!$B$2:$B$651)</f>
        <v>0</v>
      </c>
    </row>
    <row r="652" spans="1:2">
      <c r="A652" s="11">
        <f>Returns!A652</f>
        <v>0</v>
      </c>
      <c r="B652" s="1">
        <f>SUM(Portfolios!$B$2:$B$652)</f>
        <v>0</v>
      </c>
    </row>
    <row r="653" spans="1:2">
      <c r="A653" s="11">
        <f>Returns!A653</f>
        <v>0</v>
      </c>
      <c r="B653" s="1">
        <f>SUM(Portfolios!$B$2:$B$653)</f>
        <v>0</v>
      </c>
    </row>
    <row r="654" spans="1:2">
      <c r="A654" s="11">
        <f>Returns!A654</f>
        <v>0</v>
      </c>
      <c r="B654" s="1">
        <f>SUM(Portfolios!$B$2:$B$654)</f>
        <v>0</v>
      </c>
    </row>
    <row r="655" spans="1:2">
      <c r="A655" s="11">
        <f>Returns!A655</f>
        <v>0</v>
      </c>
      <c r="B655" s="1">
        <f>SUM(Portfolios!$B$2:$B$655)</f>
        <v>0</v>
      </c>
    </row>
    <row r="656" spans="1:2">
      <c r="A656" s="11">
        <f>Returns!A656</f>
        <v>0</v>
      </c>
      <c r="B656" s="1">
        <f>SUM(Portfolios!$B$2:$B$656)</f>
        <v>0</v>
      </c>
    </row>
    <row r="657" spans="1:2">
      <c r="A657" s="11">
        <f>Returns!A657</f>
        <v>0</v>
      </c>
      <c r="B657" s="1">
        <f>SUM(Portfolios!$B$2:$B$657)</f>
        <v>0</v>
      </c>
    </row>
    <row r="658" spans="1:2">
      <c r="A658" s="11">
        <f>Returns!A658</f>
        <v>0</v>
      </c>
      <c r="B658" s="1">
        <f>SUM(Portfolios!$B$2:$B$658)</f>
        <v>0</v>
      </c>
    </row>
    <row r="659" spans="1:2">
      <c r="A659" s="11">
        <f>Returns!A659</f>
        <v>0</v>
      </c>
      <c r="B659" s="1">
        <f>SUM(Portfolios!$B$2:$B$659)</f>
        <v>0</v>
      </c>
    </row>
    <row r="660" spans="1:2">
      <c r="A660" s="11">
        <f>Returns!A660</f>
        <v>0</v>
      </c>
      <c r="B660" s="1">
        <f>SUM(Portfolios!$B$2:$B$660)</f>
        <v>0</v>
      </c>
    </row>
    <row r="661" spans="1:2">
      <c r="A661" s="11">
        <f>Returns!A661</f>
        <v>0</v>
      </c>
      <c r="B661" s="1">
        <f>SUM(Portfolios!$B$2:$B$661)</f>
        <v>0</v>
      </c>
    </row>
    <row r="662" spans="1:2">
      <c r="A662" s="11">
        <f>Returns!A662</f>
        <v>0</v>
      </c>
      <c r="B662" s="1">
        <f>SUM(Portfolios!$B$2:$B$662)</f>
        <v>0</v>
      </c>
    </row>
    <row r="663" spans="1:2">
      <c r="A663" s="11">
        <f>Returns!A663</f>
        <v>0</v>
      </c>
      <c r="B663" s="1">
        <f>SUM(Portfolios!$B$2:$B$663)</f>
        <v>0</v>
      </c>
    </row>
    <row r="664" spans="1:2">
      <c r="A664" s="11">
        <f>Returns!A664</f>
        <v>0</v>
      </c>
      <c r="B664" s="1">
        <f>SUM(Portfolios!$B$2:$B$664)</f>
        <v>0</v>
      </c>
    </row>
    <row r="665" spans="1:2">
      <c r="A665" s="11">
        <f>Returns!A665</f>
        <v>0</v>
      </c>
      <c r="B665" s="1">
        <f>SUM(Portfolios!$B$2:$B$665)</f>
        <v>0</v>
      </c>
    </row>
    <row r="666" spans="1:2">
      <c r="A666" s="11">
        <f>Returns!A666</f>
        <v>0</v>
      </c>
      <c r="B666" s="1">
        <f>SUM(Portfolios!$B$2:$B$666)</f>
        <v>0</v>
      </c>
    </row>
    <row r="667" spans="1:2">
      <c r="A667" s="11">
        <f>Returns!A667</f>
        <v>0</v>
      </c>
      <c r="B667" s="1">
        <f>SUM(Portfolios!$B$2:$B$667)</f>
        <v>0</v>
      </c>
    </row>
    <row r="668" spans="1:2">
      <c r="A668" s="11">
        <f>Returns!A668</f>
        <v>0</v>
      </c>
      <c r="B668" s="1">
        <f>SUM(Portfolios!$B$2:$B$668)</f>
        <v>0</v>
      </c>
    </row>
    <row r="669" spans="1:2">
      <c r="A669" s="11">
        <f>Returns!A669</f>
        <v>0</v>
      </c>
      <c r="B669" s="1">
        <f>SUM(Portfolios!$B$2:$B$669)</f>
        <v>0</v>
      </c>
    </row>
    <row r="670" spans="1:2">
      <c r="A670" s="11">
        <f>Returns!A670</f>
        <v>0</v>
      </c>
      <c r="B670" s="1">
        <f>SUM(Portfolios!$B$2:$B$670)</f>
        <v>0</v>
      </c>
    </row>
    <row r="671" spans="1:2">
      <c r="A671" s="11">
        <f>Returns!A671</f>
        <v>0</v>
      </c>
      <c r="B671" s="1">
        <f>SUM(Portfolios!$B$2:$B$671)</f>
        <v>0</v>
      </c>
    </row>
    <row r="672" spans="1:2">
      <c r="A672" s="11">
        <f>Returns!A672</f>
        <v>0</v>
      </c>
      <c r="B672" s="1">
        <f>SUM(Portfolios!$B$2:$B$672)</f>
        <v>0</v>
      </c>
    </row>
    <row r="673" spans="1:2">
      <c r="A673" s="11">
        <f>Returns!A673</f>
        <v>0</v>
      </c>
      <c r="B673" s="1">
        <f>SUM(Portfolios!$B$2:$B$673)</f>
        <v>0</v>
      </c>
    </row>
    <row r="674" spans="1:2">
      <c r="A674" s="11">
        <f>Returns!A674</f>
        <v>0</v>
      </c>
      <c r="B674" s="1">
        <f>SUM(Portfolios!$B$2:$B$674)</f>
        <v>0</v>
      </c>
    </row>
    <row r="675" spans="1:2">
      <c r="A675" s="11">
        <f>Returns!A675</f>
        <v>0</v>
      </c>
      <c r="B675" s="1">
        <f>SUM(Portfolios!$B$2:$B$675)</f>
        <v>0</v>
      </c>
    </row>
    <row r="676" spans="1:2">
      <c r="A676" s="11">
        <f>Returns!A676</f>
        <v>0</v>
      </c>
      <c r="B676" s="1">
        <f>SUM(Portfolios!$B$2:$B$676)</f>
        <v>0</v>
      </c>
    </row>
    <row r="677" spans="1:2">
      <c r="A677" s="11">
        <f>Returns!A677</f>
        <v>0</v>
      </c>
      <c r="B677" s="1">
        <f>SUM(Portfolios!$B$2:$B$677)</f>
        <v>0</v>
      </c>
    </row>
    <row r="678" spans="1:2">
      <c r="A678" s="11">
        <f>Returns!A678</f>
        <v>0</v>
      </c>
      <c r="B678" s="1">
        <f>SUM(Portfolios!$B$2:$B$678)</f>
        <v>0</v>
      </c>
    </row>
    <row r="679" spans="1:2">
      <c r="A679" s="11">
        <f>Returns!A679</f>
        <v>0</v>
      </c>
      <c r="B679" s="1">
        <f>SUM(Portfolios!$B$2:$B$679)</f>
        <v>0</v>
      </c>
    </row>
    <row r="680" spans="1:2">
      <c r="A680" s="11">
        <f>Returns!A680</f>
        <v>0</v>
      </c>
      <c r="B680" s="1">
        <f>SUM(Portfolios!$B$2:$B$680)</f>
        <v>0</v>
      </c>
    </row>
    <row r="681" spans="1:2">
      <c r="A681" s="11">
        <f>Returns!A681</f>
        <v>0</v>
      </c>
      <c r="B681" s="1">
        <f>SUM(Portfolios!$B$2:$B$681)</f>
        <v>0</v>
      </c>
    </row>
    <row r="682" spans="1:2">
      <c r="A682" s="11">
        <f>Returns!A682</f>
        <v>0</v>
      </c>
      <c r="B682" s="1">
        <f>SUM(Portfolios!$B$2:$B$682)</f>
        <v>0</v>
      </c>
    </row>
    <row r="683" spans="1:2">
      <c r="A683" s="11">
        <f>Returns!A683</f>
        <v>0</v>
      </c>
      <c r="B683" s="1">
        <f>SUM(Portfolios!$B$2:$B$683)</f>
        <v>0</v>
      </c>
    </row>
    <row r="684" spans="1:2">
      <c r="A684" s="11">
        <f>Returns!A684</f>
        <v>0</v>
      </c>
      <c r="B684" s="1">
        <f>SUM(Portfolios!$B$2:$B$684)</f>
        <v>0</v>
      </c>
    </row>
    <row r="685" spans="1:2">
      <c r="A685" s="11">
        <f>Returns!A685</f>
        <v>0</v>
      </c>
      <c r="B685" s="1">
        <f>SUM(Portfolios!$B$2:$B$685)</f>
        <v>0</v>
      </c>
    </row>
    <row r="686" spans="1:2">
      <c r="A686" s="11">
        <f>Returns!A686</f>
        <v>0</v>
      </c>
      <c r="B686" s="1">
        <f>SUM(Portfolios!$B$2:$B$686)</f>
        <v>0</v>
      </c>
    </row>
    <row r="687" spans="1:2">
      <c r="A687" s="11">
        <f>Returns!A687</f>
        <v>0</v>
      </c>
      <c r="B687" s="1">
        <f>SUM(Portfolios!$B$2:$B$687)</f>
        <v>0</v>
      </c>
    </row>
    <row r="688" spans="1:2">
      <c r="A688" s="11">
        <f>Returns!A688</f>
        <v>0</v>
      </c>
      <c r="B688" s="1">
        <f>SUM(Portfolios!$B$2:$B$688)</f>
        <v>0</v>
      </c>
    </row>
    <row r="689" spans="1:2">
      <c r="A689" s="11">
        <f>Returns!A689</f>
        <v>0</v>
      </c>
      <c r="B689" s="1">
        <f>SUM(Portfolios!$B$2:$B$689)</f>
        <v>0</v>
      </c>
    </row>
    <row r="690" spans="1:2">
      <c r="A690" s="11">
        <f>Returns!A690</f>
        <v>0</v>
      </c>
      <c r="B690" s="1">
        <f>SUM(Portfolios!$B$2:$B$690)</f>
        <v>0</v>
      </c>
    </row>
    <row r="691" spans="1:2">
      <c r="A691" s="11">
        <f>Returns!A691</f>
        <v>0</v>
      </c>
      <c r="B691" s="1">
        <f>SUM(Portfolios!$B$2:$B$691)</f>
        <v>0</v>
      </c>
    </row>
    <row r="692" spans="1:2">
      <c r="A692" s="11">
        <f>Returns!A692</f>
        <v>0</v>
      </c>
      <c r="B692" s="1">
        <f>SUM(Portfolios!$B$2:$B$692)</f>
        <v>0</v>
      </c>
    </row>
    <row r="693" spans="1:2">
      <c r="A693" s="11">
        <f>Returns!A693</f>
        <v>0</v>
      </c>
      <c r="B693" s="1">
        <f>SUM(Portfolios!$B$2:$B$693)</f>
        <v>0</v>
      </c>
    </row>
    <row r="694" spans="1:2">
      <c r="A694" s="11">
        <f>Returns!A694</f>
        <v>0</v>
      </c>
      <c r="B694" s="1">
        <f>SUM(Portfolios!$B$2:$B$694)</f>
        <v>0</v>
      </c>
    </row>
    <row r="695" spans="1:2">
      <c r="A695" s="11">
        <f>Returns!A695</f>
        <v>0</v>
      </c>
      <c r="B695" s="1">
        <f>SUM(Portfolios!$B$2:$B$695)</f>
        <v>0</v>
      </c>
    </row>
    <row r="696" spans="1:2">
      <c r="A696" s="11">
        <f>Returns!A696</f>
        <v>0</v>
      </c>
      <c r="B696" s="1">
        <f>SUM(Portfolios!$B$2:$B$696)</f>
        <v>0</v>
      </c>
    </row>
    <row r="697" spans="1:2">
      <c r="A697" s="11">
        <f>Returns!A697</f>
        <v>0</v>
      </c>
      <c r="B697" s="1">
        <f>SUM(Portfolios!$B$2:$B$697)</f>
        <v>0</v>
      </c>
    </row>
    <row r="698" spans="1:2">
      <c r="A698" s="11">
        <f>Returns!A698</f>
        <v>0</v>
      </c>
      <c r="B698" s="1">
        <f>SUM(Portfolios!$B$2:$B$698)</f>
        <v>0</v>
      </c>
    </row>
    <row r="699" spans="1:2">
      <c r="A699" s="11">
        <f>Returns!A699</f>
        <v>0</v>
      </c>
      <c r="B699" s="1">
        <f>SUM(Portfolios!$B$2:$B$699)</f>
        <v>0</v>
      </c>
    </row>
    <row r="700" spans="1:2">
      <c r="A700" s="11">
        <f>Returns!A700</f>
        <v>0</v>
      </c>
      <c r="B700" s="1">
        <f>SUM(Portfolios!$B$2:$B$700)</f>
        <v>0</v>
      </c>
    </row>
    <row r="701" spans="1:2">
      <c r="A701" s="11">
        <f>Returns!A701</f>
        <v>0</v>
      </c>
      <c r="B701" s="1">
        <f>SUM(Portfolios!$B$2:$B$701)</f>
        <v>0</v>
      </c>
    </row>
    <row r="702" spans="1:2">
      <c r="A702" s="11">
        <f>Returns!A702</f>
        <v>0</v>
      </c>
      <c r="B702" s="1">
        <f>SUM(Portfolios!$B$2:$B$702)</f>
        <v>0</v>
      </c>
    </row>
    <row r="703" spans="1:2">
      <c r="A703" s="11">
        <f>Returns!A703</f>
        <v>0</v>
      </c>
      <c r="B703" s="1">
        <f>SUM(Portfolios!$B$2:$B$703)</f>
        <v>0</v>
      </c>
    </row>
    <row r="704" spans="1:2">
      <c r="A704" s="11">
        <f>Returns!A704</f>
        <v>0</v>
      </c>
      <c r="B704" s="1">
        <f>SUM(Portfolios!$B$2:$B$704)</f>
        <v>0</v>
      </c>
    </row>
    <row r="705" spans="1:2">
      <c r="A705" s="11">
        <f>Returns!A705</f>
        <v>0</v>
      </c>
      <c r="B705" s="1">
        <f>SUM(Portfolios!$B$2:$B$705)</f>
        <v>0</v>
      </c>
    </row>
    <row r="706" spans="1:2">
      <c r="A706" s="11">
        <f>Returns!A706</f>
        <v>0</v>
      </c>
      <c r="B706" s="1">
        <f>SUM(Portfolios!$B$2:$B$706)</f>
        <v>0</v>
      </c>
    </row>
    <row r="707" spans="1:2">
      <c r="A707" s="11">
        <f>Returns!A707</f>
        <v>0</v>
      </c>
      <c r="B707" s="1">
        <f>SUM(Portfolios!$B$2:$B$707)</f>
        <v>0</v>
      </c>
    </row>
    <row r="708" spans="1:2">
      <c r="A708" s="11">
        <f>Returns!A708</f>
        <v>0</v>
      </c>
      <c r="B708" s="1">
        <f>SUM(Portfolios!$B$2:$B$708)</f>
        <v>0</v>
      </c>
    </row>
    <row r="709" spans="1:2">
      <c r="A709" s="11">
        <f>Returns!A709</f>
        <v>0</v>
      </c>
      <c r="B709" s="1">
        <f>SUM(Portfolios!$B$2:$B$709)</f>
        <v>0</v>
      </c>
    </row>
    <row r="710" spans="1:2">
      <c r="A710" s="11">
        <f>Returns!A710</f>
        <v>0</v>
      </c>
      <c r="B710" s="1">
        <f>SUM(Portfolios!$B$2:$B$710)</f>
        <v>0</v>
      </c>
    </row>
    <row r="711" spans="1:2">
      <c r="A711" s="11">
        <f>Returns!A711</f>
        <v>0</v>
      </c>
      <c r="B711" s="1">
        <f>SUM(Portfolios!$B$2:$B$711)</f>
        <v>0</v>
      </c>
    </row>
    <row r="712" spans="1:2">
      <c r="A712" s="11">
        <f>Returns!A712</f>
        <v>0</v>
      </c>
      <c r="B712" s="1">
        <f>SUM(Portfolios!$B$2:$B$712)</f>
        <v>0</v>
      </c>
    </row>
    <row r="713" spans="1:2">
      <c r="A713" s="11">
        <f>Returns!A713</f>
        <v>0</v>
      </c>
      <c r="B713" s="1">
        <f>SUM(Portfolios!$B$2:$B$713)</f>
        <v>0</v>
      </c>
    </row>
    <row r="714" spans="1:2">
      <c r="A714" s="11">
        <f>Returns!A714</f>
        <v>0</v>
      </c>
      <c r="B714" s="1">
        <f>SUM(Portfolios!$B$2:$B$714)</f>
        <v>0</v>
      </c>
    </row>
    <row r="715" spans="1:2">
      <c r="A715" s="11">
        <f>Returns!A715</f>
        <v>0</v>
      </c>
      <c r="B715" s="1">
        <f>SUM(Portfolios!$B$2:$B$715)</f>
        <v>0</v>
      </c>
    </row>
    <row r="716" spans="1:2">
      <c r="A716" s="11">
        <f>Returns!A716</f>
        <v>0</v>
      </c>
      <c r="B716" s="1">
        <f>SUM(Portfolios!$B$2:$B$716)</f>
        <v>0</v>
      </c>
    </row>
    <row r="717" spans="1:2">
      <c r="A717" s="11">
        <f>Returns!A717</f>
        <v>0</v>
      </c>
      <c r="B717" s="1">
        <f>SUM(Portfolios!$B$2:$B$717)</f>
        <v>0</v>
      </c>
    </row>
    <row r="718" spans="1:2">
      <c r="A718" s="11">
        <f>Returns!A718</f>
        <v>0</v>
      </c>
      <c r="B718" s="1">
        <f>SUM(Portfolios!$B$2:$B$718)</f>
        <v>0</v>
      </c>
    </row>
    <row r="719" spans="1:2">
      <c r="A719" s="11">
        <f>Returns!A719</f>
        <v>0</v>
      </c>
      <c r="B719" s="1">
        <f>SUM(Portfolios!$B$2:$B$719)</f>
        <v>0</v>
      </c>
    </row>
    <row r="720" spans="1:2">
      <c r="A720" s="11">
        <f>Returns!A720</f>
        <v>0</v>
      </c>
      <c r="B720" s="1">
        <f>SUM(Portfolios!$B$2:$B$720)</f>
        <v>0</v>
      </c>
    </row>
    <row r="721" spans="1:2">
      <c r="A721" s="11">
        <f>Returns!A721</f>
        <v>0</v>
      </c>
      <c r="B721" s="1">
        <f>SUM(Portfolios!$B$2:$B$721)</f>
        <v>0</v>
      </c>
    </row>
    <row r="722" spans="1:2">
      <c r="A722" s="11">
        <f>Returns!A722</f>
        <v>0</v>
      </c>
      <c r="B722" s="1">
        <f>SUM(Portfolios!$B$2:$B$722)</f>
        <v>0</v>
      </c>
    </row>
    <row r="723" spans="1:2">
      <c r="A723" s="11">
        <f>Returns!A723</f>
        <v>0</v>
      </c>
      <c r="B723" s="1">
        <f>SUM(Portfolios!$B$2:$B$723)</f>
        <v>0</v>
      </c>
    </row>
    <row r="724" spans="1:2">
      <c r="A724" s="11">
        <f>Returns!A724</f>
        <v>0</v>
      </c>
      <c r="B724" s="1">
        <f>SUM(Portfolios!$B$2:$B$724)</f>
        <v>0</v>
      </c>
    </row>
    <row r="725" spans="1:2">
      <c r="A725" s="11">
        <f>Returns!A725</f>
        <v>0</v>
      </c>
      <c r="B725" s="1">
        <f>SUM(Portfolios!$B$2:$B$725)</f>
        <v>0</v>
      </c>
    </row>
    <row r="726" spans="1:2">
      <c r="A726" s="11">
        <f>Returns!A726</f>
        <v>0</v>
      </c>
      <c r="B726" s="1">
        <f>SUM(Portfolios!$B$2:$B$726)</f>
        <v>0</v>
      </c>
    </row>
    <row r="727" spans="1:2">
      <c r="A727" s="11">
        <f>Returns!A727</f>
        <v>0</v>
      </c>
      <c r="B727" s="1">
        <f>SUM(Portfolios!$B$2:$B$727)</f>
        <v>0</v>
      </c>
    </row>
    <row r="728" spans="1:2">
      <c r="A728" s="11">
        <f>Returns!A728</f>
        <v>0</v>
      </c>
      <c r="B728" s="1">
        <f>SUM(Portfolios!$B$2:$B$728)</f>
        <v>0</v>
      </c>
    </row>
    <row r="729" spans="1:2">
      <c r="A729" s="11">
        <f>Returns!A729</f>
        <v>0</v>
      </c>
      <c r="B729" s="1">
        <f>SUM(Portfolios!$B$2:$B$729)</f>
        <v>0</v>
      </c>
    </row>
    <row r="730" spans="1:2">
      <c r="A730" s="11">
        <f>Returns!A730</f>
        <v>0</v>
      </c>
      <c r="B730" s="1">
        <f>SUM(Portfolios!$B$2:$B$730)</f>
        <v>0</v>
      </c>
    </row>
    <row r="731" spans="1:2">
      <c r="A731" s="11">
        <f>Returns!A731</f>
        <v>0</v>
      </c>
      <c r="B731" s="1">
        <f>SUM(Portfolios!$B$2:$B$731)</f>
        <v>0</v>
      </c>
    </row>
    <row r="732" spans="1:2">
      <c r="A732" s="11">
        <f>Returns!A732</f>
        <v>0</v>
      </c>
      <c r="B732" s="1">
        <f>SUM(Portfolios!$B$2:$B$732)</f>
        <v>0</v>
      </c>
    </row>
    <row r="733" spans="1:2">
      <c r="A733" s="11">
        <f>Returns!A733</f>
        <v>0</v>
      </c>
      <c r="B733" s="1">
        <f>SUM(Portfolios!$B$2:$B$733)</f>
        <v>0</v>
      </c>
    </row>
    <row r="734" spans="1:2">
      <c r="A734" s="11">
        <f>Returns!A734</f>
        <v>0</v>
      </c>
      <c r="B734" s="1">
        <f>SUM(Portfolios!$B$2:$B$734)</f>
        <v>0</v>
      </c>
    </row>
    <row r="735" spans="1:2">
      <c r="A735" s="11">
        <f>Returns!A735</f>
        <v>0</v>
      </c>
      <c r="B735" s="1">
        <f>SUM(Portfolios!$B$2:$B$735)</f>
        <v>0</v>
      </c>
    </row>
    <row r="736" spans="1:2">
      <c r="A736" s="11">
        <f>Returns!A736</f>
        <v>0</v>
      </c>
      <c r="B736" s="1">
        <f>SUM(Portfolios!$B$2:$B$736)</f>
        <v>0</v>
      </c>
    </row>
    <row r="737" spans="1:2">
      <c r="A737" s="11">
        <f>Returns!A737</f>
        <v>0</v>
      </c>
      <c r="B737" s="1">
        <f>SUM(Portfolios!$B$2:$B$737)</f>
        <v>0</v>
      </c>
    </row>
    <row r="738" spans="1:2">
      <c r="A738" s="11">
        <f>Returns!A738</f>
        <v>0</v>
      </c>
      <c r="B738" s="1">
        <f>SUM(Portfolios!$B$2:$B$738)</f>
        <v>0</v>
      </c>
    </row>
    <row r="739" spans="1:2">
      <c r="A739" s="11">
        <f>Returns!A739</f>
        <v>0</v>
      </c>
      <c r="B739" s="1">
        <f>SUM(Portfolios!$B$2:$B$739)</f>
        <v>0</v>
      </c>
    </row>
    <row r="740" spans="1:2">
      <c r="A740" s="11">
        <f>Returns!A740</f>
        <v>0</v>
      </c>
      <c r="B740" s="1">
        <f>SUM(Portfolios!$B$2:$B$740)</f>
        <v>0</v>
      </c>
    </row>
    <row r="741" spans="1:2">
      <c r="A741" s="11">
        <f>Returns!A741</f>
        <v>0</v>
      </c>
      <c r="B741" s="1">
        <f>SUM(Portfolios!$B$2:$B$741)</f>
        <v>0</v>
      </c>
    </row>
    <row r="742" spans="1:2">
      <c r="A742" s="11">
        <f>Returns!A742</f>
        <v>0</v>
      </c>
      <c r="B742" s="1">
        <f>SUM(Portfolios!$B$2:$B$742)</f>
        <v>0</v>
      </c>
    </row>
    <row r="743" spans="1:2">
      <c r="A743" s="11">
        <f>Returns!A743</f>
        <v>0</v>
      </c>
      <c r="B743" s="1">
        <f>SUM(Portfolios!$B$2:$B$743)</f>
        <v>0</v>
      </c>
    </row>
    <row r="744" spans="1:2">
      <c r="A744" s="11">
        <f>Returns!A744</f>
        <v>0</v>
      </c>
      <c r="B744" s="1">
        <f>SUM(Portfolios!$B$2:$B$744)</f>
        <v>0</v>
      </c>
    </row>
    <row r="745" spans="1:2">
      <c r="A745" s="11">
        <f>Returns!A745</f>
        <v>0</v>
      </c>
      <c r="B745" s="1">
        <f>SUM(Portfolios!$B$2:$B$745)</f>
        <v>0</v>
      </c>
    </row>
    <row r="746" spans="1:2">
      <c r="A746" s="11">
        <f>Returns!A746</f>
        <v>0</v>
      </c>
      <c r="B746" s="1">
        <f>SUM(Portfolios!$B$2:$B$746)</f>
        <v>0</v>
      </c>
    </row>
    <row r="747" spans="1:2">
      <c r="A747" s="11">
        <f>Returns!A747</f>
        <v>0</v>
      </c>
      <c r="B747" s="1">
        <f>SUM(Portfolios!$B$2:$B$747)</f>
        <v>0</v>
      </c>
    </row>
    <row r="748" spans="1:2">
      <c r="A748" s="11">
        <f>Returns!A748</f>
        <v>0</v>
      </c>
      <c r="B748" s="1">
        <f>SUM(Portfolios!$B$2:$B$748)</f>
        <v>0</v>
      </c>
    </row>
    <row r="749" spans="1:2">
      <c r="A749" s="11">
        <f>Returns!A749</f>
        <v>0</v>
      </c>
      <c r="B749" s="1">
        <f>SUM(Portfolios!$B$2:$B$749)</f>
        <v>0</v>
      </c>
    </row>
    <row r="750" spans="1:2">
      <c r="A750" s="11">
        <f>Returns!A750</f>
        <v>0</v>
      </c>
      <c r="B750" s="1">
        <f>SUM(Portfolios!$B$2:$B$750)</f>
        <v>0</v>
      </c>
    </row>
    <row r="751" spans="1:2">
      <c r="A751" s="11">
        <f>Returns!A751</f>
        <v>0</v>
      </c>
      <c r="B751" s="1">
        <f>SUM(Portfolios!$B$2:$B$751)</f>
        <v>0</v>
      </c>
    </row>
    <row r="752" spans="1:2">
      <c r="A752" s="11">
        <f>Returns!A752</f>
        <v>0</v>
      </c>
      <c r="B752" s="1">
        <f>SUM(Portfolios!$B$2:$B$752)</f>
        <v>0</v>
      </c>
    </row>
    <row r="753" spans="1:2">
      <c r="A753" s="11">
        <f>Returns!A753</f>
        <v>0</v>
      </c>
      <c r="B753" s="1">
        <f>SUM(Portfolios!$B$2:$B$753)</f>
        <v>0</v>
      </c>
    </row>
    <row r="754" spans="1:2">
      <c r="A754" s="11">
        <f>Returns!A754</f>
        <v>0</v>
      </c>
      <c r="B754" s="1">
        <f>SUM(Portfolios!$B$2:$B$754)</f>
        <v>0</v>
      </c>
    </row>
    <row r="755" spans="1:2">
      <c r="A755" s="11">
        <f>Returns!A755</f>
        <v>0</v>
      </c>
      <c r="B755" s="1">
        <f>SUM(Portfolios!$B$2:$B$755)</f>
        <v>0</v>
      </c>
    </row>
    <row r="756" spans="1:2">
      <c r="A756" s="11">
        <f>Returns!A756</f>
        <v>0</v>
      </c>
      <c r="B756" s="1">
        <f>SUM(Portfolios!$B$2:$B$756)</f>
        <v>0</v>
      </c>
    </row>
    <row r="757" spans="1:2">
      <c r="A757" s="11">
        <f>Returns!A757</f>
        <v>0</v>
      </c>
      <c r="B757" s="1">
        <f>SUM(Portfolios!$B$2:$B$757)</f>
        <v>0</v>
      </c>
    </row>
    <row r="758" spans="1:2">
      <c r="A758" s="11">
        <f>Returns!A758</f>
        <v>0</v>
      </c>
      <c r="B758" s="1">
        <f>SUM(Portfolios!$B$2:$B$758)</f>
        <v>0</v>
      </c>
    </row>
    <row r="759" spans="1:2">
      <c r="A759" s="11">
        <f>Returns!A759</f>
        <v>0</v>
      </c>
      <c r="B759" s="1">
        <f>SUM(Portfolios!$B$2:$B$759)</f>
        <v>0</v>
      </c>
    </row>
    <row r="760" spans="1:2">
      <c r="A760" s="11">
        <f>Returns!A760</f>
        <v>0</v>
      </c>
      <c r="B760" s="1">
        <f>SUM(Portfolios!$B$2:$B$760)</f>
        <v>0</v>
      </c>
    </row>
    <row r="761" spans="1:2">
      <c r="A761" s="11">
        <f>Returns!A761</f>
        <v>0</v>
      </c>
      <c r="B761" s="1">
        <f>SUM(Portfolios!$B$2:$B$761)</f>
        <v>0</v>
      </c>
    </row>
    <row r="762" spans="1:2">
      <c r="A762" s="11">
        <f>Returns!A762</f>
        <v>0</v>
      </c>
      <c r="B762" s="1">
        <f>SUM(Portfolios!$B$2:$B$762)</f>
        <v>0</v>
      </c>
    </row>
    <row r="763" spans="1:2">
      <c r="A763" s="11">
        <f>Returns!A763</f>
        <v>0</v>
      </c>
      <c r="B763" s="1">
        <f>SUM(Portfolios!$B$2:$B$763)</f>
        <v>0</v>
      </c>
    </row>
    <row r="764" spans="1:2">
      <c r="A764" s="11">
        <f>Returns!A764</f>
        <v>0</v>
      </c>
      <c r="B764" s="1">
        <f>SUM(Portfolios!$B$2:$B$764)</f>
        <v>0</v>
      </c>
    </row>
    <row r="765" spans="1:2">
      <c r="A765" s="11">
        <f>Returns!A765</f>
        <v>0</v>
      </c>
      <c r="B765" s="1">
        <f>SUM(Portfolios!$B$2:$B$765)</f>
        <v>0</v>
      </c>
    </row>
    <row r="766" spans="1:2">
      <c r="A766" s="11">
        <f>Returns!A766</f>
        <v>0</v>
      </c>
      <c r="B766" s="1">
        <f>SUM(Portfolios!$B$2:$B$766)</f>
        <v>0</v>
      </c>
    </row>
    <row r="767" spans="1:2">
      <c r="A767" s="11">
        <f>Returns!A767</f>
        <v>0</v>
      </c>
      <c r="B767" s="1">
        <f>SUM(Portfolios!$B$2:$B$767)</f>
        <v>0</v>
      </c>
    </row>
    <row r="768" spans="1:2">
      <c r="A768" s="11">
        <f>Returns!A768</f>
        <v>0</v>
      </c>
      <c r="B768" s="1">
        <f>SUM(Portfolios!$B$2:$B$768)</f>
        <v>0</v>
      </c>
    </row>
    <row r="769" spans="1:2">
      <c r="A769" s="11">
        <f>Returns!A769</f>
        <v>0</v>
      </c>
      <c r="B769" s="1">
        <f>SUM(Portfolios!$B$2:$B$769)</f>
        <v>0</v>
      </c>
    </row>
    <row r="770" spans="1:2">
      <c r="A770" s="11">
        <f>Returns!A770</f>
        <v>0</v>
      </c>
      <c r="B770" s="1">
        <f>SUM(Portfolios!$B$2:$B$770)</f>
        <v>0</v>
      </c>
    </row>
    <row r="771" spans="1:2">
      <c r="A771" s="11">
        <f>Returns!A771</f>
        <v>0</v>
      </c>
      <c r="B771" s="1">
        <f>SUM(Portfolios!$B$2:$B$771)</f>
        <v>0</v>
      </c>
    </row>
    <row r="772" spans="1:2">
      <c r="A772" s="11">
        <f>Returns!A772</f>
        <v>0</v>
      </c>
      <c r="B772" s="1">
        <f>SUM(Portfolios!$B$2:$B$772)</f>
        <v>0</v>
      </c>
    </row>
    <row r="773" spans="1:2">
      <c r="A773" s="11">
        <f>Returns!A773</f>
        <v>0</v>
      </c>
      <c r="B773" s="1">
        <f>SUM(Portfolios!$B$2:$B$773)</f>
        <v>0</v>
      </c>
    </row>
    <row r="774" spans="1:2">
      <c r="A774" s="11">
        <f>Returns!A774</f>
        <v>0</v>
      </c>
      <c r="B774" s="1">
        <f>SUM(Portfolios!$B$2:$B$774)</f>
        <v>0</v>
      </c>
    </row>
    <row r="775" spans="1:2">
      <c r="A775" s="11">
        <f>Returns!A775</f>
        <v>0</v>
      </c>
      <c r="B775" s="1">
        <f>SUM(Portfolios!$B$2:$B$775)</f>
        <v>0</v>
      </c>
    </row>
    <row r="776" spans="1:2">
      <c r="A776" s="11">
        <f>Returns!A776</f>
        <v>0</v>
      </c>
      <c r="B776" s="1">
        <f>SUM(Portfolios!$B$2:$B$776)</f>
        <v>0</v>
      </c>
    </row>
    <row r="777" spans="1:2">
      <c r="A777" s="11">
        <f>Returns!A777</f>
        <v>0</v>
      </c>
      <c r="B777" s="1">
        <f>SUM(Portfolios!$B$2:$B$777)</f>
        <v>0</v>
      </c>
    </row>
    <row r="778" spans="1:2">
      <c r="A778" s="11">
        <f>Returns!A778</f>
        <v>0</v>
      </c>
      <c r="B778" s="1">
        <f>SUM(Portfolios!$B$2:$B$778)</f>
        <v>0</v>
      </c>
    </row>
    <row r="779" spans="1:2">
      <c r="A779" s="11">
        <f>Returns!A779</f>
        <v>0</v>
      </c>
      <c r="B779" s="1">
        <f>SUM(Portfolios!$B$2:$B$779)</f>
        <v>0</v>
      </c>
    </row>
    <row r="780" spans="1:2">
      <c r="A780" s="11">
        <f>Returns!A780</f>
        <v>0</v>
      </c>
      <c r="B780" s="1">
        <f>SUM(Portfolios!$B$2:$B$780)</f>
        <v>0</v>
      </c>
    </row>
    <row r="781" spans="1:2">
      <c r="A781" s="11">
        <f>Returns!A781</f>
        <v>0</v>
      </c>
      <c r="B781" s="1">
        <f>SUM(Portfolios!$B$2:$B$781)</f>
        <v>0</v>
      </c>
    </row>
    <row r="782" spans="1:2">
      <c r="A782" s="11">
        <f>Returns!A782</f>
        <v>0</v>
      </c>
      <c r="B782" s="1">
        <f>SUM(Portfolios!$B$2:$B$782)</f>
        <v>0</v>
      </c>
    </row>
    <row r="783" spans="1:2">
      <c r="A783" s="11">
        <f>Returns!A783</f>
        <v>0</v>
      </c>
      <c r="B783" s="1">
        <f>SUM(Portfolios!$B$2:$B$783)</f>
        <v>0</v>
      </c>
    </row>
    <row r="784" spans="1:2">
      <c r="A784" s="11">
        <f>Returns!A784</f>
        <v>0</v>
      </c>
      <c r="B784" s="1">
        <f>SUM(Portfolios!$B$2:$B$784)</f>
        <v>0</v>
      </c>
    </row>
    <row r="785" spans="1:2">
      <c r="A785" s="11">
        <f>Returns!A785</f>
        <v>0</v>
      </c>
      <c r="B785" s="1">
        <f>SUM(Portfolios!$B$2:$B$785)</f>
        <v>0</v>
      </c>
    </row>
    <row r="786" spans="1:2">
      <c r="A786" s="11">
        <f>Returns!A786</f>
        <v>0</v>
      </c>
      <c r="B786" s="1">
        <f>SUM(Portfolios!$B$2:$B$786)</f>
        <v>0</v>
      </c>
    </row>
    <row r="787" spans="1:2">
      <c r="A787" s="11">
        <f>Returns!A787</f>
        <v>0</v>
      </c>
      <c r="B787" s="1">
        <f>SUM(Portfolios!$B$2:$B$787)</f>
        <v>0</v>
      </c>
    </row>
    <row r="788" spans="1:2">
      <c r="A788" s="11">
        <f>Returns!A788</f>
        <v>0</v>
      </c>
      <c r="B788" s="1">
        <f>SUM(Portfolios!$B$2:$B$788)</f>
        <v>0</v>
      </c>
    </row>
    <row r="789" spans="1:2">
      <c r="A789" s="11">
        <f>Returns!A789</f>
        <v>0</v>
      </c>
      <c r="B789" s="1">
        <f>SUM(Portfolios!$B$2:$B$789)</f>
        <v>0</v>
      </c>
    </row>
    <row r="790" spans="1:2">
      <c r="A790" s="11">
        <f>Returns!A790</f>
        <v>0</v>
      </c>
      <c r="B790" s="1">
        <f>SUM(Portfolios!$B$2:$B$790)</f>
        <v>0</v>
      </c>
    </row>
    <row r="791" spans="1:2">
      <c r="A791" s="11">
        <f>Returns!A791</f>
        <v>0</v>
      </c>
      <c r="B791" s="1">
        <f>SUM(Portfolios!$B$2:$B$791)</f>
        <v>0</v>
      </c>
    </row>
    <row r="792" spans="1:2">
      <c r="A792" s="11">
        <f>Returns!A792</f>
        <v>0</v>
      </c>
      <c r="B792" s="1">
        <f>SUM(Portfolios!$B$2:$B$792)</f>
        <v>0</v>
      </c>
    </row>
    <row r="793" spans="1:2">
      <c r="A793" s="11">
        <f>Returns!A793</f>
        <v>0</v>
      </c>
      <c r="B793" s="1">
        <f>SUM(Portfolios!$B$2:$B$793)</f>
        <v>0</v>
      </c>
    </row>
    <row r="794" spans="1:2">
      <c r="A794" s="11">
        <f>Returns!A794</f>
        <v>0</v>
      </c>
      <c r="B794" s="1">
        <f>SUM(Portfolios!$B$2:$B$794)</f>
        <v>0</v>
      </c>
    </row>
    <row r="795" spans="1:2">
      <c r="A795" s="11">
        <f>Returns!A795</f>
        <v>0</v>
      </c>
      <c r="B795" s="1">
        <f>SUM(Portfolios!$B$2:$B$795)</f>
        <v>0</v>
      </c>
    </row>
    <row r="796" spans="1:2">
      <c r="A796" s="11">
        <f>Returns!A796</f>
        <v>0</v>
      </c>
      <c r="B796" s="1">
        <f>SUM(Portfolios!$B$2:$B$796)</f>
        <v>0</v>
      </c>
    </row>
    <row r="797" spans="1:2">
      <c r="A797" s="11">
        <f>Returns!A797</f>
        <v>0</v>
      </c>
      <c r="B797" s="1">
        <f>SUM(Portfolios!$B$2:$B$797)</f>
        <v>0</v>
      </c>
    </row>
    <row r="798" spans="1:2">
      <c r="A798" s="11">
        <f>Returns!A798</f>
        <v>0</v>
      </c>
      <c r="B798" s="1">
        <f>SUM(Portfolios!$B$2:$B$798)</f>
        <v>0</v>
      </c>
    </row>
    <row r="799" spans="1:2">
      <c r="A799" s="11">
        <f>Returns!A799</f>
        <v>0</v>
      </c>
      <c r="B799" s="1">
        <f>SUM(Portfolios!$B$2:$B$799)</f>
        <v>0</v>
      </c>
    </row>
    <row r="800" spans="1:2">
      <c r="A800" s="11">
        <f>Returns!A800</f>
        <v>0</v>
      </c>
      <c r="B800" s="1">
        <f>SUM(Portfolios!$B$2:$B$800)</f>
        <v>0</v>
      </c>
    </row>
    <row r="801" spans="1:2">
      <c r="A801" s="11">
        <f>Returns!A801</f>
        <v>0</v>
      </c>
      <c r="B801" s="1">
        <f>SUM(Portfolios!$B$2:$B$801)</f>
        <v>0</v>
      </c>
    </row>
    <row r="802" spans="1:2">
      <c r="A802" s="11">
        <f>Returns!A802</f>
        <v>0</v>
      </c>
      <c r="B802" s="1">
        <f>SUM(Portfolios!$B$2:$B$802)</f>
        <v>0</v>
      </c>
    </row>
    <row r="803" spans="1:2">
      <c r="A803" s="11">
        <f>Returns!A803</f>
        <v>0</v>
      </c>
      <c r="B803" s="1">
        <f>SUM(Portfolios!$B$2:$B$803)</f>
        <v>0</v>
      </c>
    </row>
    <row r="804" spans="1:2">
      <c r="A804" s="11">
        <f>Returns!A804</f>
        <v>0</v>
      </c>
      <c r="B804" s="1">
        <f>SUM(Portfolios!$B$2:$B$804)</f>
        <v>0</v>
      </c>
    </row>
    <row r="805" spans="1:2">
      <c r="A805" s="11">
        <f>Returns!A805</f>
        <v>0</v>
      </c>
      <c r="B805" s="1">
        <f>SUM(Portfolios!$B$2:$B$805)</f>
        <v>0</v>
      </c>
    </row>
    <row r="806" spans="1:2">
      <c r="A806" s="11">
        <f>Returns!A806</f>
        <v>0</v>
      </c>
      <c r="B806" s="1">
        <f>SUM(Portfolios!$B$2:$B$806)</f>
        <v>0</v>
      </c>
    </row>
    <row r="807" spans="1:2">
      <c r="A807" s="11">
        <f>Returns!A807</f>
        <v>0</v>
      </c>
      <c r="B807" s="1">
        <f>SUM(Portfolios!$B$2:$B$807)</f>
        <v>0</v>
      </c>
    </row>
    <row r="808" spans="1:2">
      <c r="A808" s="11">
        <f>Returns!A808</f>
        <v>0</v>
      </c>
      <c r="B808" s="1">
        <f>SUM(Portfolios!$B$2:$B$808)</f>
        <v>0</v>
      </c>
    </row>
    <row r="809" spans="1:2">
      <c r="A809" s="11">
        <f>Returns!A809</f>
        <v>0</v>
      </c>
      <c r="B809" s="1">
        <f>SUM(Portfolios!$B$2:$B$809)</f>
        <v>0</v>
      </c>
    </row>
    <row r="810" spans="1:2">
      <c r="A810" s="11">
        <f>Returns!A810</f>
        <v>0</v>
      </c>
      <c r="B810" s="1">
        <f>SUM(Portfolios!$B$2:$B$810)</f>
        <v>0</v>
      </c>
    </row>
    <row r="811" spans="1:2">
      <c r="A811" s="11">
        <f>Returns!A811</f>
        <v>0</v>
      </c>
      <c r="B811" s="1">
        <f>SUM(Portfolios!$B$2:$B$811)</f>
        <v>0</v>
      </c>
    </row>
    <row r="812" spans="1:2">
      <c r="A812" s="11">
        <f>Returns!A812</f>
        <v>0</v>
      </c>
      <c r="B812" s="1">
        <f>SUM(Portfolios!$B$2:$B$812)</f>
        <v>0</v>
      </c>
    </row>
    <row r="813" spans="1:2">
      <c r="A813" s="11">
        <f>Returns!A813</f>
        <v>0</v>
      </c>
      <c r="B813" s="1">
        <f>SUM(Portfolios!$B$2:$B$813)</f>
        <v>0</v>
      </c>
    </row>
    <row r="814" spans="1:2">
      <c r="A814" s="11">
        <f>Returns!A814</f>
        <v>0</v>
      </c>
      <c r="B814" s="1">
        <f>SUM(Portfolios!$B$2:$B$814)</f>
        <v>0</v>
      </c>
    </row>
    <row r="815" spans="1:2">
      <c r="A815" s="11">
        <f>Returns!A815</f>
        <v>0</v>
      </c>
      <c r="B815" s="1">
        <f>SUM(Portfolios!$B$2:$B$815)</f>
        <v>0</v>
      </c>
    </row>
    <row r="816" spans="1:2">
      <c r="A816" s="11">
        <f>Returns!A816</f>
        <v>0</v>
      </c>
      <c r="B816" s="1">
        <f>SUM(Portfolios!$B$2:$B$816)</f>
        <v>0</v>
      </c>
    </row>
    <row r="817" spans="1:2">
      <c r="A817" s="11">
        <f>Returns!A817</f>
        <v>0</v>
      </c>
      <c r="B817" s="1">
        <f>SUM(Portfolios!$B$2:$B$817)</f>
        <v>0</v>
      </c>
    </row>
    <row r="818" spans="1:2">
      <c r="A818" s="11">
        <f>Returns!A818</f>
        <v>0</v>
      </c>
      <c r="B818" s="1">
        <f>SUM(Portfolios!$B$2:$B$818)</f>
        <v>0</v>
      </c>
    </row>
    <row r="819" spans="1:2">
      <c r="A819" s="11">
        <f>Returns!A819</f>
        <v>0</v>
      </c>
      <c r="B819" s="1">
        <f>SUM(Portfolios!$B$2:$B$819)</f>
        <v>0</v>
      </c>
    </row>
    <row r="820" spans="1:2">
      <c r="A820" s="11">
        <f>Returns!A820</f>
        <v>0</v>
      </c>
      <c r="B820" s="1">
        <f>SUM(Portfolios!$B$2:$B$820)</f>
        <v>0</v>
      </c>
    </row>
    <row r="821" spans="1:2">
      <c r="A821" s="11">
        <f>Returns!A821</f>
        <v>0</v>
      </c>
      <c r="B821" s="1">
        <f>SUM(Portfolios!$B$2:$B$821)</f>
        <v>0</v>
      </c>
    </row>
    <row r="822" spans="1:2">
      <c r="A822" s="11">
        <f>Returns!A822</f>
        <v>0</v>
      </c>
      <c r="B822" s="1">
        <f>SUM(Portfolios!$B$2:$B$822)</f>
        <v>0</v>
      </c>
    </row>
    <row r="823" spans="1:2">
      <c r="A823" s="11">
        <f>Returns!A823</f>
        <v>0</v>
      </c>
      <c r="B823" s="1">
        <f>SUM(Portfolios!$B$2:$B$823)</f>
        <v>0</v>
      </c>
    </row>
    <row r="824" spans="1:2">
      <c r="A824" s="11">
        <f>Returns!A824</f>
        <v>0</v>
      </c>
      <c r="B824" s="1">
        <f>SUM(Portfolios!$B$2:$B$824)</f>
        <v>0</v>
      </c>
    </row>
    <row r="825" spans="1:2">
      <c r="A825" s="11">
        <f>Returns!A825</f>
        <v>0</v>
      </c>
      <c r="B825" s="1">
        <f>SUM(Portfolios!$B$2:$B$825)</f>
        <v>0</v>
      </c>
    </row>
    <row r="826" spans="1:2">
      <c r="A826" s="11">
        <f>Returns!A826</f>
        <v>0</v>
      </c>
      <c r="B826" s="1">
        <f>SUM(Portfolios!$B$2:$B$826)</f>
        <v>0</v>
      </c>
    </row>
    <row r="827" spans="1:2">
      <c r="A827" s="11">
        <f>Returns!A827</f>
        <v>0</v>
      </c>
      <c r="B827" s="1">
        <f>SUM(Portfolios!$B$2:$B$827)</f>
        <v>0</v>
      </c>
    </row>
    <row r="828" spans="1:2">
      <c r="A828" s="11">
        <f>Returns!A828</f>
        <v>0</v>
      </c>
      <c r="B828" s="1">
        <f>SUM(Portfolios!$B$2:$B$828)</f>
        <v>0</v>
      </c>
    </row>
    <row r="829" spans="1:2">
      <c r="A829" s="11">
        <f>Returns!A829</f>
        <v>0</v>
      </c>
      <c r="B829" s="1">
        <f>SUM(Portfolios!$B$2:$B$829)</f>
        <v>0</v>
      </c>
    </row>
    <row r="830" spans="1:2">
      <c r="A830" s="11">
        <f>Returns!A830</f>
        <v>0</v>
      </c>
      <c r="B830" s="1">
        <f>SUM(Portfolios!$B$2:$B$830)</f>
        <v>0</v>
      </c>
    </row>
    <row r="831" spans="1:2">
      <c r="A831" s="11">
        <f>Returns!A831</f>
        <v>0</v>
      </c>
      <c r="B831" s="1">
        <f>SUM(Portfolios!$B$2:$B$831)</f>
        <v>0</v>
      </c>
    </row>
    <row r="832" spans="1:2">
      <c r="A832" s="11">
        <f>Returns!A832</f>
        <v>0</v>
      </c>
      <c r="B832" s="1">
        <f>SUM(Portfolios!$B$2:$B$832)</f>
        <v>0</v>
      </c>
    </row>
    <row r="833" spans="1:2">
      <c r="A833" s="11">
        <f>Returns!A833</f>
        <v>0</v>
      </c>
      <c r="B833" s="1">
        <f>SUM(Portfolios!$B$2:$B$833)</f>
        <v>0</v>
      </c>
    </row>
    <row r="834" spans="1:2">
      <c r="A834" s="11">
        <f>Returns!A834</f>
        <v>0</v>
      </c>
      <c r="B834" s="1">
        <f>SUM(Portfolios!$B$2:$B$834)</f>
        <v>0</v>
      </c>
    </row>
    <row r="835" spans="1:2">
      <c r="A835" s="11">
        <f>Returns!A835</f>
        <v>0</v>
      </c>
      <c r="B835" s="1">
        <f>SUM(Portfolios!$B$2:$B$835)</f>
        <v>0</v>
      </c>
    </row>
    <row r="836" spans="1:2">
      <c r="A836" s="11">
        <f>Returns!A836</f>
        <v>0</v>
      </c>
      <c r="B836" s="1">
        <f>SUM(Portfolios!$B$2:$B$836)</f>
        <v>0</v>
      </c>
    </row>
    <row r="837" spans="1:2">
      <c r="A837" s="11">
        <f>Returns!A837</f>
        <v>0</v>
      </c>
      <c r="B837" s="1">
        <f>SUM(Portfolios!$B$2:$B$837)</f>
        <v>0</v>
      </c>
    </row>
    <row r="838" spans="1:2">
      <c r="A838" s="11">
        <f>Returns!A838</f>
        <v>0</v>
      </c>
      <c r="B838" s="1">
        <f>SUM(Portfolios!$B$2:$B$838)</f>
        <v>0</v>
      </c>
    </row>
    <row r="839" spans="1:2">
      <c r="A839" s="11">
        <f>Returns!A839</f>
        <v>0</v>
      </c>
      <c r="B839" s="1">
        <f>SUM(Portfolios!$B$2:$B$839)</f>
        <v>0</v>
      </c>
    </row>
    <row r="840" spans="1:2">
      <c r="A840" s="11">
        <f>Returns!A840</f>
        <v>0</v>
      </c>
      <c r="B840" s="1">
        <f>SUM(Portfolios!$B$2:$B$840)</f>
        <v>0</v>
      </c>
    </row>
    <row r="841" spans="1:2">
      <c r="A841" s="11">
        <f>Returns!A841</f>
        <v>0</v>
      </c>
      <c r="B841" s="1">
        <f>SUM(Portfolios!$B$2:$B$841)</f>
        <v>0</v>
      </c>
    </row>
    <row r="842" spans="1:2">
      <c r="A842" s="11">
        <f>Returns!A842</f>
        <v>0</v>
      </c>
      <c r="B842" s="1">
        <f>SUM(Portfolios!$B$2:$B$842)</f>
        <v>0</v>
      </c>
    </row>
    <row r="843" spans="1:2">
      <c r="A843" s="11">
        <f>Returns!A843</f>
        <v>0</v>
      </c>
      <c r="B843" s="1">
        <f>SUM(Portfolios!$B$2:$B$843)</f>
        <v>0</v>
      </c>
    </row>
    <row r="844" spans="1:2">
      <c r="A844" s="11">
        <f>Returns!A844</f>
        <v>0</v>
      </c>
      <c r="B844" s="1">
        <f>SUM(Portfolios!$B$2:$B$844)</f>
        <v>0</v>
      </c>
    </row>
    <row r="845" spans="1:2">
      <c r="A845" s="11">
        <f>Returns!A845</f>
        <v>0</v>
      </c>
      <c r="B845" s="1">
        <f>SUM(Portfolios!$B$2:$B$845)</f>
        <v>0</v>
      </c>
    </row>
    <row r="846" spans="1:2">
      <c r="A846" s="11">
        <f>Returns!A846</f>
        <v>0</v>
      </c>
      <c r="B846" s="1">
        <f>SUM(Portfolios!$B$2:$B$846)</f>
        <v>0</v>
      </c>
    </row>
    <row r="847" spans="1:2">
      <c r="A847" s="11">
        <f>Returns!A847</f>
        <v>0</v>
      </c>
      <c r="B847" s="1">
        <f>SUM(Portfolios!$B$2:$B$847)</f>
        <v>0</v>
      </c>
    </row>
    <row r="848" spans="1:2">
      <c r="A848" s="11">
        <f>Returns!A848</f>
        <v>0</v>
      </c>
      <c r="B848" s="1">
        <f>SUM(Portfolios!$B$2:$B$848)</f>
        <v>0</v>
      </c>
    </row>
    <row r="849" spans="1:2">
      <c r="A849" s="11">
        <f>Returns!A849</f>
        <v>0</v>
      </c>
      <c r="B849" s="1">
        <f>SUM(Portfolios!$B$2:$B$849)</f>
        <v>0</v>
      </c>
    </row>
    <row r="850" spans="1:2">
      <c r="A850" s="11">
        <f>Returns!A850</f>
        <v>0</v>
      </c>
      <c r="B850" s="1">
        <f>SUM(Portfolios!$B$2:$B$850)</f>
        <v>0</v>
      </c>
    </row>
    <row r="851" spans="1:2">
      <c r="A851" s="11">
        <f>Returns!A851</f>
        <v>0</v>
      </c>
      <c r="B851" s="1">
        <f>SUM(Portfolios!$B$2:$B$851)</f>
        <v>0</v>
      </c>
    </row>
    <row r="852" spans="1:2">
      <c r="A852" s="11">
        <f>Returns!A852</f>
        <v>0</v>
      </c>
      <c r="B852" s="1">
        <f>SUM(Portfolios!$B$2:$B$852)</f>
        <v>0</v>
      </c>
    </row>
    <row r="853" spans="1:2">
      <c r="A853" s="11">
        <f>Returns!A853</f>
        <v>0</v>
      </c>
      <c r="B853" s="1">
        <f>SUM(Portfolios!$B$2:$B$853)</f>
        <v>0</v>
      </c>
    </row>
    <row r="854" spans="1:2">
      <c r="A854" s="11">
        <f>Returns!A854</f>
        <v>0</v>
      </c>
      <c r="B854" s="1">
        <f>SUM(Portfolios!$B$2:$B$854)</f>
        <v>0</v>
      </c>
    </row>
    <row r="855" spans="1:2">
      <c r="A855" s="11">
        <f>Returns!A855</f>
        <v>0</v>
      </c>
      <c r="B855" s="1">
        <f>SUM(Portfolios!$B$2:$B$855)</f>
        <v>0</v>
      </c>
    </row>
    <row r="856" spans="1:2">
      <c r="A856" s="11">
        <f>Returns!A856</f>
        <v>0</v>
      </c>
      <c r="B856" s="1">
        <f>SUM(Portfolios!$B$2:$B$856)</f>
        <v>0</v>
      </c>
    </row>
    <row r="857" spans="1:2">
      <c r="A857" s="11">
        <f>Returns!A857</f>
        <v>0</v>
      </c>
      <c r="B857" s="1">
        <f>SUM(Portfolios!$B$2:$B$857)</f>
        <v>0</v>
      </c>
    </row>
    <row r="858" spans="1:2">
      <c r="A858" s="11">
        <f>Returns!A858</f>
        <v>0</v>
      </c>
      <c r="B858" s="1">
        <f>SUM(Portfolios!$B$2:$B$858)</f>
        <v>0</v>
      </c>
    </row>
    <row r="859" spans="1:2">
      <c r="A859" s="11">
        <f>Returns!A859</f>
        <v>0</v>
      </c>
      <c r="B859" s="1">
        <f>SUM(Portfolios!$B$2:$B$859)</f>
        <v>0</v>
      </c>
    </row>
    <row r="860" spans="1:2">
      <c r="A860" s="11">
        <f>Returns!A860</f>
        <v>0</v>
      </c>
      <c r="B860" s="1">
        <f>SUM(Portfolios!$B$2:$B$860)</f>
        <v>0</v>
      </c>
    </row>
    <row r="861" spans="1:2">
      <c r="A861" s="11">
        <f>Returns!A861</f>
        <v>0</v>
      </c>
      <c r="B861" s="1">
        <f>SUM(Portfolios!$B$2:$B$861)</f>
        <v>0</v>
      </c>
    </row>
    <row r="862" spans="1:2">
      <c r="A862" s="11">
        <f>Returns!A862</f>
        <v>0</v>
      </c>
      <c r="B862" s="1">
        <f>SUM(Portfolios!$B$2:$B$862)</f>
        <v>0</v>
      </c>
    </row>
    <row r="863" spans="1:2">
      <c r="A863" s="11">
        <f>Returns!A863</f>
        <v>0</v>
      </c>
      <c r="B863" s="1">
        <f>SUM(Portfolios!$B$2:$B$863)</f>
        <v>0</v>
      </c>
    </row>
    <row r="864" spans="1:2">
      <c r="A864" s="11">
        <f>Returns!A864</f>
        <v>0</v>
      </c>
      <c r="B864" s="1">
        <f>SUM(Portfolios!$B$2:$B$864)</f>
        <v>0</v>
      </c>
    </row>
    <row r="865" spans="1:2">
      <c r="A865" s="11">
        <f>Returns!A865</f>
        <v>0</v>
      </c>
      <c r="B865" s="1">
        <f>SUM(Portfolios!$B$2:$B$865)</f>
        <v>0</v>
      </c>
    </row>
    <row r="866" spans="1:2">
      <c r="A866" s="11">
        <f>Returns!A866</f>
        <v>0</v>
      </c>
      <c r="B866" s="1">
        <f>SUM(Portfolios!$B$2:$B$866)</f>
        <v>0</v>
      </c>
    </row>
    <row r="867" spans="1:2">
      <c r="A867" s="11">
        <f>Returns!A867</f>
        <v>0</v>
      </c>
      <c r="B867" s="1">
        <f>SUM(Portfolios!$B$2:$B$867)</f>
        <v>0</v>
      </c>
    </row>
    <row r="868" spans="1:2">
      <c r="A868" s="11">
        <f>Returns!A868</f>
        <v>0</v>
      </c>
      <c r="B868" s="1">
        <f>SUM(Portfolios!$B$2:$B$868)</f>
        <v>0</v>
      </c>
    </row>
    <row r="869" spans="1:2">
      <c r="A869" s="11">
        <f>Returns!A869</f>
        <v>0</v>
      </c>
      <c r="B869" s="1">
        <f>SUM(Portfolios!$B$2:$B$869)</f>
        <v>0</v>
      </c>
    </row>
    <row r="870" spans="1:2">
      <c r="A870" s="11">
        <f>Returns!A870</f>
        <v>0</v>
      </c>
      <c r="B870" s="1">
        <f>SUM(Portfolios!$B$2:$B$870)</f>
        <v>0</v>
      </c>
    </row>
    <row r="871" spans="1:2">
      <c r="A871" s="11">
        <f>Returns!A871</f>
        <v>0</v>
      </c>
      <c r="B871" s="1">
        <f>SUM(Portfolios!$B$2:$B$871)</f>
        <v>0</v>
      </c>
    </row>
    <row r="872" spans="1:2">
      <c r="A872" s="11">
        <f>Returns!A872</f>
        <v>0</v>
      </c>
      <c r="B872" s="1">
        <f>SUM(Portfolios!$B$2:$B$872)</f>
        <v>0</v>
      </c>
    </row>
    <row r="873" spans="1:2">
      <c r="A873" s="11">
        <f>Returns!A873</f>
        <v>0</v>
      </c>
      <c r="B873" s="1">
        <f>SUM(Portfolios!$B$2:$B$873)</f>
        <v>0</v>
      </c>
    </row>
    <row r="874" spans="1:2">
      <c r="A874" s="11">
        <f>Returns!A874</f>
        <v>0</v>
      </c>
      <c r="B874" s="1">
        <f>SUM(Portfolios!$B$2:$B$874)</f>
        <v>0</v>
      </c>
    </row>
    <row r="875" spans="1:2">
      <c r="A875" s="11">
        <f>Returns!A875</f>
        <v>0</v>
      </c>
      <c r="B875" s="1">
        <f>SUM(Portfolios!$B$2:$B$875)</f>
        <v>0</v>
      </c>
    </row>
    <row r="876" spans="1:2">
      <c r="A876" s="11">
        <f>Returns!A876</f>
        <v>0</v>
      </c>
      <c r="B876" s="1">
        <f>SUM(Portfolios!$B$2:$B$876)</f>
        <v>0</v>
      </c>
    </row>
    <row r="877" spans="1:2">
      <c r="A877" s="11">
        <f>Returns!A877</f>
        <v>0</v>
      </c>
      <c r="B877" s="1">
        <f>SUM(Portfolios!$B$2:$B$877)</f>
        <v>0</v>
      </c>
    </row>
    <row r="878" spans="1:2">
      <c r="A878" s="11">
        <f>Returns!A878</f>
        <v>0</v>
      </c>
      <c r="B878" s="1">
        <f>SUM(Portfolios!$B$2:$B$878)</f>
        <v>0</v>
      </c>
    </row>
    <row r="879" spans="1:2">
      <c r="A879" s="11">
        <f>Returns!A879</f>
        <v>0</v>
      </c>
      <c r="B879" s="1">
        <f>SUM(Portfolios!$B$2:$B$879)</f>
        <v>0</v>
      </c>
    </row>
    <row r="880" spans="1:2">
      <c r="A880" s="11">
        <f>Returns!A880</f>
        <v>0</v>
      </c>
      <c r="B880" s="1">
        <f>SUM(Portfolios!$B$2:$B$880)</f>
        <v>0</v>
      </c>
    </row>
    <row r="881" spans="1:2">
      <c r="A881" s="11">
        <f>Returns!A881</f>
        <v>0</v>
      </c>
      <c r="B881" s="1">
        <f>SUM(Portfolios!$B$2:$B$881)</f>
        <v>0</v>
      </c>
    </row>
    <row r="882" spans="1:2">
      <c r="A882" s="11">
        <f>Returns!A882</f>
        <v>0</v>
      </c>
      <c r="B882" s="1">
        <f>SUM(Portfolios!$B$2:$B$882)</f>
        <v>0</v>
      </c>
    </row>
    <row r="883" spans="1:2">
      <c r="A883" s="11">
        <f>Returns!A883</f>
        <v>0</v>
      </c>
      <c r="B883" s="1">
        <f>SUM(Portfolios!$B$2:$B$883)</f>
        <v>0</v>
      </c>
    </row>
    <row r="884" spans="1:2">
      <c r="A884" s="11">
        <f>Returns!A884</f>
        <v>0</v>
      </c>
      <c r="B884" s="1">
        <f>SUM(Portfolios!$B$2:$B$884)</f>
        <v>0</v>
      </c>
    </row>
    <row r="885" spans="1:2">
      <c r="A885" s="11">
        <f>Returns!A885</f>
        <v>0</v>
      </c>
      <c r="B885" s="1">
        <f>SUM(Portfolios!$B$2:$B$885)</f>
        <v>0</v>
      </c>
    </row>
    <row r="886" spans="1:2">
      <c r="A886" s="11">
        <f>Returns!A886</f>
        <v>0</v>
      </c>
      <c r="B886" s="1">
        <f>SUM(Portfolios!$B$2:$B$886)</f>
        <v>0</v>
      </c>
    </row>
    <row r="887" spans="1:2">
      <c r="A887" s="11">
        <f>Returns!A887</f>
        <v>0</v>
      </c>
      <c r="B887" s="1">
        <f>SUM(Portfolios!$B$2:$B$887)</f>
        <v>0</v>
      </c>
    </row>
    <row r="888" spans="1:2">
      <c r="A888" s="11">
        <f>Returns!A888</f>
        <v>0</v>
      </c>
      <c r="B888" s="1">
        <f>SUM(Portfolios!$B$2:$B$888)</f>
        <v>0</v>
      </c>
    </row>
    <row r="889" spans="1:2">
      <c r="A889" s="11">
        <f>Returns!A889</f>
        <v>0</v>
      </c>
      <c r="B889" s="1">
        <f>SUM(Portfolios!$B$2:$B$889)</f>
        <v>0</v>
      </c>
    </row>
    <row r="890" spans="1:2">
      <c r="A890" s="11">
        <f>Returns!A890</f>
        <v>0</v>
      </c>
      <c r="B890" s="1">
        <f>SUM(Portfolios!$B$2:$B$890)</f>
        <v>0</v>
      </c>
    </row>
    <row r="891" spans="1:2">
      <c r="A891" s="11">
        <f>Returns!A891</f>
        <v>0</v>
      </c>
      <c r="B891" s="1">
        <f>SUM(Portfolios!$B$2:$B$891)</f>
        <v>0</v>
      </c>
    </row>
    <row r="892" spans="1:2">
      <c r="A892" s="11">
        <f>Returns!A892</f>
        <v>0</v>
      </c>
      <c r="B892" s="1">
        <f>SUM(Portfolios!$B$2:$B$892)</f>
        <v>0</v>
      </c>
    </row>
    <row r="893" spans="1:2">
      <c r="A893" s="11">
        <f>Returns!A893</f>
        <v>0</v>
      </c>
      <c r="B893" s="1">
        <f>SUM(Portfolios!$B$2:$B$893)</f>
        <v>0</v>
      </c>
    </row>
    <row r="894" spans="1:2">
      <c r="A894" s="11">
        <f>Returns!A894</f>
        <v>0</v>
      </c>
      <c r="B894" s="1">
        <f>SUM(Portfolios!$B$2:$B$894)</f>
        <v>0</v>
      </c>
    </row>
    <row r="895" spans="1:2">
      <c r="A895" s="11">
        <f>Returns!A895</f>
        <v>0</v>
      </c>
      <c r="B895" s="1">
        <f>SUM(Portfolios!$B$2:$B$895)</f>
        <v>0</v>
      </c>
    </row>
    <row r="896" spans="1:2">
      <c r="A896" s="11">
        <f>Returns!A896</f>
        <v>0</v>
      </c>
      <c r="B896" s="1">
        <f>SUM(Portfolios!$B$2:$B$896)</f>
        <v>0</v>
      </c>
    </row>
    <row r="897" spans="1:2">
      <c r="A897" s="11">
        <f>Returns!A897</f>
        <v>0</v>
      </c>
      <c r="B897" s="1">
        <f>SUM(Portfolios!$B$2:$B$897)</f>
        <v>0</v>
      </c>
    </row>
    <row r="898" spans="1:2">
      <c r="A898" s="11">
        <f>Returns!A898</f>
        <v>0</v>
      </c>
      <c r="B898" s="1">
        <f>SUM(Portfolios!$B$2:$B$898)</f>
        <v>0</v>
      </c>
    </row>
    <row r="899" spans="1:2">
      <c r="A899" s="11">
        <f>Returns!A899</f>
        <v>0</v>
      </c>
      <c r="B899" s="1">
        <f>SUM(Portfolios!$B$2:$B$899)</f>
        <v>0</v>
      </c>
    </row>
    <row r="900" spans="1:2">
      <c r="A900" s="11">
        <f>Returns!A900</f>
        <v>0</v>
      </c>
      <c r="B900" s="1">
        <f>SUM(Portfolios!$B$2:$B$900)</f>
        <v>0</v>
      </c>
    </row>
    <row r="901" spans="1:2">
      <c r="A901" s="11">
        <f>Returns!A901</f>
        <v>0</v>
      </c>
      <c r="B901" s="1">
        <f>SUM(Portfolios!$B$2:$B$901)</f>
        <v>0</v>
      </c>
    </row>
    <row r="902" spans="1:2">
      <c r="A902" s="11">
        <f>Returns!A902</f>
        <v>0</v>
      </c>
      <c r="B902" s="1">
        <f>SUM(Portfolios!$B$2:$B$902)</f>
        <v>0</v>
      </c>
    </row>
    <row r="903" spans="1:2">
      <c r="A903" s="11">
        <f>Returns!A903</f>
        <v>0</v>
      </c>
      <c r="B903" s="1">
        <f>SUM(Portfolios!$B$2:$B$903)</f>
        <v>0</v>
      </c>
    </row>
    <row r="904" spans="1:2">
      <c r="A904" s="11">
        <f>Returns!A904</f>
        <v>0</v>
      </c>
      <c r="B904" s="1">
        <f>SUM(Portfolios!$B$2:$B$904)</f>
        <v>0</v>
      </c>
    </row>
    <row r="905" spans="1:2">
      <c r="A905" s="11">
        <f>Returns!A905</f>
        <v>0</v>
      </c>
      <c r="B905" s="1">
        <f>SUM(Portfolios!$B$2:$B$905)</f>
        <v>0</v>
      </c>
    </row>
    <row r="906" spans="1:2">
      <c r="A906" s="11">
        <f>Returns!A906</f>
        <v>0</v>
      </c>
      <c r="B906" s="1">
        <f>SUM(Portfolios!$B$2:$B$906)</f>
        <v>0</v>
      </c>
    </row>
    <row r="907" spans="1:2">
      <c r="A907" s="11">
        <f>Returns!A907</f>
        <v>0</v>
      </c>
      <c r="B907" s="1">
        <f>SUM(Portfolios!$B$2:$B$907)</f>
        <v>0</v>
      </c>
    </row>
    <row r="908" spans="1:2">
      <c r="A908" s="11">
        <f>Returns!A908</f>
        <v>0</v>
      </c>
      <c r="B908" s="1">
        <f>SUM(Portfolios!$B$2:$B$908)</f>
        <v>0</v>
      </c>
    </row>
    <row r="909" spans="1:2">
      <c r="A909" s="11">
        <f>Returns!A909</f>
        <v>0</v>
      </c>
      <c r="B909" s="1">
        <f>SUM(Portfolios!$B$2:$B$909)</f>
        <v>0</v>
      </c>
    </row>
    <row r="910" spans="1:2">
      <c r="A910" s="11">
        <f>Returns!A910</f>
        <v>0</v>
      </c>
      <c r="B910" s="1">
        <f>SUM(Portfolios!$B$2:$B$910)</f>
        <v>0</v>
      </c>
    </row>
    <row r="911" spans="1:2">
      <c r="A911" s="11">
        <f>Returns!A911</f>
        <v>0</v>
      </c>
      <c r="B911" s="1">
        <f>SUM(Portfolios!$B$2:$B$911)</f>
        <v>0</v>
      </c>
    </row>
    <row r="912" spans="1:2">
      <c r="A912" s="11">
        <f>Returns!A912</f>
        <v>0</v>
      </c>
      <c r="B912" s="1">
        <f>SUM(Portfolios!$B$2:$B$912)</f>
        <v>0</v>
      </c>
    </row>
    <row r="913" spans="1:2">
      <c r="A913" s="11">
        <f>Returns!A913</f>
        <v>0</v>
      </c>
      <c r="B913" s="1">
        <f>SUM(Portfolios!$B$2:$B$913)</f>
        <v>0</v>
      </c>
    </row>
    <row r="914" spans="1:2">
      <c r="A914" s="11">
        <f>Returns!A914</f>
        <v>0</v>
      </c>
      <c r="B914" s="1">
        <f>SUM(Portfolios!$B$2:$B$914)</f>
        <v>0</v>
      </c>
    </row>
    <row r="915" spans="1:2">
      <c r="A915" s="11">
        <f>Returns!A915</f>
        <v>0</v>
      </c>
      <c r="B915" s="1">
        <f>SUM(Portfolios!$B$2:$B$915)</f>
        <v>0</v>
      </c>
    </row>
    <row r="916" spans="1:2">
      <c r="A916" s="11">
        <f>Returns!A916</f>
        <v>0</v>
      </c>
      <c r="B916" s="1">
        <f>SUM(Portfolios!$B$2:$B$916)</f>
        <v>0</v>
      </c>
    </row>
    <row r="917" spans="1:2">
      <c r="A917" s="11">
        <f>Returns!A917</f>
        <v>0</v>
      </c>
      <c r="B917" s="1">
        <f>SUM(Portfolios!$B$2:$B$917)</f>
        <v>0</v>
      </c>
    </row>
    <row r="918" spans="1:2">
      <c r="A918" s="11">
        <f>Returns!A918</f>
        <v>0</v>
      </c>
      <c r="B918" s="1">
        <f>SUM(Portfolios!$B$2:$B$918)</f>
        <v>0</v>
      </c>
    </row>
    <row r="919" spans="1:2">
      <c r="A919" s="11">
        <f>Returns!A919</f>
        <v>0</v>
      </c>
      <c r="B919" s="1">
        <f>SUM(Portfolios!$B$2:$B$919)</f>
        <v>0</v>
      </c>
    </row>
    <row r="920" spans="1:2">
      <c r="A920" s="11">
        <f>Returns!A920</f>
        <v>0</v>
      </c>
      <c r="B920" s="1">
        <f>SUM(Portfolios!$B$2:$B$920)</f>
        <v>0</v>
      </c>
    </row>
    <row r="921" spans="1:2">
      <c r="A921" s="11">
        <f>Returns!A921</f>
        <v>0</v>
      </c>
      <c r="B921" s="1">
        <f>SUM(Portfolios!$B$2:$B$921)</f>
        <v>0</v>
      </c>
    </row>
    <row r="922" spans="1:2">
      <c r="A922" s="11">
        <f>Returns!A922</f>
        <v>0</v>
      </c>
      <c r="B922" s="1">
        <f>SUM(Portfolios!$B$2:$B$922)</f>
        <v>0</v>
      </c>
    </row>
    <row r="923" spans="1:2">
      <c r="A923" s="11">
        <f>Returns!A923</f>
        <v>0</v>
      </c>
      <c r="B923" s="1">
        <f>SUM(Portfolios!$B$2:$B$923)</f>
        <v>0</v>
      </c>
    </row>
    <row r="924" spans="1:2">
      <c r="A924" s="11">
        <f>Returns!A924</f>
        <v>0</v>
      </c>
      <c r="B924" s="1">
        <f>SUM(Portfolios!$B$2:$B$924)</f>
        <v>0</v>
      </c>
    </row>
    <row r="925" spans="1:2">
      <c r="A925" s="11">
        <f>Returns!A925</f>
        <v>0</v>
      </c>
      <c r="B925" s="1">
        <f>SUM(Portfolios!$B$2:$B$925)</f>
        <v>0</v>
      </c>
    </row>
    <row r="926" spans="1:2">
      <c r="A926" s="11">
        <f>Returns!A926</f>
        <v>0</v>
      </c>
      <c r="B926" s="1">
        <f>SUM(Portfolios!$B$2:$B$926)</f>
        <v>0</v>
      </c>
    </row>
    <row r="927" spans="1:2">
      <c r="A927" s="11">
        <f>Returns!A927</f>
        <v>0</v>
      </c>
      <c r="B927" s="1">
        <f>SUM(Portfolios!$B$2:$B$927)</f>
        <v>0</v>
      </c>
    </row>
    <row r="928" spans="1:2">
      <c r="A928" s="11">
        <f>Returns!A928</f>
        <v>0</v>
      </c>
      <c r="B928" s="1">
        <f>SUM(Portfolios!$B$2:$B$928)</f>
        <v>0</v>
      </c>
    </row>
    <row r="929" spans="1:2">
      <c r="A929" s="11">
        <f>Returns!A929</f>
        <v>0</v>
      </c>
      <c r="B929" s="1">
        <f>SUM(Portfolios!$B$2:$B$929)</f>
        <v>0</v>
      </c>
    </row>
    <row r="930" spans="1:2">
      <c r="A930" s="11">
        <f>Returns!A930</f>
        <v>0</v>
      </c>
      <c r="B930" s="1">
        <f>SUM(Portfolios!$B$2:$B$930)</f>
        <v>0</v>
      </c>
    </row>
    <row r="931" spans="1:2">
      <c r="A931" s="11">
        <f>Returns!A931</f>
        <v>0</v>
      </c>
      <c r="B931" s="1">
        <f>SUM(Portfolios!$B$2:$B$931)</f>
        <v>0</v>
      </c>
    </row>
    <row r="932" spans="1:2">
      <c r="A932" s="11">
        <f>Returns!A932</f>
        <v>0</v>
      </c>
      <c r="B932" s="1">
        <f>SUM(Portfolios!$B$2:$B$932)</f>
        <v>0</v>
      </c>
    </row>
    <row r="933" spans="1:2">
      <c r="A933" s="11">
        <f>Returns!A933</f>
        <v>0</v>
      </c>
      <c r="B933" s="1">
        <f>SUM(Portfolios!$B$2:$B$933)</f>
        <v>0</v>
      </c>
    </row>
    <row r="934" spans="1:2">
      <c r="A934" s="11">
        <f>Returns!A934</f>
        <v>0</v>
      </c>
      <c r="B934" s="1">
        <f>SUM(Portfolios!$B$2:$B$934)</f>
        <v>0</v>
      </c>
    </row>
    <row r="935" spans="1:2">
      <c r="A935" s="11">
        <f>Returns!A935</f>
        <v>0</v>
      </c>
      <c r="B935" s="1">
        <f>SUM(Portfolios!$B$2:$B$935)</f>
        <v>0</v>
      </c>
    </row>
    <row r="936" spans="1:2">
      <c r="A936" s="11">
        <f>Returns!A936</f>
        <v>0</v>
      </c>
      <c r="B936" s="1">
        <f>SUM(Portfolios!$B$2:$B$936)</f>
        <v>0</v>
      </c>
    </row>
    <row r="937" spans="1:2">
      <c r="A937" s="11">
        <f>Returns!A937</f>
        <v>0</v>
      </c>
      <c r="B937" s="1">
        <f>SUM(Portfolios!$B$2:$B$937)</f>
        <v>0</v>
      </c>
    </row>
    <row r="938" spans="1:2">
      <c r="A938" s="11">
        <f>Returns!A938</f>
        <v>0</v>
      </c>
      <c r="B938" s="1">
        <f>SUM(Portfolios!$B$2:$B$938)</f>
        <v>0</v>
      </c>
    </row>
    <row r="939" spans="1:2">
      <c r="A939" s="11">
        <f>Returns!A939</f>
        <v>0</v>
      </c>
      <c r="B939" s="1">
        <f>SUM(Portfolios!$B$2:$B$939)</f>
        <v>0</v>
      </c>
    </row>
    <row r="940" spans="1:2">
      <c r="A940" s="11">
        <f>Returns!A940</f>
        <v>0</v>
      </c>
      <c r="B940" s="1">
        <f>SUM(Portfolios!$B$2:$B$940)</f>
        <v>0</v>
      </c>
    </row>
    <row r="941" spans="1:2">
      <c r="A941" s="11">
        <f>Returns!A941</f>
        <v>0</v>
      </c>
      <c r="B941" s="1">
        <f>SUM(Portfolios!$B$2:$B$941)</f>
        <v>0</v>
      </c>
    </row>
    <row r="942" spans="1:2">
      <c r="A942" s="11">
        <f>Returns!A942</f>
        <v>0</v>
      </c>
      <c r="B942" s="1">
        <f>SUM(Portfolios!$B$2:$B$942)</f>
        <v>0</v>
      </c>
    </row>
    <row r="943" spans="1:2">
      <c r="A943" s="11">
        <f>Returns!A943</f>
        <v>0</v>
      </c>
      <c r="B943" s="1">
        <f>SUM(Portfolios!$B$2:$B$943)</f>
        <v>0</v>
      </c>
    </row>
    <row r="944" spans="1:2">
      <c r="A944" s="11">
        <f>Returns!A944</f>
        <v>0</v>
      </c>
      <c r="B944" s="1">
        <f>SUM(Portfolios!$B$2:$B$944)</f>
        <v>0</v>
      </c>
    </row>
    <row r="945" spans="1:2">
      <c r="A945" s="11">
        <f>Returns!A945</f>
        <v>0</v>
      </c>
      <c r="B945" s="1">
        <f>SUM(Portfolios!$B$2:$B$945)</f>
        <v>0</v>
      </c>
    </row>
    <row r="946" spans="1:2">
      <c r="A946" s="11">
        <f>Returns!A946</f>
        <v>0</v>
      </c>
      <c r="B946" s="1">
        <f>SUM(Portfolios!$B$2:$B$946)</f>
        <v>0</v>
      </c>
    </row>
    <row r="947" spans="1:2">
      <c r="A947" s="11">
        <f>Returns!A947</f>
        <v>0</v>
      </c>
      <c r="B947" s="1">
        <f>SUM(Portfolios!$B$2:$B$947)</f>
        <v>0</v>
      </c>
    </row>
    <row r="948" spans="1:2">
      <c r="A948" s="11">
        <f>Returns!A948</f>
        <v>0</v>
      </c>
      <c r="B948" s="1">
        <f>SUM(Portfolios!$B$2:$B$948)</f>
        <v>0</v>
      </c>
    </row>
    <row r="949" spans="1:2">
      <c r="A949" s="11">
        <f>Returns!A949</f>
        <v>0</v>
      </c>
      <c r="B949" s="1">
        <f>SUM(Portfolios!$B$2:$B$949)</f>
        <v>0</v>
      </c>
    </row>
    <row r="950" spans="1:2">
      <c r="A950" s="11">
        <f>Returns!A950</f>
        <v>0</v>
      </c>
      <c r="B950" s="1">
        <f>SUM(Portfolios!$B$2:$B$950)</f>
        <v>0</v>
      </c>
    </row>
    <row r="951" spans="1:2">
      <c r="A951" s="11">
        <f>Returns!A951</f>
        <v>0</v>
      </c>
      <c r="B951" s="1">
        <f>SUM(Portfolios!$B$2:$B$951)</f>
        <v>0</v>
      </c>
    </row>
    <row r="952" spans="1:2">
      <c r="A952" s="11">
        <f>Returns!A952</f>
        <v>0</v>
      </c>
      <c r="B952" s="1">
        <f>SUM(Portfolios!$B$2:$B$952)</f>
        <v>0</v>
      </c>
    </row>
    <row r="953" spans="1:2">
      <c r="A953" s="11">
        <f>Returns!A953</f>
        <v>0</v>
      </c>
      <c r="B953" s="1">
        <f>SUM(Portfolios!$B$2:$B$953)</f>
        <v>0</v>
      </c>
    </row>
    <row r="954" spans="1:2">
      <c r="A954" s="11">
        <f>Returns!A954</f>
        <v>0</v>
      </c>
      <c r="B954" s="1">
        <f>SUM(Portfolios!$B$2:$B$954)</f>
        <v>0</v>
      </c>
    </row>
    <row r="955" spans="1:2">
      <c r="A955" s="11">
        <f>Returns!A955</f>
        <v>0</v>
      </c>
      <c r="B955" s="1">
        <f>SUM(Portfolios!$B$2:$B$955)</f>
        <v>0</v>
      </c>
    </row>
    <row r="956" spans="1:2">
      <c r="A956" s="11">
        <f>Returns!A956</f>
        <v>0</v>
      </c>
      <c r="B956" s="1">
        <f>SUM(Portfolios!$B$2:$B$956)</f>
        <v>0</v>
      </c>
    </row>
    <row r="957" spans="1:2">
      <c r="A957" s="11">
        <f>Returns!A957</f>
        <v>0</v>
      </c>
      <c r="B957" s="1">
        <f>SUM(Portfolios!$B$2:$B$957)</f>
        <v>0</v>
      </c>
    </row>
    <row r="958" spans="1:2">
      <c r="A958" s="11">
        <f>Returns!A958</f>
        <v>0</v>
      </c>
      <c r="B958" s="1">
        <f>SUM(Portfolios!$B$2:$B$958)</f>
        <v>0</v>
      </c>
    </row>
    <row r="959" spans="1:2">
      <c r="A959" s="11">
        <f>Returns!A959</f>
        <v>0</v>
      </c>
      <c r="B959" s="1">
        <f>SUM(Portfolios!$B$2:$B$959)</f>
        <v>0</v>
      </c>
    </row>
    <row r="960" spans="1:2">
      <c r="A960" s="11">
        <f>Returns!A960</f>
        <v>0</v>
      </c>
      <c r="B960" s="1">
        <f>SUM(Portfolios!$B$2:$B$960)</f>
        <v>0</v>
      </c>
    </row>
    <row r="961" spans="1:2">
      <c r="A961" s="11">
        <f>Returns!A961</f>
        <v>0</v>
      </c>
      <c r="B961" s="1">
        <f>SUM(Portfolios!$B$2:$B$961)</f>
        <v>0</v>
      </c>
    </row>
    <row r="962" spans="1:2">
      <c r="A962" s="11">
        <f>Returns!A962</f>
        <v>0</v>
      </c>
      <c r="B962" s="1">
        <f>SUM(Portfolios!$B$2:$B$962)</f>
        <v>0</v>
      </c>
    </row>
    <row r="963" spans="1:2">
      <c r="A963" s="11">
        <f>Returns!A963</f>
        <v>0</v>
      </c>
      <c r="B963" s="1">
        <f>SUM(Portfolios!$B$2:$B$963)</f>
        <v>0</v>
      </c>
    </row>
    <row r="964" spans="1:2">
      <c r="A964" s="11">
        <f>Returns!A964</f>
        <v>0</v>
      </c>
      <c r="B964" s="1">
        <f>SUM(Portfolios!$B$2:$B$964)</f>
        <v>0</v>
      </c>
    </row>
    <row r="965" spans="1:2">
      <c r="A965" s="11">
        <f>Returns!A965</f>
        <v>0</v>
      </c>
      <c r="B965" s="1">
        <f>SUM(Portfolios!$B$2:$B$965)</f>
        <v>0</v>
      </c>
    </row>
    <row r="966" spans="1:2">
      <c r="A966" s="11">
        <f>Returns!A966</f>
        <v>0</v>
      </c>
      <c r="B966" s="1">
        <f>SUM(Portfolios!$B$2:$B$966)</f>
        <v>0</v>
      </c>
    </row>
    <row r="967" spans="1:2">
      <c r="A967" s="11">
        <f>Returns!A967</f>
        <v>0</v>
      </c>
      <c r="B967" s="1">
        <f>SUM(Portfolios!$B$2:$B$967)</f>
        <v>0</v>
      </c>
    </row>
    <row r="968" spans="1:2">
      <c r="A968" s="11">
        <f>Returns!A968</f>
        <v>0</v>
      </c>
      <c r="B968" s="1">
        <f>SUM(Portfolios!$B$2:$B$968)</f>
        <v>0</v>
      </c>
    </row>
    <row r="969" spans="1:2">
      <c r="A969" s="11">
        <f>Returns!A969</f>
        <v>0</v>
      </c>
      <c r="B969" s="1">
        <f>SUM(Portfolios!$B$2:$B$969)</f>
        <v>0</v>
      </c>
    </row>
    <row r="970" spans="1:2">
      <c r="A970" s="11">
        <f>Returns!A970</f>
        <v>0</v>
      </c>
      <c r="B970" s="1">
        <f>SUM(Portfolios!$B$2:$B$970)</f>
        <v>0</v>
      </c>
    </row>
    <row r="971" spans="1:2">
      <c r="A971" s="11">
        <f>Returns!A971</f>
        <v>0</v>
      </c>
      <c r="B971" s="1">
        <f>SUM(Portfolios!$B$2:$B$971)</f>
        <v>0</v>
      </c>
    </row>
    <row r="972" spans="1:2">
      <c r="A972" s="11">
        <f>Returns!A972</f>
        <v>0</v>
      </c>
      <c r="B972" s="1">
        <f>SUM(Portfolios!$B$2:$B$972)</f>
        <v>0</v>
      </c>
    </row>
    <row r="973" spans="1:2">
      <c r="A973" s="11">
        <f>Returns!A973</f>
        <v>0</v>
      </c>
      <c r="B973" s="1">
        <f>SUM(Portfolios!$B$2:$B$973)</f>
        <v>0</v>
      </c>
    </row>
    <row r="974" spans="1:2">
      <c r="A974" s="11">
        <f>Returns!A974</f>
        <v>0</v>
      </c>
      <c r="B974" s="1">
        <f>SUM(Portfolios!$B$2:$B$974)</f>
        <v>0</v>
      </c>
    </row>
    <row r="975" spans="1:2">
      <c r="A975" s="11">
        <f>Returns!A975</f>
        <v>0</v>
      </c>
      <c r="B975" s="1">
        <f>SUM(Portfolios!$B$2:$B$975)</f>
        <v>0</v>
      </c>
    </row>
    <row r="976" spans="1:2">
      <c r="A976" s="11">
        <f>Returns!A976</f>
        <v>0</v>
      </c>
      <c r="B976" s="1">
        <f>SUM(Portfolios!$B$2:$B$976)</f>
        <v>0</v>
      </c>
    </row>
    <row r="977" spans="1:2">
      <c r="A977" s="11">
        <f>Returns!A977</f>
        <v>0</v>
      </c>
      <c r="B977" s="1">
        <f>SUM(Portfolios!$B$2:$B$977)</f>
        <v>0</v>
      </c>
    </row>
    <row r="978" spans="1:2">
      <c r="A978" s="11">
        <f>Returns!A978</f>
        <v>0</v>
      </c>
      <c r="B978" s="1">
        <f>SUM(Portfolios!$B$2:$B$978)</f>
        <v>0</v>
      </c>
    </row>
    <row r="979" spans="1:2">
      <c r="A979" s="11">
        <f>Returns!A979</f>
        <v>0</v>
      </c>
      <c r="B979" s="1">
        <f>SUM(Portfolios!$B$2:$B$979)</f>
        <v>0</v>
      </c>
    </row>
    <row r="980" spans="1:2">
      <c r="A980" s="11">
        <f>Returns!A980</f>
        <v>0</v>
      </c>
      <c r="B980" s="1">
        <f>SUM(Portfolios!$B$2:$B$980)</f>
        <v>0</v>
      </c>
    </row>
    <row r="981" spans="1:2">
      <c r="A981" s="11">
        <f>Returns!A981</f>
        <v>0</v>
      </c>
      <c r="B981" s="1">
        <f>SUM(Portfolios!$B$2:$B$981)</f>
        <v>0</v>
      </c>
    </row>
    <row r="982" spans="1:2">
      <c r="A982" s="11">
        <f>Returns!A982</f>
        <v>0</v>
      </c>
      <c r="B982" s="1">
        <f>SUM(Portfolios!$B$2:$B$982)</f>
        <v>0</v>
      </c>
    </row>
    <row r="983" spans="1:2">
      <c r="A983" s="11">
        <f>Returns!A983</f>
        <v>0</v>
      </c>
      <c r="B983" s="1">
        <f>SUM(Portfolios!$B$2:$B$983)</f>
        <v>0</v>
      </c>
    </row>
    <row r="984" spans="1:2">
      <c r="A984" s="11">
        <f>Returns!A984</f>
        <v>0</v>
      </c>
      <c r="B984" s="1">
        <f>SUM(Portfolios!$B$2:$B$984)</f>
        <v>0</v>
      </c>
    </row>
    <row r="985" spans="1:2">
      <c r="A985" s="11">
        <f>Returns!A985</f>
        <v>0</v>
      </c>
      <c r="B985" s="1">
        <f>SUM(Portfolios!$B$2:$B$985)</f>
        <v>0</v>
      </c>
    </row>
    <row r="986" spans="1:2">
      <c r="A986" s="11">
        <f>Returns!A986</f>
        <v>0</v>
      </c>
      <c r="B986" s="1">
        <f>SUM(Portfolios!$B$2:$B$986)</f>
        <v>0</v>
      </c>
    </row>
    <row r="987" spans="1:2">
      <c r="A987" s="11">
        <f>Returns!A987</f>
        <v>0</v>
      </c>
      <c r="B987" s="1">
        <f>SUM(Portfolios!$B$2:$B$987)</f>
        <v>0</v>
      </c>
    </row>
    <row r="988" spans="1:2">
      <c r="A988" s="11">
        <f>Returns!A988</f>
        <v>0</v>
      </c>
      <c r="B988" s="1">
        <f>SUM(Portfolios!$B$2:$B$988)</f>
        <v>0</v>
      </c>
    </row>
    <row r="989" spans="1:2">
      <c r="A989" s="11">
        <f>Returns!A989</f>
        <v>0</v>
      </c>
      <c r="B989" s="1">
        <f>SUM(Portfolios!$B$2:$B$989)</f>
        <v>0</v>
      </c>
    </row>
    <row r="990" spans="1:2">
      <c r="A990" s="11">
        <f>Returns!A990</f>
        <v>0</v>
      </c>
      <c r="B990" s="1">
        <f>SUM(Portfolios!$B$2:$B$990)</f>
        <v>0</v>
      </c>
    </row>
    <row r="991" spans="1:2">
      <c r="A991" s="11">
        <f>Returns!A991</f>
        <v>0</v>
      </c>
      <c r="B991" s="1">
        <f>SUM(Portfolios!$B$2:$B$991)</f>
        <v>0</v>
      </c>
    </row>
    <row r="992" spans="1:2">
      <c r="A992" s="11">
        <f>Returns!A992</f>
        <v>0</v>
      </c>
      <c r="B992" s="1">
        <f>SUM(Portfolios!$B$2:$B$992)</f>
        <v>0</v>
      </c>
    </row>
    <row r="993" spans="1:2">
      <c r="A993" s="11">
        <f>Returns!A993</f>
        <v>0</v>
      </c>
      <c r="B993" s="1">
        <f>SUM(Portfolios!$B$2:$B$993)</f>
        <v>0</v>
      </c>
    </row>
    <row r="994" spans="1:2">
      <c r="A994" s="11">
        <f>Returns!A994</f>
        <v>0</v>
      </c>
      <c r="B994" s="1">
        <f>SUM(Portfolios!$B$2:$B$994)</f>
        <v>0</v>
      </c>
    </row>
    <row r="995" spans="1:2">
      <c r="A995" s="11">
        <f>Returns!A995</f>
        <v>0</v>
      </c>
      <c r="B995" s="1">
        <f>SUM(Portfolios!$B$2:$B$995)</f>
        <v>0</v>
      </c>
    </row>
    <row r="996" spans="1:2">
      <c r="A996" s="11">
        <f>Returns!A996</f>
        <v>0</v>
      </c>
      <c r="B996" s="1">
        <f>SUM(Portfolios!$B$2:$B$996)</f>
        <v>0</v>
      </c>
    </row>
    <row r="997" spans="1:2">
      <c r="A997" s="11">
        <f>Returns!A997</f>
        <v>0</v>
      </c>
      <c r="B997" s="1">
        <f>SUM(Portfolios!$B$2:$B$997)</f>
        <v>0</v>
      </c>
    </row>
    <row r="998" spans="1:2">
      <c r="A998" s="11">
        <f>Returns!A998</f>
        <v>0</v>
      </c>
      <c r="B998" s="1">
        <f>SUM(Portfolios!$B$2:$B$998)</f>
        <v>0</v>
      </c>
    </row>
    <row r="999" spans="1:2">
      <c r="A999" s="11">
        <f>Returns!A999</f>
        <v>0</v>
      </c>
      <c r="B999" s="1">
        <f>SUM(Portfolios!$B$2:$B$999)</f>
        <v>0</v>
      </c>
    </row>
    <row r="1000" spans="1:2">
      <c r="A1000" s="11">
        <f>Returns!A1000</f>
        <v>0</v>
      </c>
      <c r="B1000" s="1">
        <f>SUM(Portfolios!$B$2:$B$1000)</f>
        <v>0</v>
      </c>
    </row>
    <row r="1001" spans="1:2">
      <c r="A1001" s="11">
        <f>Returns!A1001</f>
        <v>0</v>
      </c>
      <c r="B1001" s="1">
        <f>SUM(Portfolios!$B$2:$B$1001)</f>
        <v>0</v>
      </c>
    </row>
    <row r="1002" spans="1:2">
      <c r="A1002" s="11">
        <f>Returns!A1002</f>
        <v>0</v>
      </c>
      <c r="B1002" s="1">
        <f>SUM(Portfolios!$B$2:$B$1002)</f>
        <v>0</v>
      </c>
    </row>
    <row r="1003" spans="1:2">
      <c r="A1003" s="11">
        <f>Returns!A1003</f>
        <v>0</v>
      </c>
      <c r="B1003" s="1">
        <f>SUM(Portfolios!$B$2:$B$1003)</f>
        <v>0</v>
      </c>
    </row>
    <row r="1004" spans="1:2">
      <c r="A1004" s="11">
        <f>Returns!A1004</f>
        <v>0</v>
      </c>
      <c r="B1004" s="1">
        <f>SUM(Portfolios!$B$2:$B$1004)</f>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1004"/>
  <sheetViews>
    <sheetView showGridLines="0" workbookViewId="0"/>
  </sheetViews>
  <sheetFormatPr defaultRowHeight="15"/>
  <cols>
    <col min="1" max="1" width="10.7109375" style="10" customWidth="1"/>
  </cols>
  <sheetData>
    <row r="1" spans="1:2">
      <c r="A1" s="5" t="s">
        <v>26</v>
      </c>
      <c r="B1" s="5" t="s">
        <v>52</v>
      </c>
    </row>
    <row r="2" spans="1:2">
      <c r="A2" s="11">
        <f>Returns!A2</f>
        <v>0</v>
      </c>
      <c r="B2" s="1">
        <f>MAX(CumRet!$B$2)-CumRet!B2</f>
        <v>0</v>
      </c>
    </row>
    <row r="3" spans="1:2">
      <c r="A3" s="11">
        <f>Returns!A3</f>
        <v>0</v>
      </c>
      <c r="B3" s="1">
        <f>MAX(CumRet!$B$2:$B$3)-CumRet!B3</f>
        <v>0</v>
      </c>
    </row>
    <row r="4" spans="1:2">
      <c r="A4" s="11">
        <f>Returns!A4</f>
        <v>0</v>
      </c>
      <c r="B4" s="1">
        <f>MAX(CumRet!$B$2:$B$4)-CumRet!B4</f>
        <v>0</v>
      </c>
    </row>
    <row r="5" spans="1:2">
      <c r="A5" s="11">
        <f>Returns!A5</f>
        <v>0</v>
      </c>
      <c r="B5" s="1">
        <f>MAX(CumRet!$B$2:$B$5)-CumRet!B5</f>
        <v>0</v>
      </c>
    </row>
    <row r="6" spans="1:2">
      <c r="A6" s="11">
        <f>Returns!A6</f>
        <v>0</v>
      </c>
      <c r="B6" s="1">
        <f>MAX(CumRet!$B$2:$B$6)-CumRet!B6</f>
        <v>0</v>
      </c>
    </row>
    <row r="7" spans="1:2">
      <c r="A7" s="11">
        <f>Returns!A7</f>
        <v>0</v>
      </c>
      <c r="B7" s="1">
        <f>MAX(CumRet!$B$2:$B$7)-CumRet!B7</f>
        <v>0</v>
      </c>
    </row>
    <row r="8" spans="1:2">
      <c r="A8" s="11">
        <f>Returns!A8</f>
        <v>0</v>
      </c>
      <c r="B8" s="1">
        <f>MAX(CumRet!$B$2:$B$8)-CumRet!B8</f>
        <v>0</v>
      </c>
    </row>
    <row r="9" spans="1:2">
      <c r="A9" s="11">
        <f>Returns!A9</f>
        <v>0</v>
      </c>
      <c r="B9" s="1">
        <f>MAX(CumRet!$B$2:$B$9)-CumRet!B9</f>
        <v>0</v>
      </c>
    </row>
    <row r="10" spans="1:2">
      <c r="A10" s="11">
        <f>Returns!A10</f>
        <v>0</v>
      </c>
      <c r="B10" s="1">
        <f>MAX(CumRet!$B$2:$B$10)-CumRet!B10</f>
        <v>0</v>
      </c>
    </row>
    <row r="11" spans="1:2">
      <c r="A11" s="11">
        <f>Returns!A11</f>
        <v>0</v>
      </c>
      <c r="B11" s="1">
        <f>MAX(CumRet!$B$2:$B$11)-CumRet!B11</f>
        <v>0</v>
      </c>
    </row>
    <row r="12" spans="1:2">
      <c r="A12" s="11">
        <f>Returns!A12</f>
        <v>0</v>
      </c>
      <c r="B12" s="1">
        <f>MAX(CumRet!$B$2:$B$12)-CumRet!B12</f>
        <v>0</v>
      </c>
    </row>
    <row r="13" spans="1:2">
      <c r="A13" s="11">
        <f>Returns!A13</f>
        <v>0</v>
      </c>
      <c r="B13" s="1">
        <f>MAX(CumRet!$B$2:$B$13)-CumRet!B13</f>
        <v>0</v>
      </c>
    </row>
    <row r="14" spans="1:2">
      <c r="A14" s="11">
        <f>Returns!A14</f>
        <v>0</v>
      </c>
      <c r="B14" s="1">
        <f>MAX(CumRet!$B$2:$B$14)-CumRet!B14</f>
        <v>0</v>
      </c>
    </row>
    <row r="15" spans="1:2">
      <c r="A15" s="11">
        <f>Returns!A15</f>
        <v>0</v>
      </c>
      <c r="B15" s="1">
        <f>MAX(CumRet!$B$2:$B$15)-CumRet!B15</f>
        <v>0</v>
      </c>
    </row>
    <row r="16" spans="1:2">
      <c r="A16" s="11">
        <f>Returns!A16</f>
        <v>0</v>
      </c>
      <c r="B16" s="1">
        <f>MAX(CumRet!$B$2:$B$16)-CumRet!B16</f>
        <v>0</v>
      </c>
    </row>
    <row r="17" spans="1:2">
      <c r="A17" s="11">
        <f>Returns!A17</f>
        <v>0</v>
      </c>
      <c r="B17" s="1">
        <f>MAX(CumRet!$B$2:$B$17)-CumRet!B17</f>
        <v>0</v>
      </c>
    </row>
    <row r="18" spans="1:2">
      <c r="A18" s="11">
        <f>Returns!A18</f>
        <v>0</v>
      </c>
      <c r="B18" s="1">
        <f>MAX(CumRet!$B$2:$B$18)-CumRet!B18</f>
        <v>0</v>
      </c>
    </row>
    <row r="19" spans="1:2">
      <c r="A19" s="11">
        <f>Returns!A19</f>
        <v>0</v>
      </c>
      <c r="B19" s="1">
        <f>MAX(CumRet!$B$2:$B$19)-CumRet!B19</f>
        <v>0</v>
      </c>
    </row>
    <row r="20" spans="1:2">
      <c r="A20" s="11">
        <f>Returns!A20</f>
        <v>0</v>
      </c>
      <c r="B20" s="1">
        <f>MAX(CumRet!$B$2:$B$20)-CumRet!B20</f>
        <v>0</v>
      </c>
    </row>
    <row r="21" spans="1:2">
      <c r="A21" s="11">
        <f>Returns!A21</f>
        <v>0</v>
      </c>
      <c r="B21" s="1">
        <f>MAX(CumRet!$B$2:$B$21)-CumRet!B21</f>
        <v>0</v>
      </c>
    </row>
    <row r="22" spans="1:2">
      <c r="A22" s="11">
        <f>Returns!A22</f>
        <v>0</v>
      </c>
      <c r="B22" s="1">
        <f>MAX(CumRet!$B$2:$B$22)-CumRet!B22</f>
        <v>0</v>
      </c>
    </row>
    <row r="23" spans="1:2">
      <c r="A23" s="11">
        <f>Returns!A23</f>
        <v>0</v>
      </c>
      <c r="B23" s="1">
        <f>MAX(CumRet!$B$2:$B$23)-CumRet!B23</f>
        <v>0</v>
      </c>
    </row>
    <row r="24" spans="1:2">
      <c r="A24" s="11">
        <f>Returns!A24</f>
        <v>0</v>
      </c>
      <c r="B24" s="1">
        <f>MAX(CumRet!$B$2:$B$24)-CumRet!B24</f>
        <v>0</v>
      </c>
    </row>
    <row r="25" spans="1:2">
      <c r="A25" s="11">
        <f>Returns!A25</f>
        <v>0</v>
      </c>
      <c r="B25" s="1">
        <f>MAX(CumRet!$B$2:$B$25)-CumRet!B25</f>
        <v>0</v>
      </c>
    </row>
    <row r="26" spans="1:2">
      <c r="A26" s="11">
        <f>Returns!A26</f>
        <v>0</v>
      </c>
      <c r="B26" s="1">
        <f>MAX(CumRet!$B$2:$B$26)-CumRet!B26</f>
        <v>0</v>
      </c>
    </row>
    <row r="27" spans="1:2">
      <c r="A27" s="11">
        <f>Returns!A27</f>
        <v>0</v>
      </c>
      <c r="B27" s="1">
        <f>MAX(CumRet!$B$2:$B$27)-CumRet!B27</f>
        <v>0</v>
      </c>
    </row>
    <row r="28" spans="1:2">
      <c r="A28" s="11">
        <f>Returns!A28</f>
        <v>0</v>
      </c>
      <c r="B28" s="1">
        <f>MAX(CumRet!$B$2:$B$28)-CumRet!B28</f>
        <v>0</v>
      </c>
    </row>
    <row r="29" spans="1:2">
      <c r="A29" s="11">
        <f>Returns!A29</f>
        <v>0</v>
      </c>
      <c r="B29" s="1">
        <f>MAX(CumRet!$B$2:$B$29)-CumRet!B29</f>
        <v>0</v>
      </c>
    </row>
    <row r="30" spans="1:2">
      <c r="A30" s="11">
        <f>Returns!A30</f>
        <v>0</v>
      </c>
      <c r="B30" s="1">
        <f>MAX(CumRet!$B$2:$B$30)-CumRet!B30</f>
        <v>0</v>
      </c>
    </row>
    <row r="31" spans="1:2">
      <c r="A31" s="11">
        <f>Returns!A31</f>
        <v>0</v>
      </c>
      <c r="B31" s="1">
        <f>MAX(CumRet!$B$2:$B$31)-CumRet!B31</f>
        <v>0</v>
      </c>
    </row>
    <row r="32" spans="1:2">
      <c r="A32" s="11">
        <f>Returns!A32</f>
        <v>0</v>
      </c>
      <c r="B32" s="1">
        <f>MAX(CumRet!$B$2:$B$32)-CumRet!B32</f>
        <v>0</v>
      </c>
    </row>
    <row r="33" spans="1:2">
      <c r="A33" s="11">
        <f>Returns!A33</f>
        <v>0</v>
      </c>
      <c r="B33" s="1">
        <f>MAX(CumRet!$B$2:$B$33)-CumRet!B33</f>
        <v>0</v>
      </c>
    </row>
    <row r="34" spans="1:2">
      <c r="A34" s="11">
        <f>Returns!A34</f>
        <v>0</v>
      </c>
      <c r="B34" s="1">
        <f>MAX(CumRet!$B$2:$B$34)-CumRet!B34</f>
        <v>0</v>
      </c>
    </row>
    <row r="35" spans="1:2">
      <c r="A35" s="11">
        <f>Returns!A35</f>
        <v>0</v>
      </c>
      <c r="B35" s="1">
        <f>MAX(CumRet!$B$2:$B$35)-CumRet!B35</f>
        <v>0</v>
      </c>
    </row>
    <row r="36" spans="1:2">
      <c r="A36" s="11">
        <f>Returns!A36</f>
        <v>0</v>
      </c>
      <c r="B36" s="1">
        <f>MAX(CumRet!$B$2:$B$36)-CumRet!B36</f>
        <v>0</v>
      </c>
    </row>
    <row r="37" spans="1:2">
      <c r="A37" s="11">
        <f>Returns!A37</f>
        <v>0</v>
      </c>
      <c r="B37" s="1">
        <f>MAX(CumRet!$B$2:$B$37)-CumRet!B37</f>
        <v>0</v>
      </c>
    </row>
    <row r="38" spans="1:2">
      <c r="A38" s="11">
        <f>Returns!A38</f>
        <v>0</v>
      </c>
      <c r="B38" s="1">
        <f>MAX(CumRet!$B$2:$B$38)-CumRet!B38</f>
        <v>0</v>
      </c>
    </row>
    <row r="39" spans="1:2">
      <c r="A39" s="11">
        <f>Returns!A39</f>
        <v>0</v>
      </c>
      <c r="B39" s="1">
        <f>MAX(CumRet!$B$2:$B$39)-CumRet!B39</f>
        <v>0</v>
      </c>
    </row>
    <row r="40" spans="1:2">
      <c r="A40" s="11">
        <f>Returns!A40</f>
        <v>0</v>
      </c>
      <c r="B40" s="1">
        <f>MAX(CumRet!$B$2:$B$40)-CumRet!B40</f>
        <v>0</v>
      </c>
    </row>
    <row r="41" spans="1:2">
      <c r="A41" s="11">
        <f>Returns!A41</f>
        <v>0</v>
      </c>
      <c r="B41" s="1">
        <f>MAX(CumRet!$B$2:$B$41)-CumRet!B41</f>
        <v>0</v>
      </c>
    </row>
    <row r="42" spans="1:2">
      <c r="A42" s="11">
        <f>Returns!A42</f>
        <v>0</v>
      </c>
      <c r="B42" s="1">
        <f>MAX(CumRet!$B$2:$B$42)-CumRet!B42</f>
        <v>0</v>
      </c>
    </row>
    <row r="43" spans="1:2">
      <c r="A43" s="11">
        <f>Returns!A43</f>
        <v>0</v>
      </c>
      <c r="B43" s="1">
        <f>MAX(CumRet!$B$2:$B$43)-CumRet!B43</f>
        <v>0</v>
      </c>
    </row>
    <row r="44" spans="1:2">
      <c r="A44" s="11">
        <f>Returns!A44</f>
        <v>0</v>
      </c>
      <c r="B44" s="1">
        <f>MAX(CumRet!$B$2:$B$44)-CumRet!B44</f>
        <v>0</v>
      </c>
    </row>
    <row r="45" spans="1:2">
      <c r="A45" s="11">
        <f>Returns!A45</f>
        <v>0</v>
      </c>
      <c r="B45" s="1">
        <f>MAX(CumRet!$B$2:$B$45)-CumRet!B45</f>
        <v>0</v>
      </c>
    </row>
    <row r="46" spans="1:2">
      <c r="A46" s="11">
        <f>Returns!A46</f>
        <v>0</v>
      </c>
      <c r="B46" s="1">
        <f>MAX(CumRet!$B$2:$B$46)-CumRet!B46</f>
        <v>0</v>
      </c>
    </row>
    <row r="47" spans="1:2">
      <c r="A47" s="11">
        <f>Returns!A47</f>
        <v>0</v>
      </c>
      <c r="B47" s="1">
        <f>MAX(CumRet!$B$2:$B$47)-CumRet!B47</f>
        <v>0</v>
      </c>
    </row>
    <row r="48" spans="1:2">
      <c r="A48" s="11">
        <f>Returns!A48</f>
        <v>0</v>
      </c>
      <c r="B48" s="1">
        <f>MAX(CumRet!$B$2:$B$48)-CumRet!B48</f>
        <v>0</v>
      </c>
    </row>
    <row r="49" spans="1:2">
      <c r="A49" s="11">
        <f>Returns!A49</f>
        <v>0</v>
      </c>
      <c r="B49" s="1">
        <f>MAX(CumRet!$B$2:$B$49)-CumRet!B49</f>
        <v>0</v>
      </c>
    </row>
    <row r="50" spans="1:2">
      <c r="A50" s="11">
        <f>Returns!A50</f>
        <v>0</v>
      </c>
      <c r="B50" s="1">
        <f>MAX(CumRet!$B$2:$B$50)-CumRet!B50</f>
        <v>0</v>
      </c>
    </row>
    <row r="51" spans="1:2">
      <c r="A51" s="11">
        <f>Returns!A51</f>
        <v>0</v>
      </c>
      <c r="B51" s="1">
        <f>MAX(CumRet!$B$2:$B$51)-CumRet!B51</f>
        <v>0</v>
      </c>
    </row>
    <row r="52" spans="1:2">
      <c r="A52" s="11">
        <f>Returns!A52</f>
        <v>0</v>
      </c>
      <c r="B52" s="1">
        <f>MAX(CumRet!$B$2:$B$52)-CumRet!B52</f>
        <v>0</v>
      </c>
    </row>
    <row r="53" spans="1:2">
      <c r="A53" s="11">
        <f>Returns!A53</f>
        <v>0</v>
      </c>
      <c r="B53" s="1">
        <f>MAX(CumRet!$B$2:$B$53)-CumRet!B53</f>
        <v>0</v>
      </c>
    </row>
    <row r="54" spans="1:2">
      <c r="A54" s="11">
        <f>Returns!A54</f>
        <v>0</v>
      </c>
      <c r="B54" s="1">
        <f>MAX(CumRet!$B$2:$B$54)-CumRet!B54</f>
        <v>0</v>
      </c>
    </row>
    <row r="55" spans="1:2">
      <c r="A55" s="11">
        <f>Returns!A55</f>
        <v>0</v>
      </c>
      <c r="B55" s="1">
        <f>MAX(CumRet!$B$2:$B$55)-CumRet!B55</f>
        <v>0</v>
      </c>
    </row>
    <row r="56" spans="1:2">
      <c r="A56" s="11">
        <f>Returns!A56</f>
        <v>0</v>
      </c>
      <c r="B56" s="1">
        <f>MAX(CumRet!$B$2:$B$56)-CumRet!B56</f>
        <v>0</v>
      </c>
    </row>
    <row r="57" spans="1:2">
      <c r="A57" s="11">
        <f>Returns!A57</f>
        <v>0</v>
      </c>
      <c r="B57" s="1">
        <f>MAX(CumRet!$B$2:$B$57)-CumRet!B57</f>
        <v>0</v>
      </c>
    </row>
    <row r="58" spans="1:2">
      <c r="A58" s="11">
        <f>Returns!A58</f>
        <v>0</v>
      </c>
      <c r="B58" s="1">
        <f>MAX(CumRet!$B$2:$B$58)-CumRet!B58</f>
        <v>0</v>
      </c>
    </row>
    <row r="59" spans="1:2">
      <c r="A59" s="11">
        <f>Returns!A59</f>
        <v>0</v>
      </c>
      <c r="B59" s="1">
        <f>MAX(CumRet!$B$2:$B$59)-CumRet!B59</f>
        <v>0</v>
      </c>
    </row>
    <row r="60" spans="1:2">
      <c r="A60" s="11">
        <f>Returns!A60</f>
        <v>0</v>
      </c>
      <c r="B60" s="1">
        <f>MAX(CumRet!$B$2:$B$60)-CumRet!B60</f>
        <v>0</v>
      </c>
    </row>
    <row r="61" spans="1:2">
      <c r="A61" s="11">
        <f>Returns!A61</f>
        <v>0</v>
      </c>
      <c r="B61" s="1">
        <f>MAX(CumRet!$B$2:$B$61)-CumRet!B61</f>
        <v>0</v>
      </c>
    </row>
    <row r="62" spans="1:2">
      <c r="A62" s="11">
        <f>Returns!A62</f>
        <v>0</v>
      </c>
      <c r="B62" s="1">
        <f>MAX(CumRet!$B$2:$B$62)-CumRet!B62</f>
        <v>0</v>
      </c>
    </row>
    <row r="63" spans="1:2">
      <c r="A63" s="11">
        <f>Returns!A63</f>
        <v>0</v>
      </c>
      <c r="B63" s="1">
        <f>MAX(CumRet!$B$2:$B$63)-CumRet!B63</f>
        <v>0</v>
      </c>
    </row>
    <row r="64" spans="1:2">
      <c r="A64" s="11">
        <f>Returns!A64</f>
        <v>0</v>
      </c>
      <c r="B64" s="1">
        <f>MAX(CumRet!$B$2:$B$64)-CumRet!B64</f>
        <v>0</v>
      </c>
    </row>
    <row r="65" spans="1:2">
      <c r="A65" s="11">
        <f>Returns!A65</f>
        <v>0</v>
      </c>
      <c r="B65" s="1">
        <f>MAX(CumRet!$B$2:$B$65)-CumRet!B65</f>
        <v>0</v>
      </c>
    </row>
    <row r="66" spans="1:2">
      <c r="A66" s="11">
        <f>Returns!A66</f>
        <v>0</v>
      </c>
      <c r="B66" s="1">
        <f>MAX(CumRet!$B$2:$B$66)-CumRet!B66</f>
        <v>0</v>
      </c>
    </row>
    <row r="67" spans="1:2">
      <c r="A67" s="11">
        <f>Returns!A67</f>
        <v>0</v>
      </c>
      <c r="B67" s="1">
        <f>MAX(CumRet!$B$2:$B$67)-CumRet!B67</f>
        <v>0</v>
      </c>
    </row>
    <row r="68" spans="1:2">
      <c r="A68" s="11">
        <f>Returns!A68</f>
        <v>0</v>
      </c>
      <c r="B68" s="1">
        <f>MAX(CumRet!$B$2:$B$68)-CumRet!B68</f>
        <v>0</v>
      </c>
    </row>
    <row r="69" spans="1:2">
      <c r="A69" s="11">
        <f>Returns!A69</f>
        <v>0</v>
      </c>
      <c r="B69" s="1">
        <f>MAX(CumRet!$B$2:$B$69)-CumRet!B69</f>
        <v>0</v>
      </c>
    </row>
    <row r="70" spans="1:2">
      <c r="A70" s="11">
        <f>Returns!A70</f>
        <v>0</v>
      </c>
      <c r="B70" s="1">
        <f>MAX(CumRet!$B$2:$B$70)-CumRet!B70</f>
        <v>0</v>
      </c>
    </row>
    <row r="71" spans="1:2">
      <c r="A71" s="11">
        <f>Returns!A71</f>
        <v>0</v>
      </c>
      <c r="B71" s="1">
        <f>MAX(CumRet!$B$2:$B$71)-CumRet!B71</f>
        <v>0</v>
      </c>
    </row>
    <row r="72" spans="1:2">
      <c r="A72" s="11">
        <f>Returns!A72</f>
        <v>0</v>
      </c>
      <c r="B72" s="1">
        <f>MAX(CumRet!$B$2:$B$72)-CumRet!B72</f>
        <v>0</v>
      </c>
    </row>
    <row r="73" spans="1:2">
      <c r="A73" s="11">
        <f>Returns!A73</f>
        <v>0</v>
      </c>
      <c r="B73" s="1">
        <f>MAX(CumRet!$B$2:$B$73)-CumRet!B73</f>
        <v>0</v>
      </c>
    </row>
    <row r="74" spans="1:2">
      <c r="A74" s="11">
        <f>Returns!A74</f>
        <v>0</v>
      </c>
      <c r="B74" s="1">
        <f>MAX(CumRet!$B$2:$B$74)-CumRet!B74</f>
        <v>0</v>
      </c>
    </row>
    <row r="75" spans="1:2">
      <c r="A75" s="11">
        <f>Returns!A75</f>
        <v>0</v>
      </c>
      <c r="B75" s="1">
        <f>MAX(CumRet!$B$2:$B$75)-CumRet!B75</f>
        <v>0</v>
      </c>
    </row>
    <row r="76" spans="1:2">
      <c r="A76" s="11">
        <f>Returns!A76</f>
        <v>0</v>
      </c>
      <c r="B76" s="1">
        <f>MAX(CumRet!$B$2:$B$76)-CumRet!B76</f>
        <v>0</v>
      </c>
    </row>
    <row r="77" spans="1:2">
      <c r="A77" s="11">
        <f>Returns!A77</f>
        <v>0</v>
      </c>
      <c r="B77" s="1">
        <f>MAX(CumRet!$B$2:$B$77)-CumRet!B77</f>
        <v>0</v>
      </c>
    </row>
    <row r="78" spans="1:2">
      <c r="A78" s="11">
        <f>Returns!A78</f>
        <v>0</v>
      </c>
      <c r="B78" s="1">
        <f>MAX(CumRet!$B$2:$B$78)-CumRet!B78</f>
        <v>0</v>
      </c>
    </row>
    <row r="79" spans="1:2">
      <c r="A79" s="11">
        <f>Returns!A79</f>
        <v>0</v>
      </c>
      <c r="B79" s="1">
        <f>MAX(CumRet!$B$2:$B$79)-CumRet!B79</f>
        <v>0</v>
      </c>
    </row>
    <row r="80" spans="1:2">
      <c r="A80" s="11">
        <f>Returns!A80</f>
        <v>0</v>
      </c>
      <c r="B80" s="1">
        <f>MAX(CumRet!$B$2:$B$80)-CumRet!B80</f>
        <v>0</v>
      </c>
    </row>
    <row r="81" spans="1:2">
      <c r="A81" s="11">
        <f>Returns!A81</f>
        <v>0</v>
      </c>
      <c r="B81" s="1">
        <f>MAX(CumRet!$B$2:$B$81)-CumRet!B81</f>
        <v>0</v>
      </c>
    </row>
    <row r="82" spans="1:2">
      <c r="A82" s="11">
        <f>Returns!A82</f>
        <v>0</v>
      </c>
      <c r="B82" s="1">
        <f>MAX(CumRet!$B$2:$B$82)-CumRet!B82</f>
        <v>0</v>
      </c>
    </row>
    <row r="83" spans="1:2">
      <c r="A83" s="11">
        <f>Returns!A83</f>
        <v>0</v>
      </c>
      <c r="B83" s="1">
        <f>MAX(CumRet!$B$2:$B$83)-CumRet!B83</f>
        <v>0</v>
      </c>
    </row>
    <row r="84" spans="1:2">
      <c r="A84" s="11">
        <f>Returns!A84</f>
        <v>0</v>
      </c>
      <c r="B84" s="1">
        <f>MAX(CumRet!$B$2:$B$84)-CumRet!B84</f>
        <v>0</v>
      </c>
    </row>
    <row r="85" spans="1:2">
      <c r="A85" s="11">
        <f>Returns!A85</f>
        <v>0</v>
      </c>
      <c r="B85" s="1">
        <f>MAX(CumRet!$B$2:$B$85)-CumRet!B85</f>
        <v>0</v>
      </c>
    </row>
    <row r="86" spans="1:2">
      <c r="A86" s="11">
        <f>Returns!A86</f>
        <v>0</v>
      </c>
      <c r="B86" s="1">
        <f>MAX(CumRet!$B$2:$B$86)-CumRet!B86</f>
        <v>0</v>
      </c>
    </row>
    <row r="87" spans="1:2">
      <c r="A87" s="11">
        <f>Returns!A87</f>
        <v>0</v>
      </c>
      <c r="B87" s="1">
        <f>MAX(CumRet!$B$2:$B$87)-CumRet!B87</f>
        <v>0</v>
      </c>
    </row>
    <row r="88" spans="1:2">
      <c r="A88" s="11">
        <f>Returns!A88</f>
        <v>0</v>
      </c>
      <c r="B88" s="1">
        <f>MAX(CumRet!$B$2:$B$88)-CumRet!B88</f>
        <v>0</v>
      </c>
    </row>
    <row r="89" spans="1:2">
      <c r="A89" s="11">
        <f>Returns!A89</f>
        <v>0</v>
      </c>
      <c r="B89" s="1">
        <f>MAX(CumRet!$B$2:$B$89)-CumRet!B89</f>
        <v>0</v>
      </c>
    </row>
    <row r="90" spans="1:2">
      <c r="A90" s="11">
        <f>Returns!A90</f>
        <v>0</v>
      </c>
      <c r="B90" s="1">
        <f>MAX(CumRet!$B$2:$B$90)-CumRet!B90</f>
        <v>0</v>
      </c>
    </row>
    <row r="91" spans="1:2">
      <c r="A91" s="11">
        <f>Returns!A91</f>
        <v>0</v>
      </c>
      <c r="B91" s="1">
        <f>MAX(CumRet!$B$2:$B$91)-CumRet!B91</f>
        <v>0</v>
      </c>
    </row>
    <row r="92" spans="1:2">
      <c r="A92" s="11">
        <f>Returns!A92</f>
        <v>0</v>
      </c>
      <c r="B92" s="1">
        <f>MAX(CumRet!$B$2:$B$92)-CumRet!B92</f>
        <v>0</v>
      </c>
    </row>
    <row r="93" spans="1:2">
      <c r="A93" s="11">
        <f>Returns!A93</f>
        <v>0</v>
      </c>
      <c r="B93" s="1">
        <f>MAX(CumRet!$B$2:$B$93)-CumRet!B93</f>
        <v>0</v>
      </c>
    </row>
    <row r="94" spans="1:2">
      <c r="A94" s="11">
        <f>Returns!A94</f>
        <v>0</v>
      </c>
      <c r="B94" s="1">
        <f>MAX(CumRet!$B$2:$B$94)-CumRet!B94</f>
        <v>0</v>
      </c>
    </row>
    <row r="95" spans="1:2">
      <c r="A95" s="11">
        <f>Returns!A95</f>
        <v>0</v>
      </c>
      <c r="B95" s="1">
        <f>MAX(CumRet!$B$2:$B$95)-CumRet!B95</f>
        <v>0</v>
      </c>
    </row>
    <row r="96" spans="1:2">
      <c r="A96" s="11">
        <f>Returns!A96</f>
        <v>0</v>
      </c>
      <c r="B96" s="1">
        <f>MAX(CumRet!$B$2:$B$96)-CumRet!B96</f>
        <v>0</v>
      </c>
    </row>
    <row r="97" spans="1:2">
      <c r="A97" s="11">
        <f>Returns!A97</f>
        <v>0</v>
      </c>
      <c r="B97" s="1">
        <f>MAX(CumRet!$B$2:$B$97)-CumRet!B97</f>
        <v>0</v>
      </c>
    </row>
    <row r="98" spans="1:2">
      <c r="A98" s="11">
        <f>Returns!A98</f>
        <v>0</v>
      </c>
      <c r="B98" s="1">
        <f>MAX(CumRet!$B$2:$B$98)-CumRet!B98</f>
        <v>0</v>
      </c>
    </row>
    <row r="99" spans="1:2">
      <c r="A99" s="11">
        <f>Returns!A99</f>
        <v>0</v>
      </c>
      <c r="B99" s="1">
        <f>MAX(CumRet!$B$2:$B$99)-CumRet!B99</f>
        <v>0</v>
      </c>
    </row>
    <row r="100" spans="1:2">
      <c r="A100" s="11">
        <f>Returns!A100</f>
        <v>0</v>
      </c>
      <c r="B100" s="1">
        <f>MAX(CumRet!$B$2:$B$100)-CumRet!B100</f>
        <v>0</v>
      </c>
    </row>
    <row r="101" spans="1:2">
      <c r="A101" s="11">
        <f>Returns!A101</f>
        <v>0</v>
      </c>
      <c r="B101" s="1">
        <f>MAX(CumRet!$B$2:$B$101)-CumRet!B101</f>
        <v>0</v>
      </c>
    </row>
    <row r="102" spans="1:2">
      <c r="A102" s="11">
        <f>Returns!A102</f>
        <v>0</v>
      </c>
      <c r="B102" s="1">
        <f>MAX(CumRet!$B$2:$B$102)-CumRet!B102</f>
        <v>0</v>
      </c>
    </row>
    <row r="103" spans="1:2">
      <c r="A103" s="11">
        <f>Returns!A103</f>
        <v>0</v>
      </c>
      <c r="B103" s="1">
        <f>MAX(CumRet!$B$2:$B$103)-CumRet!B103</f>
        <v>0</v>
      </c>
    </row>
    <row r="104" spans="1:2">
      <c r="A104" s="11">
        <f>Returns!A104</f>
        <v>0</v>
      </c>
      <c r="B104" s="1">
        <f>MAX(CumRet!$B$2:$B$104)-CumRet!B104</f>
        <v>0</v>
      </c>
    </row>
    <row r="105" spans="1:2">
      <c r="A105" s="11">
        <f>Returns!A105</f>
        <v>0</v>
      </c>
      <c r="B105" s="1">
        <f>MAX(CumRet!$B$2:$B$105)-CumRet!B105</f>
        <v>0</v>
      </c>
    </row>
    <row r="106" spans="1:2">
      <c r="A106" s="11">
        <f>Returns!A106</f>
        <v>0</v>
      </c>
      <c r="B106" s="1">
        <f>MAX(CumRet!$B$2:$B$106)-CumRet!B106</f>
        <v>0</v>
      </c>
    </row>
    <row r="107" spans="1:2">
      <c r="A107" s="11">
        <f>Returns!A107</f>
        <v>0</v>
      </c>
      <c r="B107" s="1">
        <f>MAX(CumRet!$B$2:$B$107)-CumRet!B107</f>
        <v>0</v>
      </c>
    </row>
    <row r="108" spans="1:2">
      <c r="A108" s="11">
        <f>Returns!A108</f>
        <v>0</v>
      </c>
      <c r="B108" s="1">
        <f>MAX(CumRet!$B$2:$B$108)-CumRet!B108</f>
        <v>0</v>
      </c>
    </row>
    <row r="109" spans="1:2">
      <c r="A109" s="11">
        <f>Returns!A109</f>
        <v>0</v>
      </c>
      <c r="B109" s="1">
        <f>MAX(CumRet!$B$2:$B$109)-CumRet!B109</f>
        <v>0</v>
      </c>
    </row>
    <row r="110" spans="1:2">
      <c r="A110" s="11">
        <f>Returns!A110</f>
        <v>0</v>
      </c>
      <c r="B110" s="1">
        <f>MAX(CumRet!$B$2:$B$110)-CumRet!B110</f>
        <v>0</v>
      </c>
    </row>
    <row r="111" spans="1:2">
      <c r="A111" s="11">
        <f>Returns!A111</f>
        <v>0</v>
      </c>
      <c r="B111" s="1">
        <f>MAX(CumRet!$B$2:$B$111)-CumRet!B111</f>
        <v>0</v>
      </c>
    </row>
    <row r="112" spans="1:2">
      <c r="A112" s="11">
        <f>Returns!A112</f>
        <v>0</v>
      </c>
      <c r="B112" s="1">
        <f>MAX(CumRet!$B$2:$B$112)-CumRet!B112</f>
        <v>0</v>
      </c>
    </row>
    <row r="113" spans="1:2">
      <c r="A113" s="11">
        <f>Returns!A113</f>
        <v>0</v>
      </c>
      <c r="B113" s="1">
        <f>MAX(CumRet!$B$2:$B$113)-CumRet!B113</f>
        <v>0</v>
      </c>
    </row>
    <row r="114" spans="1:2">
      <c r="A114" s="11">
        <f>Returns!A114</f>
        <v>0</v>
      </c>
      <c r="B114" s="1">
        <f>MAX(CumRet!$B$2:$B$114)-CumRet!B114</f>
        <v>0</v>
      </c>
    </row>
    <row r="115" spans="1:2">
      <c r="A115" s="11">
        <f>Returns!A115</f>
        <v>0</v>
      </c>
      <c r="B115" s="1">
        <f>MAX(CumRet!$B$2:$B$115)-CumRet!B115</f>
        <v>0</v>
      </c>
    </row>
    <row r="116" spans="1:2">
      <c r="A116" s="11">
        <f>Returns!A116</f>
        <v>0</v>
      </c>
      <c r="B116" s="1">
        <f>MAX(CumRet!$B$2:$B$116)-CumRet!B116</f>
        <v>0</v>
      </c>
    </row>
    <row r="117" spans="1:2">
      <c r="A117" s="11">
        <f>Returns!A117</f>
        <v>0</v>
      </c>
      <c r="B117" s="1">
        <f>MAX(CumRet!$B$2:$B$117)-CumRet!B117</f>
        <v>0</v>
      </c>
    </row>
    <row r="118" spans="1:2">
      <c r="A118" s="11">
        <f>Returns!A118</f>
        <v>0</v>
      </c>
      <c r="B118" s="1">
        <f>MAX(CumRet!$B$2:$B$118)-CumRet!B118</f>
        <v>0</v>
      </c>
    </row>
    <row r="119" spans="1:2">
      <c r="A119" s="11">
        <f>Returns!A119</f>
        <v>0</v>
      </c>
      <c r="B119" s="1">
        <f>MAX(CumRet!$B$2:$B$119)-CumRet!B119</f>
        <v>0</v>
      </c>
    </row>
    <row r="120" spans="1:2">
      <c r="A120" s="11">
        <f>Returns!A120</f>
        <v>0</v>
      </c>
      <c r="B120" s="1">
        <f>MAX(CumRet!$B$2:$B$120)-CumRet!B120</f>
        <v>0</v>
      </c>
    </row>
    <row r="121" spans="1:2">
      <c r="A121" s="11">
        <f>Returns!A121</f>
        <v>0</v>
      </c>
      <c r="B121" s="1">
        <f>MAX(CumRet!$B$2:$B$121)-CumRet!B121</f>
        <v>0</v>
      </c>
    </row>
    <row r="122" spans="1:2">
      <c r="A122" s="11">
        <f>Returns!A122</f>
        <v>0</v>
      </c>
      <c r="B122" s="1">
        <f>MAX(CumRet!$B$2:$B$122)-CumRet!B122</f>
        <v>0</v>
      </c>
    </row>
    <row r="123" spans="1:2">
      <c r="A123" s="11">
        <f>Returns!A123</f>
        <v>0</v>
      </c>
      <c r="B123" s="1">
        <f>MAX(CumRet!$B$2:$B$123)-CumRet!B123</f>
        <v>0</v>
      </c>
    </row>
    <row r="124" spans="1:2">
      <c r="A124" s="11">
        <f>Returns!A124</f>
        <v>0</v>
      </c>
      <c r="B124" s="1">
        <f>MAX(CumRet!$B$2:$B$124)-CumRet!B124</f>
        <v>0</v>
      </c>
    </row>
    <row r="125" spans="1:2">
      <c r="A125" s="11">
        <f>Returns!A125</f>
        <v>0</v>
      </c>
      <c r="B125" s="1">
        <f>MAX(CumRet!$B$2:$B$125)-CumRet!B125</f>
        <v>0</v>
      </c>
    </row>
    <row r="126" spans="1:2">
      <c r="A126" s="11">
        <f>Returns!A126</f>
        <v>0</v>
      </c>
      <c r="B126" s="1">
        <f>MAX(CumRet!$B$2:$B$126)-CumRet!B126</f>
        <v>0</v>
      </c>
    </row>
    <row r="127" spans="1:2">
      <c r="A127" s="11">
        <f>Returns!A127</f>
        <v>0</v>
      </c>
      <c r="B127" s="1">
        <f>MAX(CumRet!$B$2:$B$127)-CumRet!B127</f>
        <v>0</v>
      </c>
    </row>
    <row r="128" spans="1:2">
      <c r="A128" s="11">
        <f>Returns!A128</f>
        <v>0</v>
      </c>
      <c r="B128" s="1">
        <f>MAX(CumRet!$B$2:$B$128)-CumRet!B128</f>
        <v>0</v>
      </c>
    </row>
    <row r="129" spans="1:2">
      <c r="A129" s="11">
        <f>Returns!A129</f>
        <v>0</v>
      </c>
      <c r="B129" s="1">
        <f>MAX(CumRet!$B$2:$B$129)-CumRet!B129</f>
        <v>0</v>
      </c>
    </row>
    <row r="130" spans="1:2">
      <c r="A130" s="11">
        <f>Returns!A130</f>
        <v>0</v>
      </c>
      <c r="B130" s="1">
        <f>MAX(CumRet!$B$2:$B$130)-CumRet!B130</f>
        <v>0</v>
      </c>
    </row>
    <row r="131" spans="1:2">
      <c r="A131" s="11">
        <f>Returns!A131</f>
        <v>0</v>
      </c>
      <c r="B131" s="1">
        <f>MAX(CumRet!$B$2:$B$131)-CumRet!B131</f>
        <v>0</v>
      </c>
    </row>
    <row r="132" spans="1:2">
      <c r="A132" s="11">
        <f>Returns!A132</f>
        <v>0</v>
      </c>
      <c r="B132" s="1">
        <f>MAX(CumRet!$B$2:$B$132)-CumRet!B132</f>
        <v>0</v>
      </c>
    </row>
    <row r="133" spans="1:2">
      <c r="A133" s="11">
        <f>Returns!A133</f>
        <v>0</v>
      </c>
      <c r="B133" s="1">
        <f>MAX(CumRet!$B$2:$B$133)-CumRet!B133</f>
        <v>0</v>
      </c>
    </row>
    <row r="134" spans="1:2">
      <c r="A134" s="11">
        <f>Returns!A134</f>
        <v>0</v>
      </c>
      <c r="B134" s="1">
        <f>MAX(CumRet!$B$2:$B$134)-CumRet!B134</f>
        <v>0</v>
      </c>
    </row>
    <row r="135" spans="1:2">
      <c r="A135" s="11">
        <f>Returns!A135</f>
        <v>0</v>
      </c>
      <c r="B135" s="1">
        <f>MAX(CumRet!$B$2:$B$135)-CumRet!B135</f>
        <v>0</v>
      </c>
    </row>
    <row r="136" spans="1:2">
      <c r="A136" s="11">
        <f>Returns!A136</f>
        <v>0</v>
      </c>
      <c r="B136" s="1">
        <f>MAX(CumRet!$B$2:$B$136)-CumRet!B136</f>
        <v>0</v>
      </c>
    </row>
    <row r="137" spans="1:2">
      <c r="A137" s="11">
        <f>Returns!A137</f>
        <v>0</v>
      </c>
      <c r="B137" s="1">
        <f>MAX(CumRet!$B$2:$B$137)-CumRet!B137</f>
        <v>0</v>
      </c>
    </row>
    <row r="138" spans="1:2">
      <c r="A138" s="11">
        <f>Returns!A138</f>
        <v>0</v>
      </c>
      <c r="B138" s="1">
        <f>MAX(CumRet!$B$2:$B$138)-CumRet!B138</f>
        <v>0</v>
      </c>
    </row>
    <row r="139" spans="1:2">
      <c r="A139" s="11">
        <f>Returns!A139</f>
        <v>0</v>
      </c>
      <c r="B139" s="1">
        <f>MAX(CumRet!$B$2:$B$139)-CumRet!B139</f>
        <v>0</v>
      </c>
    </row>
    <row r="140" spans="1:2">
      <c r="A140" s="11">
        <f>Returns!A140</f>
        <v>0</v>
      </c>
      <c r="B140" s="1">
        <f>MAX(CumRet!$B$2:$B$140)-CumRet!B140</f>
        <v>0</v>
      </c>
    </row>
    <row r="141" spans="1:2">
      <c r="A141" s="11">
        <f>Returns!A141</f>
        <v>0</v>
      </c>
      <c r="B141" s="1">
        <f>MAX(CumRet!$B$2:$B$141)-CumRet!B141</f>
        <v>0</v>
      </c>
    </row>
    <row r="142" spans="1:2">
      <c r="A142" s="11">
        <f>Returns!A142</f>
        <v>0</v>
      </c>
      <c r="B142" s="1">
        <f>MAX(CumRet!$B$2:$B$142)-CumRet!B142</f>
        <v>0</v>
      </c>
    </row>
    <row r="143" spans="1:2">
      <c r="A143" s="11">
        <f>Returns!A143</f>
        <v>0</v>
      </c>
      <c r="B143" s="1">
        <f>MAX(CumRet!$B$2:$B$143)-CumRet!B143</f>
        <v>0</v>
      </c>
    </row>
    <row r="144" spans="1:2">
      <c r="A144" s="11">
        <f>Returns!A144</f>
        <v>0</v>
      </c>
      <c r="B144" s="1">
        <f>MAX(CumRet!$B$2:$B$144)-CumRet!B144</f>
        <v>0</v>
      </c>
    </row>
    <row r="145" spans="1:2">
      <c r="A145" s="11">
        <f>Returns!A145</f>
        <v>0</v>
      </c>
      <c r="B145" s="1">
        <f>MAX(CumRet!$B$2:$B$145)-CumRet!B145</f>
        <v>0</v>
      </c>
    </row>
    <row r="146" spans="1:2">
      <c r="A146" s="11">
        <f>Returns!A146</f>
        <v>0</v>
      </c>
      <c r="B146" s="1">
        <f>MAX(CumRet!$B$2:$B$146)-CumRet!B146</f>
        <v>0</v>
      </c>
    </row>
    <row r="147" spans="1:2">
      <c r="A147" s="11">
        <f>Returns!A147</f>
        <v>0</v>
      </c>
      <c r="B147" s="1">
        <f>MAX(CumRet!$B$2:$B$147)-CumRet!B147</f>
        <v>0</v>
      </c>
    </row>
    <row r="148" spans="1:2">
      <c r="A148" s="11">
        <f>Returns!A148</f>
        <v>0</v>
      </c>
      <c r="B148" s="1">
        <f>MAX(CumRet!$B$2:$B$148)-CumRet!B148</f>
        <v>0</v>
      </c>
    </row>
    <row r="149" spans="1:2">
      <c r="A149" s="11">
        <f>Returns!A149</f>
        <v>0</v>
      </c>
      <c r="B149" s="1">
        <f>MAX(CumRet!$B$2:$B$149)-CumRet!B149</f>
        <v>0</v>
      </c>
    </row>
    <row r="150" spans="1:2">
      <c r="A150" s="11">
        <f>Returns!A150</f>
        <v>0</v>
      </c>
      <c r="B150" s="1">
        <f>MAX(CumRet!$B$2:$B$150)-CumRet!B150</f>
        <v>0</v>
      </c>
    </row>
    <row r="151" spans="1:2">
      <c r="A151" s="11">
        <f>Returns!A151</f>
        <v>0</v>
      </c>
      <c r="B151" s="1">
        <f>MAX(CumRet!$B$2:$B$151)-CumRet!B151</f>
        <v>0</v>
      </c>
    </row>
    <row r="152" spans="1:2">
      <c r="A152" s="11">
        <f>Returns!A152</f>
        <v>0</v>
      </c>
      <c r="B152" s="1">
        <f>MAX(CumRet!$B$2:$B$152)-CumRet!B152</f>
        <v>0</v>
      </c>
    </row>
    <row r="153" spans="1:2">
      <c r="A153" s="11">
        <f>Returns!A153</f>
        <v>0</v>
      </c>
      <c r="B153" s="1">
        <f>MAX(CumRet!$B$2:$B$153)-CumRet!B153</f>
        <v>0</v>
      </c>
    </row>
    <row r="154" spans="1:2">
      <c r="A154" s="11">
        <f>Returns!A154</f>
        <v>0</v>
      </c>
      <c r="B154" s="1">
        <f>MAX(CumRet!$B$2:$B$154)-CumRet!B154</f>
        <v>0</v>
      </c>
    </row>
    <row r="155" spans="1:2">
      <c r="A155" s="11">
        <f>Returns!A155</f>
        <v>0</v>
      </c>
      <c r="B155" s="1">
        <f>MAX(CumRet!$B$2:$B$155)-CumRet!B155</f>
        <v>0</v>
      </c>
    </row>
    <row r="156" spans="1:2">
      <c r="A156" s="11">
        <f>Returns!A156</f>
        <v>0</v>
      </c>
      <c r="B156" s="1">
        <f>MAX(CumRet!$B$2:$B$156)-CumRet!B156</f>
        <v>0</v>
      </c>
    </row>
    <row r="157" spans="1:2">
      <c r="A157" s="11">
        <f>Returns!A157</f>
        <v>0</v>
      </c>
      <c r="B157" s="1">
        <f>MAX(CumRet!$B$2:$B$157)-CumRet!B157</f>
        <v>0</v>
      </c>
    </row>
    <row r="158" spans="1:2">
      <c r="A158" s="11">
        <f>Returns!A158</f>
        <v>0</v>
      </c>
      <c r="B158" s="1">
        <f>MAX(CumRet!$B$2:$B$158)-CumRet!B158</f>
        <v>0</v>
      </c>
    </row>
    <row r="159" spans="1:2">
      <c r="A159" s="11">
        <f>Returns!A159</f>
        <v>0</v>
      </c>
      <c r="B159" s="1">
        <f>MAX(CumRet!$B$2:$B$159)-CumRet!B159</f>
        <v>0</v>
      </c>
    </row>
    <row r="160" spans="1:2">
      <c r="A160" s="11">
        <f>Returns!A160</f>
        <v>0</v>
      </c>
      <c r="B160" s="1">
        <f>MAX(CumRet!$B$2:$B$160)-CumRet!B160</f>
        <v>0</v>
      </c>
    </row>
    <row r="161" spans="1:2">
      <c r="A161" s="11">
        <f>Returns!A161</f>
        <v>0</v>
      </c>
      <c r="B161" s="1">
        <f>MAX(CumRet!$B$2:$B$161)-CumRet!B161</f>
        <v>0</v>
      </c>
    </row>
    <row r="162" spans="1:2">
      <c r="A162" s="11">
        <f>Returns!A162</f>
        <v>0</v>
      </c>
      <c r="B162" s="1">
        <f>MAX(CumRet!$B$2:$B$162)-CumRet!B162</f>
        <v>0</v>
      </c>
    </row>
    <row r="163" spans="1:2">
      <c r="A163" s="11">
        <f>Returns!A163</f>
        <v>0</v>
      </c>
      <c r="B163" s="1">
        <f>MAX(CumRet!$B$2:$B$163)-CumRet!B163</f>
        <v>0</v>
      </c>
    </row>
    <row r="164" spans="1:2">
      <c r="A164" s="11">
        <f>Returns!A164</f>
        <v>0</v>
      </c>
      <c r="B164" s="1">
        <f>MAX(CumRet!$B$2:$B$164)-CumRet!B164</f>
        <v>0</v>
      </c>
    </row>
    <row r="165" spans="1:2">
      <c r="A165" s="11">
        <f>Returns!A165</f>
        <v>0</v>
      </c>
      <c r="B165" s="1">
        <f>MAX(CumRet!$B$2:$B$165)-CumRet!B165</f>
        <v>0</v>
      </c>
    </row>
    <row r="166" spans="1:2">
      <c r="A166" s="11">
        <f>Returns!A166</f>
        <v>0</v>
      </c>
      <c r="B166" s="1">
        <f>MAX(CumRet!$B$2:$B$166)-CumRet!B166</f>
        <v>0</v>
      </c>
    </row>
    <row r="167" spans="1:2">
      <c r="A167" s="11">
        <f>Returns!A167</f>
        <v>0</v>
      </c>
      <c r="B167" s="1">
        <f>MAX(CumRet!$B$2:$B$167)-CumRet!B167</f>
        <v>0</v>
      </c>
    </row>
    <row r="168" spans="1:2">
      <c r="A168" s="11">
        <f>Returns!A168</f>
        <v>0</v>
      </c>
      <c r="B168" s="1">
        <f>MAX(CumRet!$B$2:$B$168)-CumRet!B168</f>
        <v>0</v>
      </c>
    </row>
    <row r="169" spans="1:2">
      <c r="A169" s="11">
        <f>Returns!A169</f>
        <v>0</v>
      </c>
      <c r="B169" s="1">
        <f>MAX(CumRet!$B$2:$B$169)-CumRet!B169</f>
        <v>0</v>
      </c>
    </row>
    <row r="170" spans="1:2">
      <c r="A170" s="11">
        <f>Returns!A170</f>
        <v>0</v>
      </c>
      <c r="B170" s="1">
        <f>MAX(CumRet!$B$2:$B$170)-CumRet!B170</f>
        <v>0</v>
      </c>
    </row>
    <row r="171" spans="1:2">
      <c r="A171" s="11">
        <f>Returns!A171</f>
        <v>0</v>
      </c>
      <c r="B171" s="1">
        <f>MAX(CumRet!$B$2:$B$171)-CumRet!B171</f>
        <v>0</v>
      </c>
    </row>
    <row r="172" spans="1:2">
      <c r="A172" s="11">
        <f>Returns!A172</f>
        <v>0</v>
      </c>
      <c r="B172" s="1">
        <f>MAX(CumRet!$B$2:$B$172)-CumRet!B172</f>
        <v>0</v>
      </c>
    </row>
    <row r="173" spans="1:2">
      <c r="A173" s="11">
        <f>Returns!A173</f>
        <v>0</v>
      </c>
      <c r="B173" s="1">
        <f>MAX(CumRet!$B$2:$B$173)-CumRet!B173</f>
        <v>0</v>
      </c>
    </row>
    <row r="174" spans="1:2">
      <c r="A174" s="11">
        <f>Returns!A174</f>
        <v>0</v>
      </c>
      <c r="B174" s="1">
        <f>MAX(CumRet!$B$2:$B$174)-CumRet!B174</f>
        <v>0</v>
      </c>
    </row>
    <row r="175" spans="1:2">
      <c r="A175" s="11">
        <f>Returns!A175</f>
        <v>0</v>
      </c>
      <c r="B175" s="1">
        <f>MAX(CumRet!$B$2:$B$175)-CumRet!B175</f>
        <v>0</v>
      </c>
    </row>
    <row r="176" spans="1:2">
      <c r="A176" s="11">
        <f>Returns!A176</f>
        <v>0</v>
      </c>
      <c r="B176" s="1">
        <f>MAX(CumRet!$B$2:$B$176)-CumRet!B176</f>
        <v>0</v>
      </c>
    </row>
    <row r="177" spans="1:2">
      <c r="A177" s="11">
        <f>Returns!A177</f>
        <v>0</v>
      </c>
      <c r="B177" s="1">
        <f>MAX(CumRet!$B$2:$B$177)-CumRet!B177</f>
        <v>0</v>
      </c>
    </row>
    <row r="178" spans="1:2">
      <c r="A178" s="11">
        <f>Returns!A178</f>
        <v>0</v>
      </c>
      <c r="B178" s="1">
        <f>MAX(CumRet!$B$2:$B$178)-CumRet!B178</f>
        <v>0</v>
      </c>
    </row>
    <row r="179" spans="1:2">
      <c r="A179" s="11">
        <f>Returns!A179</f>
        <v>0</v>
      </c>
      <c r="B179" s="1">
        <f>MAX(CumRet!$B$2:$B$179)-CumRet!B179</f>
        <v>0</v>
      </c>
    </row>
    <row r="180" spans="1:2">
      <c r="A180" s="11">
        <f>Returns!A180</f>
        <v>0</v>
      </c>
      <c r="B180" s="1">
        <f>MAX(CumRet!$B$2:$B$180)-CumRet!B180</f>
        <v>0</v>
      </c>
    </row>
    <row r="181" spans="1:2">
      <c r="A181" s="11">
        <f>Returns!A181</f>
        <v>0</v>
      </c>
      <c r="B181" s="1">
        <f>MAX(CumRet!$B$2:$B$181)-CumRet!B181</f>
        <v>0</v>
      </c>
    </row>
    <row r="182" spans="1:2">
      <c r="A182" s="11">
        <f>Returns!A182</f>
        <v>0</v>
      </c>
      <c r="B182" s="1">
        <f>MAX(CumRet!$B$2:$B$182)-CumRet!B182</f>
        <v>0</v>
      </c>
    </row>
    <row r="183" spans="1:2">
      <c r="A183" s="11">
        <f>Returns!A183</f>
        <v>0</v>
      </c>
      <c r="B183" s="1">
        <f>MAX(CumRet!$B$2:$B$183)-CumRet!B183</f>
        <v>0</v>
      </c>
    </row>
    <row r="184" spans="1:2">
      <c r="A184" s="11">
        <f>Returns!A184</f>
        <v>0</v>
      </c>
      <c r="B184" s="1">
        <f>MAX(CumRet!$B$2:$B$184)-CumRet!B184</f>
        <v>0</v>
      </c>
    </row>
    <row r="185" spans="1:2">
      <c r="A185" s="11">
        <f>Returns!A185</f>
        <v>0</v>
      </c>
      <c r="B185" s="1">
        <f>MAX(CumRet!$B$2:$B$185)-CumRet!B185</f>
        <v>0</v>
      </c>
    </row>
    <row r="186" spans="1:2">
      <c r="A186" s="11">
        <f>Returns!A186</f>
        <v>0</v>
      </c>
      <c r="B186" s="1">
        <f>MAX(CumRet!$B$2:$B$186)-CumRet!B186</f>
        <v>0</v>
      </c>
    </row>
    <row r="187" spans="1:2">
      <c r="A187" s="11">
        <f>Returns!A187</f>
        <v>0</v>
      </c>
      <c r="B187" s="1">
        <f>MAX(CumRet!$B$2:$B$187)-CumRet!B187</f>
        <v>0</v>
      </c>
    </row>
    <row r="188" spans="1:2">
      <c r="A188" s="11">
        <f>Returns!A188</f>
        <v>0</v>
      </c>
      <c r="B188" s="1">
        <f>MAX(CumRet!$B$2:$B$188)-CumRet!B188</f>
        <v>0</v>
      </c>
    </row>
    <row r="189" spans="1:2">
      <c r="A189" s="11">
        <f>Returns!A189</f>
        <v>0</v>
      </c>
      <c r="B189" s="1">
        <f>MAX(CumRet!$B$2:$B$189)-CumRet!B189</f>
        <v>0</v>
      </c>
    </row>
    <row r="190" spans="1:2">
      <c r="A190" s="11">
        <f>Returns!A190</f>
        <v>0</v>
      </c>
      <c r="B190" s="1">
        <f>MAX(CumRet!$B$2:$B$190)-CumRet!B190</f>
        <v>0</v>
      </c>
    </row>
    <row r="191" spans="1:2">
      <c r="A191" s="11">
        <f>Returns!A191</f>
        <v>0</v>
      </c>
      <c r="B191" s="1">
        <f>MAX(CumRet!$B$2:$B$191)-CumRet!B191</f>
        <v>0</v>
      </c>
    </row>
    <row r="192" spans="1:2">
      <c r="A192" s="11">
        <f>Returns!A192</f>
        <v>0</v>
      </c>
      <c r="B192" s="1">
        <f>MAX(CumRet!$B$2:$B$192)-CumRet!B192</f>
        <v>0</v>
      </c>
    </row>
    <row r="193" spans="1:2">
      <c r="A193" s="11">
        <f>Returns!A193</f>
        <v>0</v>
      </c>
      <c r="B193" s="1">
        <f>MAX(CumRet!$B$2:$B$193)-CumRet!B193</f>
        <v>0</v>
      </c>
    </row>
    <row r="194" spans="1:2">
      <c r="A194" s="11">
        <f>Returns!A194</f>
        <v>0</v>
      </c>
      <c r="B194" s="1">
        <f>MAX(CumRet!$B$2:$B$194)-CumRet!B194</f>
        <v>0</v>
      </c>
    </row>
    <row r="195" spans="1:2">
      <c r="A195" s="11">
        <f>Returns!A195</f>
        <v>0</v>
      </c>
      <c r="B195" s="1">
        <f>MAX(CumRet!$B$2:$B$195)-CumRet!B195</f>
        <v>0</v>
      </c>
    </row>
    <row r="196" spans="1:2">
      <c r="A196" s="11">
        <f>Returns!A196</f>
        <v>0</v>
      </c>
      <c r="B196" s="1">
        <f>MAX(CumRet!$B$2:$B$196)-CumRet!B196</f>
        <v>0</v>
      </c>
    </row>
    <row r="197" spans="1:2">
      <c r="A197" s="11">
        <f>Returns!A197</f>
        <v>0</v>
      </c>
      <c r="B197" s="1">
        <f>MAX(CumRet!$B$2:$B$197)-CumRet!B197</f>
        <v>0</v>
      </c>
    </row>
    <row r="198" spans="1:2">
      <c r="A198" s="11">
        <f>Returns!A198</f>
        <v>0</v>
      </c>
      <c r="B198" s="1">
        <f>MAX(CumRet!$B$2:$B$198)-CumRet!B198</f>
        <v>0</v>
      </c>
    </row>
    <row r="199" spans="1:2">
      <c r="A199" s="11">
        <f>Returns!A199</f>
        <v>0</v>
      </c>
      <c r="B199" s="1">
        <f>MAX(CumRet!$B$2:$B$199)-CumRet!B199</f>
        <v>0</v>
      </c>
    </row>
    <row r="200" spans="1:2">
      <c r="A200" s="11">
        <f>Returns!A200</f>
        <v>0</v>
      </c>
      <c r="B200" s="1">
        <f>MAX(CumRet!$B$2:$B$200)-CumRet!B200</f>
        <v>0</v>
      </c>
    </row>
    <row r="201" spans="1:2">
      <c r="A201" s="11">
        <f>Returns!A201</f>
        <v>0</v>
      </c>
      <c r="B201" s="1">
        <f>MAX(CumRet!$B$2:$B$201)-CumRet!B201</f>
        <v>0</v>
      </c>
    </row>
    <row r="202" spans="1:2">
      <c r="A202" s="11">
        <f>Returns!A202</f>
        <v>0</v>
      </c>
      <c r="B202" s="1">
        <f>MAX(CumRet!$B$2:$B$202)-CumRet!B202</f>
        <v>0</v>
      </c>
    </row>
    <row r="203" spans="1:2">
      <c r="A203" s="11">
        <f>Returns!A203</f>
        <v>0</v>
      </c>
      <c r="B203" s="1">
        <f>MAX(CumRet!$B$2:$B$203)-CumRet!B203</f>
        <v>0</v>
      </c>
    </row>
    <row r="204" spans="1:2">
      <c r="A204" s="11">
        <f>Returns!A204</f>
        <v>0</v>
      </c>
      <c r="B204" s="1">
        <f>MAX(CumRet!$B$2:$B$204)-CumRet!B204</f>
        <v>0</v>
      </c>
    </row>
    <row r="205" spans="1:2">
      <c r="A205" s="11">
        <f>Returns!A205</f>
        <v>0</v>
      </c>
      <c r="B205" s="1">
        <f>MAX(CumRet!$B$2:$B$205)-CumRet!B205</f>
        <v>0</v>
      </c>
    </row>
    <row r="206" spans="1:2">
      <c r="A206" s="11">
        <f>Returns!A206</f>
        <v>0</v>
      </c>
      <c r="B206" s="1">
        <f>MAX(CumRet!$B$2:$B$206)-CumRet!B206</f>
        <v>0</v>
      </c>
    </row>
    <row r="207" spans="1:2">
      <c r="A207" s="11">
        <f>Returns!A207</f>
        <v>0</v>
      </c>
      <c r="B207" s="1">
        <f>MAX(CumRet!$B$2:$B$207)-CumRet!B207</f>
        <v>0</v>
      </c>
    </row>
    <row r="208" spans="1:2">
      <c r="A208" s="11">
        <f>Returns!A208</f>
        <v>0</v>
      </c>
      <c r="B208" s="1">
        <f>MAX(CumRet!$B$2:$B$208)-CumRet!B208</f>
        <v>0</v>
      </c>
    </row>
    <row r="209" spans="1:2">
      <c r="A209" s="11">
        <f>Returns!A209</f>
        <v>0</v>
      </c>
      <c r="B209" s="1">
        <f>MAX(CumRet!$B$2:$B$209)-CumRet!B209</f>
        <v>0</v>
      </c>
    </row>
    <row r="210" spans="1:2">
      <c r="A210" s="11">
        <f>Returns!A210</f>
        <v>0</v>
      </c>
      <c r="B210" s="1">
        <f>MAX(CumRet!$B$2:$B$210)-CumRet!B210</f>
        <v>0</v>
      </c>
    </row>
    <row r="211" spans="1:2">
      <c r="A211" s="11">
        <f>Returns!A211</f>
        <v>0</v>
      </c>
      <c r="B211" s="1">
        <f>MAX(CumRet!$B$2:$B$211)-CumRet!B211</f>
        <v>0</v>
      </c>
    </row>
    <row r="212" spans="1:2">
      <c r="A212" s="11">
        <f>Returns!A212</f>
        <v>0</v>
      </c>
      <c r="B212" s="1">
        <f>MAX(CumRet!$B$2:$B$212)-CumRet!B212</f>
        <v>0</v>
      </c>
    </row>
    <row r="213" spans="1:2">
      <c r="A213" s="11">
        <f>Returns!A213</f>
        <v>0</v>
      </c>
      <c r="B213" s="1">
        <f>MAX(CumRet!$B$2:$B$213)-CumRet!B213</f>
        <v>0</v>
      </c>
    </row>
    <row r="214" spans="1:2">
      <c r="A214" s="11">
        <f>Returns!A214</f>
        <v>0</v>
      </c>
      <c r="B214" s="1">
        <f>MAX(CumRet!$B$2:$B$214)-CumRet!B214</f>
        <v>0</v>
      </c>
    </row>
    <row r="215" spans="1:2">
      <c r="A215" s="11">
        <f>Returns!A215</f>
        <v>0</v>
      </c>
      <c r="B215" s="1">
        <f>MAX(CumRet!$B$2:$B$215)-CumRet!B215</f>
        <v>0</v>
      </c>
    </row>
    <row r="216" spans="1:2">
      <c r="A216" s="11">
        <f>Returns!A216</f>
        <v>0</v>
      </c>
      <c r="B216" s="1">
        <f>MAX(CumRet!$B$2:$B$216)-CumRet!B216</f>
        <v>0</v>
      </c>
    </row>
    <row r="217" spans="1:2">
      <c r="A217" s="11">
        <f>Returns!A217</f>
        <v>0</v>
      </c>
      <c r="B217" s="1">
        <f>MAX(CumRet!$B$2:$B$217)-CumRet!B217</f>
        <v>0</v>
      </c>
    </row>
    <row r="218" spans="1:2">
      <c r="A218" s="11">
        <f>Returns!A218</f>
        <v>0</v>
      </c>
      <c r="B218" s="1">
        <f>MAX(CumRet!$B$2:$B$218)-CumRet!B218</f>
        <v>0</v>
      </c>
    </row>
    <row r="219" spans="1:2">
      <c r="A219" s="11">
        <f>Returns!A219</f>
        <v>0</v>
      </c>
      <c r="B219" s="1">
        <f>MAX(CumRet!$B$2:$B$219)-CumRet!B219</f>
        <v>0</v>
      </c>
    </row>
    <row r="220" spans="1:2">
      <c r="A220" s="11">
        <f>Returns!A220</f>
        <v>0</v>
      </c>
      <c r="B220" s="1">
        <f>MAX(CumRet!$B$2:$B$220)-CumRet!B220</f>
        <v>0</v>
      </c>
    </row>
    <row r="221" spans="1:2">
      <c r="A221" s="11">
        <f>Returns!A221</f>
        <v>0</v>
      </c>
      <c r="B221" s="1">
        <f>MAX(CumRet!$B$2:$B$221)-CumRet!B221</f>
        <v>0</v>
      </c>
    </row>
    <row r="222" spans="1:2">
      <c r="A222" s="11">
        <f>Returns!A222</f>
        <v>0</v>
      </c>
      <c r="B222" s="1">
        <f>MAX(CumRet!$B$2:$B$222)-CumRet!B222</f>
        <v>0</v>
      </c>
    </row>
    <row r="223" spans="1:2">
      <c r="A223" s="11">
        <f>Returns!A223</f>
        <v>0</v>
      </c>
      <c r="B223" s="1">
        <f>MAX(CumRet!$B$2:$B$223)-CumRet!B223</f>
        <v>0</v>
      </c>
    </row>
    <row r="224" spans="1:2">
      <c r="A224" s="11">
        <f>Returns!A224</f>
        <v>0</v>
      </c>
      <c r="B224" s="1">
        <f>MAX(CumRet!$B$2:$B$224)-CumRet!B224</f>
        <v>0</v>
      </c>
    </row>
    <row r="225" spans="1:2">
      <c r="A225" s="11">
        <f>Returns!A225</f>
        <v>0</v>
      </c>
      <c r="B225" s="1">
        <f>MAX(CumRet!$B$2:$B$225)-CumRet!B225</f>
        <v>0</v>
      </c>
    </row>
    <row r="226" spans="1:2">
      <c r="A226" s="11">
        <f>Returns!A226</f>
        <v>0</v>
      </c>
      <c r="B226" s="1">
        <f>MAX(CumRet!$B$2:$B$226)-CumRet!B226</f>
        <v>0</v>
      </c>
    </row>
    <row r="227" spans="1:2">
      <c r="A227" s="11">
        <f>Returns!A227</f>
        <v>0</v>
      </c>
      <c r="B227" s="1">
        <f>MAX(CumRet!$B$2:$B$227)-CumRet!B227</f>
        <v>0</v>
      </c>
    </row>
    <row r="228" spans="1:2">
      <c r="A228" s="11">
        <f>Returns!A228</f>
        <v>0</v>
      </c>
      <c r="B228" s="1">
        <f>MAX(CumRet!$B$2:$B$228)-CumRet!B228</f>
        <v>0</v>
      </c>
    </row>
    <row r="229" spans="1:2">
      <c r="A229" s="11">
        <f>Returns!A229</f>
        <v>0</v>
      </c>
      <c r="B229" s="1">
        <f>MAX(CumRet!$B$2:$B$229)-CumRet!B229</f>
        <v>0</v>
      </c>
    </row>
    <row r="230" spans="1:2">
      <c r="A230" s="11">
        <f>Returns!A230</f>
        <v>0</v>
      </c>
      <c r="B230" s="1">
        <f>MAX(CumRet!$B$2:$B$230)-CumRet!B230</f>
        <v>0</v>
      </c>
    </row>
    <row r="231" spans="1:2">
      <c r="A231" s="11">
        <f>Returns!A231</f>
        <v>0</v>
      </c>
      <c r="B231" s="1">
        <f>MAX(CumRet!$B$2:$B$231)-CumRet!B231</f>
        <v>0</v>
      </c>
    </row>
    <row r="232" spans="1:2">
      <c r="A232" s="11">
        <f>Returns!A232</f>
        <v>0</v>
      </c>
      <c r="B232" s="1">
        <f>MAX(CumRet!$B$2:$B$232)-CumRet!B232</f>
        <v>0</v>
      </c>
    </row>
    <row r="233" spans="1:2">
      <c r="A233" s="11">
        <f>Returns!A233</f>
        <v>0</v>
      </c>
      <c r="B233" s="1">
        <f>MAX(CumRet!$B$2:$B$233)-CumRet!B233</f>
        <v>0</v>
      </c>
    </row>
    <row r="234" spans="1:2">
      <c r="A234" s="11">
        <f>Returns!A234</f>
        <v>0</v>
      </c>
      <c r="B234" s="1">
        <f>MAX(CumRet!$B$2:$B$234)-CumRet!B234</f>
        <v>0</v>
      </c>
    </row>
    <row r="235" spans="1:2">
      <c r="A235" s="11">
        <f>Returns!A235</f>
        <v>0</v>
      </c>
      <c r="B235" s="1">
        <f>MAX(CumRet!$B$2:$B$235)-CumRet!B235</f>
        <v>0</v>
      </c>
    </row>
    <row r="236" spans="1:2">
      <c r="A236" s="11">
        <f>Returns!A236</f>
        <v>0</v>
      </c>
      <c r="B236" s="1">
        <f>MAX(CumRet!$B$2:$B$236)-CumRet!B236</f>
        <v>0</v>
      </c>
    </row>
    <row r="237" spans="1:2">
      <c r="A237" s="11">
        <f>Returns!A237</f>
        <v>0</v>
      </c>
      <c r="B237" s="1">
        <f>MAX(CumRet!$B$2:$B$237)-CumRet!B237</f>
        <v>0</v>
      </c>
    </row>
    <row r="238" spans="1:2">
      <c r="A238" s="11">
        <f>Returns!A238</f>
        <v>0</v>
      </c>
      <c r="B238" s="1">
        <f>MAX(CumRet!$B$2:$B$238)-CumRet!B238</f>
        <v>0</v>
      </c>
    </row>
    <row r="239" spans="1:2">
      <c r="A239" s="11">
        <f>Returns!A239</f>
        <v>0</v>
      </c>
      <c r="B239" s="1">
        <f>MAX(CumRet!$B$2:$B$239)-CumRet!B239</f>
        <v>0</v>
      </c>
    </row>
    <row r="240" spans="1:2">
      <c r="A240" s="11">
        <f>Returns!A240</f>
        <v>0</v>
      </c>
      <c r="B240" s="1">
        <f>MAX(CumRet!$B$2:$B$240)-CumRet!B240</f>
        <v>0</v>
      </c>
    </row>
    <row r="241" spans="1:2">
      <c r="A241" s="11">
        <f>Returns!A241</f>
        <v>0</v>
      </c>
      <c r="B241" s="1">
        <f>MAX(CumRet!$B$2:$B$241)-CumRet!B241</f>
        <v>0</v>
      </c>
    </row>
    <row r="242" spans="1:2">
      <c r="A242" s="11">
        <f>Returns!A242</f>
        <v>0</v>
      </c>
      <c r="B242" s="1">
        <f>MAX(CumRet!$B$2:$B$242)-CumRet!B242</f>
        <v>0</v>
      </c>
    </row>
    <row r="243" spans="1:2">
      <c r="A243" s="11">
        <f>Returns!A243</f>
        <v>0</v>
      </c>
      <c r="B243" s="1">
        <f>MAX(CumRet!$B$2:$B$243)-CumRet!B243</f>
        <v>0</v>
      </c>
    </row>
    <row r="244" spans="1:2">
      <c r="A244" s="11">
        <f>Returns!A244</f>
        <v>0</v>
      </c>
      <c r="B244" s="1">
        <f>MAX(CumRet!$B$2:$B$244)-CumRet!B244</f>
        <v>0</v>
      </c>
    </row>
    <row r="245" spans="1:2">
      <c r="A245" s="11">
        <f>Returns!A245</f>
        <v>0</v>
      </c>
      <c r="B245" s="1">
        <f>MAX(CumRet!$B$2:$B$245)-CumRet!B245</f>
        <v>0</v>
      </c>
    </row>
    <row r="246" spans="1:2">
      <c r="A246" s="11">
        <f>Returns!A246</f>
        <v>0</v>
      </c>
      <c r="B246" s="1">
        <f>MAX(CumRet!$B$2:$B$246)-CumRet!B246</f>
        <v>0</v>
      </c>
    </row>
    <row r="247" spans="1:2">
      <c r="A247" s="11">
        <f>Returns!A247</f>
        <v>0</v>
      </c>
      <c r="B247" s="1">
        <f>MAX(CumRet!$B$2:$B$247)-CumRet!B247</f>
        <v>0</v>
      </c>
    </row>
    <row r="248" spans="1:2">
      <c r="A248" s="11">
        <f>Returns!A248</f>
        <v>0</v>
      </c>
      <c r="B248" s="1">
        <f>MAX(CumRet!$B$2:$B$248)-CumRet!B248</f>
        <v>0</v>
      </c>
    </row>
    <row r="249" spans="1:2">
      <c r="A249" s="11">
        <f>Returns!A249</f>
        <v>0</v>
      </c>
      <c r="B249" s="1">
        <f>MAX(CumRet!$B$2:$B$249)-CumRet!B249</f>
        <v>0</v>
      </c>
    </row>
    <row r="250" spans="1:2">
      <c r="A250" s="11">
        <f>Returns!A250</f>
        <v>0</v>
      </c>
      <c r="B250" s="1">
        <f>MAX(CumRet!$B$2:$B$250)-CumRet!B250</f>
        <v>0</v>
      </c>
    </row>
    <row r="251" spans="1:2">
      <c r="A251" s="11">
        <f>Returns!A251</f>
        <v>0</v>
      </c>
      <c r="B251" s="1">
        <f>MAX(CumRet!$B$2:$B$251)-CumRet!B251</f>
        <v>0</v>
      </c>
    </row>
    <row r="252" spans="1:2">
      <c r="A252" s="11">
        <f>Returns!A252</f>
        <v>0</v>
      </c>
      <c r="B252" s="1">
        <f>MAX(CumRet!$B$2:$B$252)-CumRet!B252</f>
        <v>0</v>
      </c>
    </row>
    <row r="253" spans="1:2">
      <c r="A253" s="11">
        <f>Returns!A253</f>
        <v>0</v>
      </c>
      <c r="B253" s="1">
        <f>MAX(CumRet!$B$2:$B$253)-CumRet!B253</f>
        <v>0</v>
      </c>
    </row>
    <row r="254" spans="1:2">
      <c r="A254" s="11">
        <f>Returns!A254</f>
        <v>0</v>
      </c>
      <c r="B254" s="1">
        <f>MAX(CumRet!$B$2:$B$254)-CumRet!B254</f>
        <v>0</v>
      </c>
    </row>
    <row r="255" spans="1:2">
      <c r="A255" s="11">
        <f>Returns!A255</f>
        <v>0</v>
      </c>
      <c r="B255" s="1">
        <f>MAX(CumRet!$B$2:$B$255)-CumRet!B255</f>
        <v>0</v>
      </c>
    </row>
    <row r="256" spans="1:2">
      <c r="A256" s="11">
        <f>Returns!A256</f>
        <v>0</v>
      </c>
      <c r="B256" s="1">
        <f>MAX(CumRet!$B$2:$B$256)-CumRet!B256</f>
        <v>0</v>
      </c>
    </row>
    <row r="257" spans="1:2">
      <c r="A257" s="11">
        <f>Returns!A257</f>
        <v>0</v>
      </c>
      <c r="B257" s="1">
        <f>MAX(CumRet!$B$2:$B$257)-CumRet!B257</f>
        <v>0</v>
      </c>
    </row>
    <row r="258" spans="1:2">
      <c r="A258" s="11">
        <f>Returns!A258</f>
        <v>0</v>
      </c>
      <c r="B258" s="1">
        <f>MAX(CumRet!$B$2:$B$258)-CumRet!B258</f>
        <v>0</v>
      </c>
    </row>
    <row r="259" spans="1:2">
      <c r="A259" s="11">
        <f>Returns!A259</f>
        <v>0</v>
      </c>
      <c r="B259" s="1">
        <f>MAX(CumRet!$B$2:$B$259)-CumRet!B259</f>
        <v>0</v>
      </c>
    </row>
    <row r="260" spans="1:2">
      <c r="A260" s="11">
        <f>Returns!A260</f>
        <v>0</v>
      </c>
      <c r="B260" s="1">
        <f>MAX(CumRet!$B$2:$B$260)-CumRet!B260</f>
        <v>0</v>
      </c>
    </row>
    <row r="261" spans="1:2">
      <c r="A261" s="11">
        <f>Returns!A261</f>
        <v>0</v>
      </c>
      <c r="B261" s="1">
        <f>MAX(CumRet!$B$2:$B$261)-CumRet!B261</f>
        <v>0</v>
      </c>
    </row>
    <row r="262" spans="1:2">
      <c r="A262" s="11">
        <f>Returns!A262</f>
        <v>0</v>
      </c>
      <c r="B262" s="1">
        <f>MAX(CumRet!$B$2:$B$262)-CumRet!B262</f>
        <v>0</v>
      </c>
    </row>
    <row r="263" spans="1:2">
      <c r="A263" s="11">
        <f>Returns!A263</f>
        <v>0</v>
      </c>
      <c r="B263" s="1">
        <f>MAX(CumRet!$B$2:$B$263)-CumRet!B263</f>
        <v>0</v>
      </c>
    </row>
    <row r="264" spans="1:2">
      <c r="A264" s="11">
        <f>Returns!A264</f>
        <v>0</v>
      </c>
      <c r="B264" s="1">
        <f>MAX(CumRet!$B$2:$B$264)-CumRet!B264</f>
        <v>0</v>
      </c>
    </row>
    <row r="265" spans="1:2">
      <c r="A265" s="11">
        <f>Returns!A265</f>
        <v>0</v>
      </c>
      <c r="B265" s="1">
        <f>MAX(CumRet!$B$2:$B$265)-CumRet!B265</f>
        <v>0</v>
      </c>
    </row>
    <row r="266" spans="1:2">
      <c r="A266" s="11">
        <f>Returns!A266</f>
        <v>0</v>
      </c>
      <c r="B266" s="1">
        <f>MAX(CumRet!$B$2:$B$266)-CumRet!B266</f>
        <v>0</v>
      </c>
    </row>
    <row r="267" spans="1:2">
      <c r="A267" s="11">
        <f>Returns!A267</f>
        <v>0</v>
      </c>
      <c r="B267" s="1">
        <f>MAX(CumRet!$B$2:$B$267)-CumRet!B267</f>
        <v>0</v>
      </c>
    </row>
    <row r="268" spans="1:2">
      <c r="A268" s="11">
        <f>Returns!A268</f>
        <v>0</v>
      </c>
      <c r="B268" s="1">
        <f>MAX(CumRet!$B$2:$B$268)-CumRet!B268</f>
        <v>0</v>
      </c>
    </row>
    <row r="269" spans="1:2">
      <c r="A269" s="11">
        <f>Returns!A269</f>
        <v>0</v>
      </c>
      <c r="B269" s="1">
        <f>MAX(CumRet!$B$2:$B$269)-CumRet!B269</f>
        <v>0</v>
      </c>
    </row>
    <row r="270" spans="1:2">
      <c r="A270" s="11">
        <f>Returns!A270</f>
        <v>0</v>
      </c>
      <c r="B270" s="1">
        <f>MAX(CumRet!$B$2:$B$270)-CumRet!B270</f>
        <v>0</v>
      </c>
    </row>
    <row r="271" spans="1:2">
      <c r="A271" s="11">
        <f>Returns!A271</f>
        <v>0</v>
      </c>
      <c r="B271" s="1">
        <f>MAX(CumRet!$B$2:$B$271)-CumRet!B271</f>
        <v>0</v>
      </c>
    </row>
    <row r="272" spans="1:2">
      <c r="A272" s="11">
        <f>Returns!A272</f>
        <v>0</v>
      </c>
      <c r="B272" s="1">
        <f>MAX(CumRet!$B$2:$B$272)-CumRet!B272</f>
        <v>0</v>
      </c>
    </row>
    <row r="273" spans="1:2">
      <c r="A273" s="11">
        <f>Returns!A273</f>
        <v>0</v>
      </c>
      <c r="B273" s="1">
        <f>MAX(CumRet!$B$2:$B$273)-CumRet!B273</f>
        <v>0</v>
      </c>
    </row>
    <row r="274" spans="1:2">
      <c r="A274" s="11">
        <f>Returns!A274</f>
        <v>0</v>
      </c>
      <c r="B274" s="1">
        <f>MAX(CumRet!$B$2:$B$274)-CumRet!B274</f>
        <v>0</v>
      </c>
    </row>
    <row r="275" spans="1:2">
      <c r="A275" s="11">
        <f>Returns!A275</f>
        <v>0</v>
      </c>
      <c r="B275" s="1">
        <f>MAX(CumRet!$B$2:$B$275)-CumRet!B275</f>
        <v>0</v>
      </c>
    </row>
    <row r="276" spans="1:2">
      <c r="A276" s="11">
        <f>Returns!A276</f>
        <v>0</v>
      </c>
      <c r="B276" s="1">
        <f>MAX(CumRet!$B$2:$B$276)-CumRet!B276</f>
        <v>0</v>
      </c>
    </row>
    <row r="277" spans="1:2">
      <c r="A277" s="11">
        <f>Returns!A277</f>
        <v>0</v>
      </c>
      <c r="B277" s="1">
        <f>MAX(CumRet!$B$2:$B$277)-CumRet!B277</f>
        <v>0</v>
      </c>
    </row>
    <row r="278" spans="1:2">
      <c r="A278" s="11">
        <f>Returns!A278</f>
        <v>0</v>
      </c>
      <c r="B278" s="1">
        <f>MAX(CumRet!$B$2:$B$278)-CumRet!B278</f>
        <v>0</v>
      </c>
    </row>
    <row r="279" spans="1:2">
      <c r="A279" s="11">
        <f>Returns!A279</f>
        <v>0</v>
      </c>
      <c r="B279" s="1">
        <f>MAX(CumRet!$B$2:$B$279)-CumRet!B279</f>
        <v>0</v>
      </c>
    </row>
    <row r="280" spans="1:2">
      <c r="A280" s="11">
        <f>Returns!A280</f>
        <v>0</v>
      </c>
      <c r="B280" s="1">
        <f>MAX(CumRet!$B$2:$B$280)-CumRet!B280</f>
        <v>0</v>
      </c>
    </row>
    <row r="281" spans="1:2">
      <c r="A281" s="11">
        <f>Returns!A281</f>
        <v>0</v>
      </c>
      <c r="B281" s="1">
        <f>MAX(CumRet!$B$2:$B$281)-CumRet!B281</f>
        <v>0</v>
      </c>
    </row>
    <row r="282" spans="1:2">
      <c r="A282" s="11">
        <f>Returns!A282</f>
        <v>0</v>
      </c>
      <c r="B282" s="1">
        <f>MAX(CumRet!$B$2:$B$282)-CumRet!B282</f>
        <v>0</v>
      </c>
    </row>
    <row r="283" spans="1:2">
      <c r="A283" s="11">
        <f>Returns!A283</f>
        <v>0</v>
      </c>
      <c r="B283" s="1">
        <f>MAX(CumRet!$B$2:$B$283)-CumRet!B283</f>
        <v>0</v>
      </c>
    </row>
    <row r="284" spans="1:2">
      <c r="A284" s="11">
        <f>Returns!A284</f>
        <v>0</v>
      </c>
      <c r="B284" s="1">
        <f>MAX(CumRet!$B$2:$B$284)-CumRet!B284</f>
        <v>0</v>
      </c>
    </row>
    <row r="285" spans="1:2">
      <c r="A285" s="11">
        <f>Returns!A285</f>
        <v>0</v>
      </c>
      <c r="B285" s="1">
        <f>MAX(CumRet!$B$2:$B$285)-CumRet!B285</f>
        <v>0</v>
      </c>
    </row>
    <row r="286" spans="1:2">
      <c r="A286" s="11">
        <f>Returns!A286</f>
        <v>0</v>
      </c>
      <c r="B286" s="1">
        <f>MAX(CumRet!$B$2:$B$286)-CumRet!B286</f>
        <v>0</v>
      </c>
    </row>
    <row r="287" spans="1:2">
      <c r="A287" s="11">
        <f>Returns!A287</f>
        <v>0</v>
      </c>
      <c r="B287" s="1">
        <f>MAX(CumRet!$B$2:$B$287)-CumRet!B287</f>
        <v>0</v>
      </c>
    </row>
    <row r="288" spans="1:2">
      <c r="A288" s="11">
        <f>Returns!A288</f>
        <v>0</v>
      </c>
      <c r="B288" s="1">
        <f>MAX(CumRet!$B$2:$B$288)-CumRet!B288</f>
        <v>0</v>
      </c>
    </row>
    <row r="289" spans="1:2">
      <c r="A289" s="11">
        <f>Returns!A289</f>
        <v>0</v>
      </c>
      <c r="B289" s="1">
        <f>MAX(CumRet!$B$2:$B$289)-CumRet!B289</f>
        <v>0</v>
      </c>
    </row>
    <row r="290" spans="1:2">
      <c r="A290" s="11">
        <f>Returns!A290</f>
        <v>0</v>
      </c>
      <c r="B290" s="1">
        <f>MAX(CumRet!$B$2:$B$290)-CumRet!B290</f>
        <v>0</v>
      </c>
    </row>
    <row r="291" spans="1:2">
      <c r="A291" s="11">
        <f>Returns!A291</f>
        <v>0</v>
      </c>
      <c r="B291" s="1">
        <f>MAX(CumRet!$B$2:$B$291)-CumRet!B291</f>
        <v>0</v>
      </c>
    </row>
    <row r="292" spans="1:2">
      <c r="A292" s="11">
        <f>Returns!A292</f>
        <v>0</v>
      </c>
      <c r="B292" s="1">
        <f>MAX(CumRet!$B$2:$B$292)-CumRet!B292</f>
        <v>0</v>
      </c>
    </row>
    <row r="293" spans="1:2">
      <c r="A293" s="11">
        <f>Returns!A293</f>
        <v>0</v>
      </c>
      <c r="B293" s="1">
        <f>MAX(CumRet!$B$2:$B$293)-CumRet!B293</f>
        <v>0</v>
      </c>
    </row>
    <row r="294" spans="1:2">
      <c r="A294" s="11">
        <f>Returns!A294</f>
        <v>0</v>
      </c>
      <c r="B294" s="1">
        <f>MAX(CumRet!$B$2:$B$294)-CumRet!B294</f>
        <v>0</v>
      </c>
    </row>
    <row r="295" spans="1:2">
      <c r="A295" s="11">
        <f>Returns!A295</f>
        <v>0</v>
      </c>
      <c r="B295" s="1">
        <f>MAX(CumRet!$B$2:$B$295)-CumRet!B295</f>
        <v>0</v>
      </c>
    </row>
    <row r="296" spans="1:2">
      <c r="A296" s="11">
        <f>Returns!A296</f>
        <v>0</v>
      </c>
      <c r="B296" s="1">
        <f>MAX(CumRet!$B$2:$B$296)-CumRet!B296</f>
        <v>0</v>
      </c>
    </row>
    <row r="297" spans="1:2">
      <c r="A297" s="11">
        <f>Returns!A297</f>
        <v>0</v>
      </c>
      <c r="B297" s="1">
        <f>MAX(CumRet!$B$2:$B$297)-CumRet!B297</f>
        <v>0</v>
      </c>
    </row>
    <row r="298" spans="1:2">
      <c r="A298" s="11">
        <f>Returns!A298</f>
        <v>0</v>
      </c>
      <c r="B298" s="1">
        <f>MAX(CumRet!$B$2:$B$298)-CumRet!B298</f>
        <v>0</v>
      </c>
    </row>
    <row r="299" spans="1:2">
      <c r="A299" s="11">
        <f>Returns!A299</f>
        <v>0</v>
      </c>
      <c r="B299" s="1">
        <f>MAX(CumRet!$B$2:$B$299)-CumRet!B299</f>
        <v>0</v>
      </c>
    </row>
    <row r="300" spans="1:2">
      <c r="A300" s="11">
        <f>Returns!A300</f>
        <v>0</v>
      </c>
      <c r="B300" s="1">
        <f>MAX(CumRet!$B$2:$B$300)-CumRet!B300</f>
        <v>0</v>
      </c>
    </row>
    <row r="301" spans="1:2">
      <c r="A301" s="11">
        <f>Returns!A301</f>
        <v>0</v>
      </c>
      <c r="B301" s="1">
        <f>MAX(CumRet!$B$2:$B$301)-CumRet!B301</f>
        <v>0</v>
      </c>
    </row>
    <row r="302" spans="1:2">
      <c r="A302" s="11">
        <f>Returns!A302</f>
        <v>0</v>
      </c>
      <c r="B302" s="1">
        <f>MAX(CumRet!$B$2:$B$302)-CumRet!B302</f>
        <v>0</v>
      </c>
    </row>
    <row r="303" spans="1:2">
      <c r="A303" s="11">
        <f>Returns!A303</f>
        <v>0</v>
      </c>
      <c r="B303" s="1">
        <f>MAX(CumRet!$B$2:$B$303)-CumRet!B303</f>
        <v>0</v>
      </c>
    </row>
    <row r="304" spans="1:2">
      <c r="A304" s="11">
        <f>Returns!A304</f>
        <v>0</v>
      </c>
      <c r="B304" s="1">
        <f>MAX(CumRet!$B$2:$B$304)-CumRet!B304</f>
        <v>0</v>
      </c>
    </row>
    <row r="305" spans="1:2">
      <c r="A305" s="11">
        <f>Returns!A305</f>
        <v>0</v>
      </c>
      <c r="B305" s="1">
        <f>MAX(CumRet!$B$2:$B$305)-CumRet!B305</f>
        <v>0</v>
      </c>
    </row>
    <row r="306" spans="1:2">
      <c r="A306" s="11">
        <f>Returns!A306</f>
        <v>0</v>
      </c>
      <c r="B306" s="1">
        <f>MAX(CumRet!$B$2:$B$306)-CumRet!B306</f>
        <v>0</v>
      </c>
    </row>
    <row r="307" spans="1:2">
      <c r="A307" s="11">
        <f>Returns!A307</f>
        <v>0</v>
      </c>
      <c r="B307" s="1">
        <f>MAX(CumRet!$B$2:$B$307)-CumRet!B307</f>
        <v>0</v>
      </c>
    </row>
    <row r="308" spans="1:2">
      <c r="A308" s="11">
        <f>Returns!A308</f>
        <v>0</v>
      </c>
      <c r="B308" s="1">
        <f>MAX(CumRet!$B$2:$B$308)-CumRet!B308</f>
        <v>0</v>
      </c>
    </row>
    <row r="309" spans="1:2">
      <c r="A309" s="11">
        <f>Returns!A309</f>
        <v>0</v>
      </c>
      <c r="B309" s="1">
        <f>MAX(CumRet!$B$2:$B$309)-CumRet!B309</f>
        <v>0</v>
      </c>
    </row>
    <row r="310" spans="1:2">
      <c r="A310" s="11">
        <f>Returns!A310</f>
        <v>0</v>
      </c>
      <c r="B310" s="1">
        <f>MAX(CumRet!$B$2:$B$310)-CumRet!B310</f>
        <v>0</v>
      </c>
    </row>
    <row r="311" spans="1:2">
      <c r="A311" s="11">
        <f>Returns!A311</f>
        <v>0</v>
      </c>
      <c r="B311" s="1">
        <f>MAX(CumRet!$B$2:$B$311)-CumRet!B311</f>
        <v>0</v>
      </c>
    </row>
    <row r="312" spans="1:2">
      <c r="A312" s="11">
        <f>Returns!A312</f>
        <v>0</v>
      </c>
      <c r="B312" s="1">
        <f>MAX(CumRet!$B$2:$B$312)-CumRet!B312</f>
        <v>0</v>
      </c>
    </row>
    <row r="313" spans="1:2">
      <c r="A313" s="11">
        <f>Returns!A313</f>
        <v>0</v>
      </c>
      <c r="B313" s="1">
        <f>MAX(CumRet!$B$2:$B$313)-CumRet!B313</f>
        <v>0</v>
      </c>
    </row>
    <row r="314" spans="1:2">
      <c r="A314" s="11">
        <f>Returns!A314</f>
        <v>0</v>
      </c>
      <c r="B314" s="1">
        <f>MAX(CumRet!$B$2:$B$314)-CumRet!B314</f>
        <v>0</v>
      </c>
    </row>
    <row r="315" spans="1:2">
      <c r="A315" s="11">
        <f>Returns!A315</f>
        <v>0</v>
      </c>
      <c r="B315" s="1">
        <f>MAX(CumRet!$B$2:$B$315)-CumRet!B315</f>
        <v>0</v>
      </c>
    </row>
    <row r="316" spans="1:2">
      <c r="A316" s="11">
        <f>Returns!A316</f>
        <v>0</v>
      </c>
      <c r="B316" s="1">
        <f>MAX(CumRet!$B$2:$B$316)-CumRet!B316</f>
        <v>0</v>
      </c>
    </row>
    <row r="317" spans="1:2">
      <c r="A317" s="11">
        <f>Returns!A317</f>
        <v>0</v>
      </c>
      <c r="B317" s="1">
        <f>MAX(CumRet!$B$2:$B$317)-CumRet!B317</f>
        <v>0</v>
      </c>
    </row>
    <row r="318" spans="1:2">
      <c r="A318" s="11">
        <f>Returns!A318</f>
        <v>0</v>
      </c>
      <c r="B318" s="1">
        <f>MAX(CumRet!$B$2:$B$318)-CumRet!B318</f>
        <v>0</v>
      </c>
    </row>
    <row r="319" spans="1:2">
      <c r="A319" s="11">
        <f>Returns!A319</f>
        <v>0</v>
      </c>
      <c r="B319" s="1">
        <f>MAX(CumRet!$B$2:$B$319)-CumRet!B319</f>
        <v>0</v>
      </c>
    </row>
    <row r="320" spans="1:2">
      <c r="A320" s="11">
        <f>Returns!A320</f>
        <v>0</v>
      </c>
      <c r="B320" s="1">
        <f>MAX(CumRet!$B$2:$B$320)-CumRet!B320</f>
        <v>0</v>
      </c>
    </row>
    <row r="321" spans="1:2">
      <c r="A321" s="11">
        <f>Returns!A321</f>
        <v>0</v>
      </c>
      <c r="B321" s="1">
        <f>MAX(CumRet!$B$2:$B$321)-CumRet!B321</f>
        <v>0</v>
      </c>
    </row>
    <row r="322" spans="1:2">
      <c r="A322" s="11">
        <f>Returns!A322</f>
        <v>0</v>
      </c>
      <c r="B322" s="1">
        <f>MAX(CumRet!$B$2:$B$322)-CumRet!B322</f>
        <v>0</v>
      </c>
    </row>
    <row r="323" spans="1:2">
      <c r="A323" s="11">
        <f>Returns!A323</f>
        <v>0</v>
      </c>
      <c r="B323" s="1">
        <f>MAX(CumRet!$B$2:$B$323)-CumRet!B323</f>
        <v>0</v>
      </c>
    </row>
    <row r="324" spans="1:2">
      <c r="A324" s="11">
        <f>Returns!A324</f>
        <v>0</v>
      </c>
      <c r="B324" s="1">
        <f>MAX(CumRet!$B$2:$B$324)-CumRet!B324</f>
        <v>0</v>
      </c>
    </row>
    <row r="325" spans="1:2">
      <c r="A325" s="11">
        <f>Returns!A325</f>
        <v>0</v>
      </c>
      <c r="B325" s="1">
        <f>MAX(CumRet!$B$2:$B$325)-CumRet!B325</f>
        <v>0</v>
      </c>
    </row>
    <row r="326" spans="1:2">
      <c r="A326" s="11">
        <f>Returns!A326</f>
        <v>0</v>
      </c>
      <c r="B326" s="1">
        <f>MAX(CumRet!$B$2:$B$326)-CumRet!B326</f>
        <v>0</v>
      </c>
    </row>
    <row r="327" spans="1:2">
      <c r="A327" s="11">
        <f>Returns!A327</f>
        <v>0</v>
      </c>
      <c r="B327" s="1">
        <f>MAX(CumRet!$B$2:$B$327)-CumRet!B327</f>
        <v>0</v>
      </c>
    </row>
    <row r="328" spans="1:2">
      <c r="A328" s="11">
        <f>Returns!A328</f>
        <v>0</v>
      </c>
      <c r="B328" s="1">
        <f>MAX(CumRet!$B$2:$B$328)-CumRet!B328</f>
        <v>0</v>
      </c>
    </row>
    <row r="329" spans="1:2">
      <c r="A329" s="11">
        <f>Returns!A329</f>
        <v>0</v>
      </c>
      <c r="B329" s="1">
        <f>MAX(CumRet!$B$2:$B$329)-CumRet!B329</f>
        <v>0</v>
      </c>
    </row>
    <row r="330" spans="1:2">
      <c r="A330" s="11">
        <f>Returns!A330</f>
        <v>0</v>
      </c>
      <c r="B330" s="1">
        <f>MAX(CumRet!$B$2:$B$330)-CumRet!B330</f>
        <v>0</v>
      </c>
    </row>
    <row r="331" spans="1:2">
      <c r="A331" s="11">
        <f>Returns!A331</f>
        <v>0</v>
      </c>
      <c r="B331" s="1">
        <f>MAX(CumRet!$B$2:$B$331)-CumRet!B331</f>
        <v>0</v>
      </c>
    </row>
    <row r="332" spans="1:2">
      <c r="A332" s="11">
        <f>Returns!A332</f>
        <v>0</v>
      </c>
      <c r="B332" s="1">
        <f>MAX(CumRet!$B$2:$B$332)-CumRet!B332</f>
        <v>0</v>
      </c>
    </row>
    <row r="333" spans="1:2">
      <c r="A333" s="11">
        <f>Returns!A333</f>
        <v>0</v>
      </c>
      <c r="B333" s="1">
        <f>MAX(CumRet!$B$2:$B$333)-CumRet!B333</f>
        <v>0</v>
      </c>
    </row>
    <row r="334" spans="1:2">
      <c r="A334" s="11">
        <f>Returns!A334</f>
        <v>0</v>
      </c>
      <c r="B334" s="1">
        <f>MAX(CumRet!$B$2:$B$334)-CumRet!B334</f>
        <v>0</v>
      </c>
    </row>
    <row r="335" spans="1:2">
      <c r="A335" s="11">
        <f>Returns!A335</f>
        <v>0</v>
      </c>
      <c r="B335" s="1">
        <f>MAX(CumRet!$B$2:$B$335)-CumRet!B335</f>
        <v>0</v>
      </c>
    </row>
    <row r="336" spans="1:2">
      <c r="A336" s="11">
        <f>Returns!A336</f>
        <v>0</v>
      </c>
      <c r="B336" s="1">
        <f>MAX(CumRet!$B$2:$B$336)-CumRet!B336</f>
        <v>0</v>
      </c>
    </row>
    <row r="337" spans="1:2">
      <c r="A337" s="11">
        <f>Returns!A337</f>
        <v>0</v>
      </c>
      <c r="B337" s="1">
        <f>MAX(CumRet!$B$2:$B$337)-CumRet!B337</f>
        <v>0</v>
      </c>
    </row>
    <row r="338" spans="1:2">
      <c r="A338" s="11">
        <f>Returns!A338</f>
        <v>0</v>
      </c>
      <c r="B338" s="1">
        <f>MAX(CumRet!$B$2:$B$338)-CumRet!B338</f>
        <v>0</v>
      </c>
    </row>
    <row r="339" spans="1:2">
      <c r="A339" s="11">
        <f>Returns!A339</f>
        <v>0</v>
      </c>
      <c r="B339" s="1">
        <f>MAX(CumRet!$B$2:$B$339)-CumRet!B339</f>
        <v>0</v>
      </c>
    </row>
    <row r="340" spans="1:2">
      <c r="A340" s="11">
        <f>Returns!A340</f>
        <v>0</v>
      </c>
      <c r="B340" s="1">
        <f>MAX(CumRet!$B$2:$B$340)-CumRet!B340</f>
        <v>0</v>
      </c>
    </row>
    <row r="341" spans="1:2">
      <c r="A341" s="11">
        <f>Returns!A341</f>
        <v>0</v>
      </c>
      <c r="B341" s="1">
        <f>MAX(CumRet!$B$2:$B$341)-CumRet!B341</f>
        <v>0</v>
      </c>
    </row>
    <row r="342" spans="1:2">
      <c r="A342" s="11">
        <f>Returns!A342</f>
        <v>0</v>
      </c>
      <c r="B342" s="1">
        <f>MAX(CumRet!$B$2:$B$342)-CumRet!B342</f>
        <v>0</v>
      </c>
    </row>
    <row r="343" spans="1:2">
      <c r="A343" s="11">
        <f>Returns!A343</f>
        <v>0</v>
      </c>
      <c r="B343" s="1">
        <f>MAX(CumRet!$B$2:$B$343)-CumRet!B343</f>
        <v>0</v>
      </c>
    </row>
    <row r="344" spans="1:2">
      <c r="A344" s="11">
        <f>Returns!A344</f>
        <v>0</v>
      </c>
      <c r="B344" s="1">
        <f>MAX(CumRet!$B$2:$B$344)-CumRet!B344</f>
        <v>0</v>
      </c>
    </row>
    <row r="345" spans="1:2">
      <c r="A345" s="11">
        <f>Returns!A345</f>
        <v>0</v>
      </c>
      <c r="B345" s="1">
        <f>MAX(CumRet!$B$2:$B$345)-CumRet!B345</f>
        <v>0</v>
      </c>
    </row>
    <row r="346" spans="1:2">
      <c r="A346" s="11">
        <f>Returns!A346</f>
        <v>0</v>
      </c>
      <c r="B346" s="1">
        <f>MAX(CumRet!$B$2:$B$346)-CumRet!B346</f>
        <v>0</v>
      </c>
    </row>
    <row r="347" spans="1:2">
      <c r="A347" s="11">
        <f>Returns!A347</f>
        <v>0</v>
      </c>
      <c r="B347" s="1">
        <f>MAX(CumRet!$B$2:$B$347)-CumRet!B347</f>
        <v>0</v>
      </c>
    </row>
    <row r="348" spans="1:2">
      <c r="A348" s="11">
        <f>Returns!A348</f>
        <v>0</v>
      </c>
      <c r="B348" s="1">
        <f>MAX(CumRet!$B$2:$B$348)-CumRet!B348</f>
        <v>0</v>
      </c>
    </row>
    <row r="349" spans="1:2">
      <c r="A349" s="11">
        <f>Returns!A349</f>
        <v>0</v>
      </c>
      <c r="B349" s="1">
        <f>MAX(CumRet!$B$2:$B$349)-CumRet!B349</f>
        <v>0</v>
      </c>
    </row>
    <row r="350" spans="1:2">
      <c r="A350" s="11">
        <f>Returns!A350</f>
        <v>0</v>
      </c>
      <c r="B350" s="1">
        <f>MAX(CumRet!$B$2:$B$350)-CumRet!B350</f>
        <v>0</v>
      </c>
    </row>
    <row r="351" spans="1:2">
      <c r="A351" s="11">
        <f>Returns!A351</f>
        <v>0</v>
      </c>
      <c r="B351" s="1">
        <f>MAX(CumRet!$B$2:$B$351)-CumRet!B351</f>
        <v>0</v>
      </c>
    </row>
    <row r="352" spans="1:2">
      <c r="A352" s="11">
        <f>Returns!A352</f>
        <v>0</v>
      </c>
      <c r="B352" s="1">
        <f>MAX(CumRet!$B$2:$B$352)-CumRet!B352</f>
        <v>0</v>
      </c>
    </row>
    <row r="353" spans="1:2">
      <c r="A353" s="11">
        <f>Returns!A353</f>
        <v>0</v>
      </c>
      <c r="B353" s="1">
        <f>MAX(CumRet!$B$2:$B$353)-CumRet!B353</f>
        <v>0</v>
      </c>
    </row>
    <row r="354" spans="1:2">
      <c r="A354" s="11">
        <f>Returns!A354</f>
        <v>0</v>
      </c>
      <c r="B354" s="1">
        <f>MAX(CumRet!$B$2:$B$354)-CumRet!B354</f>
        <v>0</v>
      </c>
    </row>
    <row r="355" spans="1:2">
      <c r="A355" s="11">
        <f>Returns!A355</f>
        <v>0</v>
      </c>
      <c r="B355" s="1">
        <f>MAX(CumRet!$B$2:$B$355)-CumRet!B355</f>
        <v>0</v>
      </c>
    </row>
    <row r="356" spans="1:2">
      <c r="A356" s="11">
        <f>Returns!A356</f>
        <v>0</v>
      </c>
      <c r="B356" s="1">
        <f>MAX(CumRet!$B$2:$B$356)-CumRet!B356</f>
        <v>0</v>
      </c>
    </row>
    <row r="357" spans="1:2">
      <c r="A357" s="11">
        <f>Returns!A357</f>
        <v>0</v>
      </c>
      <c r="B357" s="1">
        <f>MAX(CumRet!$B$2:$B$357)-CumRet!B357</f>
        <v>0</v>
      </c>
    </row>
    <row r="358" spans="1:2">
      <c r="A358" s="11">
        <f>Returns!A358</f>
        <v>0</v>
      </c>
      <c r="B358" s="1">
        <f>MAX(CumRet!$B$2:$B$358)-CumRet!B358</f>
        <v>0</v>
      </c>
    </row>
    <row r="359" spans="1:2">
      <c r="A359" s="11">
        <f>Returns!A359</f>
        <v>0</v>
      </c>
      <c r="B359" s="1">
        <f>MAX(CumRet!$B$2:$B$359)-CumRet!B359</f>
        <v>0</v>
      </c>
    </row>
    <row r="360" spans="1:2">
      <c r="A360" s="11">
        <f>Returns!A360</f>
        <v>0</v>
      </c>
      <c r="B360" s="1">
        <f>MAX(CumRet!$B$2:$B$360)-CumRet!B360</f>
        <v>0</v>
      </c>
    </row>
    <row r="361" spans="1:2">
      <c r="A361" s="11">
        <f>Returns!A361</f>
        <v>0</v>
      </c>
      <c r="B361" s="1">
        <f>MAX(CumRet!$B$2:$B$361)-CumRet!B361</f>
        <v>0</v>
      </c>
    </row>
    <row r="362" spans="1:2">
      <c r="A362" s="11">
        <f>Returns!A362</f>
        <v>0</v>
      </c>
      <c r="B362" s="1">
        <f>MAX(CumRet!$B$2:$B$362)-CumRet!B362</f>
        <v>0</v>
      </c>
    </row>
    <row r="363" spans="1:2">
      <c r="A363" s="11">
        <f>Returns!A363</f>
        <v>0</v>
      </c>
      <c r="B363" s="1">
        <f>MAX(CumRet!$B$2:$B$363)-CumRet!B363</f>
        <v>0</v>
      </c>
    </row>
    <row r="364" spans="1:2">
      <c r="A364" s="11">
        <f>Returns!A364</f>
        <v>0</v>
      </c>
      <c r="B364" s="1">
        <f>MAX(CumRet!$B$2:$B$364)-CumRet!B364</f>
        <v>0</v>
      </c>
    </row>
    <row r="365" spans="1:2">
      <c r="A365" s="11">
        <f>Returns!A365</f>
        <v>0</v>
      </c>
      <c r="B365" s="1">
        <f>MAX(CumRet!$B$2:$B$365)-CumRet!B365</f>
        <v>0</v>
      </c>
    </row>
    <row r="366" spans="1:2">
      <c r="A366" s="11">
        <f>Returns!A366</f>
        <v>0</v>
      </c>
      <c r="B366" s="1">
        <f>MAX(CumRet!$B$2:$B$366)-CumRet!B366</f>
        <v>0</v>
      </c>
    </row>
    <row r="367" spans="1:2">
      <c r="A367" s="11">
        <f>Returns!A367</f>
        <v>0</v>
      </c>
      <c r="B367" s="1">
        <f>MAX(CumRet!$B$2:$B$367)-CumRet!B367</f>
        <v>0</v>
      </c>
    </row>
    <row r="368" spans="1:2">
      <c r="A368" s="11">
        <f>Returns!A368</f>
        <v>0</v>
      </c>
      <c r="B368" s="1">
        <f>MAX(CumRet!$B$2:$B$368)-CumRet!B368</f>
        <v>0</v>
      </c>
    </row>
    <row r="369" spans="1:2">
      <c r="A369" s="11">
        <f>Returns!A369</f>
        <v>0</v>
      </c>
      <c r="B369" s="1">
        <f>MAX(CumRet!$B$2:$B$369)-CumRet!B369</f>
        <v>0</v>
      </c>
    </row>
    <row r="370" spans="1:2">
      <c r="A370" s="11">
        <f>Returns!A370</f>
        <v>0</v>
      </c>
      <c r="B370" s="1">
        <f>MAX(CumRet!$B$2:$B$370)-CumRet!B370</f>
        <v>0</v>
      </c>
    </row>
    <row r="371" spans="1:2">
      <c r="A371" s="11">
        <f>Returns!A371</f>
        <v>0</v>
      </c>
      <c r="B371" s="1">
        <f>MAX(CumRet!$B$2:$B$371)-CumRet!B371</f>
        <v>0</v>
      </c>
    </row>
    <row r="372" spans="1:2">
      <c r="A372" s="11">
        <f>Returns!A372</f>
        <v>0</v>
      </c>
      <c r="B372" s="1">
        <f>MAX(CumRet!$B$2:$B$372)-CumRet!B372</f>
        <v>0</v>
      </c>
    </row>
    <row r="373" spans="1:2">
      <c r="A373" s="11">
        <f>Returns!A373</f>
        <v>0</v>
      </c>
      <c r="B373" s="1">
        <f>MAX(CumRet!$B$2:$B$373)-CumRet!B373</f>
        <v>0</v>
      </c>
    </row>
    <row r="374" spans="1:2">
      <c r="A374" s="11">
        <f>Returns!A374</f>
        <v>0</v>
      </c>
      <c r="B374" s="1">
        <f>MAX(CumRet!$B$2:$B$374)-CumRet!B374</f>
        <v>0</v>
      </c>
    </row>
    <row r="375" spans="1:2">
      <c r="A375" s="11">
        <f>Returns!A375</f>
        <v>0</v>
      </c>
      <c r="B375" s="1">
        <f>MAX(CumRet!$B$2:$B$375)-CumRet!B375</f>
        <v>0</v>
      </c>
    </row>
    <row r="376" spans="1:2">
      <c r="A376" s="11">
        <f>Returns!A376</f>
        <v>0</v>
      </c>
      <c r="B376" s="1">
        <f>MAX(CumRet!$B$2:$B$376)-CumRet!B376</f>
        <v>0</v>
      </c>
    </row>
    <row r="377" spans="1:2">
      <c r="A377" s="11">
        <f>Returns!A377</f>
        <v>0</v>
      </c>
      <c r="B377" s="1">
        <f>MAX(CumRet!$B$2:$B$377)-CumRet!B377</f>
        <v>0</v>
      </c>
    </row>
    <row r="378" spans="1:2">
      <c r="A378" s="11">
        <f>Returns!A378</f>
        <v>0</v>
      </c>
      <c r="B378" s="1">
        <f>MAX(CumRet!$B$2:$B$378)-CumRet!B378</f>
        <v>0</v>
      </c>
    </row>
    <row r="379" spans="1:2">
      <c r="A379" s="11">
        <f>Returns!A379</f>
        <v>0</v>
      </c>
      <c r="B379" s="1">
        <f>MAX(CumRet!$B$2:$B$379)-CumRet!B379</f>
        <v>0</v>
      </c>
    </row>
    <row r="380" spans="1:2">
      <c r="A380" s="11">
        <f>Returns!A380</f>
        <v>0</v>
      </c>
      <c r="B380" s="1">
        <f>MAX(CumRet!$B$2:$B$380)-CumRet!B380</f>
        <v>0</v>
      </c>
    </row>
    <row r="381" spans="1:2">
      <c r="A381" s="11">
        <f>Returns!A381</f>
        <v>0</v>
      </c>
      <c r="B381" s="1">
        <f>MAX(CumRet!$B$2:$B$381)-CumRet!B381</f>
        <v>0</v>
      </c>
    </row>
    <row r="382" spans="1:2">
      <c r="A382" s="11">
        <f>Returns!A382</f>
        <v>0</v>
      </c>
      <c r="B382" s="1">
        <f>MAX(CumRet!$B$2:$B$382)-CumRet!B382</f>
        <v>0</v>
      </c>
    </row>
    <row r="383" spans="1:2">
      <c r="A383" s="11">
        <f>Returns!A383</f>
        <v>0</v>
      </c>
      <c r="B383" s="1">
        <f>MAX(CumRet!$B$2:$B$383)-CumRet!B383</f>
        <v>0</v>
      </c>
    </row>
    <row r="384" spans="1:2">
      <c r="A384" s="11">
        <f>Returns!A384</f>
        <v>0</v>
      </c>
      <c r="B384" s="1">
        <f>MAX(CumRet!$B$2:$B$384)-CumRet!B384</f>
        <v>0</v>
      </c>
    </row>
    <row r="385" spans="1:2">
      <c r="A385" s="11">
        <f>Returns!A385</f>
        <v>0</v>
      </c>
      <c r="B385" s="1">
        <f>MAX(CumRet!$B$2:$B$385)-CumRet!B385</f>
        <v>0</v>
      </c>
    </row>
    <row r="386" spans="1:2">
      <c r="A386" s="11">
        <f>Returns!A386</f>
        <v>0</v>
      </c>
      <c r="B386" s="1">
        <f>MAX(CumRet!$B$2:$B$386)-CumRet!B386</f>
        <v>0</v>
      </c>
    </row>
    <row r="387" spans="1:2">
      <c r="A387" s="11">
        <f>Returns!A387</f>
        <v>0</v>
      </c>
      <c r="B387" s="1">
        <f>MAX(CumRet!$B$2:$B$387)-CumRet!B387</f>
        <v>0</v>
      </c>
    </row>
    <row r="388" spans="1:2">
      <c r="A388" s="11">
        <f>Returns!A388</f>
        <v>0</v>
      </c>
      <c r="B388" s="1">
        <f>MAX(CumRet!$B$2:$B$388)-CumRet!B388</f>
        <v>0</v>
      </c>
    </row>
    <row r="389" spans="1:2">
      <c r="A389" s="11">
        <f>Returns!A389</f>
        <v>0</v>
      </c>
      <c r="B389" s="1">
        <f>MAX(CumRet!$B$2:$B$389)-CumRet!B389</f>
        <v>0</v>
      </c>
    </row>
    <row r="390" spans="1:2">
      <c r="A390" s="11">
        <f>Returns!A390</f>
        <v>0</v>
      </c>
      <c r="B390" s="1">
        <f>MAX(CumRet!$B$2:$B$390)-CumRet!B390</f>
        <v>0</v>
      </c>
    </row>
    <row r="391" spans="1:2">
      <c r="A391" s="11">
        <f>Returns!A391</f>
        <v>0</v>
      </c>
      <c r="B391" s="1">
        <f>MAX(CumRet!$B$2:$B$391)-CumRet!B391</f>
        <v>0</v>
      </c>
    </row>
    <row r="392" spans="1:2">
      <c r="A392" s="11">
        <f>Returns!A392</f>
        <v>0</v>
      </c>
      <c r="B392" s="1">
        <f>MAX(CumRet!$B$2:$B$392)-CumRet!B392</f>
        <v>0</v>
      </c>
    </row>
    <row r="393" spans="1:2">
      <c r="A393" s="11">
        <f>Returns!A393</f>
        <v>0</v>
      </c>
      <c r="B393" s="1">
        <f>MAX(CumRet!$B$2:$B$393)-CumRet!B393</f>
        <v>0</v>
      </c>
    </row>
    <row r="394" spans="1:2">
      <c r="A394" s="11">
        <f>Returns!A394</f>
        <v>0</v>
      </c>
      <c r="B394" s="1">
        <f>MAX(CumRet!$B$2:$B$394)-CumRet!B394</f>
        <v>0</v>
      </c>
    </row>
    <row r="395" spans="1:2">
      <c r="A395" s="11">
        <f>Returns!A395</f>
        <v>0</v>
      </c>
      <c r="B395" s="1">
        <f>MAX(CumRet!$B$2:$B$395)-CumRet!B395</f>
        <v>0</v>
      </c>
    </row>
    <row r="396" spans="1:2">
      <c r="A396" s="11">
        <f>Returns!A396</f>
        <v>0</v>
      </c>
      <c r="B396" s="1">
        <f>MAX(CumRet!$B$2:$B$396)-CumRet!B396</f>
        <v>0</v>
      </c>
    </row>
    <row r="397" spans="1:2">
      <c r="A397" s="11">
        <f>Returns!A397</f>
        <v>0</v>
      </c>
      <c r="B397" s="1">
        <f>MAX(CumRet!$B$2:$B$397)-CumRet!B397</f>
        <v>0</v>
      </c>
    </row>
    <row r="398" spans="1:2">
      <c r="A398" s="11">
        <f>Returns!A398</f>
        <v>0</v>
      </c>
      <c r="B398" s="1">
        <f>MAX(CumRet!$B$2:$B$398)-CumRet!B398</f>
        <v>0</v>
      </c>
    </row>
    <row r="399" spans="1:2">
      <c r="A399" s="11">
        <f>Returns!A399</f>
        <v>0</v>
      </c>
      <c r="B399" s="1">
        <f>MAX(CumRet!$B$2:$B$399)-CumRet!B399</f>
        <v>0</v>
      </c>
    </row>
    <row r="400" spans="1:2">
      <c r="A400" s="11">
        <f>Returns!A400</f>
        <v>0</v>
      </c>
      <c r="B400" s="1">
        <f>MAX(CumRet!$B$2:$B$400)-CumRet!B400</f>
        <v>0</v>
      </c>
    </row>
    <row r="401" spans="1:2">
      <c r="A401" s="11">
        <f>Returns!A401</f>
        <v>0</v>
      </c>
      <c r="B401" s="1">
        <f>MAX(CumRet!$B$2:$B$401)-CumRet!B401</f>
        <v>0</v>
      </c>
    </row>
    <row r="402" spans="1:2">
      <c r="A402" s="11">
        <f>Returns!A402</f>
        <v>0</v>
      </c>
      <c r="B402" s="1">
        <f>MAX(CumRet!$B$2:$B$402)-CumRet!B402</f>
        <v>0</v>
      </c>
    </row>
    <row r="403" spans="1:2">
      <c r="A403" s="11">
        <f>Returns!A403</f>
        <v>0</v>
      </c>
      <c r="B403" s="1">
        <f>MAX(CumRet!$B$2:$B$403)-CumRet!B403</f>
        <v>0</v>
      </c>
    </row>
    <row r="404" spans="1:2">
      <c r="A404" s="11">
        <f>Returns!A404</f>
        <v>0</v>
      </c>
      <c r="B404" s="1">
        <f>MAX(CumRet!$B$2:$B$404)-CumRet!B404</f>
        <v>0</v>
      </c>
    </row>
    <row r="405" spans="1:2">
      <c r="A405" s="11">
        <f>Returns!A405</f>
        <v>0</v>
      </c>
      <c r="B405" s="1">
        <f>MAX(CumRet!$B$2:$B$405)-CumRet!B405</f>
        <v>0</v>
      </c>
    </row>
    <row r="406" spans="1:2">
      <c r="A406" s="11">
        <f>Returns!A406</f>
        <v>0</v>
      </c>
      <c r="B406" s="1">
        <f>MAX(CumRet!$B$2:$B$406)-CumRet!B406</f>
        <v>0</v>
      </c>
    </row>
    <row r="407" spans="1:2">
      <c r="A407" s="11">
        <f>Returns!A407</f>
        <v>0</v>
      </c>
      <c r="B407" s="1">
        <f>MAX(CumRet!$B$2:$B$407)-CumRet!B407</f>
        <v>0</v>
      </c>
    </row>
    <row r="408" spans="1:2">
      <c r="A408" s="11">
        <f>Returns!A408</f>
        <v>0</v>
      </c>
      <c r="B408" s="1">
        <f>MAX(CumRet!$B$2:$B$408)-CumRet!B408</f>
        <v>0</v>
      </c>
    </row>
    <row r="409" spans="1:2">
      <c r="A409" s="11">
        <f>Returns!A409</f>
        <v>0</v>
      </c>
      <c r="B409" s="1">
        <f>MAX(CumRet!$B$2:$B$409)-CumRet!B409</f>
        <v>0</v>
      </c>
    </row>
    <row r="410" spans="1:2">
      <c r="A410" s="11">
        <f>Returns!A410</f>
        <v>0</v>
      </c>
      <c r="B410" s="1">
        <f>MAX(CumRet!$B$2:$B$410)-CumRet!B410</f>
        <v>0</v>
      </c>
    </row>
    <row r="411" spans="1:2">
      <c r="A411" s="11">
        <f>Returns!A411</f>
        <v>0</v>
      </c>
      <c r="B411" s="1">
        <f>MAX(CumRet!$B$2:$B$411)-CumRet!B411</f>
        <v>0</v>
      </c>
    </row>
    <row r="412" spans="1:2">
      <c r="A412" s="11">
        <f>Returns!A412</f>
        <v>0</v>
      </c>
      <c r="B412" s="1">
        <f>MAX(CumRet!$B$2:$B$412)-CumRet!B412</f>
        <v>0</v>
      </c>
    </row>
    <row r="413" spans="1:2">
      <c r="A413" s="11">
        <f>Returns!A413</f>
        <v>0</v>
      </c>
      <c r="B413" s="1">
        <f>MAX(CumRet!$B$2:$B$413)-CumRet!B413</f>
        <v>0</v>
      </c>
    </row>
    <row r="414" spans="1:2">
      <c r="A414" s="11">
        <f>Returns!A414</f>
        <v>0</v>
      </c>
      <c r="B414" s="1">
        <f>MAX(CumRet!$B$2:$B$414)-CumRet!B414</f>
        <v>0</v>
      </c>
    </row>
    <row r="415" spans="1:2">
      <c r="A415" s="11">
        <f>Returns!A415</f>
        <v>0</v>
      </c>
      <c r="B415" s="1">
        <f>MAX(CumRet!$B$2:$B$415)-CumRet!B415</f>
        <v>0</v>
      </c>
    </row>
    <row r="416" spans="1:2">
      <c r="A416" s="11">
        <f>Returns!A416</f>
        <v>0</v>
      </c>
      <c r="B416" s="1">
        <f>MAX(CumRet!$B$2:$B$416)-CumRet!B416</f>
        <v>0</v>
      </c>
    </row>
    <row r="417" spans="1:2">
      <c r="A417" s="11">
        <f>Returns!A417</f>
        <v>0</v>
      </c>
      <c r="B417" s="1">
        <f>MAX(CumRet!$B$2:$B$417)-CumRet!B417</f>
        <v>0</v>
      </c>
    </row>
    <row r="418" spans="1:2">
      <c r="A418" s="11">
        <f>Returns!A418</f>
        <v>0</v>
      </c>
      <c r="B418" s="1">
        <f>MAX(CumRet!$B$2:$B$418)-CumRet!B418</f>
        <v>0</v>
      </c>
    </row>
    <row r="419" spans="1:2">
      <c r="A419" s="11">
        <f>Returns!A419</f>
        <v>0</v>
      </c>
      <c r="B419" s="1">
        <f>MAX(CumRet!$B$2:$B$419)-CumRet!B419</f>
        <v>0</v>
      </c>
    </row>
    <row r="420" spans="1:2">
      <c r="A420" s="11">
        <f>Returns!A420</f>
        <v>0</v>
      </c>
      <c r="B420" s="1">
        <f>MAX(CumRet!$B$2:$B$420)-CumRet!B420</f>
        <v>0</v>
      </c>
    </row>
    <row r="421" spans="1:2">
      <c r="A421" s="11">
        <f>Returns!A421</f>
        <v>0</v>
      </c>
      <c r="B421" s="1">
        <f>MAX(CumRet!$B$2:$B$421)-CumRet!B421</f>
        <v>0</v>
      </c>
    </row>
    <row r="422" spans="1:2">
      <c r="A422" s="11">
        <f>Returns!A422</f>
        <v>0</v>
      </c>
      <c r="B422" s="1">
        <f>MAX(CumRet!$B$2:$B$422)-CumRet!B422</f>
        <v>0</v>
      </c>
    </row>
    <row r="423" spans="1:2">
      <c r="A423" s="11">
        <f>Returns!A423</f>
        <v>0</v>
      </c>
      <c r="B423" s="1">
        <f>MAX(CumRet!$B$2:$B$423)-CumRet!B423</f>
        <v>0</v>
      </c>
    </row>
    <row r="424" spans="1:2">
      <c r="A424" s="11">
        <f>Returns!A424</f>
        <v>0</v>
      </c>
      <c r="B424" s="1">
        <f>MAX(CumRet!$B$2:$B$424)-CumRet!B424</f>
        <v>0</v>
      </c>
    </row>
    <row r="425" spans="1:2">
      <c r="A425" s="11">
        <f>Returns!A425</f>
        <v>0</v>
      </c>
      <c r="B425" s="1">
        <f>MAX(CumRet!$B$2:$B$425)-CumRet!B425</f>
        <v>0</v>
      </c>
    </row>
    <row r="426" spans="1:2">
      <c r="A426" s="11">
        <f>Returns!A426</f>
        <v>0</v>
      </c>
      <c r="B426" s="1">
        <f>MAX(CumRet!$B$2:$B$426)-CumRet!B426</f>
        <v>0</v>
      </c>
    </row>
    <row r="427" spans="1:2">
      <c r="A427" s="11">
        <f>Returns!A427</f>
        <v>0</v>
      </c>
      <c r="B427" s="1">
        <f>MAX(CumRet!$B$2:$B$427)-CumRet!B427</f>
        <v>0</v>
      </c>
    </row>
    <row r="428" spans="1:2">
      <c r="A428" s="11">
        <f>Returns!A428</f>
        <v>0</v>
      </c>
      <c r="B428" s="1">
        <f>MAX(CumRet!$B$2:$B$428)-CumRet!B428</f>
        <v>0</v>
      </c>
    </row>
    <row r="429" spans="1:2">
      <c r="A429" s="11">
        <f>Returns!A429</f>
        <v>0</v>
      </c>
      <c r="B429" s="1">
        <f>MAX(CumRet!$B$2:$B$429)-CumRet!B429</f>
        <v>0</v>
      </c>
    </row>
    <row r="430" spans="1:2">
      <c r="A430" s="11">
        <f>Returns!A430</f>
        <v>0</v>
      </c>
      <c r="B430" s="1">
        <f>MAX(CumRet!$B$2:$B$430)-CumRet!B430</f>
        <v>0</v>
      </c>
    </row>
    <row r="431" spans="1:2">
      <c r="A431" s="11">
        <f>Returns!A431</f>
        <v>0</v>
      </c>
      <c r="B431" s="1">
        <f>MAX(CumRet!$B$2:$B$431)-CumRet!B431</f>
        <v>0</v>
      </c>
    </row>
    <row r="432" spans="1:2">
      <c r="A432" s="11">
        <f>Returns!A432</f>
        <v>0</v>
      </c>
      <c r="B432" s="1">
        <f>MAX(CumRet!$B$2:$B$432)-CumRet!B432</f>
        <v>0</v>
      </c>
    </row>
    <row r="433" spans="1:2">
      <c r="A433" s="11">
        <f>Returns!A433</f>
        <v>0</v>
      </c>
      <c r="B433" s="1">
        <f>MAX(CumRet!$B$2:$B$433)-CumRet!B433</f>
        <v>0</v>
      </c>
    </row>
    <row r="434" spans="1:2">
      <c r="A434" s="11">
        <f>Returns!A434</f>
        <v>0</v>
      </c>
      <c r="B434" s="1">
        <f>MAX(CumRet!$B$2:$B$434)-CumRet!B434</f>
        <v>0</v>
      </c>
    </row>
    <row r="435" spans="1:2">
      <c r="A435" s="11">
        <f>Returns!A435</f>
        <v>0</v>
      </c>
      <c r="B435" s="1">
        <f>MAX(CumRet!$B$2:$B$435)-CumRet!B435</f>
        <v>0</v>
      </c>
    </row>
    <row r="436" spans="1:2">
      <c r="A436" s="11">
        <f>Returns!A436</f>
        <v>0</v>
      </c>
      <c r="B436" s="1">
        <f>MAX(CumRet!$B$2:$B$436)-CumRet!B436</f>
        <v>0</v>
      </c>
    </row>
    <row r="437" spans="1:2">
      <c r="A437" s="11">
        <f>Returns!A437</f>
        <v>0</v>
      </c>
      <c r="B437" s="1">
        <f>MAX(CumRet!$B$2:$B$437)-CumRet!B437</f>
        <v>0</v>
      </c>
    </row>
    <row r="438" spans="1:2">
      <c r="A438" s="11">
        <f>Returns!A438</f>
        <v>0</v>
      </c>
      <c r="B438" s="1">
        <f>MAX(CumRet!$B$2:$B$438)-CumRet!B438</f>
        <v>0</v>
      </c>
    </row>
    <row r="439" spans="1:2">
      <c r="A439" s="11">
        <f>Returns!A439</f>
        <v>0</v>
      </c>
      <c r="B439" s="1">
        <f>MAX(CumRet!$B$2:$B$439)-CumRet!B439</f>
        <v>0</v>
      </c>
    </row>
    <row r="440" spans="1:2">
      <c r="A440" s="11">
        <f>Returns!A440</f>
        <v>0</v>
      </c>
      <c r="B440" s="1">
        <f>MAX(CumRet!$B$2:$B$440)-CumRet!B440</f>
        <v>0</v>
      </c>
    </row>
    <row r="441" spans="1:2">
      <c r="A441" s="11">
        <f>Returns!A441</f>
        <v>0</v>
      </c>
      <c r="B441" s="1">
        <f>MAX(CumRet!$B$2:$B$441)-CumRet!B441</f>
        <v>0</v>
      </c>
    </row>
    <row r="442" spans="1:2">
      <c r="A442" s="11">
        <f>Returns!A442</f>
        <v>0</v>
      </c>
      <c r="B442" s="1">
        <f>MAX(CumRet!$B$2:$B$442)-CumRet!B442</f>
        <v>0</v>
      </c>
    </row>
    <row r="443" spans="1:2">
      <c r="A443" s="11">
        <f>Returns!A443</f>
        <v>0</v>
      </c>
      <c r="B443" s="1">
        <f>MAX(CumRet!$B$2:$B$443)-CumRet!B443</f>
        <v>0</v>
      </c>
    </row>
    <row r="444" spans="1:2">
      <c r="A444" s="11">
        <f>Returns!A444</f>
        <v>0</v>
      </c>
      <c r="B444" s="1">
        <f>MAX(CumRet!$B$2:$B$444)-CumRet!B444</f>
        <v>0</v>
      </c>
    </row>
    <row r="445" spans="1:2">
      <c r="A445" s="11">
        <f>Returns!A445</f>
        <v>0</v>
      </c>
      <c r="B445" s="1">
        <f>MAX(CumRet!$B$2:$B$445)-CumRet!B445</f>
        <v>0</v>
      </c>
    </row>
    <row r="446" spans="1:2">
      <c r="A446" s="11">
        <f>Returns!A446</f>
        <v>0</v>
      </c>
      <c r="B446" s="1">
        <f>MAX(CumRet!$B$2:$B$446)-CumRet!B446</f>
        <v>0</v>
      </c>
    </row>
    <row r="447" spans="1:2">
      <c r="A447" s="11">
        <f>Returns!A447</f>
        <v>0</v>
      </c>
      <c r="B447" s="1">
        <f>MAX(CumRet!$B$2:$B$447)-CumRet!B447</f>
        <v>0</v>
      </c>
    </row>
    <row r="448" spans="1:2">
      <c r="A448" s="11">
        <f>Returns!A448</f>
        <v>0</v>
      </c>
      <c r="B448" s="1">
        <f>MAX(CumRet!$B$2:$B$448)-CumRet!B448</f>
        <v>0</v>
      </c>
    </row>
    <row r="449" spans="1:2">
      <c r="A449" s="11">
        <f>Returns!A449</f>
        <v>0</v>
      </c>
      <c r="B449" s="1">
        <f>MAX(CumRet!$B$2:$B$449)-CumRet!B449</f>
        <v>0</v>
      </c>
    </row>
    <row r="450" spans="1:2">
      <c r="A450" s="11">
        <f>Returns!A450</f>
        <v>0</v>
      </c>
      <c r="B450" s="1">
        <f>MAX(CumRet!$B$2:$B$450)-CumRet!B450</f>
        <v>0</v>
      </c>
    </row>
    <row r="451" spans="1:2">
      <c r="A451" s="11">
        <f>Returns!A451</f>
        <v>0</v>
      </c>
      <c r="B451" s="1">
        <f>MAX(CumRet!$B$2:$B$451)-CumRet!B451</f>
        <v>0</v>
      </c>
    </row>
    <row r="452" spans="1:2">
      <c r="A452" s="11">
        <f>Returns!A452</f>
        <v>0</v>
      </c>
      <c r="B452" s="1">
        <f>MAX(CumRet!$B$2:$B$452)-CumRet!B452</f>
        <v>0</v>
      </c>
    </row>
    <row r="453" spans="1:2">
      <c r="A453" s="11">
        <f>Returns!A453</f>
        <v>0</v>
      </c>
      <c r="B453" s="1">
        <f>MAX(CumRet!$B$2:$B$453)-CumRet!B453</f>
        <v>0</v>
      </c>
    </row>
    <row r="454" spans="1:2">
      <c r="A454" s="11">
        <f>Returns!A454</f>
        <v>0</v>
      </c>
      <c r="B454" s="1">
        <f>MAX(CumRet!$B$2:$B$454)-CumRet!B454</f>
        <v>0</v>
      </c>
    </row>
    <row r="455" spans="1:2">
      <c r="A455" s="11">
        <f>Returns!A455</f>
        <v>0</v>
      </c>
      <c r="B455" s="1">
        <f>MAX(CumRet!$B$2:$B$455)-CumRet!B455</f>
        <v>0</v>
      </c>
    </row>
    <row r="456" spans="1:2">
      <c r="A456" s="11">
        <f>Returns!A456</f>
        <v>0</v>
      </c>
      <c r="B456" s="1">
        <f>MAX(CumRet!$B$2:$B$456)-CumRet!B456</f>
        <v>0</v>
      </c>
    </row>
    <row r="457" spans="1:2">
      <c r="A457" s="11">
        <f>Returns!A457</f>
        <v>0</v>
      </c>
      <c r="B457" s="1">
        <f>MAX(CumRet!$B$2:$B$457)-CumRet!B457</f>
        <v>0</v>
      </c>
    </row>
    <row r="458" spans="1:2">
      <c r="A458" s="11">
        <f>Returns!A458</f>
        <v>0</v>
      </c>
      <c r="B458" s="1">
        <f>MAX(CumRet!$B$2:$B$458)-CumRet!B458</f>
        <v>0</v>
      </c>
    </row>
    <row r="459" spans="1:2">
      <c r="A459" s="11">
        <f>Returns!A459</f>
        <v>0</v>
      </c>
      <c r="B459" s="1">
        <f>MAX(CumRet!$B$2:$B$459)-CumRet!B459</f>
        <v>0</v>
      </c>
    </row>
    <row r="460" spans="1:2">
      <c r="A460" s="11">
        <f>Returns!A460</f>
        <v>0</v>
      </c>
      <c r="B460" s="1">
        <f>MAX(CumRet!$B$2:$B$460)-CumRet!B460</f>
        <v>0</v>
      </c>
    </row>
    <row r="461" spans="1:2">
      <c r="A461" s="11">
        <f>Returns!A461</f>
        <v>0</v>
      </c>
      <c r="B461" s="1">
        <f>MAX(CumRet!$B$2:$B$461)-CumRet!B461</f>
        <v>0</v>
      </c>
    </row>
    <row r="462" spans="1:2">
      <c r="A462" s="11">
        <f>Returns!A462</f>
        <v>0</v>
      </c>
      <c r="B462" s="1">
        <f>MAX(CumRet!$B$2:$B$462)-CumRet!B462</f>
        <v>0</v>
      </c>
    </row>
    <row r="463" spans="1:2">
      <c r="A463" s="11">
        <f>Returns!A463</f>
        <v>0</v>
      </c>
      <c r="B463" s="1">
        <f>MAX(CumRet!$B$2:$B$463)-CumRet!B463</f>
        <v>0</v>
      </c>
    </row>
    <row r="464" spans="1:2">
      <c r="A464" s="11">
        <f>Returns!A464</f>
        <v>0</v>
      </c>
      <c r="B464" s="1">
        <f>MAX(CumRet!$B$2:$B$464)-CumRet!B464</f>
        <v>0</v>
      </c>
    </row>
    <row r="465" spans="1:2">
      <c r="A465" s="11">
        <f>Returns!A465</f>
        <v>0</v>
      </c>
      <c r="B465" s="1">
        <f>MAX(CumRet!$B$2:$B$465)-CumRet!B465</f>
        <v>0</v>
      </c>
    </row>
    <row r="466" spans="1:2">
      <c r="A466" s="11">
        <f>Returns!A466</f>
        <v>0</v>
      </c>
      <c r="B466" s="1">
        <f>MAX(CumRet!$B$2:$B$466)-CumRet!B466</f>
        <v>0</v>
      </c>
    </row>
    <row r="467" spans="1:2">
      <c r="A467" s="11">
        <f>Returns!A467</f>
        <v>0</v>
      </c>
      <c r="B467" s="1">
        <f>MAX(CumRet!$B$2:$B$467)-CumRet!B467</f>
        <v>0</v>
      </c>
    </row>
    <row r="468" spans="1:2">
      <c r="A468" s="11">
        <f>Returns!A468</f>
        <v>0</v>
      </c>
      <c r="B468" s="1">
        <f>MAX(CumRet!$B$2:$B$468)-CumRet!B468</f>
        <v>0</v>
      </c>
    </row>
    <row r="469" spans="1:2">
      <c r="A469" s="11">
        <f>Returns!A469</f>
        <v>0</v>
      </c>
      <c r="B469" s="1">
        <f>MAX(CumRet!$B$2:$B$469)-CumRet!B469</f>
        <v>0</v>
      </c>
    </row>
    <row r="470" spans="1:2">
      <c r="A470" s="11">
        <f>Returns!A470</f>
        <v>0</v>
      </c>
      <c r="B470" s="1">
        <f>MAX(CumRet!$B$2:$B$470)-CumRet!B470</f>
        <v>0</v>
      </c>
    </row>
    <row r="471" spans="1:2">
      <c r="A471" s="11">
        <f>Returns!A471</f>
        <v>0</v>
      </c>
      <c r="B471" s="1">
        <f>MAX(CumRet!$B$2:$B$471)-CumRet!B471</f>
        <v>0</v>
      </c>
    </row>
    <row r="472" spans="1:2">
      <c r="A472" s="11">
        <f>Returns!A472</f>
        <v>0</v>
      </c>
      <c r="B472" s="1">
        <f>MAX(CumRet!$B$2:$B$472)-CumRet!B472</f>
        <v>0</v>
      </c>
    </row>
    <row r="473" spans="1:2">
      <c r="A473" s="11">
        <f>Returns!A473</f>
        <v>0</v>
      </c>
      <c r="B473" s="1">
        <f>MAX(CumRet!$B$2:$B$473)-CumRet!B473</f>
        <v>0</v>
      </c>
    </row>
    <row r="474" spans="1:2">
      <c r="A474" s="11">
        <f>Returns!A474</f>
        <v>0</v>
      </c>
      <c r="B474" s="1">
        <f>MAX(CumRet!$B$2:$B$474)-CumRet!B474</f>
        <v>0</v>
      </c>
    </row>
    <row r="475" spans="1:2">
      <c r="A475" s="11">
        <f>Returns!A475</f>
        <v>0</v>
      </c>
      <c r="B475" s="1">
        <f>MAX(CumRet!$B$2:$B$475)-CumRet!B475</f>
        <v>0</v>
      </c>
    </row>
    <row r="476" spans="1:2">
      <c r="A476" s="11">
        <f>Returns!A476</f>
        <v>0</v>
      </c>
      <c r="B476" s="1">
        <f>MAX(CumRet!$B$2:$B$476)-CumRet!B476</f>
        <v>0</v>
      </c>
    </row>
    <row r="477" spans="1:2">
      <c r="A477" s="11">
        <f>Returns!A477</f>
        <v>0</v>
      </c>
      <c r="B477" s="1">
        <f>MAX(CumRet!$B$2:$B$477)-CumRet!B477</f>
        <v>0</v>
      </c>
    </row>
    <row r="478" spans="1:2">
      <c r="A478" s="11">
        <f>Returns!A478</f>
        <v>0</v>
      </c>
      <c r="B478" s="1">
        <f>MAX(CumRet!$B$2:$B$478)-CumRet!B478</f>
        <v>0</v>
      </c>
    </row>
    <row r="479" spans="1:2">
      <c r="A479" s="11">
        <f>Returns!A479</f>
        <v>0</v>
      </c>
      <c r="B479" s="1">
        <f>MAX(CumRet!$B$2:$B$479)-CumRet!B479</f>
        <v>0</v>
      </c>
    </row>
    <row r="480" spans="1:2">
      <c r="A480" s="11">
        <f>Returns!A480</f>
        <v>0</v>
      </c>
      <c r="B480" s="1">
        <f>MAX(CumRet!$B$2:$B$480)-CumRet!B480</f>
        <v>0</v>
      </c>
    </row>
    <row r="481" spans="1:2">
      <c r="A481" s="11">
        <f>Returns!A481</f>
        <v>0</v>
      </c>
      <c r="B481" s="1">
        <f>MAX(CumRet!$B$2:$B$481)-CumRet!B481</f>
        <v>0</v>
      </c>
    </row>
    <row r="482" spans="1:2">
      <c r="A482" s="11">
        <f>Returns!A482</f>
        <v>0</v>
      </c>
      <c r="B482" s="1">
        <f>MAX(CumRet!$B$2:$B$482)-CumRet!B482</f>
        <v>0</v>
      </c>
    </row>
    <row r="483" spans="1:2">
      <c r="A483" s="11">
        <f>Returns!A483</f>
        <v>0</v>
      </c>
      <c r="B483" s="1">
        <f>MAX(CumRet!$B$2:$B$483)-CumRet!B483</f>
        <v>0</v>
      </c>
    </row>
    <row r="484" spans="1:2">
      <c r="A484" s="11">
        <f>Returns!A484</f>
        <v>0</v>
      </c>
      <c r="B484" s="1">
        <f>MAX(CumRet!$B$2:$B$484)-CumRet!B484</f>
        <v>0</v>
      </c>
    </row>
    <row r="485" spans="1:2">
      <c r="A485" s="11">
        <f>Returns!A485</f>
        <v>0</v>
      </c>
      <c r="B485" s="1">
        <f>MAX(CumRet!$B$2:$B$485)-CumRet!B485</f>
        <v>0</v>
      </c>
    </row>
    <row r="486" spans="1:2">
      <c r="A486" s="11">
        <f>Returns!A486</f>
        <v>0</v>
      </c>
      <c r="B486" s="1">
        <f>MAX(CumRet!$B$2:$B$486)-CumRet!B486</f>
        <v>0</v>
      </c>
    </row>
    <row r="487" spans="1:2">
      <c r="A487" s="11">
        <f>Returns!A487</f>
        <v>0</v>
      </c>
      <c r="B487" s="1">
        <f>MAX(CumRet!$B$2:$B$487)-CumRet!B487</f>
        <v>0</v>
      </c>
    </row>
    <row r="488" spans="1:2">
      <c r="A488" s="11">
        <f>Returns!A488</f>
        <v>0</v>
      </c>
      <c r="B488" s="1">
        <f>MAX(CumRet!$B$2:$B$488)-CumRet!B488</f>
        <v>0</v>
      </c>
    </row>
    <row r="489" spans="1:2">
      <c r="A489" s="11">
        <f>Returns!A489</f>
        <v>0</v>
      </c>
      <c r="B489" s="1">
        <f>MAX(CumRet!$B$2:$B$489)-CumRet!B489</f>
        <v>0</v>
      </c>
    </row>
    <row r="490" spans="1:2">
      <c r="A490" s="11">
        <f>Returns!A490</f>
        <v>0</v>
      </c>
      <c r="B490" s="1">
        <f>MAX(CumRet!$B$2:$B$490)-CumRet!B490</f>
        <v>0</v>
      </c>
    </row>
    <row r="491" spans="1:2">
      <c r="A491" s="11">
        <f>Returns!A491</f>
        <v>0</v>
      </c>
      <c r="B491" s="1">
        <f>MAX(CumRet!$B$2:$B$491)-CumRet!B491</f>
        <v>0</v>
      </c>
    </row>
    <row r="492" spans="1:2">
      <c r="A492" s="11">
        <f>Returns!A492</f>
        <v>0</v>
      </c>
      <c r="B492" s="1">
        <f>MAX(CumRet!$B$2:$B$492)-CumRet!B492</f>
        <v>0</v>
      </c>
    </row>
    <row r="493" spans="1:2">
      <c r="A493" s="11">
        <f>Returns!A493</f>
        <v>0</v>
      </c>
      <c r="B493" s="1">
        <f>MAX(CumRet!$B$2:$B$493)-CumRet!B493</f>
        <v>0</v>
      </c>
    </row>
    <row r="494" spans="1:2">
      <c r="A494" s="11">
        <f>Returns!A494</f>
        <v>0</v>
      </c>
      <c r="B494" s="1">
        <f>MAX(CumRet!$B$2:$B$494)-CumRet!B494</f>
        <v>0</v>
      </c>
    </row>
    <row r="495" spans="1:2">
      <c r="A495" s="11">
        <f>Returns!A495</f>
        <v>0</v>
      </c>
      <c r="B495" s="1">
        <f>MAX(CumRet!$B$2:$B$495)-CumRet!B495</f>
        <v>0</v>
      </c>
    </row>
    <row r="496" spans="1:2">
      <c r="A496" s="11">
        <f>Returns!A496</f>
        <v>0</v>
      </c>
      <c r="B496" s="1">
        <f>MAX(CumRet!$B$2:$B$496)-CumRet!B496</f>
        <v>0</v>
      </c>
    </row>
    <row r="497" spans="1:2">
      <c r="A497" s="11">
        <f>Returns!A497</f>
        <v>0</v>
      </c>
      <c r="B497" s="1">
        <f>MAX(CumRet!$B$2:$B$497)-CumRet!B497</f>
        <v>0</v>
      </c>
    </row>
    <row r="498" spans="1:2">
      <c r="A498" s="11">
        <f>Returns!A498</f>
        <v>0</v>
      </c>
      <c r="B498" s="1">
        <f>MAX(CumRet!$B$2:$B$498)-CumRet!B498</f>
        <v>0</v>
      </c>
    </row>
    <row r="499" spans="1:2">
      <c r="A499" s="11">
        <f>Returns!A499</f>
        <v>0</v>
      </c>
      <c r="B499" s="1">
        <f>MAX(CumRet!$B$2:$B$499)-CumRet!B499</f>
        <v>0</v>
      </c>
    </row>
    <row r="500" spans="1:2">
      <c r="A500" s="11">
        <f>Returns!A500</f>
        <v>0</v>
      </c>
      <c r="B500" s="1">
        <f>MAX(CumRet!$B$2:$B$500)-CumRet!B500</f>
        <v>0</v>
      </c>
    </row>
    <row r="501" spans="1:2">
      <c r="A501" s="11">
        <f>Returns!A501</f>
        <v>0</v>
      </c>
      <c r="B501" s="1">
        <f>MAX(CumRet!$B$2:$B$501)-CumRet!B501</f>
        <v>0</v>
      </c>
    </row>
    <row r="502" spans="1:2">
      <c r="A502" s="11">
        <f>Returns!A502</f>
        <v>0</v>
      </c>
      <c r="B502" s="1">
        <f>MAX(CumRet!$B$2:$B$502)-CumRet!B502</f>
        <v>0</v>
      </c>
    </row>
    <row r="503" spans="1:2">
      <c r="A503" s="11">
        <f>Returns!A503</f>
        <v>0</v>
      </c>
      <c r="B503" s="1">
        <f>MAX(CumRet!$B$2:$B$503)-CumRet!B503</f>
        <v>0</v>
      </c>
    </row>
    <row r="504" spans="1:2">
      <c r="A504" s="11">
        <f>Returns!A504</f>
        <v>0</v>
      </c>
      <c r="B504" s="1">
        <f>MAX(CumRet!$B$2:$B$504)-CumRet!B504</f>
        <v>0</v>
      </c>
    </row>
    <row r="505" spans="1:2">
      <c r="A505" s="11">
        <f>Returns!A505</f>
        <v>0</v>
      </c>
      <c r="B505" s="1">
        <f>MAX(CumRet!$B$2:$B$505)-CumRet!B505</f>
        <v>0</v>
      </c>
    </row>
    <row r="506" spans="1:2">
      <c r="A506" s="11">
        <f>Returns!A506</f>
        <v>0</v>
      </c>
      <c r="B506" s="1">
        <f>MAX(CumRet!$B$2:$B$506)-CumRet!B506</f>
        <v>0</v>
      </c>
    </row>
    <row r="507" spans="1:2">
      <c r="A507" s="11">
        <f>Returns!A507</f>
        <v>0</v>
      </c>
      <c r="B507" s="1">
        <f>MAX(CumRet!$B$2:$B$507)-CumRet!B507</f>
        <v>0</v>
      </c>
    </row>
    <row r="508" spans="1:2">
      <c r="A508" s="11">
        <f>Returns!A508</f>
        <v>0</v>
      </c>
      <c r="B508" s="1">
        <f>MAX(CumRet!$B$2:$B$508)-CumRet!B508</f>
        <v>0</v>
      </c>
    </row>
    <row r="509" spans="1:2">
      <c r="A509" s="11">
        <f>Returns!A509</f>
        <v>0</v>
      </c>
      <c r="B509" s="1">
        <f>MAX(CumRet!$B$2:$B$509)-CumRet!B509</f>
        <v>0</v>
      </c>
    </row>
    <row r="510" spans="1:2">
      <c r="A510" s="11">
        <f>Returns!A510</f>
        <v>0</v>
      </c>
      <c r="B510" s="1">
        <f>MAX(CumRet!$B$2:$B$510)-CumRet!B510</f>
        <v>0</v>
      </c>
    </row>
    <row r="511" spans="1:2">
      <c r="A511" s="11">
        <f>Returns!A511</f>
        <v>0</v>
      </c>
      <c r="B511" s="1">
        <f>MAX(CumRet!$B$2:$B$511)-CumRet!B511</f>
        <v>0</v>
      </c>
    </row>
    <row r="512" spans="1:2">
      <c r="A512" s="11">
        <f>Returns!A512</f>
        <v>0</v>
      </c>
      <c r="B512" s="1">
        <f>MAX(CumRet!$B$2:$B$512)-CumRet!B512</f>
        <v>0</v>
      </c>
    </row>
    <row r="513" spans="1:2">
      <c r="A513" s="11">
        <f>Returns!A513</f>
        <v>0</v>
      </c>
      <c r="B513" s="1">
        <f>MAX(CumRet!$B$2:$B$513)-CumRet!B513</f>
        <v>0</v>
      </c>
    </row>
    <row r="514" spans="1:2">
      <c r="A514" s="11">
        <f>Returns!A514</f>
        <v>0</v>
      </c>
      <c r="B514" s="1">
        <f>MAX(CumRet!$B$2:$B$514)-CumRet!B514</f>
        <v>0</v>
      </c>
    </row>
    <row r="515" spans="1:2">
      <c r="A515" s="11">
        <f>Returns!A515</f>
        <v>0</v>
      </c>
      <c r="B515" s="1">
        <f>MAX(CumRet!$B$2:$B$515)-CumRet!B515</f>
        <v>0</v>
      </c>
    </row>
    <row r="516" spans="1:2">
      <c r="A516" s="11">
        <f>Returns!A516</f>
        <v>0</v>
      </c>
      <c r="B516" s="1">
        <f>MAX(CumRet!$B$2:$B$516)-CumRet!B516</f>
        <v>0</v>
      </c>
    </row>
    <row r="517" spans="1:2">
      <c r="A517" s="11">
        <f>Returns!A517</f>
        <v>0</v>
      </c>
      <c r="B517" s="1">
        <f>MAX(CumRet!$B$2:$B$517)-CumRet!B517</f>
        <v>0</v>
      </c>
    </row>
    <row r="518" spans="1:2">
      <c r="A518" s="11">
        <f>Returns!A518</f>
        <v>0</v>
      </c>
      <c r="B518" s="1">
        <f>MAX(CumRet!$B$2:$B$518)-CumRet!B518</f>
        <v>0</v>
      </c>
    </row>
    <row r="519" spans="1:2">
      <c r="A519" s="11">
        <f>Returns!A519</f>
        <v>0</v>
      </c>
      <c r="B519" s="1">
        <f>MAX(CumRet!$B$2:$B$519)-CumRet!B519</f>
        <v>0</v>
      </c>
    </row>
    <row r="520" spans="1:2">
      <c r="A520" s="11">
        <f>Returns!A520</f>
        <v>0</v>
      </c>
      <c r="B520" s="1">
        <f>MAX(CumRet!$B$2:$B$520)-CumRet!B520</f>
        <v>0</v>
      </c>
    </row>
    <row r="521" spans="1:2">
      <c r="A521" s="11">
        <f>Returns!A521</f>
        <v>0</v>
      </c>
      <c r="B521" s="1">
        <f>MAX(CumRet!$B$2:$B$521)-CumRet!B521</f>
        <v>0</v>
      </c>
    </row>
    <row r="522" spans="1:2">
      <c r="A522" s="11">
        <f>Returns!A522</f>
        <v>0</v>
      </c>
      <c r="B522" s="1">
        <f>MAX(CumRet!$B$2:$B$522)-CumRet!B522</f>
        <v>0</v>
      </c>
    </row>
    <row r="523" spans="1:2">
      <c r="A523" s="11">
        <f>Returns!A523</f>
        <v>0</v>
      </c>
      <c r="B523" s="1">
        <f>MAX(CumRet!$B$2:$B$523)-CumRet!B523</f>
        <v>0</v>
      </c>
    </row>
    <row r="524" spans="1:2">
      <c r="A524" s="11">
        <f>Returns!A524</f>
        <v>0</v>
      </c>
      <c r="B524" s="1">
        <f>MAX(CumRet!$B$2:$B$524)-CumRet!B524</f>
        <v>0</v>
      </c>
    </row>
    <row r="525" spans="1:2">
      <c r="A525" s="11">
        <f>Returns!A525</f>
        <v>0</v>
      </c>
      <c r="B525" s="1">
        <f>MAX(CumRet!$B$2:$B$525)-CumRet!B525</f>
        <v>0</v>
      </c>
    </row>
    <row r="526" spans="1:2">
      <c r="A526" s="11">
        <f>Returns!A526</f>
        <v>0</v>
      </c>
      <c r="B526" s="1">
        <f>MAX(CumRet!$B$2:$B$526)-CumRet!B526</f>
        <v>0</v>
      </c>
    </row>
    <row r="527" spans="1:2">
      <c r="A527" s="11">
        <f>Returns!A527</f>
        <v>0</v>
      </c>
      <c r="B527" s="1">
        <f>MAX(CumRet!$B$2:$B$527)-CumRet!B527</f>
        <v>0</v>
      </c>
    </row>
    <row r="528" spans="1:2">
      <c r="A528" s="11">
        <f>Returns!A528</f>
        <v>0</v>
      </c>
      <c r="B528" s="1">
        <f>MAX(CumRet!$B$2:$B$528)-CumRet!B528</f>
        <v>0</v>
      </c>
    </row>
    <row r="529" spans="1:2">
      <c r="A529" s="11">
        <f>Returns!A529</f>
        <v>0</v>
      </c>
      <c r="B529" s="1">
        <f>MAX(CumRet!$B$2:$B$529)-CumRet!B529</f>
        <v>0</v>
      </c>
    </row>
    <row r="530" spans="1:2">
      <c r="A530" s="11">
        <f>Returns!A530</f>
        <v>0</v>
      </c>
      <c r="B530" s="1">
        <f>MAX(CumRet!$B$2:$B$530)-CumRet!B530</f>
        <v>0</v>
      </c>
    </row>
    <row r="531" spans="1:2">
      <c r="A531" s="11">
        <f>Returns!A531</f>
        <v>0</v>
      </c>
      <c r="B531" s="1">
        <f>MAX(CumRet!$B$2:$B$531)-CumRet!B531</f>
        <v>0</v>
      </c>
    </row>
    <row r="532" spans="1:2">
      <c r="A532" s="11">
        <f>Returns!A532</f>
        <v>0</v>
      </c>
      <c r="B532" s="1">
        <f>MAX(CumRet!$B$2:$B$532)-CumRet!B532</f>
        <v>0</v>
      </c>
    </row>
    <row r="533" spans="1:2">
      <c r="A533" s="11">
        <f>Returns!A533</f>
        <v>0</v>
      </c>
      <c r="B533" s="1">
        <f>MAX(CumRet!$B$2:$B$533)-CumRet!B533</f>
        <v>0</v>
      </c>
    </row>
    <row r="534" spans="1:2">
      <c r="A534" s="11">
        <f>Returns!A534</f>
        <v>0</v>
      </c>
      <c r="B534" s="1">
        <f>MAX(CumRet!$B$2:$B$534)-CumRet!B534</f>
        <v>0</v>
      </c>
    </row>
    <row r="535" spans="1:2">
      <c r="A535" s="11">
        <f>Returns!A535</f>
        <v>0</v>
      </c>
      <c r="B535" s="1">
        <f>MAX(CumRet!$B$2:$B$535)-CumRet!B535</f>
        <v>0</v>
      </c>
    </row>
    <row r="536" spans="1:2">
      <c r="A536" s="11">
        <f>Returns!A536</f>
        <v>0</v>
      </c>
      <c r="B536" s="1">
        <f>MAX(CumRet!$B$2:$B$536)-CumRet!B536</f>
        <v>0</v>
      </c>
    </row>
    <row r="537" spans="1:2">
      <c r="A537" s="11">
        <f>Returns!A537</f>
        <v>0</v>
      </c>
      <c r="B537" s="1">
        <f>MAX(CumRet!$B$2:$B$537)-CumRet!B537</f>
        <v>0</v>
      </c>
    </row>
    <row r="538" spans="1:2">
      <c r="A538" s="11">
        <f>Returns!A538</f>
        <v>0</v>
      </c>
      <c r="B538" s="1">
        <f>MAX(CumRet!$B$2:$B$538)-CumRet!B538</f>
        <v>0</v>
      </c>
    </row>
    <row r="539" spans="1:2">
      <c r="A539" s="11">
        <f>Returns!A539</f>
        <v>0</v>
      </c>
      <c r="B539" s="1">
        <f>MAX(CumRet!$B$2:$B$539)-CumRet!B539</f>
        <v>0</v>
      </c>
    </row>
    <row r="540" spans="1:2">
      <c r="A540" s="11">
        <f>Returns!A540</f>
        <v>0</v>
      </c>
      <c r="B540" s="1">
        <f>MAX(CumRet!$B$2:$B$540)-CumRet!B540</f>
        <v>0</v>
      </c>
    </row>
    <row r="541" spans="1:2">
      <c r="A541" s="11">
        <f>Returns!A541</f>
        <v>0</v>
      </c>
      <c r="B541" s="1">
        <f>MAX(CumRet!$B$2:$B$541)-CumRet!B541</f>
        <v>0</v>
      </c>
    </row>
    <row r="542" spans="1:2">
      <c r="A542" s="11">
        <f>Returns!A542</f>
        <v>0</v>
      </c>
      <c r="B542" s="1">
        <f>MAX(CumRet!$B$2:$B$542)-CumRet!B542</f>
        <v>0</v>
      </c>
    </row>
    <row r="543" spans="1:2">
      <c r="A543" s="11">
        <f>Returns!A543</f>
        <v>0</v>
      </c>
      <c r="B543" s="1">
        <f>MAX(CumRet!$B$2:$B$543)-CumRet!B543</f>
        <v>0</v>
      </c>
    </row>
    <row r="544" spans="1:2">
      <c r="A544" s="11">
        <f>Returns!A544</f>
        <v>0</v>
      </c>
      <c r="B544" s="1">
        <f>MAX(CumRet!$B$2:$B$544)-CumRet!B544</f>
        <v>0</v>
      </c>
    </row>
    <row r="545" spans="1:2">
      <c r="A545" s="11">
        <f>Returns!A545</f>
        <v>0</v>
      </c>
      <c r="B545" s="1">
        <f>MAX(CumRet!$B$2:$B$545)-CumRet!B545</f>
        <v>0</v>
      </c>
    </row>
    <row r="546" spans="1:2">
      <c r="A546" s="11">
        <f>Returns!A546</f>
        <v>0</v>
      </c>
      <c r="B546" s="1">
        <f>MAX(CumRet!$B$2:$B$546)-CumRet!B546</f>
        <v>0</v>
      </c>
    </row>
    <row r="547" spans="1:2">
      <c r="A547" s="11">
        <f>Returns!A547</f>
        <v>0</v>
      </c>
      <c r="B547" s="1">
        <f>MAX(CumRet!$B$2:$B$547)-CumRet!B547</f>
        <v>0</v>
      </c>
    </row>
    <row r="548" spans="1:2">
      <c r="A548" s="11">
        <f>Returns!A548</f>
        <v>0</v>
      </c>
      <c r="B548" s="1">
        <f>MAX(CumRet!$B$2:$B$548)-CumRet!B548</f>
        <v>0</v>
      </c>
    </row>
    <row r="549" spans="1:2">
      <c r="A549" s="11">
        <f>Returns!A549</f>
        <v>0</v>
      </c>
      <c r="B549" s="1">
        <f>MAX(CumRet!$B$2:$B$549)-CumRet!B549</f>
        <v>0</v>
      </c>
    </row>
    <row r="550" spans="1:2">
      <c r="A550" s="11">
        <f>Returns!A550</f>
        <v>0</v>
      </c>
      <c r="B550" s="1">
        <f>MAX(CumRet!$B$2:$B$550)-CumRet!B550</f>
        <v>0</v>
      </c>
    </row>
    <row r="551" spans="1:2">
      <c r="A551" s="11">
        <f>Returns!A551</f>
        <v>0</v>
      </c>
      <c r="B551" s="1">
        <f>MAX(CumRet!$B$2:$B$551)-CumRet!B551</f>
        <v>0</v>
      </c>
    </row>
    <row r="552" spans="1:2">
      <c r="A552" s="11">
        <f>Returns!A552</f>
        <v>0</v>
      </c>
      <c r="B552" s="1">
        <f>MAX(CumRet!$B$2:$B$552)-CumRet!B552</f>
        <v>0</v>
      </c>
    </row>
    <row r="553" spans="1:2">
      <c r="A553" s="11">
        <f>Returns!A553</f>
        <v>0</v>
      </c>
      <c r="B553" s="1">
        <f>MAX(CumRet!$B$2:$B$553)-CumRet!B553</f>
        <v>0</v>
      </c>
    </row>
    <row r="554" spans="1:2">
      <c r="A554" s="11">
        <f>Returns!A554</f>
        <v>0</v>
      </c>
      <c r="B554" s="1">
        <f>MAX(CumRet!$B$2:$B$554)-CumRet!B554</f>
        <v>0</v>
      </c>
    </row>
    <row r="555" spans="1:2">
      <c r="A555" s="11">
        <f>Returns!A555</f>
        <v>0</v>
      </c>
      <c r="B555" s="1">
        <f>MAX(CumRet!$B$2:$B$555)-CumRet!B555</f>
        <v>0</v>
      </c>
    </row>
    <row r="556" spans="1:2">
      <c r="A556" s="11">
        <f>Returns!A556</f>
        <v>0</v>
      </c>
      <c r="B556" s="1">
        <f>MAX(CumRet!$B$2:$B$556)-CumRet!B556</f>
        <v>0</v>
      </c>
    </row>
    <row r="557" spans="1:2">
      <c r="A557" s="11">
        <f>Returns!A557</f>
        <v>0</v>
      </c>
      <c r="B557" s="1">
        <f>MAX(CumRet!$B$2:$B$557)-CumRet!B557</f>
        <v>0</v>
      </c>
    </row>
    <row r="558" spans="1:2">
      <c r="A558" s="11">
        <f>Returns!A558</f>
        <v>0</v>
      </c>
      <c r="B558" s="1">
        <f>MAX(CumRet!$B$2:$B$558)-CumRet!B558</f>
        <v>0</v>
      </c>
    </row>
    <row r="559" spans="1:2">
      <c r="A559" s="11">
        <f>Returns!A559</f>
        <v>0</v>
      </c>
      <c r="B559" s="1">
        <f>MAX(CumRet!$B$2:$B$559)-CumRet!B559</f>
        <v>0</v>
      </c>
    </row>
    <row r="560" spans="1:2">
      <c r="A560" s="11">
        <f>Returns!A560</f>
        <v>0</v>
      </c>
      <c r="B560" s="1">
        <f>MAX(CumRet!$B$2:$B$560)-CumRet!B560</f>
        <v>0</v>
      </c>
    </row>
    <row r="561" spans="1:2">
      <c r="A561" s="11">
        <f>Returns!A561</f>
        <v>0</v>
      </c>
      <c r="B561" s="1">
        <f>MAX(CumRet!$B$2:$B$561)-CumRet!B561</f>
        <v>0</v>
      </c>
    </row>
    <row r="562" spans="1:2">
      <c r="A562" s="11">
        <f>Returns!A562</f>
        <v>0</v>
      </c>
      <c r="B562" s="1">
        <f>MAX(CumRet!$B$2:$B$562)-CumRet!B562</f>
        <v>0</v>
      </c>
    </row>
    <row r="563" spans="1:2">
      <c r="A563" s="11">
        <f>Returns!A563</f>
        <v>0</v>
      </c>
      <c r="B563" s="1">
        <f>MAX(CumRet!$B$2:$B$563)-CumRet!B563</f>
        <v>0</v>
      </c>
    </row>
    <row r="564" spans="1:2">
      <c r="A564" s="11">
        <f>Returns!A564</f>
        <v>0</v>
      </c>
      <c r="B564" s="1">
        <f>MAX(CumRet!$B$2:$B$564)-CumRet!B564</f>
        <v>0</v>
      </c>
    </row>
    <row r="565" spans="1:2">
      <c r="A565" s="11">
        <f>Returns!A565</f>
        <v>0</v>
      </c>
      <c r="B565" s="1">
        <f>MAX(CumRet!$B$2:$B$565)-CumRet!B565</f>
        <v>0</v>
      </c>
    </row>
    <row r="566" spans="1:2">
      <c r="A566" s="11">
        <f>Returns!A566</f>
        <v>0</v>
      </c>
      <c r="B566" s="1">
        <f>MAX(CumRet!$B$2:$B$566)-CumRet!B566</f>
        <v>0</v>
      </c>
    </row>
    <row r="567" spans="1:2">
      <c r="A567" s="11">
        <f>Returns!A567</f>
        <v>0</v>
      </c>
      <c r="B567" s="1">
        <f>MAX(CumRet!$B$2:$B$567)-CumRet!B567</f>
        <v>0</v>
      </c>
    </row>
    <row r="568" spans="1:2">
      <c r="A568" s="11">
        <f>Returns!A568</f>
        <v>0</v>
      </c>
      <c r="B568" s="1">
        <f>MAX(CumRet!$B$2:$B$568)-CumRet!B568</f>
        <v>0</v>
      </c>
    </row>
    <row r="569" spans="1:2">
      <c r="A569" s="11">
        <f>Returns!A569</f>
        <v>0</v>
      </c>
      <c r="B569" s="1">
        <f>MAX(CumRet!$B$2:$B$569)-CumRet!B569</f>
        <v>0</v>
      </c>
    </row>
    <row r="570" spans="1:2">
      <c r="A570" s="11">
        <f>Returns!A570</f>
        <v>0</v>
      </c>
      <c r="B570" s="1">
        <f>MAX(CumRet!$B$2:$B$570)-CumRet!B570</f>
        <v>0</v>
      </c>
    </row>
    <row r="571" spans="1:2">
      <c r="A571" s="11">
        <f>Returns!A571</f>
        <v>0</v>
      </c>
      <c r="B571" s="1">
        <f>MAX(CumRet!$B$2:$B$571)-CumRet!B571</f>
        <v>0</v>
      </c>
    </row>
    <row r="572" spans="1:2">
      <c r="A572" s="11">
        <f>Returns!A572</f>
        <v>0</v>
      </c>
      <c r="B572" s="1">
        <f>MAX(CumRet!$B$2:$B$572)-CumRet!B572</f>
        <v>0</v>
      </c>
    </row>
    <row r="573" spans="1:2">
      <c r="A573" s="11">
        <f>Returns!A573</f>
        <v>0</v>
      </c>
      <c r="B573" s="1">
        <f>MAX(CumRet!$B$2:$B$573)-CumRet!B573</f>
        <v>0</v>
      </c>
    </row>
    <row r="574" spans="1:2">
      <c r="A574" s="11">
        <f>Returns!A574</f>
        <v>0</v>
      </c>
      <c r="B574" s="1">
        <f>MAX(CumRet!$B$2:$B$574)-CumRet!B574</f>
        <v>0</v>
      </c>
    </row>
    <row r="575" spans="1:2">
      <c r="A575" s="11">
        <f>Returns!A575</f>
        <v>0</v>
      </c>
      <c r="B575" s="1">
        <f>MAX(CumRet!$B$2:$B$575)-CumRet!B575</f>
        <v>0</v>
      </c>
    </row>
    <row r="576" spans="1:2">
      <c r="A576" s="11">
        <f>Returns!A576</f>
        <v>0</v>
      </c>
      <c r="B576" s="1">
        <f>MAX(CumRet!$B$2:$B$576)-CumRet!B576</f>
        <v>0</v>
      </c>
    </row>
    <row r="577" spans="1:2">
      <c r="A577" s="11">
        <f>Returns!A577</f>
        <v>0</v>
      </c>
      <c r="B577" s="1">
        <f>MAX(CumRet!$B$2:$B$577)-CumRet!B577</f>
        <v>0</v>
      </c>
    </row>
    <row r="578" spans="1:2">
      <c r="A578" s="11">
        <f>Returns!A578</f>
        <v>0</v>
      </c>
      <c r="B578" s="1">
        <f>MAX(CumRet!$B$2:$B$578)-CumRet!B578</f>
        <v>0</v>
      </c>
    </row>
    <row r="579" spans="1:2">
      <c r="A579" s="11">
        <f>Returns!A579</f>
        <v>0</v>
      </c>
      <c r="B579" s="1">
        <f>MAX(CumRet!$B$2:$B$579)-CumRet!B579</f>
        <v>0</v>
      </c>
    </row>
    <row r="580" spans="1:2">
      <c r="A580" s="11">
        <f>Returns!A580</f>
        <v>0</v>
      </c>
      <c r="B580" s="1">
        <f>MAX(CumRet!$B$2:$B$580)-CumRet!B580</f>
        <v>0</v>
      </c>
    </row>
    <row r="581" spans="1:2">
      <c r="A581" s="11">
        <f>Returns!A581</f>
        <v>0</v>
      </c>
      <c r="B581" s="1">
        <f>MAX(CumRet!$B$2:$B$581)-CumRet!B581</f>
        <v>0</v>
      </c>
    </row>
    <row r="582" spans="1:2">
      <c r="A582" s="11">
        <f>Returns!A582</f>
        <v>0</v>
      </c>
      <c r="B582" s="1">
        <f>MAX(CumRet!$B$2:$B$582)-CumRet!B582</f>
        <v>0</v>
      </c>
    </row>
    <row r="583" spans="1:2">
      <c r="A583" s="11">
        <f>Returns!A583</f>
        <v>0</v>
      </c>
      <c r="B583" s="1">
        <f>MAX(CumRet!$B$2:$B$583)-CumRet!B583</f>
        <v>0</v>
      </c>
    </row>
    <row r="584" spans="1:2">
      <c r="A584" s="11">
        <f>Returns!A584</f>
        <v>0</v>
      </c>
      <c r="B584" s="1">
        <f>MAX(CumRet!$B$2:$B$584)-CumRet!B584</f>
        <v>0</v>
      </c>
    </row>
    <row r="585" spans="1:2">
      <c r="A585" s="11">
        <f>Returns!A585</f>
        <v>0</v>
      </c>
      <c r="B585" s="1">
        <f>MAX(CumRet!$B$2:$B$585)-CumRet!B585</f>
        <v>0</v>
      </c>
    </row>
    <row r="586" spans="1:2">
      <c r="A586" s="11">
        <f>Returns!A586</f>
        <v>0</v>
      </c>
      <c r="B586" s="1">
        <f>MAX(CumRet!$B$2:$B$586)-CumRet!B586</f>
        <v>0</v>
      </c>
    </row>
    <row r="587" spans="1:2">
      <c r="A587" s="11">
        <f>Returns!A587</f>
        <v>0</v>
      </c>
      <c r="B587" s="1">
        <f>MAX(CumRet!$B$2:$B$587)-CumRet!B587</f>
        <v>0</v>
      </c>
    </row>
    <row r="588" spans="1:2">
      <c r="A588" s="11">
        <f>Returns!A588</f>
        <v>0</v>
      </c>
      <c r="B588" s="1">
        <f>MAX(CumRet!$B$2:$B$588)-CumRet!B588</f>
        <v>0</v>
      </c>
    </row>
    <row r="589" spans="1:2">
      <c r="A589" s="11">
        <f>Returns!A589</f>
        <v>0</v>
      </c>
      <c r="B589" s="1">
        <f>MAX(CumRet!$B$2:$B$589)-CumRet!B589</f>
        <v>0</v>
      </c>
    </row>
    <row r="590" spans="1:2">
      <c r="A590" s="11">
        <f>Returns!A590</f>
        <v>0</v>
      </c>
      <c r="B590" s="1">
        <f>MAX(CumRet!$B$2:$B$590)-CumRet!B590</f>
        <v>0</v>
      </c>
    </row>
    <row r="591" spans="1:2">
      <c r="A591" s="11">
        <f>Returns!A591</f>
        <v>0</v>
      </c>
      <c r="B591" s="1">
        <f>MAX(CumRet!$B$2:$B$591)-CumRet!B591</f>
        <v>0</v>
      </c>
    </row>
    <row r="592" spans="1:2">
      <c r="A592" s="11">
        <f>Returns!A592</f>
        <v>0</v>
      </c>
      <c r="B592" s="1">
        <f>MAX(CumRet!$B$2:$B$592)-CumRet!B592</f>
        <v>0</v>
      </c>
    </row>
    <row r="593" spans="1:2">
      <c r="A593" s="11">
        <f>Returns!A593</f>
        <v>0</v>
      </c>
      <c r="B593" s="1">
        <f>MAX(CumRet!$B$2:$B$593)-CumRet!B593</f>
        <v>0</v>
      </c>
    </row>
    <row r="594" spans="1:2">
      <c r="A594" s="11">
        <f>Returns!A594</f>
        <v>0</v>
      </c>
      <c r="B594" s="1">
        <f>MAX(CumRet!$B$2:$B$594)-CumRet!B594</f>
        <v>0</v>
      </c>
    </row>
    <row r="595" spans="1:2">
      <c r="A595" s="11">
        <f>Returns!A595</f>
        <v>0</v>
      </c>
      <c r="B595" s="1">
        <f>MAX(CumRet!$B$2:$B$595)-CumRet!B595</f>
        <v>0</v>
      </c>
    </row>
    <row r="596" spans="1:2">
      <c r="A596" s="11">
        <f>Returns!A596</f>
        <v>0</v>
      </c>
      <c r="B596" s="1">
        <f>MAX(CumRet!$B$2:$B$596)-CumRet!B596</f>
        <v>0</v>
      </c>
    </row>
    <row r="597" spans="1:2">
      <c r="A597" s="11">
        <f>Returns!A597</f>
        <v>0</v>
      </c>
      <c r="B597" s="1">
        <f>MAX(CumRet!$B$2:$B$597)-CumRet!B597</f>
        <v>0</v>
      </c>
    </row>
    <row r="598" spans="1:2">
      <c r="A598" s="11">
        <f>Returns!A598</f>
        <v>0</v>
      </c>
      <c r="B598" s="1">
        <f>MAX(CumRet!$B$2:$B$598)-CumRet!B598</f>
        <v>0</v>
      </c>
    </row>
    <row r="599" spans="1:2">
      <c r="A599" s="11">
        <f>Returns!A599</f>
        <v>0</v>
      </c>
      <c r="B599" s="1">
        <f>MAX(CumRet!$B$2:$B$599)-CumRet!B599</f>
        <v>0</v>
      </c>
    </row>
    <row r="600" spans="1:2">
      <c r="A600" s="11">
        <f>Returns!A600</f>
        <v>0</v>
      </c>
      <c r="B600" s="1">
        <f>MAX(CumRet!$B$2:$B$600)-CumRet!B600</f>
        <v>0</v>
      </c>
    </row>
    <row r="601" spans="1:2">
      <c r="A601" s="11">
        <f>Returns!A601</f>
        <v>0</v>
      </c>
      <c r="B601" s="1">
        <f>MAX(CumRet!$B$2:$B$601)-CumRet!B601</f>
        <v>0</v>
      </c>
    </row>
    <row r="602" spans="1:2">
      <c r="A602" s="11">
        <f>Returns!A602</f>
        <v>0</v>
      </c>
      <c r="B602" s="1">
        <f>MAX(CumRet!$B$2:$B$602)-CumRet!B602</f>
        <v>0</v>
      </c>
    </row>
    <row r="603" spans="1:2">
      <c r="A603" s="11">
        <f>Returns!A603</f>
        <v>0</v>
      </c>
      <c r="B603" s="1">
        <f>MAX(CumRet!$B$2:$B$603)-CumRet!B603</f>
        <v>0</v>
      </c>
    </row>
    <row r="604" spans="1:2">
      <c r="A604" s="11">
        <f>Returns!A604</f>
        <v>0</v>
      </c>
      <c r="B604" s="1">
        <f>MAX(CumRet!$B$2:$B$604)-CumRet!B604</f>
        <v>0</v>
      </c>
    </row>
    <row r="605" spans="1:2">
      <c r="A605" s="11">
        <f>Returns!A605</f>
        <v>0</v>
      </c>
      <c r="B605" s="1">
        <f>MAX(CumRet!$B$2:$B$605)-CumRet!B605</f>
        <v>0</v>
      </c>
    </row>
    <row r="606" spans="1:2">
      <c r="A606" s="11">
        <f>Returns!A606</f>
        <v>0</v>
      </c>
      <c r="B606" s="1">
        <f>MAX(CumRet!$B$2:$B$606)-CumRet!B606</f>
        <v>0</v>
      </c>
    </row>
    <row r="607" spans="1:2">
      <c r="A607" s="11">
        <f>Returns!A607</f>
        <v>0</v>
      </c>
      <c r="B607" s="1">
        <f>MAX(CumRet!$B$2:$B$607)-CumRet!B607</f>
        <v>0</v>
      </c>
    </row>
    <row r="608" spans="1:2">
      <c r="A608" s="11">
        <f>Returns!A608</f>
        <v>0</v>
      </c>
      <c r="B608" s="1">
        <f>MAX(CumRet!$B$2:$B$608)-CumRet!B608</f>
        <v>0</v>
      </c>
    </row>
    <row r="609" spans="1:2">
      <c r="A609" s="11">
        <f>Returns!A609</f>
        <v>0</v>
      </c>
      <c r="B609" s="1">
        <f>MAX(CumRet!$B$2:$B$609)-CumRet!B609</f>
        <v>0</v>
      </c>
    </row>
    <row r="610" spans="1:2">
      <c r="A610" s="11">
        <f>Returns!A610</f>
        <v>0</v>
      </c>
      <c r="B610" s="1">
        <f>MAX(CumRet!$B$2:$B$610)-CumRet!B610</f>
        <v>0</v>
      </c>
    </row>
    <row r="611" spans="1:2">
      <c r="A611" s="11">
        <f>Returns!A611</f>
        <v>0</v>
      </c>
      <c r="B611" s="1">
        <f>MAX(CumRet!$B$2:$B$611)-CumRet!B611</f>
        <v>0</v>
      </c>
    </row>
    <row r="612" spans="1:2">
      <c r="A612" s="11">
        <f>Returns!A612</f>
        <v>0</v>
      </c>
      <c r="B612" s="1">
        <f>MAX(CumRet!$B$2:$B$612)-CumRet!B612</f>
        <v>0</v>
      </c>
    </row>
    <row r="613" spans="1:2">
      <c r="A613" s="11">
        <f>Returns!A613</f>
        <v>0</v>
      </c>
      <c r="B613" s="1">
        <f>MAX(CumRet!$B$2:$B$613)-CumRet!B613</f>
        <v>0</v>
      </c>
    </row>
    <row r="614" spans="1:2">
      <c r="A614" s="11">
        <f>Returns!A614</f>
        <v>0</v>
      </c>
      <c r="B614" s="1">
        <f>MAX(CumRet!$B$2:$B$614)-CumRet!B614</f>
        <v>0</v>
      </c>
    </row>
    <row r="615" spans="1:2">
      <c r="A615" s="11">
        <f>Returns!A615</f>
        <v>0</v>
      </c>
      <c r="B615" s="1">
        <f>MAX(CumRet!$B$2:$B$615)-CumRet!B615</f>
        <v>0</v>
      </c>
    </row>
    <row r="616" spans="1:2">
      <c r="A616" s="11">
        <f>Returns!A616</f>
        <v>0</v>
      </c>
      <c r="B616" s="1">
        <f>MAX(CumRet!$B$2:$B$616)-CumRet!B616</f>
        <v>0</v>
      </c>
    </row>
    <row r="617" spans="1:2">
      <c r="A617" s="11">
        <f>Returns!A617</f>
        <v>0</v>
      </c>
      <c r="B617" s="1">
        <f>MAX(CumRet!$B$2:$B$617)-CumRet!B617</f>
        <v>0</v>
      </c>
    </row>
    <row r="618" spans="1:2">
      <c r="A618" s="11">
        <f>Returns!A618</f>
        <v>0</v>
      </c>
      <c r="B618" s="1">
        <f>MAX(CumRet!$B$2:$B$618)-CumRet!B618</f>
        <v>0</v>
      </c>
    </row>
    <row r="619" spans="1:2">
      <c r="A619" s="11">
        <f>Returns!A619</f>
        <v>0</v>
      </c>
      <c r="B619" s="1">
        <f>MAX(CumRet!$B$2:$B$619)-CumRet!B619</f>
        <v>0</v>
      </c>
    </row>
    <row r="620" spans="1:2">
      <c r="A620" s="11">
        <f>Returns!A620</f>
        <v>0</v>
      </c>
      <c r="B620" s="1">
        <f>MAX(CumRet!$B$2:$B$620)-CumRet!B620</f>
        <v>0</v>
      </c>
    </row>
    <row r="621" spans="1:2">
      <c r="A621" s="11">
        <f>Returns!A621</f>
        <v>0</v>
      </c>
      <c r="B621" s="1">
        <f>MAX(CumRet!$B$2:$B$621)-CumRet!B621</f>
        <v>0</v>
      </c>
    </row>
    <row r="622" spans="1:2">
      <c r="A622" s="11">
        <f>Returns!A622</f>
        <v>0</v>
      </c>
      <c r="B622" s="1">
        <f>MAX(CumRet!$B$2:$B$622)-CumRet!B622</f>
        <v>0</v>
      </c>
    </row>
    <row r="623" spans="1:2">
      <c r="A623" s="11">
        <f>Returns!A623</f>
        <v>0</v>
      </c>
      <c r="B623" s="1">
        <f>MAX(CumRet!$B$2:$B$623)-CumRet!B623</f>
        <v>0</v>
      </c>
    </row>
    <row r="624" spans="1:2">
      <c r="A624" s="11">
        <f>Returns!A624</f>
        <v>0</v>
      </c>
      <c r="B624" s="1">
        <f>MAX(CumRet!$B$2:$B$624)-CumRet!B624</f>
        <v>0</v>
      </c>
    </row>
    <row r="625" spans="1:2">
      <c r="A625" s="11">
        <f>Returns!A625</f>
        <v>0</v>
      </c>
      <c r="B625" s="1">
        <f>MAX(CumRet!$B$2:$B$625)-CumRet!B625</f>
        <v>0</v>
      </c>
    </row>
    <row r="626" spans="1:2">
      <c r="A626" s="11">
        <f>Returns!A626</f>
        <v>0</v>
      </c>
      <c r="B626" s="1">
        <f>MAX(CumRet!$B$2:$B$626)-CumRet!B626</f>
        <v>0</v>
      </c>
    </row>
    <row r="627" spans="1:2">
      <c r="A627" s="11">
        <f>Returns!A627</f>
        <v>0</v>
      </c>
      <c r="B627" s="1">
        <f>MAX(CumRet!$B$2:$B$627)-CumRet!B627</f>
        <v>0</v>
      </c>
    </row>
    <row r="628" spans="1:2">
      <c r="A628" s="11">
        <f>Returns!A628</f>
        <v>0</v>
      </c>
      <c r="B628" s="1">
        <f>MAX(CumRet!$B$2:$B$628)-CumRet!B628</f>
        <v>0</v>
      </c>
    </row>
    <row r="629" spans="1:2">
      <c r="A629" s="11">
        <f>Returns!A629</f>
        <v>0</v>
      </c>
      <c r="B629" s="1">
        <f>MAX(CumRet!$B$2:$B$629)-CumRet!B629</f>
        <v>0</v>
      </c>
    </row>
    <row r="630" spans="1:2">
      <c r="A630" s="11">
        <f>Returns!A630</f>
        <v>0</v>
      </c>
      <c r="B630" s="1">
        <f>MAX(CumRet!$B$2:$B$630)-CumRet!B630</f>
        <v>0</v>
      </c>
    </row>
    <row r="631" spans="1:2">
      <c r="A631" s="11">
        <f>Returns!A631</f>
        <v>0</v>
      </c>
      <c r="B631" s="1">
        <f>MAX(CumRet!$B$2:$B$631)-CumRet!B631</f>
        <v>0</v>
      </c>
    </row>
    <row r="632" spans="1:2">
      <c r="A632" s="11">
        <f>Returns!A632</f>
        <v>0</v>
      </c>
      <c r="B632" s="1">
        <f>MAX(CumRet!$B$2:$B$632)-CumRet!B632</f>
        <v>0</v>
      </c>
    </row>
    <row r="633" spans="1:2">
      <c r="A633" s="11">
        <f>Returns!A633</f>
        <v>0</v>
      </c>
      <c r="B633" s="1">
        <f>MAX(CumRet!$B$2:$B$633)-CumRet!B633</f>
        <v>0</v>
      </c>
    </row>
    <row r="634" spans="1:2">
      <c r="A634" s="11">
        <f>Returns!A634</f>
        <v>0</v>
      </c>
      <c r="B634" s="1">
        <f>MAX(CumRet!$B$2:$B$634)-CumRet!B634</f>
        <v>0</v>
      </c>
    </row>
    <row r="635" spans="1:2">
      <c r="A635" s="11">
        <f>Returns!A635</f>
        <v>0</v>
      </c>
      <c r="B635" s="1">
        <f>MAX(CumRet!$B$2:$B$635)-CumRet!B635</f>
        <v>0</v>
      </c>
    </row>
    <row r="636" spans="1:2">
      <c r="A636" s="11">
        <f>Returns!A636</f>
        <v>0</v>
      </c>
      <c r="B636" s="1">
        <f>MAX(CumRet!$B$2:$B$636)-CumRet!B636</f>
        <v>0</v>
      </c>
    </row>
    <row r="637" spans="1:2">
      <c r="A637" s="11">
        <f>Returns!A637</f>
        <v>0</v>
      </c>
      <c r="B637" s="1">
        <f>MAX(CumRet!$B$2:$B$637)-CumRet!B637</f>
        <v>0</v>
      </c>
    </row>
    <row r="638" spans="1:2">
      <c r="A638" s="11">
        <f>Returns!A638</f>
        <v>0</v>
      </c>
      <c r="B638" s="1">
        <f>MAX(CumRet!$B$2:$B$638)-CumRet!B638</f>
        <v>0</v>
      </c>
    </row>
    <row r="639" spans="1:2">
      <c r="A639" s="11">
        <f>Returns!A639</f>
        <v>0</v>
      </c>
      <c r="B639" s="1">
        <f>MAX(CumRet!$B$2:$B$639)-CumRet!B639</f>
        <v>0</v>
      </c>
    </row>
    <row r="640" spans="1:2">
      <c r="A640" s="11">
        <f>Returns!A640</f>
        <v>0</v>
      </c>
      <c r="B640" s="1">
        <f>MAX(CumRet!$B$2:$B$640)-CumRet!B640</f>
        <v>0</v>
      </c>
    </row>
    <row r="641" spans="1:2">
      <c r="A641" s="11">
        <f>Returns!A641</f>
        <v>0</v>
      </c>
      <c r="B641" s="1">
        <f>MAX(CumRet!$B$2:$B$641)-CumRet!B641</f>
        <v>0</v>
      </c>
    </row>
    <row r="642" spans="1:2">
      <c r="A642" s="11">
        <f>Returns!A642</f>
        <v>0</v>
      </c>
      <c r="B642" s="1">
        <f>MAX(CumRet!$B$2:$B$642)-CumRet!B642</f>
        <v>0</v>
      </c>
    </row>
    <row r="643" spans="1:2">
      <c r="A643" s="11">
        <f>Returns!A643</f>
        <v>0</v>
      </c>
      <c r="B643" s="1">
        <f>MAX(CumRet!$B$2:$B$643)-CumRet!B643</f>
        <v>0</v>
      </c>
    </row>
    <row r="644" spans="1:2">
      <c r="A644" s="11">
        <f>Returns!A644</f>
        <v>0</v>
      </c>
      <c r="B644" s="1">
        <f>MAX(CumRet!$B$2:$B$644)-CumRet!B644</f>
        <v>0</v>
      </c>
    </row>
    <row r="645" spans="1:2">
      <c r="A645" s="11">
        <f>Returns!A645</f>
        <v>0</v>
      </c>
      <c r="B645" s="1">
        <f>MAX(CumRet!$B$2:$B$645)-CumRet!B645</f>
        <v>0</v>
      </c>
    </row>
    <row r="646" spans="1:2">
      <c r="A646" s="11">
        <f>Returns!A646</f>
        <v>0</v>
      </c>
      <c r="B646" s="1">
        <f>MAX(CumRet!$B$2:$B$646)-CumRet!B646</f>
        <v>0</v>
      </c>
    </row>
    <row r="647" spans="1:2">
      <c r="A647" s="11">
        <f>Returns!A647</f>
        <v>0</v>
      </c>
      <c r="B647" s="1">
        <f>MAX(CumRet!$B$2:$B$647)-CumRet!B647</f>
        <v>0</v>
      </c>
    </row>
    <row r="648" spans="1:2">
      <c r="A648" s="11">
        <f>Returns!A648</f>
        <v>0</v>
      </c>
      <c r="B648" s="1">
        <f>MAX(CumRet!$B$2:$B$648)-CumRet!B648</f>
        <v>0</v>
      </c>
    </row>
    <row r="649" spans="1:2">
      <c r="A649" s="11">
        <f>Returns!A649</f>
        <v>0</v>
      </c>
      <c r="B649" s="1">
        <f>MAX(CumRet!$B$2:$B$649)-CumRet!B649</f>
        <v>0</v>
      </c>
    </row>
    <row r="650" spans="1:2">
      <c r="A650" s="11">
        <f>Returns!A650</f>
        <v>0</v>
      </c>
      <c r="B650" s="1">
        <f>MAX(CumRet!$B$2:$B$650)-CumRet!B650</f>
        <v>0</v>
      </c>
    </row>
    <row r="651" spans="1:2">
      <c r="A651" s="11">
        <f>Returns!A651</f>
        <v>0</v>
      </c>
      <c r="B651" s="1">
        <f>MAX(CumRet!$B$2:$B$651)-CumRet!B651</f>
        <v>0</v>
      </c>
    </row>
    <row r="652" spans="1:2">
      <c r="A652" s="11">
        <f>Returns!A652</f>
        <v>0</v>
      </c>
      <c r="B652" s="1">
        <f>MAX(CumRet!$B$2:$B$652)-CumRet!B652</f>
        <v>0</v>
      </c>
    </row>
    <row r="653" spans="1:2">
      <c r="A653" s="11">
        <f>Returns!A653</f>
        <v>0</v>
      </c>
      <c r="B653" s="1">
        <f>MAX(CumRet!$B$2:$B$653)-CumRet!B653</f>
        <v>0</v>
      </c>
    </row>
    <row r="654" spans="1:2">
      <c r="A654" s="11">
        <f>Returns!A654</f>
        <v>0</v>
      </c>
      <c r="B654" s="1">
        <f>MAX(CumRet!$B$2:$B$654)-CumRet!B654</f>
        <v>0</v>
      </c>
    </row>
    <row r="655" spans="1:2">
      <c r="A655" s="11">
        <f>Returns!A655</f>
        <v>0</v>
      </c>
      <c r="B655" s="1">
        <f>MAX(CumRet!$B$2:$B$655)-CumRet!B655</f>
        <v>0</v>
      </c>
    </row>
    <row r="656" spans="1:2">
      <c r="A656" s="11">
        <f>Returns!A656</f>
        <v>0</v>
      </c>
      <c r="B656" s="1">
        <f>MAX(CumRet!$B$2:$B$656)-CumRet!B656</f>
        <v>0</v>
      </c>
    </row>
    <row r="657" spans="1:2">
      <c r="A657" s="11">
        <f>Returns!A657</f>
        <v>0</v>
      </c>
      <c r="B657" s="1">
        <f>MAX(CumRet!$B$2:$B$657)-CumRet!B657</f>
        <v>0</v>
      </c>
    </row>
    <row r="658" spans="1:2">
      <c r="A658" s="11">
        <f>Returns!A658</f>
        <v>0</v>
      </c>
      <c r="B658" s="1">
        <f>MAX(CumRet!$B$2:$B$658)-CumRet!B658</f>
        <v>0</v>
      </c>
    </row>
    <row r="659" spans="1:2">
      <c r="A659" s="11">
        <f>Returns!A659</f>
        <v>0</v>
      </c>
      <c r="B659" s="1">
        <f>MAX(CumRet!$B$2:$B$659)-CumRet!B659</f>
        <v>0</v>
      </c>
    </row>
    <row r="660" spans="1:2">
      <c r="A660" s="11">
        <f>Returns!A660</f>
        <v>0</v>
      </c>
      <c r="B660" s="1">
        <f>MAX(CumRet!$B$2:$B$660)-CumRet!B660</f>
        <v>0</v>
      </c>
    </row>
    <row r="661" spans="1:2">
      <c r="A661" s="11">
        <f>Returns!A661</f>
        <v>0</v>
      </c>
      <c r="B661" s="1">
        <f>MAX(CumRet!$B$2:$B$661)-CumRet!B661</f>
        <v>0</v>
      </c>
    </row>
    <row r="662" spans="1:2">
      <c r="A662" s="11">
        <f>Returns!A662</f>
        <v>0</v>
      </c>
      <c r="B662" s="1">
        <f>MAX(CumRet!$B$2:$B$662)-CumRet!B662</f>
        <v>0</v>
      </c>
    </row>
    <row r="663" spans="1:2">
      <c r="A663" s="11">
        <f>Returns!A663</f>
        <v>0</v>
      </c>
      <c r="B663" s="1">
        <f>MAX(CumRet!$B$2:$B$663)-CumRet!B663</f>
        <v>0</v>
      </c>
    </row>
    <row r="664" spans="1:2">
      <c r="A664" s="11">
        <f>Returns!A664</f>
        <v>0</v>
      </c>
      <c r="B664" s="1">
        <f>MAX(CumRet!$B$2:$B$664)-CumRet!B664</f>
        <v>0</v>
      </c>
    </row>
    <row r="665" spans="1:2">
      <c r="A665" s="11">
        <f>Returns!A665</f>
        <v>0</v>
      </c>
      <c r="B665" s="1">
        <f>MAX(CumRet!$B$2:$B$665)-CumRet!B665</f>
        <v>0</v>
      </c>
    </row>
    <row r="666" spans="1:2">
      <c r="A666" s="11">
        <f>Returns!A666</f>
        <v>0</v>
      </c>
      <c r="B666" s="1">
        <f>MAX(CumRet!$B$2:$B$666)-CumRet!B666</f>
        <v>0</v>
      </c>
    </row>
    <row r="667" spans="1:2">
      <c r="A667" s="11">
        <f>Returns!A667</f>
        <v>0</v>
      </c>
      <c r="B667" s="1">
        <f>MAX(CumRet!$B$2:$B$667)-CumRet!B667</f>
        <v>0</v>
      </c>
    </row>
    <row r="668" spans="1:2">
      <c r="A668" s="11">
        <f>Returns!A668</f>
        <v>0</v>
      </c>
      <c r="B668" s="1">
        <f>MAX(CumRet!$B$2:$B$668)-CumRet!B668</f>
        <v>0</v>
      </c>
    </row>
    <row r="669" spans="1:2">
      <c r="A669" s="11">
        <f>Returns!A669</f>
        <v>0</v>
      </c>
      <c r="B669" s="1">
        <f>MAX(CumRet!$B$2:$B$669)-CumRet!B669</f>
        <v>0</v>
      </c>
    </row>
    <row r="670" spans="1:2">
      <c r="A670" s="11">
        <f>Returns!A670</f>
        <v>0</v>
      </c>
      <c r="B670" s="1">
        <f>MAX(CumRet!$B$2:$B$670)-CumRet!B670</f>
        <v>0</v>
      </c>
    </row>
    <row r="671" spans="1:2">
      <c r="A671" s="11">
        <f>Returns!A671</f>
        <v>0</v>
      </c>
      <c r="B671" s="1">
        <f>MAX(CumRet!$B$2:$B$671)-CumRet!B671</f>
        <v>0</v>
      </c>
    </row>
    <row r="672" spans="1:2">
      <c r="A672" s="11">
        <f>Returns!A672</f>
        <v>0</v>
      </c>
      <c r="B672" s="1">
        <f>MAX(CumRet!$B$2:$B$672)-CumRet!B672</f>
        <v>0</v>
      </c>
    </row>
    <row r="673" spans="1:2">
      <c r="A673" s="11">
        <f>Returns!A673</f>
        <v>0</v>
      </c>
      <c r="B673" s="1">
        <f>MAX(CumRet!$B$2:$B$673)-CumRet!B673</f>
        <v>0</v>
      </c>
    </row>
    <row r="674" spans="1:2">
      <c r="A674" s="11">
        <f>Returns!A674</f>
        <v>0</v>
      </c>
      <c r="B674" s="1">
        <f>MAX(CumRet!$B$2:$B$674)-CumRet!B674</f>
        <v>0</v>
      </c>
    </row>
    <row r="675" spans="1:2">
      <c r="A675" s="11">
        <f>Returns!A675</f>
        <v>0</v>
      </c>
      <c r="B675" s="1">
        <f>MAX(CumRet!$B$2:$B$675)-CumRet!B675</f>
        <v>0</v>
      </c>
    </row>
    <row r="676" spans="1:2">
      <c r="A676" s="11">
        <f>Returns!A676</f>
        <v>0</v>
      </c>
      <c r="B676" s="1">
        <f>MAX(CumRet!$B$2:$B$676)-CumRet!B676</f>
        <v>0</v>
      </c>
    </row>
    <row r="677" spans="1:2">
      <c r="A677" s="11">
        <f>Returns!A677</f>
        <v>0</v>
      </c>
      <c r="B677" s="1">
        <f>MAX(CumRet!$B$2:$B$677)-CumRet!B677</f>
        <v>0</v>
      </c>
    </row>
    <row r="678" spans="1:2">
      <c r="A678" s="11">
        <f>Returns!A678</f>
        <v>0</v>
      </c>
      <c r="B678" s="1">
        <f>MAX(CumRet!$B$2:$B$678)-CumRet!B678</f>
        <v>0</v>
      </c>
    </row>
    <row r="679" spans="1:2">
      <c r="A679" s="11">
        <f>Returns!A679</f>
        <v>0</v>
      </c>
      <c r="B679" s="1">
        <f>MAX(CumRet!$B$2:$B$679)-CumRet!B679</f>
        <v>0</v>
      </c>
    </row>
    <row r="680" spans="1:2">
      <c r="A680" s="11">
        <f>Returns!A680</f>
        <v>0</v>
      </c>
      <c r="B680" s="1">
        <f>MAX(CumRet!$B$2:$B$680)-CumRet!B680</f>
        <v>0</v>
      </c>
    </row>
    <row r="681" spans="1:2">
      <c r="A681" s="11">
        <f>Returns!A681</f>
        <v>0</v>
      </c>
      <c r="B681" s="1">
        <f>MAX(CumRet!$B$2:$B$681)-CumRet!B681</f>
        <v>0</v>
      </c>
    </row>
    <row r="682" spans="1:2">
      <c r="A682" s="11">
        <f>Returns!A682</f>
        <v>0</v>
      </c>
      <c r="B682" s="1">
        <f>MAX(CumRet!$B$2:$B$682)-CumRet!B682</f>
        <v>0</v>
      </c>
    </row>
    <row r="683" spans="1:2">
      <c r="A683" s="11">
        <f>Returns!A683</f>
        <v>0</v>
      </c>
      <c r="B683" s="1">
        <f>MAX(CumRet!$B$2:$B$683)-CumRet!B683</f>
        <v>0</v>
      </c>
    </row>
    <row r="684" spans="1:2">
      <c r="A684" s="11">
        <f>Returns!A684</f>
        <v>0</v>
      </c>
      <c r="B684" s="1">
        <f>MAX(CumRet!$B$2:$B$684)-CumRet!B684</f>
        <v>0</v>
      </c>
    </row>
    <row r="685" spans="1:2">
      <c r="A685" s="11">
        <f>Returns!A685</f>
        <v>0</v>
      </c>
      <c r="B685" s="1">
        <f>MAX(CumRet!$B$2:$B$685)-CumRet!B685</f>
        <v>0</v>
      </c>
    </row>
    <row r="686" spans="1:2">
      <c r="A686" s="11">
        <f>Returns!A686</f>
        <v>0</v>
      </c>
      <c r="B686" s="1">
        <f>MAX(CumRet!$B$2:$B$686)-CumRet!B686</f>
        <v>0</v>
      </c>
    </row>
    <row r="687" spans="1:2">
      <c r="A687" s="11">
        <f>Returns!A687</f>
        <v>0</v>
      </c>
      <c r="B687" s="1">
        <f>MAX(CumRet!$B$2:$B$687)-CumRet!B687</f>
        <v>0</v>
      </c>
    </row>
    <row r="688" spans="1:2">
      <c r="A688" s="11">
        <f>Returns!A688</f>
        <v>0</v>
      </c>
      <c r="B688" s="1">
        <f>MAX(CumRet!$B$2:$B$688)-CumRet!B688</f>
        <v>0</v>
      </c>
    </row>
    <row r="689" spans="1:2">
      <c r="A689" s="11">
        <f>Returns!A689</f>
        <v>0</v>
      </c>
      <c r="B689" s="1">
        <f>MAX(CumRet!$B$2:$B$689)-CumRet!B689</f>
        <v>0</v>
      </c>
    </row>
    <row r="690" spans="1:2">
      <c r="A690" s="11">
        <f>Returns!A690</f>
        <v>0</v>
      </c>
      <c r="B690" s="1">
        <f>MAX(CumRet!$B$2:$B$690)-CumRet!B690</f>
        <v>0</v>
      </c>
    </row>
    <row r="691" spans="1:2">
      <c r="A691" s="11">
        <f>Returns!A691</f>
        <v>0</v>
      </c>
      <c r="B691" s="1">
        <f>MAX(CumRet!$B$2:$B$691)-CumRet!B691</f>
        <v>0</v>
      </c>
    </row>
    <row r="692" spans="1:2">
      <c r="A692" s="11">
        <f>Returns!A692</f>
        <v>0</v>
      </c>
      <c r="B692" s="1">
        <f>MAX(CumRet!$B$2:$B$692)-CumRet!B692</f>
        <v>0</v>
      </c>
    </row>
    <row r="693" spans="1:2">
      <c r="A693" s="11">
        <f>Returns!A693</f>
        <v>0</v>
      </c>
      <c r="B693" s="1">
        <f>MAX(CumRet!$B$2:$B$693)-CumRet!B693</f>
        <v>0</v>
      </c>
    </row>
    <row r="694" spans="1:2">
      <c r="A694" s="11">
        <f>Returns!A694</f>
        <v>0</v>
      </c>
      <c r="B694" s="1">
        <f>MAX(CumRet!$B$2:$B$694)-CumRet!B694</f>
        <v>0</v>
      </c>
    </row>
    <row r="695" spans="1:2">
      <c r="A695" s="11">
        <f>Returns!A695</f>
        <v>0</v>
      </c>
      <c r="B695" s="1">
        <f>MAX(CumRet!$B$2:$B$695)-CumRet!B695</f>
        <v>0</v>
      </c>
    </row>
    <row r="696" spans="1:2">
      <c r="A696" s="11">
        <f>Returns!A696</f>
        <v>0</v>
      </c>
      <c r="B696" s="1">
        <f>MAX(CumRet!$B$2:$B$696)-CumRet!B696</f>
        <v>0</v>
      </c>
    </row>
    <row r="697" spans="1:2">
      <c r="A697" s="11">
        <f>Returns!A697</f>
        <v>0</v>
      </c>
      <c r="B697" s="1">
        <f>MAX(CumRet!$B$2:$B$697)-CumRet!B697</f>
        <v>0</v>
      </c>
    </row>
    <row r="698" spans="1:2">
      <c r="A698" s="11">
        <f>Returns!A698</f>
        <v>0</v>
      </c>
      <c r="B698" s="1">
        <f>MAX(CumRet!$B$2:$B$698)-CumRet!B698</f>
        <v>0</v>
      </c>
    </row>
    <row r="699" spans="1:2">
      <c r="A699" s="11">
        <f>Returns!A699</f>
        <v>0</v>
      </c>
      <c r="B699" s="1">
        <f>MAX(CumRet!$B$2:$B$699)-CumRet!B699</f>
        <v>0</v>
      </c>
    </row>
    <row r="700" spans="1:2">
      <c r="A700" s="11">
        <f>Returns!A700</f>
        <v>0</v>
      </c>
      <c r="B700" s="1">
        <f>MAX(CumRet!$B$2:$B$700)-CumRet!B700</f>
        <v>0</v>
      </c>
    </row>
    <row r="701" spans="1:2">
      <c r="A701" s="11">
        <f>Returns!A701</f>
        <v>0</v>
      </c>
      <c r="B701" s="1">
        <f>MAX(CumRet!$B$2:$B$701)-CumRet!B701</f>
        <v>0</v>
      </c>
    </row>
    <row r="702" spans="1:2">
      <c r="A702" s="11">
        <f>Returns!A702</f>
        <v>0</v>
      </c>
      <c r="B702" s="1">
        <f>MAX(CumRet!$B$2:$B$702)-CumRet!B702</f>
        <v>0</v>
      </c>
    </row>
    <row r="703" spans="1:2">
      <c r="A703" s="11">
        <f>Returns!A703</f>
        <v>0</v>
      </c>
      <c r="B703" s="1">
        <f>MAX(CumRet!$B$2:$B$703)-CumRet!B703</f>
        <v>0</v>
      </c>
    </row>
    <row r="704" spans="1:2">
      <c r="A704" s="11">
        <f>Returns!A704</f>
        <v>0</v>
      </c>
      <c r="B704" s="1">
        <f>MAX(CumRet!$B$2:$B$704)-CumRet!B704</f>
        <v>0</v>
      </c>
    </row>
    <row r="705" spans="1:2">
      <c r="A705" s="11">
        <f>Returns!A705</f>
        <v>0</v>
      </c>
      <c r="B705" s="1">
        <f>MAX(CumRet!$B$2:$B$705)-CumRet!B705</f>
        <v>0</v>
      </c>
    </row>
    <row r="706" spans="1:2">
      <c r="A706" s="11">
        <f>Returns!A706</f>
        <v>0</v>
      </c>
      <c r="B706" s="1">
        <f>MAX(CumRet!$B$2:$B$706)-CumRet!B706</f>
        <v>0</v>
      </c>
    </row>
    <row r="707" spans="1:2">
      <c r="A707" s="11">
        <f>Returns!A707</f>
        <v>0</v>
      </c>
      <c r="B707" s="1">
        <f>MAX(CumRet!$B$2:$B$707)-CumRet!B707</f>
        <v>0</v>
      </c>
    </row>
    <row r="708" spans="1:2">
      <c r="A708" s="11">
        <f>Returns!A708</f>
        <v>0</v>
      </c>
      <c r="B708" s="1">
        <f>MAX(CumRet!$B$2:$B$708)-CumRet!B708</f>
        <v>0</v>
      </c>
    </row>
    <row r="709" spans="1:2">
      <c r="A709" s="11">
        <f>Returns!A709</f>
        <v>0</v>
      </c>
      <c r="B709" s="1">
        <f>MAX(CumRet!$B$2:$B$709)-CumRet!B709</f>
        <v>0</v>
      </c>
    </row>
    <row r="710" spans="1:2">
      <c r="A710" s="11">
        <f>Returns!A710</f>
        <v>0</v>
      </c>
      <c r="B710" s="1">
        <f>MAX(CumRet!$B$2:$B$710)-CumRet!B710</f>
        <v>0</v>
      </c>
    </row>
    <row r="711" spans="1:2">
      <c r="A711" s="11">
        <f>Returns!A711</f>
        <v>0</v>
      </c>
      <c r="B711" s="1">
        <f>MAX(CumRet!$B$2:$B$711)-CumRet!B711</f>
        <v>0</v>
      </c>
    </row>
    <row r="712" spans="1:2">
      <c r="A712" s="11">
        <f>Returns!A712</f>
        <v>0</v>
      </c>
      <c r="B712" s="1">
        <f>MAX(CumRet!$B$2:$B$712)-CumRet!B712</f>
        <v>0</v>
      </c>
    </row>
    <row r="713" spans="1:2">
      <c r="A713" s="11">
        <f>Returns!A713</f>
        <v>0</v>
      </c>
      <c r="B713" s="1">
        <f>MAX(CumRet!$B$2:$B$713)-CumRet!B713</f>
        <v>0</v>
      </c>
    </row>
    <row r="714" spans="1:2">
      <c r="A714" s="11">
        <f>Returns!A714</f>
        <v>0</v>
      </c>
      <c r="B714" s="1">
        <f>MAX(CumRet!$B$2:$B$714)-CumRet!B714</f>
        <v>0</v>
      </c>
    </row>
    <row r="715" spans="1:2">
      <c r="A715" s="11">
        <f>Returns!A715</f>
        <v>0</v>
      </c>
      <c r="B715" s="1">
        <f>MAX(CumRet!$B$2:$B$715)-CumRet!B715</f>
        <v>0</v>
      </c>
    </row>
    <row r="716" spans="1:2">
      <c r="A716" s="11">
        <f>Returns!A716</f>
        <v>0</v>
      </c>
      <c r="B716" s="1">
        <f>MAX(CumRet!$B$2:$B$716)-CumRet!B716</f>
        <v>0</v>
      </c>
    </row>
    <row r="717" spans="1:2">
      <c r="A717" s="11">
        <f>Returns!A717</f>
        <v>0</v>
      </c>
      <c r="B717" s="1">
        <f>MAX(CumRet!$B$2:$B$717)-CumRet!B717</f>
        <v>0</v>
      </c>
    </row>
    <row r="718" spans="1:2">
      <c r="A718" s="11">
        <f>Returns!A718</f>
        <v>0</v>
      </c>
      <c r="B718" s="1">
        <f>MAX(CumRet!$B$2:$B$718)-CumRet!B718</f>
        <v>0</v>
      </c>
    </row>
    <row r="719" spans="1:2">
      <c r="A719" s="11">
        <f>Returns!A719</f>
        <v>0</v>
      </c>
      <c r="B719" s="1">
        <f>MAX(CumRet!$B$2:$B$719)-CumRet!B719</f>
        <v>0</v>
      </c>
    </row>
    <row r="720" spans="1:2">
      <c r="A720" s="11">
        <f>Returns!A720</f>
        <v>0</v>
      </c>
      <c r="B720" s="1">
        <f>MAX(CumRet!$B$2:$B$720)-CumRet!B720</f>
        <v>0</v>
      </c>
    </row>
    <row r="721" spans="1:2">
      <c r="A721" s="11">
        <f>Returns!A721</f>
        <v>0</v>
      </c>
      <c r="B721" s="1">
        <f>MAX(CumRet!$B$2:$B$721)-CumRet!B721</f>
        <v>0</v>
      </c>
    </row>
    <row r="722" spans="1:2">
      <c r="A722" s="11">
        <f>Returns!A722</f>
        <v>0</v>
      </c>
      <c r="B722" s="1">
        <f>MAX(CumRet!$B$2:$B$722)-CumRet!B722</f>
        <v>0</v>
      </c>
    </row>
    <row r="723" spans="1:2">
      <c r="A723" s="11">
        <f>Returns!A723</f>
        <v>0</v>
      </c>
      <c r="B723" s="1">
        <f>MAX(CumRet!$B$2:$B$723)-CumRet!B723</f>
        <v>0</v>
      </c>
    </row>
    <row r="724" spans="1:2">
      <c r="A724" s="11">
        <f>Returns!A724</f>
        <v>0</v>
      </c>
      <c r="B724" s="1">
        <f>MAX(CumRet!$B$2:$B$724)-CumRet!B724</f>
        <v>0</v>
      </c>
    </row>
    <row r="725" spans="1:2">
      <c r="A725" s="11">
        <f>Returns!A725</f>
        <v>0</v>
      </c>
      <c r="B725" s="1">
        <f>MAX(CumRet!$B$2:$B$725)-CumRet!B725</f>
        <v>0</v>
      </c>
    </row>
    <row r="726" spans="1:2">
      <c r="A726" s="11">
        <f>Returns!A726</f>
        <v>0</v>
      </c>
      <c r="B726" s="1">
        <f>MAX(CumRet!$B$2:$B$726)-CumRet!B726</f>
        <v>0</v>
      </c>
    </row>
    <row r="727" spans="1:2">
      <c r="A727" s="11">
        <f>Returns!A727</f>
        <v>0</v>
      </c>
      <c r="B727" s="1">
        <f>MAX(CumRet!$B$2:$B$727)-CumRet!B727</f>
        <v>0</v>
      </c>
    </row>
    <row r="728" spans="1:2">
      <c r="A728" s="11">
        <f>Returns!A728</f>
        <v>0</v>
      </c>
      <c r="B728" s="1">
        <f>MAX(CumRet!$B$2:$B$728)-CumRet!B728</f>
        <v>0</v>
      </c>
    </row>
    <row r="729" spans="1:2">
      <c r="A729" s="11">
        <f>Returns!A729</f>
        <v>0</v>
      </c>
      <c r="B729" s="1">
        <f>MAX(CumRet!$B$2:$B$729)-CumRet!B729</f>
        <v>0</v>
      </c>
    </row>
    <row r="730" spans="1:2">
      <c r="A730" s="11">
        <f>Returns!A730</f>
        <v>0</v>
      </c>
      <c r="B730" s="1">
        <f>MAX(CumRet!$B$2:$B$730)-CumRet!B730</f>
        <v>0</v>
      </c>
    </row>
    <row r="731" spans="1:2">
      <c r="A731" s="11">
        <f>Returns!A731</f>
        <v>0</v>
      </c>
      <c r="B731" s="1">
        <f>MAX(CumRet!$B$2:$B$731)-CumRet!B731</f>
        <v>0</v>
      </c>
    </row>
    <row r="732" spans="1:2">
      <c r="A732" s="11">
        <f>Returns!A732</f>
        <v>0</v>
      </c>
      <c r="B732" s="1">
        <f>MAX(CumRet!$B$2:$B$732)-CumRet!B732</f>
        <v>0</v>
      </c>
    </row>
    <row r="733" spans="1:2">
      <c r="A733" s="11">
        <f>Returns!A733</f>
        <v>0</v>
      </c>
      <c r="B733" s="1">
        <f>MAX(CumRet!$B$2:$B$733)-CumRet!B733</f>
        <v>0</v>
      </c>
    </row>
    <row r="734" spans="1:2">
      <c r="A734" s="11">
        <f>Returns!A734</f>
        <v>0</v>
      </c>
      <c r="B734" s="1">
        <f>MAX(CumRet!$B$2:$B$734)-CumRet!B734</f>
        <v>0</v>
      </c>
    </row>
    <row r="735" spans="1:2">
      <c r="A735" s="11">
        <f>Returns!A735</f>
        <v>0</v>
      </c>
      <c r="B735" s="1">
        <f>MAX(CumRet!$B$2:$B$735)-CumRet!B735</f>
        <v>0</v>
      </c>
    </row>
    <row r="736" spans="1:2">
      <c r="A736" s="11">
        <f>Returns!A736</f>
        <v>0</v>
      </c>
      <c r="B736" s="1">
        <f>MAX(CumRet!$B$2:$B$736)-CumRet!B736</f>
        <v>0</v>
      </c>
    </row>
    <row r="737" spans="1:2">
      <c r="A737" s="11">
        <f>Returns!A737</f>
        <v>0</v>
      </c>
      <c r="B737" s="1">
        <f>MAX(CumRet!$B$2:$B$737)-CumRet!B737</f>
        <v>0</v>
      </c>
    </row>
    <row r="738" spans="1:2">
      <c r="A738" s="11">
        <f>Returns!A738</f>
        <v>0</v>
      </c>
      <c r="B738" s="1">
        <f>MAX(CumRet!$B$2:$B$738)-CumRet!B738</f>
        <v>0</v>
      </c>
    </row>
    <row r="739" spans="1:2">
      <c r="A739" s="11">
        <f>Returns!A739</f>
        <v>0</v>
      </c>
      <c r="B739" s="1">
        <f>MAX(CumRet!$B$2:$B$739)-CumRet!B739</f>
        <v>0</v>
      </c>
    </row>
    <row r="740" spans="1:2">
      <c r="A740" s="11">
        <f>Returns!A740</f>
        <v>0</v>
      </c>
      <c r="B740" s="1">
        <f>MAX(CumRet!$B$2:$B$740)-CumRet!B740</f>
        <v>0</v>
      </c>
    </row>
    <row r="741" spans="1:2">
      <c r="A741" s="11">
        <f>Returns!A741</f>
        <v>0</v>
      </c>
      <c r="B741" s="1">
        <f>MAX(CumRet!$B$2:$B$741)-CumRet!B741</f>
        <v>0</v>
      </c>
    </row>
    <row r="742" spans="1:2">
      <c r="A742" s="11">
        <f>Returns!A742</f>
        <v>0</v>
      </c>
      <c r="B742" s="1">
        <f>MAX(CumRet!$B$2:$B$742)-CumRet!B742</f>
        <v>0</v>
      </c>
    </row>
    <row r="743" spans="1:2">
      <c r="A743" s="11">
        <f>Returns!A743</f>
        <v>0</v>
      </c>
      <c r="B743" s="1">
        <f>MAX(CumRet!$B$2:$B$743)-CumRet!B743</f>
        <v>0</v>
      </c>
    </row>
    <row r="744" spans="1:2">
      <c r="A744" s="11">
        <f>Returns!A744</f>
        <v>0</v>
      </c>
      <c r="B744" s="1">
        <f>MAX(CumRet!$B$2:$B$744)-CumRet!B744</f>
        <v>0</v>
      </c>
    </row>
    <row r="745" spans="1:2">
      <c r="A745" s="11">
        <f>Returns!A745</f>
        <v>0</v>
      </c>
      <c r="B745" s="1">
        <f>MAX(CumRet!$B$2:$B$745)-CumRet!B745</f>
        <v>0</v>
      </c>
    </row>
    <row r="746" spans="1:2">
      <c r="A746" s="11">
        <f>Returns!A746</f>
        <v>0</v>
      </c>
      <c r="B746" s="1">
        <f>MAX(CumRet!$B$2:$B$746)-CumRet!B746</f>
        <v>0</v>
      </c>
    </row>
    <row r="747" spans="1:2">
      <c r="A747" s="11">
        <f>Returns!A747</f>
        <v>0</v>
      </c>
      <c r="B747" s="1">
        <f>MAX(CumRet!$B$2:$B$747)-CumRet!B747</f>
        <v>0</v>
      </c>
    </row>
    <row r="748" spans="1:2">
      <c r="A748" s="11">
        <f>Returns!A748</f>
        <v>0</v>
      </c>
      <c r="B748" s="1">
        <f>MAX(CumRet!$B$2:$B$748)-CumRet!B748</f>
        <v>0</v>
      </c>
    </row>
    <row r="749" spans="1:2">
      <c r="A749" s="11">
        <f>Returns!A749</f>
        <v>0</v>
      </c>
      <c r="B749" s="1">
        <f>MAX(CumRet!$B$2:$B$749)-CumRet!B749</f>
        <v>0</v>
      </c>
    </row>
    <row r="750" spans="1:2">
      <c r="A750" s="11">
        <f>Returns!A750</f>
        <v>0</v>
      </c>
      <c r="B750" s="1">
        <f>MAX(CumRet!$B$2:$B$750)-CumRet!B750</f>
        <v>0</v>
      </c>
    </row>
    <row r="751" spans="1:2">
      <c r="A751" s="11">
        <f>Returns!A751</f>
        <v>0</v>
      </c>
      <c r="B751" s="1">
        <f>MAX(CumRet!$B$2:$B$751)-CumRet!B751</f>
        <v>0</v>
      </c>
    </row>
    <row r="752" spans="1:2">
      <c r="A752" s="11">
        <f>Returns!A752</f>
        <v>0</v>
      </c>
      <c r="B752" s="1">
        <f>MAX(CumRet!$B$2:$B$752)-CumRet!B752</f>
        <v>0</v>
      </c>
    </row>
    <row r="753" spans="1:2">
      <c r="A753" s="11">
        <f>Returns!A753</f>
        <v>0</v>
      </c>
      <c r="B753" s="1">
        <f>MAX(CumRet!$B$2:$B$753)-CumRet!B753</f>
        <v>0</v>
      </c>
    </row>
    <row r="754" spans="1:2">
      <c r="A754" s="11">
        <f>Returns!A754</f>
        <v>0</v>
      </c>
      <c r="B754" s="1">
        <f>MAX(CumRet!$B$2:$B$754)-CumRet!B754</f>
        <v>0</v>
      </c>
    </row>
    <row r="755" spans="1:2">
      <c r="A755" s="11">
        <f>Returns!A755</f>
        <v>0</v>
      </c>
      <c r="B755" s="1">
        <f>MAX(CumRet!$B$2:$B$755)-CumRet!B755</f>
        <v>0</v>
      </c>
    </row>
    <row r="756" spans="1:2">
      <c r="A756" s="11">
        <f>Returns!A756</f>
        <v>0</v>
      </c>
      <c r="B756" s="1">
        <f>MAX(CumRet!$B$2:$B$756)-CumRet!B756</f>
        <v>0</v>
      </c>
    </row>
    <row r="757" spans="1:2">
      <c r="A757" s="11">
        <f>Returns!A757</f>
        <v>0</v>
      </c>
      <c r="B757" s="1">
        <f>MAX(CumRet!$B$2:$B$757)-CumRet!B757</f>
        <v>0</v>
      </c>
    </row>
    <row r="758" spans="1:2">
      <c r="A758" s="11">
        <f>Returns!A758</f>
        <v>0</v>
      </c>
      <c r="B758" s="1">
        <f>MAX(CumRet!$B$2:$B$758)-CumRet!B758</f>
        <v>0</v>
      </c>
    </row>
    <row r="759" spans="1:2">
      <c r="A759" s="11">
        <f>Returns!A759</f>
        <v>0</v>
      </c>
      <c r="B759" s="1">
        <f>MAX(CumRet!$B$2:$B$759)-CumRet!B759</f>
        <v>0</v>
      </c>
    </row>
    <row r="760" spans="1:2">
      <c r="A760" s="11">
        <f>Returns!A760</f>
        <v>0</v>
      </c>
      <c r="B760" s="1">
        <f>MAX(CumRet!$B$2:$B$760)-CumRet!B760</f>
        <v>0</v>
      </c>
    </row>
    <row r="761" spans="1:2">
      <c r="A761" s="11">
        <f>Returns!A761</f>
        <v>0</v>
      </c>
      <c r="B761" s="1">
        <f>MAX(CumRet!$B$2:$B$761)-CumRet!B761</f>
        <v>0</v>
      </c>
    </row>
    <row r="762" spans="1:2">
      <c r="A762" s="11">
        <f>Returns!A762</f>
        <v>0</v>
      </c>
      <c r="B762" s="1">
        <f>MAX(CumRet!$B$2:$B$762)-CumRet!B762</f>
        <v>0</v>
      </c>
    </row>
    <row r="763" spans="1:2">
      <c r="A763" s="11">
        <f>Returns!A763</f>
        <v>0</v>
      </c>
      <c r="B763" s="1">
        <f>MAX(CumRet!$B$2:$B$763)-CumRet!B763</f>
        <v>0</v>
      </c>
    </row>
    <row r="764" spans="1:2">
      <c r="A764" s="11">
        <f>Returns!A764</f>
        <v>0</v>
      </c>
      <c r="B764" s="1">
        <f>MAX(CumRet!$B$2:$B$764)-CumRet!B764</f>
        <v>0</v>
      </c>
    </row>
    <row r="765" spans="1:2">
      <c r="A765" s="11">
        <f>Returns!A765</f>
        <v>0</v>
      </c>
      <c r="B765" s="1">
        <f>MAX(CumRet!$B$2:$B$765)-CumRet!B765</f>
        <v>0</v>
      </c>
    </row>
    <row r="766" spans="1:2">
      <c r="A766" s="11">
        <f>Returns!A766</f>
        <v>0</v>
      </c>
      <c r="B766" s="1">
        <f>MAX(CumRet!$B$2:$B$766)-CumRet!B766</f>
        <v>0</v>
      </c>
    </row>
    <row r="767" spans="1:2">
      <c r="A767" s="11">
        <f>Returns!A767</f>
        <v>0</v>
      </c>
      <c r="B767" s="1">
        <f>MAX(CumRet!$B$2:$B$767)-CumRet!B767</f>
        <v>0</v>
      </c>
    </row>
    <row r="768" spans="1:2">
      <c r="A768" s="11">
        <f>Returns!A768</f>
        <v>0</v>
      </c>
      <c r="B768" s="1">
        <f>MAX(CumRet!$B$2:$B$768)-CumRet!B768</f>
        <v>0</v>
      </c>
    </row>
    <row r="769" spans="1:2">
      <c r="A769" s="11">
        <f>Returns!A769</f>
        <v>0</v>
      </c>
      <c r="B769" s="1">
        <f>MAX(CumRet!$B$2:$B$769)-CumRet!B769</f>
        <v>0</v>
      </c>
    </row>
    <row r="770" spans="1:2">
      <c r="A770" s="11">
        <f>Returns!A770</f>
        <v>0</v>
      </c>
      <c r="B770" s="1">
        <f>MAX(CumRet!$B$2:$B$770)-CumRet!B770</f>
        <v>0</v>
      </c>
    </row>
    <row r="771" spans="1:2">
      <c r="A771" s="11">
        <f>Returns!A771</f>
        <v>0</v>
      </c>
      <c r="B771" s="1">
        <f>MAX(CumRet!$B$2:$B$771)-CumRet!B771</f>
        <v>0</v>
      </c>
    </row>
    <row r="772" spans="1:2">
      <c r="A772" s="11">
        <f>Returns!A772</f>
        <v>0</v>
      </c>
      <c r="B772" s="1">
        <f>MAX(CumRet!$B$2:$B$772)-CumRet!B772</f>
        <v>0</v>
      </c>
    </row>
    <row r="773" spans="1:2">
      <c r="A773" s="11">
        <f>Returns!A773</f>
        <v>0</v>
      </c>
      <c r="B773" s="1">
        <f>MAX(CumRet!$B$2:$B$773)-CumRet!B773</f>
        <v>0</v>
      </c>
    </row>
    <row r="774" spans="1:2">
      <c r="A774" s="11">
        <f>Returns!A774</f>
        <v>0</v>
      </c>
      <c r="B774" s="1">
        <f>MAX(CumRet!$B$2:$B$774)-CumRet!B774</f>
        <v>0</v>
      </c>
    </row>
    <row r="775" spans="1:2">
      <c r="A775" s="11">
        <f>Returns!A775</f>
        <v>0</v>
      </c>
      <c r="B775" s="1">
        <f>MAX(CumRet!$B$2:$B$775)-CumRet!B775</f>
        <v>0</v>
      </c>
    </row>
    <row r="776" spans="1:2">
      <c r="A776" s="11">
        <f>Returns!A776</f>
        <v>0</v>
      </c>
      <c r="B776" s="1">
        <f>MAX(CumRet!$B$2:$B$776)-CumRet!B776</f>
        <v>0</v>
      </c>
    </row>
    <row r="777" spans="1:2">
      <c r="A777" s="11">
        <f>Returns!A777</f>
        <v>0</v>
      </c>
      <c r="B777" s="1">
        <f>MAX(CumRet!$B$2:$B$777)-CumRet!B777</f>
        <v>0</v>
      </c>
    </row>
    <row r="778" spans="1:2">
      <c r="A778" s="11">
        <f>Returns!A778</f>
        <v>0</v>
      </c>
      <c r="B778" s="1">
        <f>MAX(CumRet!$B$2:$B$778)-CumRet!B778</f>
        <v>0</v>
      </c>
    </row>
    <row r="779" spans="1:2">
      <c r="A779" s="11">
        <f>Returns!A779</f>
        <v>0</v>
      </c>
      <c r="B779" s="1">
        <f>MAX(CumRet!$B$2:$B$779)-CumRet!B779</f>
        <v>0</v>
      </c>
    </row>
    <row r="780" spans="1:2">
      <c r="A780" s="11">
        <f>Returns!A780</f>
        <v>0</v>
      </c>
      <c r="B780" s="1">
        <f>MAX(CumRet!$B$2:$B$780)-CumRet!B780</f>
        <v>0</v>
      </c>
    </row>
    <row r="781" spans="1:2">
      <c r="A781" s="11">
        <f>Returns!A781</f>
        <v>0</v>
      </c>
      <c r="B781" s="1">
        <f>MAX(CumRet!$B$2:$B$781)-CumRet!B781</f>
        <v>0</v>
      </c>
    </row>
    <row r="782" spans="1:2">
      <c r="A782" s="11">
        <f>Returns!A782</f>
        <v>0</v>
      </c>
      <c r="B782" s="1">
        <f>MAX(CumRet!$B$2:$B$782)-CumRet!B782</f>
        <v>0</v>
      </c>
    </row>
    <row r="783" spans="1:2">
      <c r="A783" s="11">
        <f>Returns!A783</f>
        <v>0</v>
      </c>
      <c r="B783" s="1">
        <f>MAX(CumRet!$B$2:$B$783)-CumRet!B783</f>
        <v>0</v>
      </c>
    </row>
    <row r="784" spans="1:2">
      <c r="A784" s="11">
        <f>Returns!A784</f>
        <v>0</v>
      </c>
      <c r="B784" s="1">
        <f>MAX(CumRet!$B$2:$B$784)-CumRet!B784</f>
        <v>0</v>
      </c>
    </row>
    <row r="785" spans="1:2">
      <c r="A785" s="11">
        <f>Returns!A785</f>
        <v>0</v>
      </c>
      <c r="B785" s="1">
        <f>MAX(CumRet!$B$2:$B$785)-CumRet!B785</f>
        <v>0</v>
      </c>
    </row>
    <row r="786" spans="1:2">
      <c r="A786" s="11">
        <f>Returns!A786</f>
        <v>0</v>
      </c>
      <c r="B786" s="1">
        <f>MAX(CumRet!$B$2:$B$786)-CumRet!B786</f>
        <v>0</v>
      </c>
    </row>
    <row r="787" spans="1:2">
      <c r="A787" s="11">
        <f>Returns!A787</f>
        <v>0</v>
      </c>
      <c r="B787" s="1">
        <f>MAX(CumRet!$B$2:$B$787)-CumRet!B787</f>
        <v>0</v>
      </c>
    </row>
    <row r="788" spans="1:2">
      <c r="A788" s="11">
        <f>Returns!A788</f>
        <v>0</v>
      </c>
      <c r="B788" s="1">
        <f>MAX(CumRet!$B$2:$B$788)-CumRet!B788</f>
        <v>0</v>
      </c>
    </row>
    <row r="789" spans="1:2">
      <c r="A789" s="11">
        <f>Returns!A789</f>
        <v>0</v>
      </c>
      <c r="B789" s="1">
        <f>MAX(CumRet!$B$2:$B$789)-CumRet!B789</f>
        <v>0</v>
      </c>
    </row>
    <row r="790" spans="1:2">
      <c r="A790" s="11">
        <f>Returns!A790</f>
        <v>0</v>
      </c>
      <c r="B790" s="1">
        <f>MAX(CumRet!$B$2:$B$790)-CumRet!B790</f>
        <v>0</v>
      </c>
    </row>
    <row r="791" spans="1:2">
      <c r="A791" s="11">
        <f>Returns!A791</f>
        <v>0</v>
      </c>
      <c r="B791" s="1">
        <f>MAX(CumRet!$B$2:$B$791)-CumRet!B791</f>
        <v>0</v>
      </c>
    </row>
    <row r="792" spans="1:2">
      <c r="A792" s="11">
        <f>Returns!A792</f>
        <v>0</v>
      </c>
      <c r="B792" s="1">
        <f>MAX(CumRet!$B$2:$B$792)-CumRet!B792</f>
        <v>0</v>
      </c>
    </row>
    <row r="793" spans="1:2">
      <c r="A793" s="11">
        <f>Returns!A793</f>
        <v>0</v>
      </c>
      <c r="B793" s="1">
        <f>MAX(CumRet!$B$2:$B$793)-CumRet!B793</f>
        <v>0</v>
      </c>
    </row>
    <row r="794" spans="1:2">
      <c r="A794" s="11">
        <f>Returns!A794</f>
        <v>0</v>
      </c>
      <c r="B794" s="1">
        <f>MAX(CumRet!$B$2:$B$794)-CumRet!B794</f>
        <v>0</v>
      </c>
    </row>
    <row r="795" spans="1:2">
      <c r="A795" s="11">
        <f>Returns!A795</f>
        <v>0</v>
      </c>
      <c r="B795" s="1">
        <f>MAX(CumRet!$B$2:$B$795)-CumRet!B795</f>
        <v>0</v>
      </c>
    </row>
    <row r="796" spans="1:2">
      <c r="A796" s="11">
        <f>Returns!A796</f>
        <v>0</v>
      </c>
      <c r="B796" s="1">
        <f>MAX(CumRet!$B$2:$B$796)-CumRet!B796</f>
        <v>0</v>
      </c>
    </row>
    <row r="797" spans="1:2">
      <c r="A797" s="11">
        <f>Returns!A797</f>
        <v>0</v>
      </c>
      <c r="B797" s="1">
        <f>MAX(CumRet!$B$2:$B$797)-CumRet!B797</f>
        <v>0</v>
      </c>
    </row>
    <row r="798" spans="1:2">
      <c r="A798" s="11">
        <f>Returns!A798</f>
        <v>0</v>
      </c>
      <c r="B798" s="1">
        <f>MAX(CumRet!$B$2:$B$798)-CumRet!B798</f>
        <v>0</v>
      </c>
    </row>
    <row r="799" spans="1:2">
      <c r="A799" s="11">
        <f>Returns!A799</f>
        <v>0</v>
      </c>
      <c r="B799" s="1">
        <f>MAX(CumRet!$B$2:$B$799)-CumRet!B799</f>
        <v>0</v>
      </c>
    </row>
    <row r="800" spans="1:2">
      <c r="A800" s="11">
        <f>Returns!A800</f>
        <v>0</v>
      </c>
      <c r="B800" s="1">
        <f>MAX(CumRet!$B$2:$B$800)-CumRet!B800</f>
        <v>0</v>
      </c>
    </row>
    <row r="801" spans="1:2">
      <c r="A801" s="11">
        <f>Returns!A801</f>
        <v>0</v>
      </c>
      <c r="B801" s="1">
        <f>MAX(CumRet!$B$2:$B$801)-CumRet!B801</f>
        <v>0</v>
      </c>
    </row>
    <row r="802" spans="1:2">
      <c r="A802" s="11">
        <f>Returns!A802</f>
        <v>0</v>
      </c>
      <c r="B802" s="1">
        <f>MAX(CumRet!$B$2:$B$802)-CumRet!B802</f>
        <v>0</v>
      </c>
    </row>
    <row r="803" spans="1:2">
      <c r="A803" s="11">
        <f>Returns!A803</f>
        <v>0</v>
      </c>
      <c r="B803" s="1">
        <f>MAX(CumRet!$B$2:$B$803)-CumRet!B803</f>
        <v>0</v>
      </c>
    </row>
    <row r="804" spans="1:2">
      <c r="A804" s="11">
        <f>Returns!A804</f>
        <v>0</v>
      </c>
      <c r="B804" s="1">
        <f>MAX(CumRet!$B$2:$B$804)-CumRet!B804</f>
        <v>0</v>
      </c>
    </row>
    <row r="805" spans="1:2">
      <c r="A805" s="11">
        <f>Returns!A805</f>
        <v>0</v>
      </c>
      <c r="B805" s="1">
        <f>MAX(CumRet!$B$2:$B$805)-CumRet!B805</f>
        <v>0</v>
      </c>
    </row>
    <row r="806" spans="1:2">
      <c r="A806" s="11">
        <f>Returns!A806</f>
        <v>0</v>
      </c>
      <c r="B806" s="1">
        <f>MAX(CumRet!$B$2:$B$806)-CumRet!B806</f>
        <v>0</v>
      </c>
    </row>
    <row r="807" spans="1:2">
      <c r="A807" s="11">
        <f>Returns!A807</f>
        <v>0</v>
      </c>
      <c r="B807" s="1">
        <f>MAX(CumRet!$B$2:$B$807)-CumRet!B807</f>
        <v>0</v>
      </c>
    </row>
    <row r="808" spans="1:2">
      <c r="A808" s="11">
        <f>Returns!A808</f>
        <v>0</v>
      </c>
      <c r="B808" s="1">
        <f>MAX(CumRet!$B$2:$B$808)-CumRet!B808</f>
        <v>0</v>
      </c>
    </row>
    <row r="809" spans="1:2">
      <c r="A809" s="11">
        <f>Returns!A809</f>
        <v>0</v>
      </c>
      <c r="B809" s="1">
        <f>MAX(CumRet!$B$2:$B$809)-CumRet!B809</f>
        <v>0</v>
      </c>
    </row>
    <row r="810" spans="1:2">
      <c r="A810" s="11">
        <f>Returns!A810</f>
        <v>0</v>
      </c>
      <c r="B810" s="1">
        <f>MAX(CumRet!$B$2:$B$810)-CumRet!B810</f>
        <v>0</v>
      </c>
    </row>
    <row r="811" spans="1:2">
      <c r="A811" s="11">
        <f>Returns!A811</f>
        <v>0</v>
      </c>
      <c r="B811" s="1">
        <f>MAX(CumRet!$B$2:$B$811)-CumRet!B811</f>
        <v>0</v>
      </c>
    </row>
    <row r="812" spans="1:2">
      <c r="A812" s="11">
        <f>Returns!A812</f>
        <v>0</v>
      </c>
      <c r="B812" s="1">
        <f>MAX(CumRet!$B$2:$B$812)-CumRet!B812</f>
        <v>0</v>
      </c>
    </row>
    <row r="813" spans="1:2">
      <c r="A813" s="11">
        <f>Returns!A813</f>
        <v>0</v>
      </c>
      <c r="B813" s="1">
        <f>MAX(CumRet!$B$2:$B$813)-CumRet!B813</f>
        <v>0</v>
      </c>
    </row>
    <row r="814" spans="1:2">
      <c r="A814" s="11">
        <f>Returns!A814</f>
        <v>0</v>
      </c>
      <c r="B814" s="1">
        <f>MAX(CumRet!$B$2:$B$814)-CumRet!B814</f>
        <v>0</v>
      </c>
    </row>
    <row r="815" spans="1:2">
      <c r="A815" s="11">
        <f>Returns!A815</f>
        <v>0</v>
      </c>
      <c r="B815" s="1">
        <f>MAX(CumRet!$B$2:$B$815)-CumRet!B815</f>
        <v>0</v>
      </c>
    </row>
    <row r="816" spans="1:2">
      <c r="A816" s="11">
        <f>Returns!A816</f>
        <v>0</v>
      </c>
      <c r="B816" s="1">
        <f>MAX(CumRet!$B$2:$B$816)-CumRet!B816</f>
        <v>0</v>
      </c>
    </row>
    <row r="817" spans="1:2">
      <c r="A817" s="11">
        <f>Returns!A817</f>
        <v>0</v>
      </c>
      <c r="B817" s="1">
        <f>MAX(CumRet!$B$2:$B$817)-CumRet!B817</f>
        <v>0</v>
      </c>
    </row>
    <row r="818" spans="1:2">
      <c r="A818" s="11">
        <f>Returns!A818</f>
        <v>0</v>
      </c>
      <c r="B818" s="1">
        <f>MAX(CumRet!$B$2:$B$818)-CumRet!B818</f>
        <v>0</v>
      </c>
    </row>
    <row r="819" spans="1:2">
      <c r="A819" s="11">
        <f>Returns!A819</f>
        <v>0</v>
      </c>
      <c r="B819" s="1">
        <f>MAX(CumRet!$B$2:$B$819)-CumRet!B819</f>
        <v>0</v>
      </c>
    </row>
    <row r="820" spans="1:2">
      <c r="A820" s="11">
        <f>Returns!A820</f>
        <v>0</v>
      </c>
      <c r="B820" s="1">
        <f>MAX(CumRet!$B$2:$B$820)-CumRet!B820</f>
        <v>0</v>
      </c>
    </row>
    <row r="821" spans="1:2">
      <c r="A821" s="11">
        <f>Returns!A821</f>
        <v>0</v>
      </c>
      <c r="B821" s="1">
        <f>MAX(CumRet!$B$2:$B$821)-CumRet!B821</f>
        <v>0</v>
      </c>
    </row>
    <row r="822" spans="1:2">
      <c r="A822" s="11">
        <f>Returns!A822</f>
        <v>0</v>
      </c>
      <c r="B822" s="1">
        <f>MAX(CumRet!$B$2:$B$822)-CumRet!B822</f>
        <v>0</v>
      </c>
    </row>
    <row r="823" spans="1:2">
      <c r="A823" s="11">
        <f>Returns!A823</f>
        <v>0</v>
      </c>
      <c r="B823" s="1">
        <f>MAX(CumRet!$B$2:$B$823)-CumRet!B823</f>
        <v>0</v>
      </c>
    </row>
    <row r="824" spans="1:2">
      <c r="A824" s="11">
        <f>Returns!A824</f>
        <v>0</v>
      </c>
      <c r="B824" s="1">
        <f>MAX(CumRet!$B$2:$B$824)-CumRet!B824</f>
        <v>0</v>
      </c>
    </row>
    <row r="825" spans="1:2">
      <c r="A825" s="11">
        <f>Returns!A825</f>
        <v>0</v>
      </c>
      <c r="B825" s="1">
        <f>MAX(CumRet!$B$2:$B$825)-CumRet!B825</f>
        <v>0</v>
      </c>
    </row>
    <row r="826" spans="1:2">
      <c r="A826" s="11">
        <f>Returns!A826</f>
        <v>0</v>
      </c>
      <c r="B826" s="1">
        <f>MAX(CumRet!$B$2:$B$826)-CumRet!B826</f>
        <v>0</v>
      </c>
    </row>
    <row r="827" spans="1:2">
      <c r="A827" s="11">
        <f>Returns!A827</f>
        <v>0</v>
      </c>
      <c r="B827" s="1">
        <f>MAX(CumRet!$B$2:$B$827)-CumRet!B827</f>
        <v>0</v>
      </c>
    </row>
    <row r="828" spans="1:2">
      <c r="A828" s="11">
        <f>Returns!A828</f>
        <v>0</v>
      </c>
      <c r="B828" s="1">
        <f>MAX(CumRet!$B$2:$B$828)-CumRet!B828</f>
        <v>0</v>
      </c>
    </row>
    <row r="829" spans="1:2">
      <c r="A829" s="11">
        <f>Returns!A829</f>
        <v>0</v>
      </c>
      <c r="B829" s="1">
        <f>MAX(CumRet!$B$2:$B$829)-CumRet!B829</f>
        <v>0</v>
      </c>
    </row>
    <row r="830" spans="1:2">
      <c r="A830" s="11">
        <f>Returns!A830</f>
        <v>0</v>
      </c>
      <c r="B830" s="1">
        <f>MAX(CumRet!$B$2:$B$830)-CumRet!B830</f>
        <v>0</v>
      </c>
    </row>
    <row r="831" spans="1:2">
      <c r="A831" s="11">
        <f>Returns!A831</f>
        <v>0</v>
      </c>
      <c r="B831" s="1">
        <f>MAX(CumRet!$B$2:$B$831)-CumRet!B831</f>
        <v>0</v>
      </c>
    </row>
    <row r="832" spans="1:2">
      <c r="A832" s="11">
        <f>Returns!A832</f>
        <v>0</v>
      </c>
      <c r="B832" s="1">
        <f>MAX(CumRet!$B$2:$B$832)-CumRet!B832</f>
        <v>0</v>
      </c>
    </row>
    <row r="833" spans="1:2">
      <c r="A833" s="11">
        <f>Returns!A833</f>
        <v>0</v>
      </c>
      <c r="B833" s="1">
        <f>MAX(CumRet!$B$2:$B$833)-CumRet!B833</f>
        <v>0</v>
      </c>
    </row>
    <row r="834" spans="1:2">
      <c r="A834" s="11">
        <f>Returns!A834</f>
        <v>0</v>
      </c>
      <c r="B834" s="1">
        <f>MAX(CumRet!$B$2:$B$834)-CumRet!B834</f>
        <v>0</v>
      </c>
    </row>
    <row r="835" spans="1:2">
      <c r="A835" s="11">
        <f>Returns!A835</f>
        <v>0</v>
      </c>
      <c r="B835" s="1">
        <f>MAX(CumRet!$B$2:$B$835)-CumRet!B835</f>
        <v>0</v>
      </c>
    </row>
    <row r="836" spans="1:2">
      <c r="A836" s="11">
        <f>Returns!A836</f>
        <v>0</v>
      </c>
      <c r="B836" s="1">
        <f>MAX(CumRet!$B$2:$B$836)-CumRet!B836</f>
        <v>0</v>
      </c>
    </row>
    <row r="837" spans="1:2">
      <c r="A837" s="11">
        <f>Returns!A837</f>
        <v>0</v>
      </c>
      <c r="B837" s="1">
        <f>MAX(CumRet!$B$2:$B$837)-CumRet!B837</f>
        <v>0</v>
      </c>
    </row>
    <row r="838" spans="1:2">
      <c r="A838" s="11">
        <f>Returns!A838</f>
        <v>0</v>
      </c>
      <c r="B838" s="1">
        <f>MAX(CumRet!$B$2:$B$838)-CumRet!B838</f>
        <v>0</v>
      </c>
    </row>
    <row r="839" spans="1:2">
      <c r="A839" s="11">
        <f>Returns!A839</f>
        <v>0</v>
      </c>
      <c r="B839" s="1">
        <f>MAX(CumRet!$B$2:$B$839)-CumRet!B839</f>
        <v>0</v>
      </c>
    </row>
    <row r="840" spans="1:2">
      <c r="A840" s="11">
        <f>Returns!A840</f>
        <v>0</v>
      </c>
      <c r="B840" s="1">
        <f>MAX(CumRet!$B$2:$B$840)-CumRet!B840</f>
        <v>0</v>
      </c>
    </row>
    <row r="841" spans="1:2">
      <c r="A841" s="11">
        <f>Returns!A841</f>
        <v>0</v>
      </c>
      <c r="B841" s="1">
        <f>MAX(CumRet!$B$2:$B$841)-CumRet!B841</f>
        <v>0</v>
      </c>
    </row>
    <row r="842" spans="1:2">
      <c r="A842" s="11">
        <f>Returns!A842</f>
        <v>0</v>
      </c>
      <c r="B842" s="1">
        <f>MAX(CumRet!$B$2:$B$842)-CumRet!B842</f>
        <v>0</v>
      </c>
    </row>
    <row r="843" spans="1:2">
      <c r="A843" s="11">
        <f>Returns!A843</f>
        <v>0</v>
      </c>
      <c r="B843" s="1">
        <f>MAX(CumRet!$B$2:$B$843)-CumRet!B843</f>
        <v>0</v>
      </c>
    </row>
    <row r="844" spans="1:2">
      <c r="A844" s="11">
        <f>Returns!A844</f>
        <v>0</v>
      </c>
      <c r="B844" s="1">
        <f>MAX(CumRet!$B$2:$B$844)-CumRet!B844</f>
        <v>0</v>
      </c>
    </row>
    <row r="845" spans="1:2">
      <c r="A845" s="11">
        <f>Returns!A845</f>
        <v>0</v>
      </c>
      <c r="B845" s="1">
        <f>MAX(CumRet!$B$2:$B$845)-CumRet!B845</f>
        <v>0</v>
      </c>
    </row>
    <row r="846" spans="1:2">
      <c r="A846" s="11">
        <f>Returns!A846</f>
        <v>0</v>
      </c>
      <c r="B846" s="1">
        <f>MAX(CumRet!$B$2:$B$846)-CumRet!B846</f>
        <v>0</v>
      </c>
    </row>
    <row r="847" spans="1:2">
      <c r="A847" s="11">
        <f>Returns!A847</f>
        <v>0</v>
      </c>
      <c r="B847" s="1">
        <f>MAX(CumRet!$B$2:$B$847)-CumRet!B847</f>
        <v>0</v>
      </c>
    </row>
    <row r="848" spans="1:2">
      <c r="A848" s="11">
        <f>Returns!A848</f>
        <v>0</v>
      </c>
      <c r="B848" s="1">
        <f>MAX(CumRet!$B$2:$B$848)-CumRet!B848</f>
        <v>0</v>
      </c>
    </row>
    <row r="849" spans="1:2">
      <c r="A849" s="11">
        <f>Returns!A849</f>
        <v>0</v>
      </c>
      <c r="B849" s="1">
        <f>MAX(CumRet!$B$2:$B$849)-CumRet!B849</f>
        <v>0</v>
      </c>
    </row>
    <row r="850" spans="1:2">
      <c r="A850" s="11">
        <f>Returns!A850</f>
        <v>0</v>
      </c>
      <c r="B850" s="1">
        <f>MAX(CumRet!$B$2:$B$850)-CumRet!B850</f>
        <v>0</v>
      </c>
    </row>
    <row r="851" spans="1:2">
      <c r="A851" s="11">
        <f>Returns!A851</f>
        <v>0</v>
      </c>
      <c r="B851" s="1">
        <f>MAX(CumRet!$B$2:$B$851)-CumRet!B851</f>
        <v>0</v>
      </c>
    </row>
    <row r="852" spans="1:2">
      <c r="A852" s="11">
        <f>Returns!A852</f>
        <v>0</v>
      </c>
      <c r="B852" s="1">
        <f>MAX(CumRet!$B$2:$B$852)-CumRet!B852</f>
        <v>0</v>
      </c>
    </row>
    <row r="853" spans="1:2">
      <c r="A853" s="11">
        <f>Returns!A853</f>
        <v>0</v>
      </c>
      <c r="B853" s="1">
        <f>MAX(CumRet!$B$2:$B$853)-CumRet!B853</f>
        <v>0</v>
      </c>
    </row>
    <row r="854" spans="1:2">
      <c r="A854" s="11">
        <f>Returns!A854</f>
        <v>0</v>
      </c>
      <c r="B854" s="1">
        <f>MAX(CumRet!$B$2:$B$854)-CumRet!B854</f>
        <v>0</v>
      </c>
    </row>
    <row r="855" spans="1:2">
      <c r="A855" s="11">
        <f>Returns!A855</f>
        <v>0</v>
      </c>
      <c r="B855" s="1">
        <f>MAX(CumRet!$B$2:$B$855)-CumRet!B855</f>
        <v>0</v>
      </c>
    </row>
    <row r="856" spans="1:2">
      <c r="A856" s="11">
        <f>Returns!A856</f>
        <v>0</v>
      </c>
      <c r="B856" s="1">
        <f>MAX(CumRet!$B$2:$B$856)-CumRet!B856</f>
        <v>0</v>
      </c>
    </row>
    <row r="857" spans="1:2">
      <c r="A857" s="11">
        <f>Returns!A857</f>
        <v>0</v>
      </c>
      <c r="B857" s="1">
        <f>MAX(CumRet!$B$2:$B$857)-CumRet!B857</f>
        <v>0</v>
      </c>
    </row>
    <row r="858" spans="1:2">
      <c r="A858" s="11">
        <f>Returns!A858</f>
        <v>0</v>
      </c>
      <c r="B858" s="1">
        <f>MAX(CumRet!$B$2:$B$858)-CumRet!B858</f>
        <v>0</v>
      </c>
    </row>
    <row r="859" spans="1:2">
      <c r="A859" s="11">
        <f>Returns!A859</f>
        <v>0</v>
      </c>
      <c r="B859" s="1">
        <f>MAX(CumRet!$B$2:$B$859)-CumRet!B859</f>
        <v>0</v>
      </c>
    </row>
    <row r="860" spans="1:2">
      <c r="A860" s="11">
        <f>Returns!A860</f>
        <v>0</v>
      </c>
      <c r="B860" s="1">
        <f>MAX(CumRet!$B$2:$B$860)-CumRet!B860</f>
        <v>0</v>
      </c>
    </row>
    <row r="861" spans="1:2">
      <c r="A861" s="11">
        <f>Returns!A861</f>
        <v>0</v>
      </c>
      <c r="B861" s="1">
        <f>MAX(CumRet!$B$2:$B$861)-CumRet!B861</f>
        <v>0</v>
      </c>
    </row>
    <row r="862" spans="1:2">
      <c r="A862" s="11">
        <f>Returns!A862</f>
        <v>0</v>
      </c>
      <c r="B862" s="1">
        <f>MAX(CumRet!$B$2:$B$862)-CumRet!B862</f>
        <v>0</v>
      </c>
    </row>
    <row r="863" spans="1:2">
      <c r="A863" s="11">
        <f>Returns!A863</f>
        <v>0</v>
      </c>
      <c r="B863" s="1">
        <f>MAX(CumRet!$B$2:$B$863)-CumRet!B863</f>
        <v>0</v>
      </c>
    </row>
    <row r="864" spans="1:2">
      <c r="A864" s="11">
        <f>Returns!A864</f>
        <v>0</v>
      </c>
      <c r="B864" s="1">
        <f>MAX(CumRet!$B$2:$B$864)-CumRet!B864</f>
        <v>0</v>
      </c>
    </row>
    <row r="865" spans="1:2">
      <c r="A865" s="11">
        <f>Returns!A865</f>
        <v>0</v>
      </c>
      <c r="B865" s="1">
        <f>MAX(CumRet!$B$2:$B$865)-CumRet!B865</f>
        <v>0</v>
      </c>
    </row>
    <row r="866" spans="1:2">
      <c r="A866" s="11">
        <f>Returns!A866</f>
        <v>0</v>
      </c>
      <c r="B866" s="1">
        <f>MAX(CumRet!$B$2:$B$866)-CumRet!B866</f>
        <v>0</v>
      </c>
    </row>
    <row r="867" spans="1:2">
      <c r="A867" s="11">
        <f>Returns!A867</f>
        <v>0</v>
      </c>
      <c r="B867" s="1">
        <f>MAX(CumRet!$B$2:$B$867)-CumRet!B867</f>
        <v>0</v>
      </c>
    </row>
    <row r="868" spans="1:2">
      <c r="A868" s="11">
        <f>Returns!A868</f>
        <v>0</v>
      </c>
      <c r="B868" s="1">
        <f>MAX(CumRet!$B$2:$B$868)-CumRet!B868</f>
        <v>0</v>
      </c>
    </row>
    <row r="869" spans="1:2">
      <c r="A869" s="11">
        <f>Returns!A869</f>
        <v>0</v>
      </c>
      <c r="B869" s="1">
        <f>MAX(CumRet!$B$2:$B$869)-CumRet!B869</f>
        <v>0</v>
      </c>
    </row>
    <row r="870" spans="1:2">
      <c r="A870" s="11">
        <f>Returns!A870</f>
        <v>0</v>
      </c>
      <c r="B870" s="1">
        <f>MAX(CumRet!$B$2:$B$870)-CumRet!B870</f>
        <v>0</v>
      </c>
    </row>
    <row r="871" spans="1:2">
      <c r="A871" s="11">
        <f>Returns!A871</f>
        <v>0</v>
      </c>
      <c r="B871" s="1">
        <f>MAX(CumRet!$B$2:$B$871)-CumRet!B871</f>
        <v>0</v>
      </c>
    </row>
    <row r="872" spans="1:2">
      <c r="A872" s="11">
        <f>Returns!A872</f>
        <v>0</v>
      </c>
      <c r="B872" s="1">
        <f>MAX(CumRet!$B$2:$B$872)-CumRet!B872</f>
        <v>0</v>
      </c>
    </row>
    <row r="873" spans="1:2">
      <c r="A873" s="11">
        <f>Returns!A873</f>
        <v>0</v>
      </c>
      <c r="B873" s="1">
        <f>MAX(CumRet!$B$2:$B$873)-CumRet!B873</f>
        <v>0</v>
      </c>
    </row>
    <row r="874" spans="1:2">
      <c r="A874" s="11">
        <f>Returns!A874</f>
        <v>0</v>
      </c>
      <c r="B874" s="1">
        <f>MAX(CumRet!$B$2:$B$874)-CumRet!B874</f>
        <v>0</v>
      </c>
    </row>
    <row r="875" spans="1:2">
      <c r="A875" s="11">
        <f>Returns!A875</f>
        <v>0</v>
      </c>
      <c r="B875" s="1">
        <f>MAX(CumRet!$B$2:$B$875)-CumRet!B875</f>
        <v>0</v>
      </c>
    </row>
    <row r="876" spans="1:2">
      <c r="A876" s="11">
        <f>Returns!A876</f>
        <v>0</v>
      </c>
      <c r="B876" s="1">
        <f>MAX(CumRet!$B$2:$B$876)-CumRet!B876</f>
        <v>0</v>
      </c>
    </row>
    <row r="877" spans="1:2">
      <c r="A877" s="11">
        <f>Returns!A877</f>
        <v>0</v>
      </c>
      <c r="B877" s="1">
        <f>MAX(CumRet!$B$2:$B$877)-CumRet!B877</f>
        <v>0</v>
      </c>
    </row>
    <row r="878" spans="1:2">
      <c r="A878" s="11">
        <f>Returns!A878</f>
        <v>0</v>
      </c>
      <c r="B878" s="1">
        <f>MAX(CumRet!$B$2:$B$878)-CumRet!B878</f>
        <v>0</v>
      </c>
    </row>
    <row r="879" spans="1:2">
      <c r="A879" s="11">
        <f>Returns!A879</f>
        <v>0</v>
      </c>
      <c r="B879" s="1">
        <f>MAX(CumRet!$B$2:$B$879)-CumRet!B879</f>
        <v>0</v>
      </c>
    </row>
    <row r="880" spans="1:2">
      <c r="A880" s="11">
        <f>Returns!A880</f>
        <v>0</v>
      </c>
      <c r="B880" s="1">
        <f>MAX(CumRet!$B$2:$B$880)-CumRet!B880</f>
        <v>0</v>
      </c>
    </row>
    <row r="881" spans="1:2">
      <c r="A881" s="11">
        <f>Returns!A881</f>
        <v>0</v>
      </c>
      <c r="B881" s="1">
        <f>MAX(CumRet!$B$2:$B$881)-CumRet!B881</f>
        <v>0</v>
      </c>
    </row>
    <row r="882" spans="1:2">
      <c r="A882" s="11">
        <f>Returns!A882</f>
        <v>0</v>
      </c>
      <c r="B882" s="1">
        <f>MAX(CumRet!$B$2:$B$882)-CumRet!B882</f>
        <v>0</v>
      </c>
    </row>
    <row r="883" spans="1:2">
      <c r="A883" s="11">
        <f>Returns!A883</f>
        <v>0</v>
      </c>
      <c r="B883" s="1">
        <f>MAX(CumRet!$B$2:$B$883)-CumRet!B883</f>
        <v>0</v>
      </c>
    </row>
    <row r="884" spans="1:2">
      <c r="A884" s="11">
        <f>Returns!A884</f>
        <v>0</v>
      </c>
      <c r="B884" s="1">
        <f>MAX(CumRet!$B$2:$B$884)-CumRet!B884</f>
        <v>0</v>
      </c>
    </row>
    <row r="885" spans="1:2">
      <c r="A885" s="11">
        <f>Returns!A885</f>
        <v>0</v>
      </c>
      <c r="B885" s="1">
        <f>MAX(CumRet!$B$2:$B$885)-CumRet!B885</f>
        <v>0</v>
      </c>
    </row>
    <row r="886" spans="1:2">
      <c r="A886" s="11">
        <f>Returns!A886</f>
        <v>0</v>
      </c>
      <c r="B886" s="1">
        <f>MAX(CumRet!$B$2:$B$886)-CumRet!B886</f>
        <v>0</v>
      </c>
    </row>
    <row r="887" spans="1:2">
      <c r="A887" s="11">
        <f>Returns!A887</f>
        <v>0</v>
      </c>
      <c r="B887" s="1">
        <f>MAX(CumRet!$B$2:$B$887)-CumRet!B887</f>
        <v>0</v>
      </c>
    </row>
    <row r="888" spans="1:2">
      <c r="A888" s="11">
        <f>Returns!A888</f>
        <v>0</v>
      </c>
      <c r="B888" s="1">
        <f>MAX(CumRet!$B$2:$B$888)-CumRet!B888</f>
        <v>0</v>
      </c>
    </row>
    <row r="889" spans="1:2">
      <c r="A889" s="11">
        <f>Returns!A889</f>
        <v>0</v>
      </c>
      <c r="B889" s="1">
        <f>MAX(CumRet!$B$2:$B$889)-CumRet!B889</f>
        <v>0</v>
      </c>
    </row>
    <row r="890" spans="1:2">
      <c r="A890" s="11">
        <f>Returns!A890</f>
        <v>0</v>
      </c>
      <c r="B890" s="1">
        <f>MAX(CumRet!$B$2:$B$890)-CumRet!B890</f>
        <v>0</v>
      </c>
    </row>
    <row r="891" spans="1:2">
      <c r="A891" s="11">
        <f>Returns!A891</f>
        <v>0</v>
      </c>
      <c r="B891" s="1">
        <f>MAX(CumRet!$B$2:$B$891)-CumRet!B891</f>
        <v>0</v>
      </c>
    </row>
    <row r="892" spans="1:2">
      <c r="A892" s="11">
        <f>Returns!A892</f>
        <v>0</v>
      </c>
      <c r="B892" s="1">
        <f>MAX(CumRet!$B$2:$B$892)-CumRet!B892</f>
        <v>0</v>
      </c>
    </row>
    <row r="893" spans="1:2">
      <c r="A893" s="11">
        <f>Returns!A893</f>
        <v>0</v>
      </c>
      <c r="B893" s="1">
        <f>MAX(CumRet!$B$2:$B$893)-CumRet!B893</f>
        <v>0</v>
      </c>
    </row>
    <row r="894" spans="1:2">
      <c r="A894" s="11">
        <f>Returns!A894</f>
        <v>0</v>
      </c>
      <c r="B894" s="1">
        <f>MAX(CumRet!$B$2:$B$894)-CumRet!B894</f>
        <v>0</v>
      </c>
    </row>
    <row r="895" spans="1:2">
      <c r="A895" s="11">
        <f>Returns!A895</f>
        <v>0</v>
      </c>
      <c r="B895" s="1">
        <f>MAX(CumRet!$B$2:$B$895)-CumRet!B895</f>
        <v>0</v>
      </c>
    </row>
    <row r="896" spans="1:2">
      <c r="A896" s="11">
        <f>Returns!A896</f>
        <v>0</v>
      </c>
      <c r="B896" s="1">
        <f>MAX(CumRet!$B$2:$B$896)-CumRet!B896</f>
        <v>0</v>
      </c>
    </row>
    <row r="897" spans="1:2">
      <c r="A897" s="11">
        <f>Returns!A897</f>
        <v>0</v>
      </c>
      <c r="B897" s="1">
        <f>MAX(CumRet!$B$2:$B$897)-CumRet!B897</f>
        <v>0</v>
      </c>
    </row>
    <row r="898" spans="1:2">
      <c r="A898" s="11">
        <f>Returns!A898</f>
        <v>0</v>
      </c>
      <c r="B898" s="1">
        <f>MAX(CumRet!$B$2:$B$898)-CumRet!B898</f>
        <v>0</v>
      </c>
    </row>
    <row r="899" spans="1:2">
      <c r="A899" s="11">
        <f>Returns!A899</f>
        <v>0</v>
      </c>
      <c r="B899" s="1">
        <f>MAX(CumRet!$B$2:$B$899)-CumRet!B899</f>
        <v>0</v>
      </c>
    </row>
    <row r="900" spans="1:2">
      <c r="A900" s="11">
        <f>Returns!A900</f>
        <v>0</v>
      </c>
      <c r="B900" s="1">
        <f>MAX(CumRet!$B$2:$B$900)-CumRet!B900</f>
        <v>0</v>
      </c>
    </row>
    <row r="901" spans="1:2">
      <c r="A901" s="11">
        <f>Returns!A901</f>
        <v>0</v>
      </c>
      <c r="B901" s="1">
        <f>MAX(CumRet!$B$2:$B$901)-CumRet!B901</f>
        <v>0</v>
      </c>
    </row>
    <row r="902" spans="1:2">
      <c r="A902" s="11">
        <f>Returns!A902</f>
        <v>0</v>
      </c>
      <c r="B902" s="1">
        <f>MAX(CumRet!$B$2:$B$902)-CumRet!B902</f>
        <v>0</v>
      </c>
    </row>
    <row r="903" spans="1:2">
      <c r="A903" s="11">
        <f>Returns!A903</f>
        <v>0</v>
      </c>
      <c r="B903" s="1">
        <f>MAX(CumRet!$B$2:$B$903)-CumRet!B903</f>
        <v>0</v>
      </c>
    </row>
    <row r="904" spans="1:2">
      <c r="A904" s="11">
        <f>Returns!A904</f>
        <v>0</v>
      </c>
      <c r="B904" s="1">
        <f>MAX(CumRet!$B$2:$B$904)-CumRet!B904</f>
        <v>0</v>
      </c>
    </row>
    <row r="905" spans="1:2">
      <c r="A905" s="11">
        <f>Returns!A905</f>
        <v>0</v>
      </c>
      <c r="B905" s="1">
        <f>MAX(CumRet!$B$2:$B$905)-CumRet!B905</f>
        <v>0</v>
      </c>
    </row>
    <row r="906" spans="1:2">
      <c r="A906" s="11">
        <f>Returns!A906</f>
        <v>0</v>
      </c>
      <c r="B906" s="1">
        <f>MAX(CumRet!$B$2:$B$906)-CumRet!B906</f>
        <v>0</v>
      </c>
    </row>
    <row r="907" spans="1:2">
      <c r="A907" s="11">
        <f>Returns!A907</f>
        <v>0</v>
      </c>
      <c r="B907" s="1">
        <f>MAX(CumRet!$B$2:$B$907)-CumRet!B907</f>
        <v>0</v>
      </c>
    </row>
    <row r="908" spans="1:2">
      <c r="A908" s="11">
        <f>Returns!A908</f>
        <v>0</v>
      </c>
      <c r="B908" s="1">
        <f>MAX(CumRet!$B$2:$B$908)-CumRet!B908</f>
        <v>0</v>
      </c>
    </row>
    <row r="909" spans="1:2">
      <c r="A909" s="11">
        <f>Returns!A909</f>
        <v>0</v>
      </c>
      <c r="B909" s="1">
        <f>MAX(CumRet!$B$2:$B$909)-CumRet!B909</f>
        <v>0</v>
      </c>
    </row>
    <row r="910" spans="1:2">
      <c r="A910" s="11">
        <f>Returns!A910</f>
        <v>0</v>
      </c>
      <c r="B910" s="1">
        <f>MAX(CumRet!$B$2:$B$910)-CumRet!B910</f>
        <v>0</v>
      </c>
    </row>
    <row r="911" spans="1:2">
      <c r="A911" s="11">
        <f>Returns!A911</f>
        <v>0</v>
      </c>
      <c r="B911" s="1">
        <f>MAX(CumRet!$B$2:$B$911)-CumRet!B911</f>
        <v>0</v>
      </c>
    </row>
    <row r="912" spans="1:2">
      <c r="A912" s="11">
        <f>Returns!A912</f>
        <v>0</v>
      </c>
      <c r="B912" s="1">
        <f>MAX(CumRet!$B$2:$B$912)-CumRet!B912</f>
        <v>0</v>
      </c>
    </row>
    <row r="913" spans="1:2">
      <c r="A913" s="11">
        <f>Returns!A913</f>
        <v>0</v>
      </c>
      <c r="B913" s="1">
        <f>MAX(CumRet!$B$2:$B$913)-CumRet!B913</f>
        <v>0</v>
      </c>
    </row>
    <row r="914" spans="1:2">
      <c r="A914" s="11">
        <f>Returns!A914</f>
        <v>0</v>
      </c>
      <c r="B914" s="1">
        <f>MAX(CumRet!$B$2:$B$914)-CumRet!B914</f>
        <v>0</v>
      </c>
    </row>
    <row r="915" spans="1:2">
      <c r="A915" s="11">
        <f>Returns!A915</f>
        <v>0</v>
      </c>
      <c r="B915" s="1">
        <f>MAX(CumRet!$B$2:$B$915)-CumRet!B915</f>
        <v>0</v>
      </c>
    </row>
    <row r="916" spans="1:2">
      <c r="A916" s="11">
        <f>Returns!A916</f>
        <v>0</v>
      </c>
      <c r="B916" s="1">
        <f>MAX(CumRet!$B$2:$B$916)-CumRet!B916</f>
        <v>0</v>
      </c>
    </row>
    <row r="917" spans="1:2">
      <c r="A917" s="11">
        <f>Returns!A917</f>
        <v>0</v>
      </c>
      <c r="B917" s="1">
        <f>MAX(CumRet!$B$2:$B$917)-CumRet!B917</f>
        <v>0</v>
      </c>
    </row>
    <row r="918" spans="1:2">
      <c r="A918" s="11">
        <f>Returns!A918</f>
        <v>0</v>
      </c>
      <c r="B918" s="1">
        <f>MAX(CumRet!$B$2:$B$918)-CumRet!B918</f>
        <v>0</v>
      </c>
    </row>
    <row r="919" spans="1:2">
      <c r="A919" s="11">
        <f>Returns!A919</f>
        <v>0</v>
      </c>
      <c r="B919" s="1">
        <f>MAX(CumRet!$B$2:$B$919)-CumRet!B919</f>
        <v>0</v>
      </c>
    </row>
    <row r="920" spans="1:2">
      <c r="A920" s="11">
        <f>Returns!A920</f>
        <v>0</v>
      </c>
      <c r="B920" s="1">
        <f>MAX(CumRet!$B$2:$B$920)-CumRet!B920</f>
        <v>0</v>
      </c>
    </row>
    <row r="921" spans="1:2">
      <c r="A921" s="11">
        <f>Returns!A921</f>
        <v>0</v>
      </c>
      <c r="B921" s="1">
        <f>MAX(CumRet!$B$2:$B$921)-CumRet!B921</f>
        <v>0</v>
      </c>
    </row>
    <row r="922" spans="1:2">
      <c r="A922" s="11">
        <f>Returns!A922</f>
        <v>0</v>
      </c>
      <c r="B922" s="1">
        <f>MAX(CumRet!$B$2:$B$922)-CumRet!B922</f>
        <v>0</v>
      </c>
    </row>
    <row r="923" spans="1:2">
      <c r="A923" s="11">
        <f>Returns!A923</f>
        <v>0</v>
      </c>
      <c r="B923" s="1">
        <f>MAX(CumRet!$B$2:$B$923)-CumRet!B923</f>
        <v>0</v>
      </c>
    </row>
    <row r="924" spans="1:2">
      <c r="A924" s="11">
        <f>Returns!A924</f>
        <v>0</v>
      </c>
      <c r="B924" s="1">
        <f>MAX(CumRet!$B$2:$B$924)-CumRet!B924</f>
        <v>0</v>
      </c>
    </row>
    <row r="925" spans="1:2">
      <c r="A925" s="11">
        <f>Returns!A925</f>
        <v>0</v>
      </c>
      <c r="B925" s="1">
        <f>MAX(CumRet!$B$2:$B$925)-CumRet!B925</f>
        <v>0</v>
      </c>
    </row>
    <row r="926" spans="1:2">
      <c r="A926" s="11">
        <f>Returns!A926</f>
        <v>0</v>
      </c>
      <c r="B926" s="1">
        <f>MAX(CumRet!$B$2:$B$926)-CumRet!B926</f>
        <v>0</v>
      </c>
    </row>
    <row r="927" spans="1:2">
      <c r="A927" s="11">
        <f>Returns!A927</f>
        <v>0</v>
      </c>
      <c r="B927" s="1">
        <f>MAX(CumRet!$B$2:$B$927)-CumRet!B927</f>
        <v>0</v>
      </c>
    </row>
    <row r="928" spans="1:2">
      <c r="A928" s="11">
        <f>Returns!A928</f>
        <v>0</v>
      </c>
      <c r="B928" s="1">
        <f>MAX(CumRet!$B$2:$B$928)-CumRet!B928</f>
        <v>0</v>
      </c>
    </row>
    <row r="929" spans="1:2">
      <c r="A929" s="11">
        <f>Returns!A929</f>
        <v>0</v>
      </c>
      <c r="B929" s="1">
        <f>MAX(CumRet!$B$2:$B$929)-CumRet!B929</f>
        <v>0</v>
      </c>
    </row>
    <row r="930" spans="1:2">
      <c r="A930" s="11">
        <f>Returns!A930</f>
        <v>0</v>
      </c>
      <c r="B930" s="1">
        <f>MAX(CumRet!$B$2:$B$930)-CumRet!B930</f>
        <v>0</v>
      </c>
    </row>
    <row r="931" spans="1:2">
      <c r="A931" s="11">
        <f>Returns!A931</f>
        <v>0</v>
      </c>
      <c r="B931" s="1">
        <f>MAX(CumRet!$B$2:$B$931)-CumRet!B931</f>
        <v>0</v>
      </c>
    </row>
    <row r="932" spans="1:2">
      <c r="A932" s="11">
        <f>Returns!A932</f>
        <v>0</v>
      </c>
      <c r="B932" s="1">
        <f>MAX(CumRet!$B$2:$B$932)-CumRet!B932</f>
        <v>0</v>
      </c>
    </row>
    <row r="933" spans="1:2">
      <c r="A933" s="11">
        <f>Returns!A933</f>
        <v>0</v>
      </c>
      <c r="B933" s="1">
        <f>MAX(CumRet!$B$2:$B$933)-CumRet!B933</f>
        <v>0</v>
      </c>
    </row>
    <row r="934" spans="1:2">
      <c r="A934" s="11">
        <f>Returns!A934</f>
        <v>0</v>
      </c>
      <c r="B934" s="1">
        <f>MAX(CumRet!$B$2:$B$934)-CumRet!B934</f>
        <v>0</v>
      </c>
    </row>
    <row r="935" spans="1:2">
      <c r="A935" s="11">
        <f>Returns!A935</f>
        <v>0</v>
      </c>
      <c r="B935" s="1">
        <f>MAX(CumRet!$B$2:$B$935)-CumRet!B935</f>
        <v>0</v>
      </c>
    </row>
    <row r="936" spans="1:2">
      <c r="A936" s="11">
        <f>Returns!A936</f>
        <v>0</v>
      </c>
      <c r="B936" s="1">
        <f>MAX(CumRet!$B$2:$B$936)-CumRet!B936</f>
        <v>0</v>
      </c>
    </row>
    <row r="937" spans="1:2">
      <c r="A937" s="11">
        <f>Returns!A937</f>
        <v>0</v>
      </c>
      <c r="B937" s="1">
        <f>MAX(CumRet!$B$2:$B$937)-CumRet!B937</f>
        <v>0</v>
      </c>
    </row>
    <row r="938" spans="1:2">
      <c r="A938" s="11">
        <f>Returns!A938</f>
        <v>0</v>
      </c>
      <c r="B938" s="1">
        <f>MAX(CumRet!$B$2:$B$938)-CumRet!B938</f>
        <v>0</v>
      </c>
    </row>
    <row r="939" spans="1:2">
      <c r="A939" s="11">
        <f>Returns!A939</f>
        <v>0</v>
      </c>
      <c r="B939" s="1">
        <f>MAX(CumRet!$B$2:$B$939)-CumRet!B939</f>
        <v>0</v>
      </c>
    </row>
    <row r="940" spans="1:2">
      <c r="A940" s="11">
        <f>Returns!A940</f>
        <v>0</v>
      </c>
      <c r="B940" s="1">
        <f>MAX(CumRet!$B$2:$B$940)-CumRet!B940</f>
        <v>0</v>
      </c>
    </row>
    <row r="941" spans="1:2">
      <c r="A941" s="11">
        <f>Returns!A941</f>
        <v>0</v>
      </c>
      <c r="B941" s="1">
        <f>MAX(CumRet!$B$2:$B$941)-CumRet!B941</f>
        <v>0</v>
      </c>
    </row>
    <row r="942" spans="1:2">
      <c r="A942" s="11">
        <f>Returns!A942</f>
        <v>0</v>
      </c>
      <c r="B942" s="1">
        <f>MAX(CumRet!$B$2:$B$942)-CumRet!B942</f>
        <v>0</v>
      </c>
    </row>
    <row r="943" spans="1:2">
      <c r="A943" s="11">
        <f>Returns!A943</f>
        <v>0</v>
      </c>
      <c r="B943" s="1">
        <f>MAX(CumRet!$B$2:$B$943)-CumRet!B943</f>
        <v>0</v>
      </c>
    </row>
    <row r="944" spans="1:2">
      <c r="A944" s="11">
        <f>Returns!A944</f>
        <v>0</v>
      </c>
      <c r="B944" s="1">
        <f>MAX(CumRet!$B$2:$B$944)-CumRet!B944</f>
        <v>0</v>
      </c>
    </row>
    <row r="945" spans="1:2">
      <c r="A945" s="11">
        <f>Returns!A945</f>
        <v>0</v>
      </c>
      <c r="B945" s="1">
        <f>MAX(CumRet!$B$2:$B$945)-CumRet!B945</f>
        <v>0</v>
      </c>
    </row>
    <row r="946" spans="1:2">
      <c r="A946" s="11">
        <f>Returns!A946</f>
        <v>0</v>
      </c>
      <c r="B946" s="1">
        <f>MAX(CumRet!$B$2:$B$946)-CumRet!B946</f>
        <v>0</v>
      </c>
    </row>
    <row r="947" spans="1:2">
      <c r="A947" s="11">
        <f>Returns!A947</f>
        <v>0</v>
      </c>
      <c r="B947" s="1">
        <f>MAX(CumRet!$B$2:$B$947)-CumRet!B947</f>
        <v>0</v>
      </c>
    </row>
    <row r="948" spans="1:2">
      <c r="A948" s="11">
        <f>Returns!A948</f>
        <v>0</v>
      </c>
      <c r="B948" s="1">
        <f>MAX(CumRet!$B$2:$B$948)-CumRet!B948</f>
        <v>0</v>
      </c>
    </row>
    <row r="949" spans="1:2">
      <c r="A949" s="11">
        <f>Returns!A949</f>
        <v>0</v>
      </c>
      <c r="B949" s="1">
        <f>MAX(CumRet!$B$2:$B$949)-CumRet!B949</f>
        <v>0</v>
      </c>
    </row>
    <row r="950" spans="1:2">
      <c r="A950" s="11">
        <f>Returns!A950</f>
        <v>0</v>
      </c>
      <c r="B950" s="1">
        <f>MAX(CumRet!$B$2:$B$950)-CumRet!B950</f>
        <v>0</v>
      </c>
    </row>
    <row r="951" spans="1:2">
      <c r="A951" s="11">
        <f>Returns!A951</f>
        <v>0</v>
      </c>
      <c r="B951" s="1">
        <f>MAX(CumRet!$B$2:$B$951)-CumRet!B951</f>
        <v>0</v>
      </c>
    </row>
    <row r="952" spans="1:2">
      <c r="A952" s="11">
        <f>Returns!A952</f>
        <v>0</v>
      </c>
      <c r="B952" s="1">
        <f>MAX(CumRet!$B$2:$B$952)-CumRet!B952</f>
        <v>0</v>
      </c>
    </row>
    <row r="953" spans="1:2">
      <c r="A953" s="11">
        <f>Returns!A953</f>
        <v>0</v>
      </c>
      <c r="B953" s="1">
        <f>MAX(CumRet!$B$2:$B$953)-CumRet!B953</f>
        <v>0</v>
      </c>
    </row>
    <row r="954" spans="1:2">
      <c r="A954" s="11">
        <f>Returns!A954</f>
        <v>0</v>
      </c>
      <c r="B954" s="1">
        <f>MAX(CumRet!$B$2:$B$954)-CumRet!B954</f>
        <v>0</v>
      </c>
    </row>
    <row r="955" spans="1:2">
      <c r="A955" s="11">
        <f>Returns!A955</f>
        <v>0</v>
      </c>
      <c r="B955" s="1">
        <f>MAX(CumRet!$B$2:$B$955)-CumRet!B955</f>
        <v>0</v>
      </c>
    </row>
    <row r="956" spans="1:2">
      <c r="A956" s="11">
        <f>Returns!A956</f>
        <v>0</v>
      </c>
      <c r="B956" s="1">
        <f>MAX(CumRet!$B$2:$B$956)-CumRet!B956</f>
        <v>0</v>
      </c>
    </row>
    <row r="957" spans="1:2">
      <c r="A957" s="11">
        <f>Returns!A957</f>
        <v>0</v>
      </c>
      <c r="B957" s="1">
        <f>MAX(CumRet!$B$2:$B$957)-CumRet!B957</f>
        <v>0</v>
      </c>
    </row>
    <row r="958" spans="1:2">
      <c r="A958" s="11">
        <f>Returns!A958</f>
        <v>0</v>
      </c>
      <c r="B958" s="1">
        <f>MAX(CumRet!$B$2:$B$958)-CumRet!B958</f>
        <v>0</v>
      </c>
    </row>
    <row r="959" spans="1:2">
      <c r="A959" s="11">
        <f>Returns!A959</f>
        <v>0</v>
      </c>
      <c r="B959" s="1">
        <f>MAX(CumRet!$B$2:$B$959)-CumRet!B959</f>
        <v>0</v>
      </c>
    </row>
    <row r="960" spans="1:2">
      <c r="A960" s="11">
        <f>Returns!A960</f>
        <v>0</v>
      </c>
      <c r="B960" s="1">
        <f>MAX(CumRet!$B$2:$B$960)-CumRet!B960</f>
        <v>0</v>
      </c>
    </row>
    <row r="961" spans="1:2">
      <c r="A961" s="11">
        <f>Returns!A961</f>
        <v>0</v>
      </c>
      <c r="B961" s="1">
        <f>MAX(CumRet!$B$2:$B$961)-CumRet!B961</f>
        <v>0</v>
      </c>
    </row>
    <row r="962" spans="1:2">
      <c r="A962" s="11">
        <f>Returns!A962</f>
        <v>0</v>
      </c>
      <c r="B962" s="1">
        <f>MAX(CumRet!$B$2:$B$962)-CumRet!B962</f>
        <v>0</v>
      </c>
    </row>
    <row r="963" spans="1:2">
      <c r="A963" s="11">
        <f>Returns!A963</f>
        <v>0</v>
      </c>
      <c r="B963" s="1">
        <f>MAX(CumRet!$B$2:$B$963)-CumRet!B963</f>
        <v>0</v>
      </c>
    </row>
    <row r="964" spans="1:2">
      <c r="A964" s="11">
        <f>Returns!A964</f>
        <v>0</v>
      </c>
      <c r="B964" s="1">
        <f>MAX(CumRet!$B$2:$B$964)-CumRet!B964</f>
        <v>0</v>
      </c>
    </row>
    <row r="965" spans="1:2">
      <c r="A965" s="11">
        <f>Returns!A965</f>
        <v>0</v>
      </c>
      <c r="B965" s="1">
        <f>MAX(CumRet!$B$2:$B$965)-CumRet!B965</f>
        <v>0</v>
      </c>
    </row>
    <row r="966" spans="1:2">
      <c r="A966" s="11">
        <f>Returns!A966</f>
        <v>0</v>
      </c>
      <c r="B966" s="1">
        <f>MAX(CumRet!$B$2:$B$966)-CumRet!B966</f>
        <v>0</v>
      </c>
    </row>
    <row r="967" spans="1:2">
      <c r="A967" s="11">
        <f>Returns!A967</f>
        <v>0</v>
      </c>
      <c r="B967" s="1">
        <f>MAX(CumRet!$B$2:$B$967)-CumRet!B967</f>
        <v>0</v>
      </c>
    </row>
    <row r="968" spans="1:2">
      <c r="A968" s="11">
        <f>Returns!A968</f>
        <v>0</v>
      </c>
      <c r="B968" s="1">
        <f>MAX(CumRet!$B$2:$B$968)-CumRet!B968</f>
        <v>0</v>
      </c>
    </row>
    <row r="969" spans="1:2">
      <c r="A969" s="11">
        <f>Returns!A969</f>
        <v>0</v>
      </c>
      <c r="B969" s="1">
        <f>MAX(CumRet!$B$2:$B$969)-CumRet!B969</f>
        <v>0</v>
      </c>
    </row>
    <row r="970" spans="1:2">
      <c r="A970" s="11">
        <f>Returns!A970</f>
        <v>0</v>
      </c>
      <c r="B970" s="1">
        <f>MAX(CumRet!$B$2:$B$970)-CumRet!B970</f>
        <v>0</v>
      </c>
    </row>
    <row r="971" spans="1:2">
      <c r="A971" s="11">
        <f>Returns!A971</f>
        <v>0</v>
      </c>
      <c r="B971" s="1">
        <f>MAX(CumRet!$B$2:$B$971)-CumRet!B971</f>
        <v>0</v>
      </c>
    </row>
    <row r="972" spans="1:2">
      <c r="A972" s="11">
        <f>Returns!A972</f>
        <v>0</v>
      </c>
      <c r="B972" s="1">
        <f>MAX(CumRet!$B$2:$B$972)-CumRet!B972</f>
        <v>0</v>
      </c>
    </row>
    <row r="973" spans="1:2">
      <c r="A973" s="11">
        <f>Returns!A973</f>
        <v>0</v>
      </c>
      <c r="B973" s="1">
        <f>MAX(CumRet!$B$2:$B$973)-CumRet!B973</f>
        <v>0</v>
      </c>
    </row>
    <row r="974" spans="1:2">
      <c r="A974" s="11">
        <f>Returns!A974</f>
        <v>0</v>
      </c>
      <c r="B974" s="1">
        <f>MAX(CumRet!$B$2:$B$974)-CumRet!B974</f>
        <v>0</v>
      </c>
    </row>
    <row r="975" spans="1:2">
      <c r="A975" s="11">
        <f>Returns!A975</f>
        <v>0</v>
      </c>
      <c r="B975" s="1">
        <f>MAX(CumRet!$B$2:$B$975)-CumRet!B975</f>
        <v>0</v>
      </c>
    </row>
    <row r="976" spans="1:2">
      <c r="A976" s="11">
        <f>Returns!A976</f>
        <v>0</v>
      </c>
      <c r="B976" s="1">
        <f>MAX(CumRet!$B$2:$B$976)-CumRet!B976</f>
        <v>0</v>
      </c>
    </row>
    <row r="977" spans="1:2">
      <c r="A977" s="11">
        <f>Returns!A977</f>
        <v>0</v>
      </c>
      <c r="B977" s="1">
        <f>MAX(CumRet!$B$2:$B$977)-CumRet!B977</f>
        <v>0</v>
      </c>
    </row>
    <row r="978" spans="1:2">
      <c r="A978" s="11">
        <f>Returns!A978</f>
        <v>0</v>
      </c>
      <c r="B978" s="1">
        <f>MAX(CumRet!$B$2:$B$978)-CumRet!B978</f>
        <v>0</v>
      </c>
    </row>
    <row r="979" spans="1:2">
      <c r="A979" s="11">
        <f>Returns!A979</f>
        <v>0</v>
      </c>
      <c r="B979" s="1">
        <f>MAX(CumRet!$B$2:$B$979)-CumRet!B979</f>
        <v>0</v>
      </c>
    </row>
    <row r="980" spans="1:2">
      <c r="A980" s="11">
        <f>Returns!A980</f>
        <v>0</v>
      </c>
      <c r="B980" s="1">
        <f>MAX(CumRet!$B$2:$B$980)-CumRet!B980</f>
        <v>0</v>
      </c>
    </row>
    <row r="981" spans="1:2">
      <c r="A981" s="11">
        <f>Returns!A981</f>
        <v>0</v>
      </c>
      <c r="B981" s="1">
        <f>MAX(CumRet!$B$2:$B$981)-CumRet!B981</f>
        <v>0</v>
      </c>
    </row>
    <row r="982" spans="1:2">
      <c r="A982" s="11">
        <f>Returns!A982</f>
        <v>0</v>
      </c>
      <c r="B982" s="1">
        <f>MAX(CumRet!$B$2:$B$982)-CumRet!B982</f>
        <v>0</v>
      </c>
    </row>
    <row r="983" spans="1:2">
      <c r="A983" s="11">
        <f>Returns!A983</f>
        <v>0</v>
      </c>
      <c r="B983" s="1">
        <f>MAX(CumRet!$B$2:$B$983)-CumRet!B983</f>
        <v>0</v>
      </c>
    </row>
    <row r="984" spans="1:2">
      <c r="A984" s="11">
        <f>Returns!A984</f>
        <v>0</v>
      </c>
      <c r="B984" s="1">
        <f>MAX(CumRet!$B$2:$B$984)-CumRet!B984</f>
        <v>0</v>
      </c>
    </row>
    <row r="985" spans="1:2">
      <c r="A985" s="11">
        <f>Returns!A985</f>
        <v>0</v>
      </c>
      <c r="B985" s="1">
        <f>MAX(CumRet!$B$2:$B$985)-CumRet!B985</f>
        <v>0</v>
      </c>
    </row>
    <row r="986" spans="1:2">
      <c r="A986" s="11">
        <f>Returns!A986</f>
        <v>0</v>
      </c>
      <c r="B986" s="1">
        <f>MAX(CumRet!$B$2:$B$986)-CumRet!B986</f>
        <v>0</v>
      </c>
    </row>
    <row r="987" spans="1:2">
      <c r="A987" s="11">
        <f>Returns!A987</f>
        <v>0</v>
      </c>
      <c r="B987" s="1">
        <f>MAX(CumRet!$B$2:$B$987)-CumRet!B987</f>
        <v>0</v>
      </c>
    </row>
    <row r="988" spans="1:2">
      <c r="A988" s="11">
        <f>Returns!A988</f>
        <v>0</v>
      </c>
      <c r="B988" s="1">
        <f>MAX(CumRet!$B$2:$B$988)-CumRet!B988</f>
        <v>0</v>
      </c>
    </row>
    <row r="989" spans="1:2">
      <c r="A989" s="11">
        <f>Returns!A989</f>
        <v>0</v>
      </c>
      <c r="B989" s="1">
        <f>MAX(CumRet!$B$2:$B$989)-CumRet!B989</f>
        <v>0</v>
      </c>
    </row>
    <row r="990" spans="1:2">
      <c r="A990" s="11">
        <f>Returns!A990</f>
        <v>0</v>
      </c>
      <c r="B990" s="1">
        <f>MAX(CumRet!$B$2:$B$990)-CumRet!B990</f>
        <v>0</v>
      </c>
    </row>
    <row r="991" spans="1:2">
      <c r="A991" s="11">
        <f>Returns!A991</f>
        <v>0</v>
      </c>
      <c r="B991" s="1">
        <f>MAX(CumRet!$B$2:$B$991)-CumRet!B991</f>
        <v>0</v>
      </c>
    </row>
    <row r="992" spans="1:2">
      <c r="A992" s="11">
        <f>Returns!A992</f>
        <v>0</v>
      </c>
      <c r="B992" s="1">
        <f>MAX(CumRet!$B$2:$B$992)-CumRet!B992</f>
        <v>0</v>
      </c>
    </row>
    <row r="993" spans="1:2">
      <c r="A993" s="11">
        <f>Returns!A993</f>
        <v>0</v>
      </c>
      <c r="B993" s="1">
        <f>MAX(CumRet!$B$2:$B$993)-CumRet!B993</f>
        <v>0</v>
      </c>
    </row>
    <row r="994" spans="1:2">
      <c r="A994" s="11">
        <f>Returns!A994</f>
        <v>0</v>
      </c>
      <c r="B994" s="1">
        <f>MAX(CumRet!$B$2:$B$994)-CumRet!B994</f>
        <v>0</v>
      </c>
    </row>
    <row r="995" spans="1:2">
      <c r="A995" s="11">
        <f>Returns!A995</f>
        <v>0</v>
      </c>
      <c r="B995" s="1">
        <f>MAX(CumRet!$B$2:$B$995)-CumRet!B995</f>
        <v>0</v>
      </c>
    </row>
    <row r="996" spans="1:2">
      <c r="A996" s="11">
        <f>Returns!A996</f>
        <v>0</v>
      </c>
      <c r="B996" s="1">
        <f>MAX(CumRet!$B$2:$B$996)-CumRet!B996</f>
        <v>0</v>
      </c>
    </row>
    <row r="997" spans="1:2">
      <c r="A997" s="11">
        <f>Returns!A997</f>
        <v>0</v>
      </c>
      <c r="B997" s="1">
        <f>MAX(CumRet!$B$2:$B$997)-CumRet!B997</f>
        <v>0</v>
      </c>
    </row>
    <row r="998" spans="1:2">
      <c r="A998" s="11">
        <f>Returns!A998</f>
        <v>0</v>
      </c>
      <c r="B998" s="1">
        <f>MAX(CumRet!$B$2:$B$998)-CumRet!B998</f>
        <v>0</v>
      </c>
    </row>
    <row r="999" spans="1:2">
      <c r="A999" s="11">
        <f>Returns!A999</f>
        <v>0</v>
      </c>
      <c r="B999" s="1">
        <f>MAX(CumRet!$B$2:$B$999)-CumRet!B999</f>
        <v>0</v>
      </c>
    </row>
    <row r="1000" spans="1:2">
      <c r="A1000" s="11">
        <f>Returns!A1000</f>
        <v>0</v>
      </c>
      <c r="B1000" s="1">
        <f>MAX(CumRet!$B$2:$B$1000)-CumRet!B1000</f>
        <v>0</v>
      </c>
    </row>
    <row r="1001" spans="1:2">
      <c r="A1001" s="11">
        <f>Returns!A1001</f>
        <v>0</v>
      </c>
      <c r="B1001" s="1">
        <f>MAX(CumRet!$B$2:$B$1001)-CumRet!B1001</f>
        <v>0</v>
      </c>
    </row>
    <row r="1002" spans="1:2">
      <c r="A1002" s="11">
        <f>Returns!A1002</f>
        <v>0</v>
      </c>
      <c r="B1002" s="1">
        <f>MAX(CumRet!$B$2:$B$1002)-CumRet!B1002</f>
        <v>0</v>
      </c>
    </row>
    <row r="1003" spans="1:2">
      <c r="A1003" s="11">
        <f>Returns!A1003</f>
        <v>0</v>
      </c>
      <c r="B1003" s="1">
        <f>MAX(CumRet!$B$2:$B$1003)-CumRet!B1003</f>
        <v>0</v>
      </c>
    </row>
    <row r="1004" spans="1:2">
      <c r="A1004" s="11">
        <f>Returns!A1004</f>
        <v>0</v>
      </c>
      <c r="B1004" s="1">
        <f>MAX(CumRet!$B$2:$B$1004)-CumRet!B1004</f>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1004"/>
  <sheetViews>
    <sheetView showGridLines="0" workbookViewId="0"/>
  </sheetViews>
  <sheetFormatPr defaultRowHeight="15"/>
  <cols>
    <col min="1" max="1" width="10.7109375" style="10" customWidth="1"/>
  </cols>
  <sheetData>
    <row r="1" spans="1:2">
      <c r="A1" s="5" t="s">
        <v>26</v>
      </c>
      <c r="B1" s="5" t="s">
        <v>52</v>
      </c>
    </row>
    <row r="2" spans="1:2">
      <c r="A2" s="11">
        <f>Returns!A2</f>
        <v>0</v>
      </c>
      <c r="B2" s="1">
        <f>MAX(Resume!B9/ 252-Portfolios!B2, 0)</f>
        <v>0</v>
      </c>
    </row>
    <row r="3" spans="1:2">
      <c r="A3" s="11">
        <f>Returns!A3</f>
        <v>0</v>
      </c>
      <c r="B3" s="1">
        <f>MAX(Resume!B9/ 252-Portfolios!B3, 0)</f>
        <v>0</v>
      </c>
    </row>
    <row r="4" spans="1:2">
      <c r="A4" s="11">
        <f>Returns!A4</f>
        <v>0</v>
      </c>
      <c r="B4" s="1">
        <f>MAX(Resume!B9/ 252-Portfolios!B4, 0)</f>
        <v>0</v>
      </c>
    </row>
    <row r="5" spans="1:2">
      <c r="A5" s="11">
        <f>Returns!A5</f>
        <v>0</v>
      </c>
      <c r="B5" s="1">
        <f>MAX(Resume!B9/ 252-Portfolios!B5, 0)</f>
        <v>0</v>
      </c>
    </row>
    <row r="6" spans="1:2">
      <c r="A6" s="11">
        <f>Returns!A6</f>
        <v>0</v>
      </c>
      <c r="B6" s="1">
        <f>MAX(Resume!B9/ 252-Portfolios!B6, 0)</f>
        <v>0</v>
      </c>
    </row>
    <row r="7" spans="1:2">
      <c r="A7" s="11">
        <f>Returns!A7</f>
        <v>0</v>
      </c>
      <c r="B7" s="1">
        <f>MAX(Resume!B9/ 252-Portfolios!B7, 0)</f>
        <v>0</v>
      </c>
    </row>
    <row r="8" spans="1:2">
      <c r="A8" s="11">
        <f>Returns!A8</f>
        <v>0</v>
      </c>
      <c r="B8" s="1">
        <f>MAX(Resume!B9/ 252-Portfolios!B8, 0)</f>
        <v>0</v>
      </c>
    </row>
    <row r="9" spans="1:2">
      <c r="A9" s="11">
        <f>Returns!A9</f>
        <v>0</v>
      </c>
      <c r="B9" s="1">
        <f>MAX(Resume!B9/ 252-Portfolios!B9, 0)</f>
        <v>0</v>
      </c>
    </row>
    <row r="10" spans="1:2">
      <c r="A10" s="11">
        <f>Returns!A10</f>
        <v>0</v>
      </c>
      <c r="B10" s="1">
        <f>MAX(Resume!B9/ 252-Portfolios!B10, 0)</f>
        <v>0</v>
      </c>
    </row>
    <row r="11" spans="1:2">
      <c r="A11" s="11">
        <f>Returns!A11</f>
        <v>0</v>
      </c>
      <c r="B11" s="1">
        <f>MAX(Resume!B9/ 252-Portfolios!B11, 0)</f>
        <v>0</v>
      </c>
    </row>
    <row r="12" spans="1:2">
      <c r="A12" s="11">
        <f>Returns!A12</f>
        <v>0</v>
      </c>
      <c r="B12" s="1">
        <f>MAX(Resume!B9/ 252-Portfolios!B12, 0)</f>
        <v>0</v>
      </c>
    </row>
    <row r="13" spans="1:2">
      <c r="A13" s="11">
        <f>Returns!A13</f>
        <v>0</v>
      </c>
      <c r="B13" s="1">
        <f>MAX(Resume!B9/ 252-Portfolios!B13, 0)</f>
        <v>0</v>
      </c>
    </row>
    <row r="14" spans="1:2">
      <c r="A14" s="11">
        <f>Returns!A14</f>
        <v>0</v>
      </c>
      <c r="B14" s="1">
        <f>MAX(Resume!B9/ 252-Portfolios!B14, 0)</f>
        <v>0</v>
      </c>
    </row>
    <row r="15" spans="1:2">
      <c r="A15" s="11">
        <f>Returns!A15</f>
        <v>0</v>
      </c>
      <c r="B15" s="1">
        <f>MAX(Resume!B9/ 252-Portfolios!B15, 0)</f>
        <v>0</v>
      </c>
    </row>
    <row r="16" spans="1:2">
      <c r="A16" s="11">
        <f>Returns!A16</f>
        <v>0</v>
      </c>
      <c r="B16" s="1">
        <f>MAX(Resume!B9/ 252-Portfolios!B16, 0)</f>
        <v>0</v>
      </c>
    </row>
    <row r="17" spans="1:2">
      <c r="A17" s="11">
        <f>Returns!A17</f>
        <v>0</v>
      </c>
      <c r="B17" s="1">
        <f>MAX(Resume!B9/ 252-Portfolios!B17, 0)</f>
        <v>0</v>
      </c>
    </row>
    <row r="18" spans="1:2">
      <c r="A18" s="11">
        <f>Returns!A18</f>
        <v>0</v>
      </c>
      <c r="B18" s="1">
        <f>MAX(Resume!B9/ 252-Portfolios!B18, 0)</f>
        <v>0</v>
      </c>
    </row>
    <row r="19" spans="1:2">
      <c r="A19" s="11">
        <f>Returns!A19</f>
        <v>0</v>
      </c>
      <c r="B19" s="1">
        <f>MAX(Resume!B9/ 252-Portfolios!B19, 0)</f>
        <v>0</v>
      </c>
    </row>
    <row r="20" spans="1:2">
      <c r="A20" s="11">
        <f>Returns!A20</f>
        <v>0</v>
      </c>
      <c r="B20" s="1">
        <f>MAX(Resume!B9/ 252-Portfolios!B20, 0)</f>
        <v>0</v>
      </c>
    </row>
    <row r="21" spans="1:2">
      <c r="A21" s="11">
        <f>Returns!A21</f>
        <v>0</v>
      </c>
      <c r="B21" s="1">
        <f>MAX(Resume!B9/ 252-Portfolios!B21, 0)</f>
        <v>0</v>
      </c>
    </row>
    <row r="22" spans="1:2">
      <c r="A22" s="11">
        <f>Returns!A22</f>
        <v>0</v>
      </c>
      <c r="B22" s="1">
        <f>MAX(Resume!B9/ 252-Portfolios!B22, 0)</f>
        <v>0</v>
      </c>
    </row>
    <row r="23" spans="1:2">
      <c r="A23" s="11">
        <f>Returns!A23</f>
        <v>0</v>
      </c>
      <c r="B23" s="1">
        <f>MAX(Resume!B9/ 252-Portfolios!B23, 0)</f>
        <v>0</v>
      </c>
    </row>
    <row r="24" spans="1:2">
      <c r="A24" s="11">
        <f>Returns!A24</f>
        <v>0</v>
      </c>
      <c r="B24" s="1">
        <f>MAX(Resume!B9/ 252-Portfolios!B24, 0)</f>
        <v>0</v>
      </c>
    </row>
    <row r="25" spans="1:2">
      <c r="A25" s="11">
        <f>Returns!A25</f>
        <v>0</v>
      </c>
      <c r="B25" s="1">
        <f>MAX(Resume!B9/ 252-Portfolios!B25, 0)</f>
        <v>0</v>
      </c>
    </row>
    <row r="26" spans="1:2">
      <c r="A26" s="11">
        <f>Returns!A26</f>
        <v>0</v>
      </c>
      <c r="B26" s="1">
        <f>MAX(Resume!B9/ 252-Portfolios!B26, 0)</f>
        <v>0</v>
      </c>
    </row>
    <row r="27" spans="1:2">
      <c r="A27" s="11">
        <f>Returns!A27</f>
        <v>0</v>
      </c>
      <c r="B27" s="1">
        <f>MAX(Resume!B9/ 252-Portfolios!B27, 0)</f>
        <v>0</v>
      </c>
    </row>
    <row r="28" spans="1:2">
      <c r="A28" s="11">
        <f>Returns!A28</f>
        <v>0</v>
      </c>
      <c r="B28" s="1">
        <f>MAX(Resume!B9/ 252-Portfolios!B28, 0)</f>
        <v>0</v>
      </c>
    </row>
    <row r="29" spans="1:2">
      <c r="A29" s="11">
        <f>Returns!A29</f>
        <v>0</v>
      </c>
      <c r="B29" s="1">
        <f>MAX(Resume!B9/ 252-Portfolios!B29, 0)</f>
        <v>0</v>
      </c>
    </row>
    <row r="30" spans="1:2">
      <c r="A30" s="11">
        <f>Returns!A30</f>
        <v>0</v>
      </c>
      <c r="B30" s="1">
        <f>MAX(Resume!B9/ 252-Portfolios!B30, 0)</f>
        <v>0</v>
      </c>
    </row>
    <row r="31" spans="1:2">
      <c r="A31" s="11">
        <f>Returns!A31</f>
        <v>0</v>
      </c>
      <c r="B31" s="1">
        <f>MAX(Resume!B9/ 252-Portfolios!B31, 0)</f>
        <v>0</v>
      </c>
    </row>
    <row r="32" spans="1:2">
      <c r="A32" s="11">
        <f>Returns!A32</f>
        <v>0</v>
      </c>
      <c r="B32" s="1">
        <f>MAX(Resume!B9/ 252-Portfolios!B32, 0)</f>
        <v>0</v>
      </c>
    </row>
    <row r="33" spans="1:2">
      <c r="A33" s="11">
        <f>Returns!A33</f>
        <v>0</v>
      </c>
      <c r="B33" s="1">
        <f>MAX(Resume!B9/ 252-Portfolios!B33, 0)</f>
        <v>0</v>
      </c>
    </row>
    <row r="34" spans="1:2">
      <c r="A34" s="11">
        <f>Returns!A34</f>
        <v>0</v>
      </c>
      <c r="B34" s="1">
        <f>MAX(Resume!B9/ 252-Portfolios!B34, 0)</f>
        <v>0</v>
      </c>
    </row>
    <row r="35" spans="1:2">
      <c r="A35" s="11">
        <f>Returns!A35</f>
        <v>0</v>
      </c>
      <c r="B35" s="1">
        <f>MAX(Resume!B9/ 252-Portfolios!B35, 0)</f>
        <v>0</v>
      </c>
    </row>
    <row r="36" spans="1:2">
      <c r="A36" s="11">
        <f>Returns!A36</f>
        <v>0</v>
      </c>
      <c r="B36" s="1">
        <f>MAX(Resume!B9/ 252-Portfolios!B36, 0)</f>
        <v>0</v>
      </c>
    </row>
    <row r="37" spans="1:2">
      <c r="A37" s="11">
        <f>Returns!A37</f>
        <v>0</v>
      </c>
      <c r="B37" s="1">
        <f>MAX(Resume!B9/ 252-Portfolios!B37, 0)</f>
        <v>0</v>
      </c>
    </row>
    <row r="38" spans="1:2">
      <c r="A38" s="11">
        <f>Returns!A38</f>
        <v>0</v>
      </c>
      <c r="B38" s="1">
        <f>MAX(Resume!B9/ 252-Portfolios!B38, 0)</f>
        <v>0</v>
      </c>
    </row>
    <row r="39" spans="1:2">
      <c r="A39" s="11">
        <f>Returns!A39</f>
        <v>0</v>
      </c>
      <c r="B39" s="1">
        <f>MAX(Resume!B9/ 252-Portfolios!B39, 0)</f>
        <v>0</v>
      </c>
    </row>
    <row r="40" spans="1:2">
      <c r="A40" s="11">
        <f>Returns!A40</f>
        <v>0</v>
      </c>
      <c r="B40" s="1">
        <f>MAX(Resume!B9/ 252-Portfolios!B40, 0)</f>
        <v>0</v>
      </c>
    </row>
    <row r="41" spans="1:2">
      <c r="A41" s="11">
        <f>Returns!A41</f>
        <v>0</v>
      </c>
      <c r="B41" s="1">
        <f>MAX(Resume!B9/ 252-Portfolios!B41, 0)</f>
        <v>0</v>
      </c>
    </row>
    <row r="42" spans="1:2">
      <c r="A42" s="11">
        <f>Returns!A42</f>
        <v>0</v>
      </c>
      <c r="B42" s="1">
        <f>MAX(Resume!B9/ 252-Portfolios!B42, 0)</f>
        <v>0</v>
      </c>
    </row>
    <row r="43" spans="1:2">
      <c r="A43" s="11">
        <f>Returns!A43</f>
        <v>0</v>
      </c>
      <c r="B43" s="1">
        <f>MAX(Resume!B9/ 252-Portfolios!B43, 0)</f>
        <v>0</v>
      </c>
    </row>
    <row r="44" spans="1:2">
      <c r="A44" s="11">
        <f>Returns!A44</f>
        <v>0</v>
      </c>
      <c r="B44" s="1">
        <f>MAX(Resume!B9/ 252-Portfolios!B44, 0)</f>
        <v>0</v>
      </c>
    </row>
    <row r="45" spans="1:2">
      <c r="A45" s="11">
        <f>Returns!A45</f>
        <v>0</v>
      </c>
      <c r="B45" s="1">
        <f>MAX(Resume!B9/ 252-Portfolios!B45, 0)</f>
        <v>0</v>
      </c>
    </row>
    <row r="46" spans="1:2">
      <c r="A46" s="11">
        <f>Returns!A46</f>
        <v>0</v>
      </c>
      <c r="B46" s="1">
        <f>MAX(Resume!B9/ 252-Portfolios!B46, 0)</f>
        <v>0</v>
      </c>
    </row>
    <row r="47" spans="1:2">
      <c r="A47" s="11">
        <f>Returns!A47</f>
        <v>0</v>
      </c>
      <c r="B47" s="1">
        <f>MAX(Resume!B9/ 252-Portfolios!B47, 0)</f>
        <v>0</v>
      </c>
    </row>
    <row r="48" spans="1:2">
      <c r="A48" s="11">
        <f>Returns!A48</f>
        <v>0</v>
      </c>
      <c r="B48" s="1">
        <f>MAX(Resume!B9/ 252-Portfolios!B48, 0)</f>
        <v>0</v>
      </c>
    </row>
    <row r="49" spans="1:2">
      <c r="A49" s="11">
        <f>Returns!A49</f>
        <v>0</v>
      </c>
      <c r="B49" s="1">
        <f>MAX(Resume!B9/ 252-Portfolios!B49, 0)</f>
        <v>0</v>
      </c>
    </row>
    <row r="50" spans="1:2">
      <c r="A50" s="11">
        <f>Returns!A50</f>
        <v>0</v>
      </c>
      <c r="B50" s="1">
        <f>MAX(Resume!B9/ 252-Portfolios!B50, 0)</f>
        <v>0</v>
      </c>
    </row>
    <row r="51" spans="1:2">
      <c r="A51" s="11">
        <f>Returns!A51</f>
        <v>0</v>
      </c>
      <c r="B51" s="1">
        <f>MAX(Resume!B9/ 252-Portfolios!B51, 0)</f>
        <v>0</v>
      </c>
    </row>
    <row r="52" spans="1:2">
      <c r="A52" s="11">
        <f>Returns!A52</f>
        <v>0</v>
      </c>
      <c r="B52" s="1">
        <f>MAX(Resume!B9/ 252-Portfolios!B52, 0)</f>
        <v>0</v>
      </c>
    </row>
    <row r="53" spans="1:2">
      <c r="A53" s="11">
        <f>Returns!A53</f>
        <v>0</v>
      </c>
      <c r="B53" s="1">
        <f>MAX(Resume!B9/ 252-Portfolios!B53, 0)</f>
        <v>0</v>
      </c>
    </row>
    <row r="54" spans="1:2">
      <c r="A54" s="11">
        <f>Returns!A54</f>
        <v>0</v>
      </c>
      <c r="B54" s="1">
        <f>MAX(Resume!B9/ 252-Portfolios!B54, 0)</f>
        <v>0</v>
      </c>
    </row>
    <row r="55" spans="1:2">
      <c r="A55" s="11">
        <f>Returns!A55</f>
        <v>0</v>
      </c>
      <c r="B55" s="1">
        <f>MAX(Resume!B9/ 252-Portfolios!B55, 0)</f>
        <v>0</v>
      </c>
    </row>
    <row r="56" spans="1:2">
      <c r="A56" s="11">
        <f>Returns!A56</f>
        <v>0</v>
      </c>
      <c r="B56" s="1">
        <f>MAX(Resume!B9/ 252-Portfolios!B56, 0)</f>
        <v>0</v>
      </c>
    </row>
    <row r="57" spans="1:2">
      <c r="A57" s="11">
        <f>Returns!A57</f>
        <v>0</v>
      </c>
      <c r="B57" s="1">
        <f>MAX(Resume!B9/ 252-Portfolios!B57, 0)</f>
        <v>0</v>
      </c>
    </row>
    <row r="58" spans="1:2">
      <c r="A58" s="11">
        <f>Returns!A58</f>
        <v>0</v>
      </c>
      <c r="B58" s="1">
        <f>MAX(Resume!B9/ 252-Portfolios!B58, 0)</f>
        <v>0</v>
      </c>
    </row>
    <row r="59" spans="1:2">
      <c r="A59" s="11">
        <f>Returns!A59</f>
        <v>0</v>
      </c>
      <c r="B59" s="1">
        <f>MAX(Resume!B9/ 252-Portfolios!B59, 0)</f>
        <v>0</v>
      </c>
    </row>
    <row r="60" spans="1:2">
      <c r="A60" s="11">
        <f>Returns!A60</f>
        <v>0</v>
      </c>
      <c r="B60" s="1">
        <f>MAX(Resume!B9/ 252-Portfolios!B60, 0)</f>
        <v>0</v>
      </c>
    </row>
    <row r="61" spans="1:2">
      <c r="A61" s="11">
        <f>Returns!A61</f>
        <v>0</v>
      </c>
      <c r="B61" s="1">
        <f>MAX(Resume!B9/ 252-Portfolios!B61, 0)</f>
        <v>0</v>
      </c>
    </row>
    <row r="62" spans="1:2">
      <c r="A62" s="11">
        <f>Returns!A62</f>
        <v>0</v>
      </c>
      <c r="B62" s="1">
        <f>MAX(Resume!B9/ 252-Portfolios!B62, 0)</f>
        <v>0</v>
      </c>
    </row>
    <row r="63" spans="1:2">
      <c r="A63" s="11">
        <f>Returns!A63</f>
        <v>0</v>
      </c>
      <c r="B63" s="1">
        <f>MAX(Resume!B9/ 252-Portfolios!B63, 0)</f>
        <v>0</v>
      </c>
    </row>
    <row r="64" spans="1:2">
      <c r="A64" s="11">
        <f>Returns!A64</f>
        <v>0</v>
      </c>
      <c r="B64" s="1">
        <f>MAX(Resume!B9/ 252-Portfolios!B64, 0)</f>
        <v>0</v>
      </c>
    </row>
    <row r="65" spans="1:2">
      <c r="A65" s="11">
        <f>Returns!A65</f>
        <v>0</v>
      </c>
      <c r="B65" s="1">
        <f>MAX(Resume!B9/ 252-Portfolios!B65, 0)</f>
        <v>0</v>
      </c>
    </row>
    <row r="66" spans="1:2">
      <c r="A66" s="11">
        <f>Returns!A66</f>
        <v>0</v>
      </c>
      <c r="B66" s="1">
        <f>MAX(Resume!B9/ 252-Portfolios!B66, 0)</f>
        <v>0</v>
      </c>
    </row>
    <row r="67" spans="1:2">
      <c r="A67" s="11">
        <f>Returns!A67</f>
        <v>0</v>
      </c>
      <c r="B67" s="1">
        <f>MAX(Resume!B9/ 252-Portfolios!B67, 0)</f>
        <v>0</v>
      </c>
    </row>
    <row r="68" spans="1:2">
      <c r="A68" s="11">
        <f>Returns!A68</f>
        <v>0</v>
      </c>
      <c r="B68" s="1">
        <f>MAX(Resume!B9/ 252-Portfolios!B68, 0)</f>
        <v>0</v>
      </c>
    </row>
    <row r="69" spans="1:2">
      <c r="A69" s="11">
        <f>Returns!A69</f>
        <v>0</v>
      </c>
      <c r="B69" s="1">
        <f>MAX(Resume!B9/ 252-Portfolios!B69, 0)</f>
        <v>0</v>
      </c>
    </row>
    <row r="70" spans="1:2">
      <c r="A70" s="11">
        <f>Returns!A70</f>
        <v>0</v>
      </c>
      <c r="B70" s="1">
        <f>MAX(Resume!B9/ 252-Portfolios!B70, 0)</f>
        <v>0</v>
      </c>
    </row>
    <row r="71" spans="1:2">
      <c r="A71" s="11">
        <f>Returns!A71</f>
        <v>0</v>
      </c>
      <c r="B71" s="1">
        <f>MAX(Resume!B9/ 252-Portfolios!B71, 0)</f>
        <v>0</v>
      </c>
    </row>
    <row r="72" spans="1:2">
      <c r="A72" s="11">
        <f>Returns!A72</f>
        <v>0</v>
      </c>
      <c r="B72" s="1">
        <f>MAX(Resume!B9/ 252-Portfolios!B72, 0)</f>
        <v>0</v>
      </c>
    </row>
    <row r="73" spans="1:2">
      <c r="A73" s="11">
        <f>Returns!A73</f>
        <v>0</v>
      </c>
      <c r="B73" s="1">
        <f>MAX(Resume!B9/ 252-Portfolios!B73, 0)</f>
        <v>0</v>
      </c>
    </row>
    <row r="74" spans="1:2">
      <c r="A74" s="11">
        <f>Returns!A74</f>
        <v>0</v>
      </c>
      <c r="B74" s="1">
        <f>MAX(Resume!B9/ 252-Portfolios!B74, 0)</f>
        <v>0</v>
      </c>
    </row>
    <row r="75" spans="1:2">
      <c r="A75" s="11">
        <f>Returns!A75</f>
        <v>0</v>
      </c>
      <c r="B75" s="1">
        <f>MAX(Resume!B9/ 252-Portfolios!B75, 0)</f>
        <v>0</v>
      </c>
    </row>
    <row r="76" spans="1:2">
      <c r="A76" s="11">
        <f>Returns!A76</f>
        <v>0</v>
      </c>
      <c r="B76" s="1">
        <f>MAX(Resume!B9/ 252-Portfolios!B76, 0)</f>
        <v>0</v>
      </c>
    </row>
    <row r="77" spans="1:2">
      <c r="A77" s="11">
        <f>Returns!A77</f>
        <v>0</v>
      </c>
      <c r="B77" s="1">
        <f>MAX(Resume!B9/ 252-Portfolios!B77, 0)</f>
        <v>0</v>
      </c>
    </row>
    <row r="78" spans="1:2">
      <c r="A78" s="11">
        <f>Returns!A78</f>
        <v>0</v>
      </c>
      <c r="B78" s="1">
        <f>MAX(Resume!B9/ 252-Portfolios!B78, 0)</f>
        <v>0</v>
      </c>
    </row>
    <row r="79" spans="1:2">
      <c r="A79" s="11">
        <f>Returns!A79</f>
        <v>0</v>
      </c>
      <c r="B79" s="1">
        <f>MAX(Resume!B9/ 252-Portfolios!B79, 0)</f>
        <v>0</v>
      </c>
    </row>
    <row r="80" spans="1:2">
      <c r="A80" s="11">
        <f>Returns!A80</f>
        <v>0</v>
      </c>
      <c r="B80" s="1">
        <f>MAX(Resume!B9/ 252-Portfolios!B80, 0)</f>
        <v>0</v>
      </c>
    </row>
    <row r="81" spans="1:2">
      <c r="A81" s="11">
        <f>Returns!A81</f>
        <v>0</v>
      </c>
      <c r="B81" s="1">
        <f>MAX(Resume!B9/ 252-Portfolios!B81, 0)</f>
        <v>0</v>
      </c>
    </row>
    <row r="82" spans="1:2">
      <c r="A82" s="11">
        <f>Returns!A82</f>
        <v>0</v>
      </c>
      <c r="B82" s="1">
        <f>MAX(Resume!B9/ 252-Portfolios!B82, 0)</f>
        <v>0</v>
      </c>
    </row>
    <row r="83" spans="1:2">
      <c r="A83" s="11">
        <f>Returns!A83</f>
        <v>0</v>
      </c>
      <c r="B83" s="1">
        <f>MAX(Resume!B9/ 252-Portfolios!B83, 0)</f>
        <v>0</v>
      </c>
    </row>
    <row r="84" spans="1:2">
      <c r="A84" s="11">
        <f>Returns!A84</f>
        <v>0</v>
      </c>
      <c r="B84" s="1">
        <f>MAX(Resume!B9/ 252-Portfolios!B84, 0)</f>
        <v>0</v>
      </c>
    </row>
    <row r="85" spans="1:2">
      <c r="A85" s="11">
        <f>Returns!A85</f>
        <v>0</v>
      </c>
      <c r="B85" s="1">
        <f>MAX(Resume!B9/ 252-Portfolios!B85, 0)</f>
        <v>0</v>
      </c>
    </row>
    <row r="86" spans="1:2">
      <c r="A86" s="11">
        <f>Returns!A86</f>
        <v>0</v>
      </c>
      <c r="B86" s="1">
        <f>MAX(Resume!B9/ 252-Portfolios!B86, 0)</f>
        <v>0</v>
      </c>
    </row>
    <row r="87" spans="1:2">
      <c r="A87" s="11">
        <f>Returns!A87</f>
        <v>0</v>
      </c>
      <c r="B87" s="1">
        <f>MAX(Resume!B9/ 252-Portfolios!B87, 0)</f>
        <v>0</v>
      </c>
    </row>
    <row r="88" spans="1:2">
      <c r="A88" s="11">
        <f>Returns!A88</f>
        <v>0</v>
      </c>
      <c r="B88" s="1">
        <f>MAX(Resume!B9/ 252-Portfolios!B88, 0)</f>
        <v>0</v>
      </c>
    </row>
    <row r="89" spans="1:2">
      <c r="A89" s="11">
        <f>Returns!A89</f>
        <v>0</v>
      </c>
      <c r="B89" s="1">
        <f>MAX(Resume!B9/ 252-Portfolios!B89, 0)</f>
        <v>0</v>
      </c>
    </row>
    <row r="90" spans="1:2">
      <c r="A90" s="11">
        <f>Returns!A90</f>
        <v>0</v>
      </c>
      <c r="B90" s="1">
        <f>MAX(Resume!B9/ 252-Portfolios!B90, 0)</f>
        <v>0</v>
      </c>
    </row>
    <row r="91" spans="1:2">
      <c r="A91" s="11">
        <f>Returns!A91</f>
        <v>0</v>
      </c>
      <c r="B91" s="1">
        <f>MAX(Resume!B9/ 252-Portfolios!B91, 0)</f>
        <v>0</v>
      </c>
    </row>
    <row r="92" spans="1:2">
      <c r="A92" s="11">
        <f>Returns!A92</f>
        <v>0</v>
      </c>
      <c r="B92" s="1">
        <f>MAX(Resume!B9/ 252-Portfolios!B92, 0)</f>
        <v>0</v>
      </c>
    </row>
    <row r="93" spans="1:2">
      <c r="A93" s="11">
        <f>Returns!A93</f>
        <v>0</v>
      </c>
      <c r="B93" s="1">
        <f>MAX(Resume!B9/ 252-Portfolios!B93, 0)</f>
        <v>0</v>
      </c>
    </row>
    <row r="94" spans="1:2">
      <c r="A94" s="11">
        <f>Returns!A94</f>
        <v>0</v>
      </c>
      <c r="B94" s="1">
        <f>MAX(Resume!B9/ 252-Portfolios!B94, 0)</f>
        <v>0</v>
      </c>
    </row>
    <row r="95" spans="1:2">
      <c r="A95" s="11">
        <f>Returns!A95</f>
        <v>0</v>
      </c>
      <c r="B95" s="1">
        <f>MAX(Resume!B9/ 252-Portfolios!B95, 0)</f>
        <v>0</v>
      </c>
    </row>
    <row r="96" spans="1:2">
      <c r="A96" s="11">
        <f>Returns!A96</f>
        <v>0</v>
      </c>
      <c r="B96" s="1">
        <f>MAX(Resume!B9/ 252-Portfolios!B96, 0)</f>
        <v>0</v>
      </c>
    </row>
    <row r="97" spans="1:2">
      <c r="A97" s="11">
        <f>Returns!A97</f>
        <v>0</v>
      </c>
      <c r="B97" s="1">
        <f>MAX(Resume!B9/ 252-Portfolios!B97, 0)</f>
        <v>0</v>
      </c>
    </row>
    <row r="98" spans="1:2">
      <c r="A98" s="11">
        <f>Returns!A98</f>
        <v>0</v>
      </c>
      <c r="B98" s="1">
        <f>MAX(Resume!B9/ 252-Portfolios!B98, 0)</f>
        <v>0</v>
      </c>
    </row>
    <row r="99" spans="1:2">
      <c r="A99" s="11">
        <f>Returns!A99</f>
        <v>0</v>
      </c>
      <c r="B99" s="1">
        <f>MAX(Resume!B9/ 252-Portfolios!B99, 0)</f>
        <v>0</v>
      </c>
    </row>
    <row r="100" spans="1:2">
      <c r="A100" s="11">
        <f>Returns!A100</f>
        <v>0</v>
      </c>
      <c r="B100" s="1">
        <f>MAX(Resume!B9/ 252-Portfolios!B100, 0)</f>
        <v>0</v>
      </c>
    </row>
    <row r="101" spans="1:2">
      <c r="A101" s="11">
        <f>Returns!A101</f>
        <v>0</v>
      </c>
      <c r="B101" s="1">
        <f>MAX(Resume!B9/ 252-Portfolios!B101, 0)</f>
        <v>0</v>
      </c>
    </row>
    <row r="102" spans="1:2">
      <c r="A102" s="11">
        <f>Returns!A102</f>
        <v>0</v>
      </c>
      <c r="B102" s="1">
        <f>MAX(Resume!B9/ 252-Portfolios!B102, 0)</f>
        <v>0</v>
      </c>
    </row>
    <row r="103" spans="1:2">
      <c r="A103" s="11">
        <f>Returns!A103</f>
        <v>0</v>
      </c>
      <c r="B103" s="1">
        <f>MAX(Resume!B9/ 252-Portfolios!B103, 0)</f>
        <v>0</v>
      </c>
    </row>
    <row r="104" spans="1:2">
      <c r="A104" s="11">
        <f>Returns!A104</f>
        <v>0</v>
      </c>
      <c r="B104" s="1">
        <f>MAX(Resume!B9/ 252-Portfolios!B104, 0)</f>
        <v>0</v>
      </c>
    </row>
    <row r="105" spans="1:2">
      <c r="A105" s="11">
        <f>Returns!A105</f>
        <v>0</v>
      </c>
      <c r="B105" s="1">
        <f>MAX(Resume!B9/ 252-Portfolios!B105, 0)</f>
        <v>0</v>
      </c>
    </row>
    <row r="106" spans="1:2">
      <c r="A106" s="11">
        <f>Returns!A106</f>
        <v>0</v>
      </c>
      <c r="B106" s="1">
        <f>MAX(Resume!B9/ 252-Portfolios!B106, 0)</f>
        <v>0</v>
      </c>
    </row>
    <row r="107" spans="1:2">
      <c r="A107" s="11">
        <f>Returns!A107</f>
        <v>0</v>
      </c>
      <c r="B107" s="1">
        <f>MAX(Resume!B9/ 252-Portfolios!B107, 0)</f>
        <v>0</v>
      </c>
    </row>
    <row r="108" spans="1:2">
      <c r="A108" s="11">
        <f>Returns!A108</f>
        <v>0</v>
      </c>
      <c r="B108" s="1">
        <f>MAX(Resume!B9/ 252-Portfolios!B108, 0)</f>
        <v>0</v>
      </c>
    </row>
    <row r="109" spans="1:2">
      <c r="A109" s="11">
        <f>Returns!A109</f>
        <v>0</v>
      </c>
      <c r="B109" s="1">
        <f>MAX(Resume!B9/ 252-Portfolios!B109, 0)</f>
        <v>0</v>
      </c>
    </row>
    <row r="110" spans="1:2">
      <c r="A110" s="11">
        <f>Returns!A110</f>
        <v>0</v>
      </c>
      <c r="B110" s="1">
        <f>MAX(Resume!B9/ 252-Portfolios!B110, 0)</f>
        <v>0</v>
      </c>
    </row>
    <row r="111" spans="1:2">
      <c r="A111" s="11">
        <f>Returns!A111</f>
        <v>0</v>
      </c>
      <c r="B111" s="1">
        <f>MAX(Resume!B9/ 252-Portfolios!B111, 0)</f>
        <v>0</v>
      </c>
    </row>
    <row r="112" spans="1:2">
      <c r="A112" s="11">
        <f>Returns!A112</f>
        <v>0</v>
      </c>
      <c r="B112" s="1">
        <f>MAX(Resume!B9/ 252-Portfolios!B112, 0)</f>
        <v>0</v>
      </c>
    </row>
    <row r="113" spans="1:2">
      <c r="A113" s="11">
        <f>Returns!A113</f>
        <v>0</v>
      </c>
      <c r="B113" s="1">
        <f>MAX(Resume!B9/ 252-Portfolios!B113, 0)</f>
        <v>0</v>
      </c>
    </row>
    <row r="114" spans="1:2">
      <c r="A114" s="11">
        <f>Returns!A114</f>
        <v>0</v>
      </c>
      <c r="B114" s="1">
        <f>MAX(Resume!B9/ 252-Portfolios!B114, 0)</f>
        <v>0</v>
      </c>
    </row>
    <row r="115" spans="1:2">
      <c r="A115" s="11">
        <f>Returns!A115</f>
        <v>0</v>
      </c>
      <c r="B115" s="1">
        <f>MAX(Resume!B9/ 252-Portfolios!B115, 0)</f>
        <v>0</v>
      </c>
    </row>
    <row r="116" spans="1:2">
      <c r="A116" s="11">
        <f>Returns!A116</f>
        <v>0</v>
      </c>
      <c r="B116" s="1">
        <f>MAX(Resume!B9/ 252-Portfolios!B116, 0)</f>
        <v>0</v>
      </c>
    </row>
    <row r="117" spans="1:2">
      <c r="A117" s="11">
        <f>Returns!A117</f>
        <v>0</v>
      </c>
      <c r="B117" s="1">
        <f>MAX(Resume!B9/ 252-Portfolios!B117, 0)</f>
        <v>0</v>
      </c>
    </row>
    <row r="118" spans="1:2">
      <c r="A118" s="11">
        <f>Returns!A118</f>
        <v>0</v>
      </c>
      <c r="B118" s="1">
        <f>MAX(Resume!B9/ 252-Portfolios!B118, 0)</f>
        <v>0</v>
      </c>
    </row>
    <row r="119" spans="1:2">
      <c r="A119" s="11">
        <f>Returns!A119</f>
        <v>0</v>
      </c>
      <c r="B119" s="1">
        <f>MAX(Resume!B9/ 252-Portfolios!B119, 0)</f>
        <v>0</v>
      </c>
    </row>
    <row r="120" spans="1:2">
      <c r="A120" s="11">
        <f>Returns!A120</f>
        <v>0</v>
      </c>
      <c r="B120" s="1">
        <f>MAX(Resume!B9/ 252-Portfolios!B120, 0)</f>
        <v>0</v>
      </c>
    </row>
    <row r="121" spans="1:2">
      <c r="A121" s="11">
        <f>Returns!A121</f>
        <v>0</v>
      </c>
      <c r="B121" s="1">
        <f>MAX(Resume!B9/ 252-Portfolios!B121, 0)</f>
        <v>0</v>
      </c>
    </row>
    <row r="122" spans="1:2">
      <c r="A122" s="11">
        <f>Returns!A122</f>
        <v>0</v>
      </c>
      <c r="B122" s="1">
        <f>MAX(Resume!B9/ 252-Portfolios!B122, 0)</f>
        <v>0</v>
      </c>
    </row>
    <row r="123" spans="1:2">
      <c r="A123" s="11">
        <f>Returns!A123</f>
        <v>0</v>
      </c>
      <c r="B123" s="1">
        <f>MAX(Resume!B9/ 252-Portfolios!B123, 0)</f>
        <v>0</v>
      </c>
    </row>
    <row r="124" spans="1:2">
      <c r="A124" s="11">
        <f>Returns!A124</f>
        <v>0</v>
      </c>
      <c r="B124" s="1">
        <f>MAX(Resume!B9/ 252-Portfolios!B124, 0)</f>
        <v>0</v>
      </c>
    </row>
    <row r="125" spans="1:2">
      <c r="A125" s="11">
        <f>Returns!A125</f>
        <v>0</v>
      </c>
      <c r="B125" s="1">
        <f>MAX(Resume!B9/ 252-Portfolios!B125, 0)</f>
        <v>0</v>
      </c>
    </row>
    <row r="126" spans="1:2">
      <c r="A126" s="11">
        <f>Returns!A126</f>
        <v>0</v>
      </c>
      <c r="B126" s="1">
        <f>MAX(Resume!B9/ 252-Portfolios!B126, 0)</f>
        <v>0</v>
      </c>
    </row>
    <row r="127" spans="1:2">
      <c r="A127" s="11">
        <f>Returns!A127</f>
        <v>0</v>
      </c>
      <c r="B127" s="1">
        <f>MAX(Resume!B9/ 252-Portfolios!B127, 0)</f>
        <v>0</v>
      </c>
    </row>
    <row r="128" spans="1:2">
      <c r="A128" s="11">
        <f>Returns!A128</f>
        <v>0</v>
      </c>
      <c r="B128" s="1">
        <f>MAX(Resume!B9/ 252-Portfolios!B128, 0)</f>
        <v>0</v>
      </c>
    </row>
    <row r="129" spans="1:2">
      <c r="A129" s="11">
        <f>Returns!A129</f>
        <v>0</v>
      </c>
      <c r="B129" s="1">
        <f>MAX(Resume!B9/ 252-Portfolios!B129, 0)</f>
        <v>0</v>
      </c>
    </row>
    <row r="130" spans="1:2">
      <c r="A130" s="11">
        <f>Returns!A130</f>
        <v>0</v>
      </c>
      <c r="B130" s="1">
        <f>MAX(Resume!B9/ 252-Portfolios!B130, 0)</f>
        <v>0</v>
      </c>
    </row>
    <row r="131" spans="1:2">
      <c r="A131" s="11">
        <f>Returns!A131</f>
        <v>0</v>
      </c>
      <c r="B131" s="1">
        <f>MAX(Resume!B9/ 252-Portfolios!B131, 0)</f>
        <v>0</v>
      </c>
    </row>
    <row r="132" spans="1:2">
      <c r="A132" s="11">
        <f>Returns!A132</f>
        <v>0</v>
      </c>
      <c r="B132" s="1">
        <f>MAX(Resume!B9/ 252-Portfolios!B132, 0)</f>
        <v>0</v>
      </c>
    </row>
    <row r="133" spans="1:2">
      <c r="A133" s="11">
        <f>Returns!A133</f>
        <v>0</v>
      </c>
      <c r="B133" s="1">
        <f>MAX(Resume!B9/ 252-Portfolios!B133, 0)</f>
        <v>0</v>
      </c>
    </row>
    <row r="134" spans="1:2">
      <c r="A134" s="11">
        <f>Returns!A134</f>
        <v>0</v>
      </c>
      <c r="B134" s="1">
        <f>MAX(Resume!B9/ 252-Portfolios!B134, 0)</f>
        <v>0</v>
      </c>
    </row>
    <row r="135" spans="1:2">
      <c r="A135" s="11">
        <f>Returns!A135</f>
        <v>0</v>
      </c>
      <c r="B135" s="1">
        <f>MAX(Resume!B9/ 252-Portfolios!B135, 0)</f>
        <v>0</v>
      </c>
    </row>
    <row r="136" spans="1:2">
      <c r="A136" s="11">
        <f>Returns!A136</f>
        <v>0</v>
      </c>
      <c r="B136" s="1">
        <f>MAX(Resume!B9/ 252-Portfolios!B136, 0)</f>
        <v>0</v>
      </c>
    </row>
    <row r="137" spans="1:2">
      <c r="A137" s="11">
        <f>Returns!A137</f>
        <v>0</v>
      </c>
      <c r="B137" s="1">
        <f>MAX(Resume!B9/ 252-Portfolios!B137, 0)</f>
        <v>0</v>
      </c>
    </row>
    <row r="138" spans="1:2">
      <c r="A138" s="11">
        <f>Returns!A138</f>
        <v>0</v>
      </c>
      <c r="B138" s="1">
        <f>MAX(Resume!B9/ 252-Portfolios!B138, 0)</f>
        <v>0</v>
      </c>
    </row>
    <row r="139" spans="1:2">
      <c r="A139" s="11">
        <f>Returns!A139</f>
        <v>0</v>
      </c>
      <c r="B139" s="1">
        <f>MAX(Resume!B9/ 252-Portfolios!B139, 0)</f>
        <v>0</v>
      </c>
    </row>
    <row r="140" spans="1:2">
      <c r="A140" s="11">
        <f>Returns!A140</f>
        <v>0</v>
      </c>
      <c r="B140" s="1">
        <f>MAX(Resume!B9/ 252-Portfolios!B140, 0)</f>
        <v>0</v>
      </c>
    </row>
    <row r="141" spans="1:2">
      <c r="A141" s="11">
        <f>Returns!A141</f>
        <v>0</v>
      </c>
      <c r="B141" s="1">
        <f>MAX(Resume!B9/ 252-Portfolios!B141, 0)</f>
        <v>0</v>
      </c>
    </row>
    <row r="142" spans="1:2">
      <c r="A142" s="11">
        <f>Returns!A142</f>
        <v>0</v>
      </c>
      <c r="B142" s="1">
        <f>MAX(Resume!B9/ 252-Portfolios!B142, 0)</f>
        <v>0</v>
      </c>
    </row>
    <row r="143" spans="1:2">
      <c r="A143" s="11">
        <f>Returns!A143</f>
        <v>0</v>
      </c>
      <c r="B143" s="1">
        <f>MAX(Resume!B9/ 252-Portfolios!B143, 0)</f>
        <v>0</v>
      </c>
    </row>
    <row r="144" spans="1:2">
      <c r="A144" s="11">
        <f>Returns!A144</f>
        <v>0</v>
      </c>
      <c r="B144" s="1">
        <f>MAX(Resume!B9/ 252-Portfolios!B144, 0)</f>
        <v>0</v>
      </c>
    </row>
    <row r="145" spans="1:2">
      <c r="A145" s="11">
        <f>Returns!A145</f>
        <v>0</v>
      </c>
      <c r="B145" s="1">
        <f>MAX(Resume!B9/ 252-Portfolios!B145, 0)</f>
        <v>0</v>
      </c>
    </row>
    <row r="146" spans="1:2">
      <c r="A146" s="11">
        <f>Returns!A146</f>
        <v>0</v>
      </c>
      <c r="B146" s="1">
        <f>MAX(Resume!B9/ 252-Portfolios!B146, 0)</f>
        <v>0</v>
      </c>
    </row>
    <row r="147" spans="1:2">
      <c r="A147" s="11">
        <f>Returns!A147</f>
        <v>0</v>
      </c>
      <c r="B147" s="1">
        <f>MAX(Resume!B9/ 252-Portfolios!B147, 0)</f>
        <v>0</v>
      </c>
    </row>
    <row r="148" spans="1:2">
      <c r="A148" s="11">
        <f>Returns!A148</f>
        <v>0</v>
      </c>
      <c r="B148" s="1">
        <f>MAX(Resume!B9/ 252-Portfolios!B148, 0)</f>
        <v>0</v>
      </c>
    </row>
    <row r="149" spans="1:2">
      <c r="A149" s="11">
        <f>Returns!A149</f>
        <v>0</v>
      </c>
      <c r="B149" s="1">
        <f>MAX(Resume!B9/ 252-Portfolios!B149, 0)</f>
        <v>0</v>
      </c>
    </row>
    <row r="150" spans="1:2">
      <c r="A150" s="11">
        <f>Returns!A150</f>
        <v>0</v>
      </c>
      <c r="B150" s="1">
        <f>MAX(Resume!B9/ 252-Portfolios!B150, 0)</f>
        <v>0</v>
      </c>
    </row>
    <row r="151" spans="1:2">
      <c r="A151" s="11">
        <f>Returns!A151</f>
        <v>0</v>
      </c>
      <c r="B151" s="1">
        <f>MAX(Resume!B9/ 252-Portfolios!B151, 0)</f>
        <v>0</v>
      </c>
    </row>
    <row r="152" spans="1:2">
      <c r="A152" s="11">
        <f>Returns!A152</f>
        <v>0</v>
      </c>
      <c r="B152" s="1">
        <f>MAX(Resume!B9/ 252-Portfolios!B152, 0)</f>
        <v>0</v>
      </c>
    </row>
    <row r="153" spans="1:2">
      <c r="A153" s="11">
        <f>Returns!A153</f>
        <v>0</v>
      </c>
      <c r="B153" s="1">
        <f>MAX(Resume!B9/ 252-Portfolios!B153, 0)</f>
        <v>0</v>
      </c>
    </row>
    <row r="154" spans="1:2">
      <c r="A154" s="11">
        <f>Returns!A154</f>
        <v>0</v>
      </c>
      <c r="B154" s="1">
        <f>MAX(Resume!B9/ 252-Portfolios!B154, 0)</f>
        <v>0</v>
      </c>
    </row>
    <row r="155" spans="1:2">
      <c r="A155" s="11">
        <f>Returns!A155</f>
        <v>0</v>
      </c>
      <c r="B155" s="1">
        <f>MAX(Resume!B9/ 252-Portfolios!B155, 0)</f>
        <v>0</v>
      </c>
    </row>
    <row r="156" spans="1:2">
      <c r="A156" s="11">
        <f>Returns!A156</f>
        <v>0</v>
      </c>
      <c r="B156" s="1">
        <f>MAX(Resume!B9/ 252-Portfolios!B156, 0)</f>
        <v>0</v>
      </c>
    </row>
    <row r="157" spans="1:2">
      <c r="A157" s="11">
        <f>Returns!A157</f>
        <v>0</v>
      </c>
      <c r="B157" s="1">
        <f>MAX(Resume!B9/ 252-Portfolios!B157, 0)</f>
        <v>0</v>
      </c>
    </row>
    <row r="158" spans="1:2">
      <c r="A158" s="11">
        <f>Returns!A158</f>
        <v>0</v>
      </c>
      <c r="B158" s="1">
        <f>MAX(Resume!B9/ 252-Portfolios!B158, 0)</f>
        <v>0</v>
      </c>
    </row>
    <row r="159" spans="1:2">
      <c r="A159" s="11">
        <f>Returns!A159</f>
        <v>0</v>
      </c>
      <c r="B159" s="1">
        <f>MAX(Resume!B9/ 252-Portfolios!B159, 0)</f>
        <v>0</v>
      </c>
    </row>
    <row r="160" spans="1:2">
      <c r="A160" s="11">
        <f>Returns!A160</f>
        <v>0</v>
      </c>
      <c r="B160" s="1">
        <f>MAX(Resume!B9/ 252-Portfolios!B160, 0)</f>
        <v>0</v>
      </c>
    </row>
    <row r="161" spans="1:2">
      <c r="A161" s="11">
        <f>Returns!A161</f>
        <v>0</v>
      </c>
      <c r="B161" s="1">
        <f>MAX(Resume!B9/ 252-Portfolios!B161, 0)</f>
        <v>0</v>
      </c>
    </row>
    <row r="162" spans="1:2">
      <c r="A162" s="11">
        <f>Returns!A162</f>
        <v>0</v>
      </c>
      <c r="B162" s="1">
        <f>MAX(Resume!B9/ 252-Portfolios!B162, 0)</f>
        <v>0</v>
      </c>
    </row>
    <row r="163" spans="1:2">
      <c r="A163" s="11">
        <f>Returns!A163</f>
        <v>0</v>
      </c>
      <c r="B163" s="1">
        <f>MAX(Resume!B9/ 252-Portfolios!B163, 0)</f>
        <v>0</v>
      </c>
    </row>
    <row r="164" spans="1:2">
      <c r="A164" s="11">
        <f>Returns!A164</f>
        <v>0</v>
      </c>
      <c r="B164" s="1">
        <f>MAX(Resume!B9/ 252-Portfolios!B164, 0)</f>
        <v>0</v>
      </c>
    </row>
    <row r="165" spans="1:2">
      <c r="A165" s="11">
        <f>Returns!A165</f>
        <v>0</v>
      </c>
      <c r="B165" s="1">
        <f>MAX(Resume!B9/ 252-Portfolios!B165, 0)</f>
        <v>0</v>
      </c>
    </row>
    <row r="166" spans="1:2">
      <c r="A166" s="11">
        <f>Returns!A166</f>
        <v>0</v>
      </c>
      <c r="B166" s="1">
        <f>MAX(Resume!B9/ 252-Portfolios!B166, 0)</f>
        <v>0</v>
      </c>
    </row>
    <row r="167" spans="1:2">
      <c r="A167" s="11">
        <f>Returns!A167</f>
        <v>0</v>
      </c>
      <c r="B167" s="1">
        <f>MAX(Resume!B9/ 252-Portfolios!B167, 0)</f>
        <v>0</v>
      </c>
    </row>
    <row r="168" spans="1:2">
      <c r="A168" s="11">
        <f>Returns!A168</f>
        <v>0</v>
      </c>
      <c r="B168" s="1">
        <f>MAX(Resume!B9/ 252-Portfolios!B168, 0)</f>
        <v>0</v>
      </c>
    </row>
    <row r="169" spans="1:2">
      <c r="A169" s="11">
        <f>Returns!A169</f>
        <v>0</v>
      </c>
      <c r="B169" s="1">
        <f>MAX(Resume!B9/ 252-Portfolios!B169, 0)</f>
        <v>0</v>
      </c>
    </row>
    <row r="170" spans="1:2">
      <c r="A170" s="11">
        <f>Returns!A170</f>
        <v>0</v>
      </c>
      <c r="B170" s="1">
        <f>MAX(Resume!B9/ 252-Portfolios!B170, 0)</f>
        <v>0</v>
      </c>
    </row>
    <row r="171" spans="1:2">
      <c r="A171" s="11">
        <f>Returns!A171</f>
        <v>0</v>
      </c>
      <c r="B171" s="1">
        <f>MAX(Resume!B9/ 252-Portfolios!B171, 0)</f>
        <v>0</v>
      </c>
    </row>
    <row r="172" spans="1:2">
      <c r="A172" s="11">
        <f>Returns!A172</f>
        <v>0</v>
      </c>
      <c r="B172" s="1">
        <f>MAX(Resume!B9/ 252-Portfolios!B172, 0)</f>
        <v>0</v>
      </c>
    </row>
    <row r="173" spans="1:2">
      <c r="A173" s="11">
        <f>Returns!A173</f>
        <v>0</v>
      </c>
      <c r="B173" s="1">
        <f>MAX(Resume!B9/ 252-Portfolios!B173, 0)</f>
        <v>0</v>
      </c>
    </row>
    <row r="174" spans="1:2">
      <c r="A174" s="11">
        <f>Returns!A174</f>
        <v>0</v>
      </c>
      <c r="B174" s="1">
        <f>MAX(Resume!B9/ 252-Portfolios!B174, 0)</f>
        <v>0</v>
      </c>
    </row>
    <row r="175" spans="1:2">
      <c r="A175" s="11">
        <f>Returns!A175</f>
        <v>0</v>
      </c>
      <c r="B175" s="1">
        <f>MAX(Resume!B9/ 252-Portfolios!B175, 0)</f>
        <v>0</v>
      </c>
    </row>
    <row r="176" spans="1:2">
      <c r="A176" s="11">
        <f>Returns!A176</f>
        <v>0</v>
      </c>
      <c r="B176" s="1">
        <f>MAX(Resume!B9/ 252-Portfolios!B176, 0)</f>
        <v>0</v>
      </c>
    </row>
    <row r="177" spans="1:2">
      <c r="A177" s="11">
        <f>Returns!A177</f>
        <v>0</v>
      </c>
      <c r="B177" s="1">
        <f>MAX(Resume!B9/ 252-Portfolios!B177, 0)</f>
        <v>0</v>
      </c>
    </row>
    <row r="178" spans="1:2">
      <c r="A178" s="11">
        <f>Returns!A178</f>
        <v>0</v>
      </c>
      <c r="B178" s="1">
        <f>MAX(Resume!B9/ 252-Portfolios!B178, 0)</f>
        <v>0</v>
      </c>
    </row>
    <row r="179" spans="1:2">
      <c r="A179" s="11">
        <f>Returns!A179</f>
        <v>0</v>
      </c>
      <c r="B179" s="1">
        <f>MAX(Resume!B9/ 252-Portfolios!B179, 0)</f>
        <v>0</v>
      </c>
    </row>
    <row r="180" spans="1:2">
      <c r="A180" s="11">
        <f>Returns!A180</f>
        <v>0</v>
      </c>
      <c r="B180" s="1">
        <f>MAX(Resume!B9/ 252-Portfolios!B180, 0)</f>
        <v>0</v>
      </c>
    </row>
    <row r="181" spans="1:2">
      <c r="A181" s="11">
        <f>Returns!A181</f>
        <v>0</v>
      </c>
      <c r="B181" s="1">
        <f>MAX(Resume!B9/ 252-Portfolios!B181, 0)</f>
        <v>0</v>
      </c>
    </row>
    <row r="182" spans="1:2">
      <c r="A182" s="11">
        <f>Returns!A182</f>
        <v>0</v>
      </c>
      <c r="B182" s="1">
        <f>MAX(Resume!B9/ 252-Portfolios!B182, 0)</f>
        <v>0</v>
      </c>
    </row>
    <row r="183" spans="1:2">
      <c r="A183" s="11">
        <f>Returns!A183</f>
        <v>0</v>
      </c>
      <c r="B183" s="1">
        <f>MAX(Resume!B9/ 252-Portfolios!B183, 0)</f>
        <v>0</v>
      </c>
    </row>
    <row r="184" spans="1:2">
      <c r="A184" s="11">
        <f>Returns!A184</f>
        <v>0</v>
      </c>
      <c r="B184" s="1">
        <f>MAX(Resume!B9/ 252-Portfolios!B184, 0)</f>
        <v>0</v>
      </c>
    </row>
    <row r="185" spans="1:2">
      <c r="A185" s="11">
        <f>Returns!A185</f>
        <v>0</v>
      </c>
      <c r="B185" s="1">
        <f>MAX(Resume!B9/ 252-Portfolios!B185, 0)</f>
        <v>0</v>
      </c>
    </row>
    <row r="186" spans="1:2">
      <c r="A186" s="11">
        <f>Returns!A186</f>
        <v>0</v>
      </c>
      <c r="B186" s="1">
        <f>MAX(Resume!B9/ 252-Portfolios!B186, 0)</f>
        <v>0</v>
      </c>
    </row>
    <row r="187" spans="1:2">
      <c r="A187" s="11">
        <f>Returns!A187</f>
        <v>0</v>
      </c>
      <c r="B187" s="1">
        <f>MAX(Resume!B9/ 252-Portfolios!B187, 0)</f>
        <v>0</v>
      </c>
    </row>
    <row r="188" spans="1:2">
      <c r="A188" s="11">
        <f>Returns!A188</f>
        <v>0</v>
      </c>
      <c r="B188" s="1">
        <f>MAX(Resume!B9/ 252-Portfolios!B188, 0)</f>
        <v>0</v>
      </c>
    </row>
    <row r="189" spans="1:2">
      <c r="A189" s="11">
        <f>Returns!A189</f>
        <v>0</v>
      </c>
      <c r="B189" s="1">
        <f>MAX(Resume!B9/ 252-Portfolios!B189, 0)</f>
        <v>0</v>
      </c>
    </row>
    <row r="190" spans="1:2">
      <c r="A190" s="11">
        <f>Returns!A190</f>
        <v>0</v>
      </c>
      <c r="B190" s="1">
        <f>MAX(Resume!B9/ 252-Portfolios!B190, 0)</f>
        <v>0</v>
      </c>
    </row>
    <row r="191" spans="1:2">
      <c r="A191" s="11">
        <f>Returns!A191</f>
        <v>0</v>
      </c>
      <c r="B191" s="1">
        <f>MAX(Resume!B9/ 252-Portfolios!B191, 0)</f>
        <v>0</v>
      </c>
    </row>
    <row r="192" spans="1:2">
      <c r="A192" s="11">
        <f>Returns!A192</f>
        <v>0</v>
      </c>
      <c r="B192" s="1">
        <f>MAX(Resume!B9/ 252-Portfolios!B192, 0)</f>
        <v>0</v>
      </c>
    </row>
    <row r="193" spans="1:2">
      <c r="A193" s="11">
        <f>Returns!A193</f>
        <v>0</v>
      </c>
      <c r="B193" s="1">
        <f>MAX(Resume!B9/ 252-Portfolios!B193, 0)</f>
        <v>0</v>
      </c>
    </row>
    <row r="194" spans="1:2">
      <c r="A194" s="11">
        <f>Returns!A194</f>
        <v>0</v>
      </c>
      <c r="B194" s="1">
        <f>MAX(Resume!B9/ 252-Portfolios!B194, 0)</f>
        <v>0</v>
      </c>
    </row>
    <row r="195" spans="1:2">
      <c r="A195" s="11">
        <f>Returns!A195</f>
        <v>0</v>
      </c>
      <c r="B195" s="1">
        <f>MAX(Resume!B9/ 252-Portfolios!B195, 0)</f>
        <v>0</v>
      </c>
    </row>
    <row r="196" spans="1:2">
      <c r="A196" s="11">
        <f>Returns!A196</f>
        <v>0</v>
      </c>
      <c r="B196" s="1">
        <f>MAX(Resume!B9/ 252-Portfolios!B196, 0)</f>
        <v>0</v>
      </c>
    </row>
    <row r="197" spans="1:2">
      <c r="A197" s="11">
        <f>Returns!A197</f>
        <v>0</v>
      </c>
      <c r="B197" s="1">
        <f>MAX(Resume!B9/ 252-Portfolios!B197, 0)</f>
        <v>0</v>
      </c>
    </row>
    <row r="198" spans="1:2">
      <c r="A198" s="11">
        <f>Returns!A198</f>
        <v>0</v>
      </c>
      <c r="B198" s="1">
        <f>MAX(Resume!B9/ 252-Portfolios!B198, 0)</f>
        <v>0</v>
      </c>
    </row>
    <row r="199" spans="1:2">
      <c r="A199" s="11">
        <f>Returns!A199</f>
        <v>0</v>
      </c>
      <c r="B199" s="1">
        <f>MAX(Resume!B9/ 252-Portfolios!B199, 0)</f>
        <v>0</v>
      </c>
    </row>
    <row r="200" spans="1:2">
      <c r="A200" s="11">
        <f>Returns!A200</f>
        <v>0</v>
      </c>
      <c r="B200" s="1">
        <f>MAX(Resume!B9/ 252-Portfolios!B200, 0)</f>
        <v>0</v>
      </c>
    </row>
    <row r="201" spans="1:2">
      <c r="A201" s="11">
        <f>Returns!A201</f>
        <v>0</v>
      </c>
      <c r="B201" s="1">
        <f>MAX(Resume!B9/ 252-Portfolios!B201, 0)</f>
        <v>0</v>
      </c>
    </row>
    <row r="202" spans="1:2">
      <c r="A202" s="11">
        <f>Returns!A202</f>
        <v>0</v>
      </c>
      <c r="B202" s="1">
        <f>MAX(Resume!B9/ 252-Portfolios!B202, 0)</f>
        <v>0</v>
      </c>
    </row>
    <row r="203" spans="1:2">
      <c r="A203" s="11">
        <f>Returns!A203</f>
        <v>0</v>
      </c>
      <c r="B203" s="1">
        <f>MAX(Resume!B9/ 252-Portfolios!B203, 0)</f>
        <v>0</v>
      </c>
    </row>
    <row r="204" spans="1:2">
      <c r="A204" s="11">
        <f>Returns!A204</f>
        <v>0</v>
      </c>
      <c r="B204" s="1">
        <f>MAX(Resume!B9/ 252-Portfolios!B204, 0)</f>
        <v>0</v>
      </c>
    </row>
    <row r="205" spans="1:2">
      <c r="A205" s="11">
        <f>Returns!A205</f>
        <v>0</v>
      </c>
      <c r="B205" s="1">
        <f>MAX(Resume!B9/ 252-Portfolios!B205, 0)</f>
        <v>0</v>
      </c>
    </row>
    <row r="206" spans="1:2">
      <c r="A206" s="11">
        <f>Returns!A206</f>
        <v>0</v>
      </c>
      <c r="B206" s="1">
        <f>MAX(Resume!B9/ 252-Portfolios!B206, 0)</f>
        <v>0</v>
      </c>
    </row>
    <row r="207" spans="1:2">
      <c r="A207" s="11">
        <f>Returns!A207</f>
        <v>0</v>
      </c>
      <c r="B207" s="1">
        <f>MAX(Resume!B9/ 252-Portfolios!B207, 0)</f>
        <v>0</v>
      </c>
    </row>
    <row r="208" spans="1:2">
      <c r="A208" s="11">
        <f>Returns!A208</f>
        <v>0</v>
      </c>
      <c r="B208" s="1">
        <f>MAX(Resume!B9/ 252-Portfolios!B208, 0)</f>
        <v>0</v>
      </c>
    </row>
    <row r="209" spans="1:2">
      <c r="A209" s="11">
        <f>Returns!A209</f>
        <v>0</v>
      </c>
      <c r="B209" s="1">
        <f>MAX(Resume!B9/ 252-Portfolios!B209, 0)</f>
        <v>0</v>
      </c>
    </row>
    <row r="210" spans="1:2">
      <c r="A210" s="11">
        <f>Returns!A210</f>
        <v>0</v>
      </c>
      <c r="B210" s="1">
        <f>MAX(Resume!B9/ 252-Portfolios!B210, 0)</f>
        <v>0</v>
      </c>
    </row>
    <row r="211" spans="1:2">
      <c r="A211" s="11">
        <f>Returns!A211</f>
        <v>0</v>
      </c>
      <c r="B211" s="1">
        <f>MAX(Resume!B9/ 252-Portfolios!B211, 0)</f>
        <v>0</v>
      </c>
    </row>
    <row r="212" spans="1:2">
      <c r="A212" s="11">
        <f>Returns!A212</f>
        <v>0</v>
      </c>
      <c r="B212" s="1">
        <f>MAX(Resume!B9/ 252-Portfolios!B212, 0)</f>
        <v>0</v>
      </c>
    </row>
    <row r="213" spans="1:2">
      <c r="A213" s="11">
        <f>Returns!A213</f>
        <v>0</v>
      </c>
      <c r="B213" s="1">
        <f>MAX(Resume!B9/ 252-Portfolios!B213, 0)</f>
        <v>0</v>
      </c>
    </row>
    <row r="214" spans="1:2">
      <c r="A214" s="11">
        <f>Returns!A214</f>
        <v>0</v>
      </c>
      <c r="B214" s="1">
        <f>MAX(Resume!B9/ 252-Portfolios!B214, 0)</f>
        <v>0</v>
      </c>
    </row>
    <row r="215" spans="1:2">
      <c r="A215" s="11">
        <f>Returns!A215</f>
        <v>0</v>
      </c>
      <c r="B215" s="1">
        <f>MAX(Resume!B9/ 252-Portfolios!B215, 0)</f>
        <v>0</v>
      </c>
    </row>
    <row r="216" spans="1:2">
      <c r="A216" s="11">
        <f>Returns!A216</f>
        <v>0</v>
      </c>
      <c r="B216" s="1">
        <f>MAX(Resume!B9/ 252-Portfolios!B216, 0)</f>
        <v>0</v>
      </c>
    </row>
    <row r="217" spans="1:2">
      <c r="A217" s="11">
        <f>Returns!A217</f>
        <v>0</v>
      </c>
      <c r="B217" s="1">
        <f>MAX(Resume!B9/ 252-Portfolios!B217, 0)</f>
        <v>0</v>
      </c>
    </row>
    <row r="218" spans="1:2">
      <c r="A218" s="11">
        <f>Returns!A218</f>
        <v>0</v>
      </c>
      <c r="B218" s="1">
        <f>MAX(Resume!B9/ 252-Portfolios!B218, 0)</f>
        <v>0</v>
      </c>
    </row>
    <row r="219" spans="1:2">
      <c r="A219" s="11">
        <f>Returns!A219</f>
        <v>0</v>
      </c>
      <c r="B219" s="1">
        <f>MAX(Resume!B9/ 252-Portfolios!B219, 0)</f>
        <v>0</v>
      </c>
    </row>
    <row r="220" spans="1:2">
      <c r="A220" s="11">
        <f>Returns!A220</f>
        <v>0</v>
      </c>
      <c r="B220" s="1">
        <f>MAX(Resume!B9/ 252-Portfolios!B220, 0)</f>
        <v>0</v>
      </c>
    </row>
    <row r="221" spans="1:2">
      <c r="A221" s="11">
        <f>Returns!A221</f>
        <v>0</v>
      </c>
      <c r="B221" s="1">
        <f>MAX(Resume!B9/ 252-Portfolios!B221, 0)</f>
        <v>0</v>
      </c>
    </row>
    <row r="222" spans="1:2">
      <c r="A222" s="11">
        <f>Returns!A222</f>
        <v>0</v>
      </c>
      <c r="B222" s="1">
        <f>MAX(Resume!B9/ 252-Portfolios!B222, 0)</f>
        <v>0</v>
      </c>
    </row>
    <row r="223" spans="1:2">
      <c r="A223" s="11">
        <f>Returns!A223</f>
        <v>0</v>
      </c>
      <c r="B223" s="1">
        <f>MAX(Resume!B9/ 252-Portfolios!B223, 0)</f>
        <v>0</v>
      </c>
    </row>
    <row r="224" spans="1:2">
      <c r="A224" s="11">
        <f>Returns!A224</f>
        <v>0</v>
      </c>
      <c r="B224" s="1">
        <f>MAX(Resume!B9/ 252-Portfolios!B224, 0)</f>
        <v>0</v>
      </c>
    </row>
    <row r="225" spans="1:2">
      <c r="A225" s="11">
        <f>Returns!A225</f>
        <v>0</v>
      </c>
      <c r="B225" s="1">
        <f>MAX(Resume!B9/ 252-Portfolios!B225, 0)</f>
        <v>0</v>
      </c>
    </row>
    <row r="226" spans="1:2">
      <c r="A226" s="11">
        <f>Returns!A226</f>
        <v>0</v>
      </c>
      <c r="B226" s="1">
        <f>MAX(Resume!B9/ 252-Portfolios!B226, 0)</f>
        <v>0</v>
      </c>
    </row>
    <row r="227" spans="1:2">
      <c r="A227" s="11">
        <f>Returns!A227</f>
        <v>0</v>
      </c>
      <c r="B227" s="1">
        <f>MAX(Resume!B9/ 252-Portfolios!B227, 0)</f>
        <v>0</v>
      </c>
    </row>
    <row r="228" spans="1:2">
      <c r="A228" s="11">
        <f>Returns!A228</f>
        <v>0</v>
      </c>
      <c r="B228" s="1">
        <f>MAX(Resume!B9/ 252-Portfolios!B228, 0)</f>
        <v>0</v>
      </c>
    </row>
    <row r="229" spans="1:2">
      <c r="A229" s="11">
        <f>Returns!A229</f>
        <v>0</v>
      </c>
      <c r="B229" s="1">
        <f>MAX(Resume!B9/ 252-Portfolios!B229, 0)</f>
        <v>0</v>
      </c>
    </row>
    <row r="230" spans="1:2">
      <c r="A230" s="11">
        <f>Returns!A230</f>
        <v>0</v>
      </c>
      <c r="B230" s="1">
        <f>MAX(Resume!B9/ 252-Portfolios!B230, 0)</f>
        <v>0</v>
      </c>
    </row>
    <row r="231" spans="1:2">
      <c r="A231" s="11">
        <f>Returns!A231</f>
        <v>0</v>
      </c>
      <c r="B231" s="1">
        <f>MAX(Resume!B9/ 252-Portfolios!B231, 0)</f>
        <v>0</v>
      </c>
    </row>
    <row r="232" spans="1:2">
      <c r="A232" s="11">
        <f>Returns!A232</f>
        <v>0</v>
      </c>
      <c r="B232" s="1">
        <f>MAX(Resume!B9/ 252-Portfolios!B232, 0)</f>
        <v>0</v>
      </c>
    </row>
    <row r="233" spans="1:2">
      <c r="A233" s="11">
        <f>Returns!A233</f>
        <v>0</v>
      </c>
      <c r="B233" s="1">
        <f>MAX(Resume!B9/ 252-Portfolios!B233, 0)</f>
        <v>0</v>
      </c>
    </row>
    <row r="234" spans="1:2">
      <c r="A234" s="11">
        <f>Returns!A234</f>
        <v>0</v>
      </c>
      <c r="B234" s="1">
        <f>MAX(Resume!B9/ 252-Portfolios!B234, 0)</f>
        <v>0</v>
      </c>
    </row>
    <row r="235" spans="1:2">
      <c r="A235" s="11">
        <f>Returns!A235</f>
        <v>0</v>
      </c>
      <c r="B235" s="1">
        <f>MAX(Resume!B9/ 252-Portfolios!B235, 0)</f>
        <v>0</v>
      </c>
    </row>
    <row r="236" spans="1:2">
      <c r="A236" s="11">
        <f>Returns!A236</f>
        <v>0</v>
      </c>
      <c r="B236" s="1">
        <f>MAX(Resume!B9/ 252-Portfolios!B236, 0)</f>
        <v>0</v>
      </c>
    </row>
    <row r="237" spans="1:2">
      <c r="A237" s="11">
        <f>Returns!A237</f>
        <v>0</v>
      </c>
      <c r="B237" s="1">
        <f>MAX(Resume!B9/ 252-Portfolios!B237, 0)</f>
        <v>0</v>
      </c>
    </row>
    <row r="238" spans="1:2">
      <c r="A238" s="11">
        <f>Returns!A238</f>
        <v>0</v>
      </c>
      <c r="B238" s="1">
        <f>MAX(Resume!B9/ 252-Portfolios!B238, 0)</f>
        <v>0</v>
      </c>
    </row>
    <row r="239" spans="1:2">
      <c r="A239" s="11">
        <f>Returns!A239</f>
        <v>0</v>
      </c>
      <c r="B239" s="1">
        <f>MAX(Resume!B9/ 252-Portfolios!B239, 0)</f>
        <v>0</v>
      </c>
    </row>
    <row r="240" spans="1:2">
      <c r="A240" s="11">
        <f>Returns!A240</f>
        <v>0</v>
      </c>
      <c r="B240" s="1">
        <f>MAX(Resume!B9/ 252-Portfolios!B240, 0)</f>
        <v>0</v>
      </c>
    </row>
    <row r="241" spans="1:2">
      <c r="A241" s="11">
        <f>Returns!A241</f>
        <v>0</v>
      </c>
      <c r="B241" s="1">
        <f>MAX(Resume!B9/ 252-Portfolios!B241, 0)</f>
        <v>0</v>
      </c>
    </row>
    <row r="242" spans="1:2">
      <c r="A242" s="11">
        <f>Returns!A242</f>
        <v>0</v>
      </c>
      <c r="B242" s="1">
        <f>MAX(Resume!B9/ 252-Portfolios!B242, 0)</f>
        <v>0</v>
      </c>
    </row>
    <row r="243" spans="1:2">
      <c r="A243" s="11">
        <f>Returns!A243</f>
        <v>0</v>
      </c>
      <c r="B243" s="1">
        <f>MAX(Resume!B9/ 252-Portfolios!B243, 0)</f>
        <v>0</v>
      </c>
    </row>
    <row r="244" spans="1:2">
      <c r="A244" s="11">
        <f>Returns!A244</f>
        <v>0</v>
      </c>
      <c r="B244" s="1">
        <f>MAX(Resume!B9/ 252-Portfolios!B244, 0)</f>
        <v>0</v>
      </c>
    </row>
    <row r="245" spans="1:2">
      <c r="A245" s="11">
        <f>Returns!A245</f>
        <v>0</v>
      </c>
      <c r="B245" s="1">
        <f>MAX(Resume!B9/ 252-Portfolios!B245, 0)</f>
        <v>0</v>
      </c>
    </row>
    <row r="246" spans="1:2">
      <c r="A246" s="11">
        <f>Returns!A246</f>
        <v>0</v>
      </c>
      <c r="B246" s="1">
        <f>MAX(Resume!B9/ 252-Portfolios!B246, 0)</f>
        <v>0</v>
      </c>
    </row>
    <row r="247" spans="1:2">
      <c r="A247" s="11">
        <f>Returns!A247</f>
        <v>0</v>
      </c>
      <c r="B247" s="1">
        <f>MAX(Resume!B9/ 252-Portfolios!B247, 0)</f>
        <v>0</v>
      </c>
    </row>
    <row r="248" spans="1:2">
      <c r="A248" s="11">
        <f>Returns!A248</f>
        <v>0</v>
      </c>
      <c r="B248" s="1">
        <f>MAX(Resume!B9/ 252-Portfolios!B248, 0)</f>
        <v>0</v>
      </c>
    </row>
    <row r="249" spans="1:2">
      <c r="A249" s="11">
        <f>Returns!A249</f>
        <v>0</v>
      </c>
      <c r="B249" s="1">
        <f>MAX(Resume!B9/ 252-Portfolios!B249, 0)</f>
        <v>0</v>
      </c>
    </row>
    <row r="250" spans="1:2">
      <c r="A250" s="11">
        <f>Returns!A250</f>
        <v>0</v>
      </c>
      <c r="B250" s="1">
        <f>MAX(Resume!B9/ 252-Portfolios!B250, 0)</f>
        <v>0</v>
      </c>
    </row>
    <row r="251" spans="1:2">
      <c r="A251" s="11">
        <f>Returns!A251</f>
        <v>0</v>
      </c>
      <c r="B251" s="1">
        <f>MAX(Resume!B9/ 252-Portfolios!B251, 0)</f>
        <v>0</v>
      </c>
    </row>
    <row r="252" spans="1:2">
      <c r="A252" s="11">
        <f>Returns!A252</f>
        <v>0</v>
      </c>
      <c r="B252" s="1">
        <f>MAX(Resume!B9/ 252-Portfolios!B252, 0)</f>
        <v>0</v>
      </c>
    </row>
    <row r="253" spans="1:2">
      <c r="A253" s="11">
        <f>Returns!A253</f>
        <v>0</v>
      </c>
      <c r="B253" s="1">
        <f>MAX(Resume!B9/ 252-Portfolios!B253, 0)</f>
        <v>0</v>
      </c>
    </row>
    <row r="254" spans="1:2">
      <c r="A254" s="11">
        <f>Returns!A254</f>
        <v>0</v>
      </c>
      <c r="B254" s="1">
        <f>MAX(Resume!B9/ 252-Portfolios!B254, 0)</f>
        <v>0</v>
      </c>
    </row>
    <row r="255" spans="1:2">
      <c r="A255" s="11">
        <f>Returns!A255</f>
        <v>0</v>
      </c>
      <c r="B255" s="1">
        <f>MAX(Resume!B9/ 252-Portfolios!B255, 0)</f>
        <v>0</v>
      </c>
    </row>
    <row r="256" spans="1:2">
      <c r="A256" s="11">
        <f>Returns!A256</f>
        <v>0</v>
      </c>
      <c r="B256" s="1">
        <f>MAX(Resume!B9/ 252-Portfolios!B256, 0)</f>
        <v>0</v>
      </c>
    </row>
    <row r="257" spans="1:2">
      <c r="A257" s="11">
        <f>Returns!A257</f>
        <v>0</v>
      </c>
      <c r="B257" s="1">
        <f>MAX(Resume!B9/ 252-Portfolios!B257, 0)</f>
        <v>0</v>
      </c>
    </row>
    <row r="258" spans="1:2">
      <c r="A258" s="11">
        <f>Returns!A258</f>
        <v>0</v>
      </c>
      <c r="B258" s="1">
        <f>MAX(Resume!B9/ 252-Portfolios!B258, 0)</f>
        <v>0</v>
      </c>
    </row>
    <row r="259" spans="1:2">
      <c r="A259" s="11">
        <f>Returns!A259</f>
        <v>0</v>
      </c>
      <c r="B259" s="1">
        <f>MAX(Resume!B9/ 252-Portfolios!B259, 0)</f>
        <v>0</v>
      </c>
    </row>
    <row r="260" spans="1:2">
      <c r="A260" s="11">
        <f>Returns!A260</f>
        <v>0</v>
      </c>
      <c r="B260" s="1">
        <f>MAX(Resume!B9/ 252-Portfolios!B260, 0)</f>
        <v>0</v>
      </c>
    </row>
    <row r="261" spans="1:2">
      <c r="A261" s="11">
        <f>Returns!A261</f>
        <v>0</v>
      </c>
      <c r="B261" s="1">
        <f>MAX(Resume!B9/ 252-Portfolios!B261, 0)</f>
        <v>0</v>
      </c>
    </row>
    <row r="262" spans="1:2">
      <c r="A262" s="11">
        <f>Returns!A262</f>
        <v>0</v>
      </c>
      <c r="B262" s="1">
        <f>MAX(Resume!B9/ 252-Portfolios!B262, 0)</f>
        <v>0</v>
      </c>
    </row>
    <row r="263" spans="1:2">
      <c r="A263" s="11">
        <f>Returns!A263</f>
        <v>0</v>
      </c>
      <c r="B263" s="1">
        <f>MAX(Resume!B9/ 252-Portfolios!B263, 0)</f>
        <v>0</v>
      </c>
    </row>
    <row r="264" spans="1:2">
      <c r="A264" s="11">
        <f>Returns!A264</f>
        <v>0</v>
      </c>
      <c r="B264" s="1">
        <f>MAX(Resume!B9/ 252-Portfolios!B264, 0)</f>
        <v>0</v>
      </c>
    </row>
    <row r="265" spans="1:2">
      <c r="A265" s="11">
        <f>Returns!A265</f>
        <v>0</v>
      </c>
      <c r="B265" s="1">
        <f>MAX(Resume!B9/ 252-Portfolios!B265, 0)</f>
        <v>0</v>
      </c>
    </row>
    <row r="266" spans="1:2">
      <c r="A266" s="11">
        <f>Returns!A266</f>
        <v>0</v>
      </c>
      <c r="B266" s="1">
        <f>MAX(Resume!B9/ 252-Portfolios!B266, 0)</f>
        <v>0</v>
      </c>
    </row>
    <row r="267" spans="1:2">
      <c r="A267" s="11">
        <f>Returns!A267</f>
        <v>0</v>
      </c>
      <c r="B267" s="1">
        <f>MAX(Resume!B9/ 252-Portfolios!B267, 0)</f>
        <v>0</v>
      </c>
    </row>
    <row r="268" spans="1:2">
      <c r="A268" s="11">
        <f>Returns!A268</f>
        <v>0</v>
      </c>
      <c r="B268" s="1">
        <f>MAX(Resume!B9/ 252-Portfolios!B268, 0)</f>
        <v>0</v>
      </c>
    </row>
    <row r="269" spans="1:2">
      <c r="A269" s="11">
        <f>Returns!A269</f>
        <v>0</v>
      </c>
      <c r="B269" s="1">
        <f>MAX(Resume!B9/ 252-Portfolios!B269, 0)</f>
        <v>0</v>
      </c>
    </row>
    <row r="270" spans="1:2">
      <c r="A270" s="11">
        <f>Returns!A270</f>
        <v>0</v>
      </c>
      <c r="B270" s="1">
        <f>MAX(Resume!B9/ 252-Portfolios!B270, 0)</f>
        <v>0</v>
      </c>
    </row>
    <row r="271" spans="1:2">
      <c r="A271" s="11">
        <f>Returns!A271</f>
        <v>0</v>
      </c>
      <c r="B271" s="1">
        <f>MAX(Resume!B9/ 252-Portfolios!B271, 0)</f>
        <v>0</v>
      </c>
    </row>
    <row r="272" spans="1:2">
      <c r="A272" s="11">
        <f>Returns!A272</f>
        <v>0</v>
      </c>
      <c r="B272" s="1">
        <f>MAX(Resume!B9/ 252-Portfolios!B272, 0)</f>
        <v>0</v>
      </c>
    </row>
    <row r="273" spans="1:2">
      <c r="A273" s="11">
        <f>Returns!A273</f>
        <v>0</v>
      </c>
      <c r="B273" s="1">
        <f>MAX(Resume!B9/ 252-Portfolios!B273, 0)</f>
        <v>0</v>
      </c>
    </row>
    <row r="274" spans="1:2">
      <c r="A274" s="11">
        <f>Returns!A274</f>
        <v>0</v>
      </c>
      <c r="B274" s="1">
        <f>MAX(Resume!B9/ 252-Portfolios!B274, 0)</f>
        <v>0</v>
      </c>
    </row>
    <row r="275" spans="1:2">
      <c r="A275" s="11">
        <f>Returns!A275</f>
        <v>0</v>
      </c>
      <c r="B275" s="1">
        <f>MAX(Resume!B9/ 252-Portfolios!B275, 0)</f>
        <v>0</v>
      </c>
    </row>
    <row r="276" spans="1:2">
      <c r="A276" s="11">
        <f>Returns!A276</f>
        <v>0</v>
      </c>
      <c r="B276" s="1">
        <f>MAX(Resume!B9/ 252-Portfolios!B276, 0)</f>
        <v>0</v>
      </c>
    </row>
    <row r="277" spans="1:2">
      <c r="A277" s="11">
        <f>Returns!A277</f>
        <v>0</v>
      </c>
      <c r="B277" s="1">
        <f>MAX(Resume!B9/ 252-Portfolios!B277, 0)</f>
        <v>0</v>
      </c>
    </row>
    <row r="278" spans="1:2">
      <c r="A278" s="11">
        <f>Returns!A278</f>
        <v>0</v>
      </c>
      <c r="B278" s="1">
        <f>MAX(Resume!B9/ 252-Portfolios!B278, 0)</f>
        <v>0</v>
      </c>
    </row>
    <row r="279" spans="1:2">
      <c r="A279" s="11">
        <f>Returns!A279</f>
        <v>0</v>
      </c>
      <c r="B279" s="1">
        <f>MAX(Resume!B9/ 252-Portfolios!B279, 0)</f>
        <v>0</v>
      </c>
    </row>
    <row r="280" spans="1:2">
      <c r="A280" s="11">
        <f>Returns!A280</f>
        <v>0</v>
      </c>
      <c r="B280" s="1">
        <f>MAX(Resume!B9/ 252-Portfolios!B280, 0)</f>
        <v>0</v>
      </c>
    </row>
    <row r="281" spans="1:2">
      <c r="A281" s="11">
        <f>Returns!A281</f>
        <v>0</v>
      </c>
      <c r="B281" s="1">
        <f>MAX(Resume!B9/ 252-Portfolios!B281, 0)</f>
        <v>0</v>
      </c>
    </row>
    <row r="282" spans="1:2">
      <c r="A282" s="11">
        <f>Returns!A282</f>
        <v>0</v>
      </c>
      <c r="B282" s="1">
        <f>MAX(Resume!B9/ 252-Portfolios!B282, 0)</f>
        <v>0</v>
      </c>
    </row>
    <row r="283" spans="1:2">
      <c r="A283" s="11">
        <f>Returns!A283</f>
        <v>0</v>
      </c>
      <c r="B283" s="1">
        <f>MAX(Resume!B9/ 252-Portfolios!B283, 0)</f>
        <v>0</v>
      </c>
    </row>
    <row r="284" spans="1:2">
      <c r="A284" s="11">
        <f>Returns!A284</f>
        <v>0</v>
      </c>
      <c r="B284" s="1">
        <f>MAX(Resume!B9/ 252-Portfolios!B284, 0)</f>
        <v>0</v>
      </c>
    </row>
    <row r="285" spans="1:2">
      <c r="A285" s="11">
        <f>Returns!A285</f>
        <v>0</v>
      </c>
      <c r="B285" s="1">
        <f>MAX(Resume!B9/ 252-Portfolios!B285, 0)</f>
        <v>0</v>
      </c>
    </row>
    <row r="286" spans="1:2">
      <c r="A286" s="11">
        <f>Returns!A286</f>
        <v>0</v>
      </c>
      <c r="B286" s="1">
        <f>MAX(Resume!B9/ 252-Portfolios!B286, 0)</f>
        <v>0</v>
      </c>
    </row>
    <row r="287" spans="1:2">
      <c r="A287" s="11">
        <f>Returns!A287</f>
        <v>0</v>
      </c>
      <c r="B287" s="1">
        <f>MAX(Resume!B9/ 252-Portfolios!B287, 0)</f>
        <v>0</v>
      </c>
    </row>
    <row r="288" spans="1:2">
      <c r="A288" s="11">
        <f>Returns!A288</f>
        <v>0</v>
      </c>
      <c r="B288" s="1">
        <f>MAX(Resume!B9/ 252-Portfolios!B288, 0)</f>
        <v>0</v>
      </c>
    </row>
    <row r="289" spans="1:2">
      <c r="A289" s="11">
        <f>Returns!A289</f>
        <v>0</v>
      </c>
      <c r="B289" s="1">
        <f>MAX(Resume!B9/ 252-Portfolios!B289, 0)</f>
        <v>0</v>
      </c>
    </row>
    <row r="290" spans="1:2">
      <c r="A290" s="11">
        <f>Returns!A290</f>
        <v>0</v>
      </c>
      <c r="B290" s="1">
        <f>MAX(Resume!B9/ 252-Portfolios!B290, 0)</f>
        <v>0</v>
      </c>
    </row>
    <row r="291" spans="1:2">
      <c r="A291" s="11">
        <f>Returns!A291</f>
        <v>0</v>
      </c>
      <c r="B291" s="1">
        <f>MAX(Resume!B9/ 252-Portfolios!B291, 0)</f>
        <v>0</v>
      </c>
    </row>
    <row r="292" spans="1:2">
      <c r="A292" s="11">
        <f>Returns!A292</f>
        <v>0</v>
      </c>
      <c r="B292" s="1">
        <f>MAX(Resume!B9/ 252-Portfolios!B292, 0)</f>
        <v>0</v>
      </c>
    </row>
    <row r="293" spans="1:2">
      <c r="A293" s="11">
        <f>Returns!A293</f>
        <v>0</v>
      </c>
      <c r="B293" s="1">
        <f>MAX(Resume!B9/ 252-Portfolios!B293, 0)</f>
        <v>0</v>
      </c>
    </row>
    <row r="294" spans="1:2">
      <c r="A294" s="11">
        <f>Returns!A294</f>
        <v>0</v>
      </c>
      <c r="B294" s="1">
        <f>MAX(Resume!B9/ 252-Portfolios!B294, 0)</f>
        <v>0</v>
      </c>
    </row>
    <row r="295" spans="1:2">
      <c r="A295" s="11">
        <f>Returns!A295</f>
        <v>0</v>
      </c>
      <c r="B295" s="1">
        <f>MAX(Resume!B9/ 252-Portfolios!B295, 0)</f>
        <v>0</v>
      </c>
    </row>
    <row r="296" spans="1:2">
      <c r="A296" s="11">
        <f>Returns!A296</f>
        <v>0</v>
      </c>
      <c r="B296" s="1">
        <f>MAX(Resume!B9/ 252-Portfolios!B296, 0)</f>
        <v>0</v>
      </c>
    </row>
    <row r="297" spans="1:2">
      <c r="A297" s="11">
        <f>Returns!A297</f>
        <v>0</v>
      </c>
      <c r="B297" s="1">
        <f>MAX(Resume!B9/ 252-Portfolios!B297, 0)</f>
        <v>0</v>
      </c>
    </row>
    <row r="298" spans="1:2">
      <c r="A298" s="11">
        <f>Returns!A298</f>
        <v>0</v>
      </c>
      <c r="B298" s="1">
        <f>MAX(Resume!B9/ 252-Portfolios!B298, 0)</f>
        <v>0</v>
      </c>
    </row>
    <row r="299" spans="1:2">
      <c r="A299" s="11">
        <f>Returns!A299</f>
        <v>0</v>
      </c>
      <c r="B299" s="1">
        <f>MAX(Resume!B9/ 252-Portfolios!B299, 0)</f>
        <v>0</v>
      </c>
    </row>
    <row r="300" spans="1:2">
      <c r="A300" s="11">
        <f>Returns!A300</f>
        <v>0</v>
      </c>
      <c r="B300" s="1">
        <f>MAX(Resume!B9/ 252-Portfolios!B300, 0)</f>
        <v>0</v>
      </c>
    </row>
    <row r="301" spans="1:2">
      <c r="A301" s="11">
        <f>Returns!A301</f>
        <v>0</v>
      </c>
      <c r="B301" s="1">
        <f>MAX(Resume!B9/ 252-Portfolios!B301, 0)</f>
        <v>0</v>
      </c>
    </row>
    <row r="302" spans="1:2">
      <c r="A302" s="11">
        <f>Returns!A302</f>
        <v>0</v>
      </c>
      <c r="B302" s="1">
        <f>MAX(Resume!B9/ 252-Portfolios!B302, 0)</f>
        <v>0</v>
      </c>
    </row>
    <row r="303" spans="1:2">
      <c r="A303" s="11">
        <f>Returns!A303</f>
        <v>0</v>
      </c>
      <c r="B303" s="1">
        <f>MAX(Resume!B9/ 252-Portfolios!B303, 0)</f>
        <v>0</v>
      </c>
    </row>
    <row r="304" spans="1:2">
      <c r="A304" s="11">
        <f>Returns!A304</f>
        <v>0</v>
      </c>
      <c r="B304" s="1">
        <f>MAX(Resume!B9/ 252-Portfolios!B304, 0)</f>
        <v>0</v>
      </c>
    </row>
    <row r="305" spans="1:2">
      <c r="A305" s="11">
        <f>Returns!A305</f>
        <v>0</v>
      </c>
      <c r="B305" s="1">
        <f>MAX(Resume!B9/ 252-Portfolios!B305, 0)</f>
        <v>0</v>
      </c>
    </row>
    <row r="306" spans="1:2">
      <c r="A306" s="11">
        <f>Returns!A306</f>
        <v>0</v>
      </c>
      <c r="B306" s="1">
        <f>MAX(Resume!B9/ 252-Portfolios!B306, 0)</f>
        <v>0</v>
      </c>
    </row>
    <row r="307" spans="1:2">
      <c r="A307" s="11">
        <f>Returns!A307</f>
        <v>0</v>
      </c>
      <c r="B307" s="1">
        <f>MAX(Resume!B9/ 252-Portfolios!B307, 0)</f>
        <v>0</v>
      </c>
    </row>
    <row r="308" spans="1:2">
      <c r="A308" s="11">
        <f>Returns!A308</f>
        <v>0</v>
      </c>
      <c r="B308" s="1">
        <f>MAX(Resume!B9/ 252-Portfolios!B308, 0)</f>
        <v>0</v>
      </c>
    </row>
    <row r="309" spans="1:2">
      <c r="A309" s="11">
        <f>Returns!A309</f>
        <v>0</v>
      </c>
      <c r="B309" s="1">
        <f>MAX(Resume!B9/ 252-Portfolios!B309, 0)</f>
        <v>0</v>
      </c>
    </row>
    <row r="310" spans="1:2">
      <c r="A310" s="11">
        <f>Returns!A310</f>
        <v>0</v>
      </c>
      <c r="B310" s="1">
        <f>MAX(Resume!B9/ 252-Portfolios!B310, 0)</f>
        <v>0</v>
      </c>
    </row>
    <row r="311" spans="1:2">
      <c r="A311" s="11">
        <f>Returns!A311</f>
        <v>0</v>
      </c>
      <c r="B311" s="1">
        <f>MAX(Resume!B9/ 252-Portfolios!B311, 0)</f>
        <v>0</v>
      </c>
    </row>
    <row r="312" spans="1:2">
      <c r="A312" s="11">
        <f>Returns!A312</f>
        <v>0</v>
      </c>
      <c r="B312" s="1">
        <f>MAX(Resume!B9/ 252-Portfolios!B312, 0)</f>
        <v>0</v>
      </c>
    </row>
    <row r="313" spans="1:2">
      <c r="A313" s="11">
        <f>Returns!A313</f>
        <v>0</v>
      </c>
      <c r="B313" s="1">
        <f>MAX(Resume!B9/ 252-Portfolios!B313, 0)</f>
        <v>0</v>
      </c>
    </row>
    <row r="314" spans="1:2">
      <c r="A314" s="11">
        <f>Returns!A314</f>
        <v>0</v>
      </c>
      <c r="B314" s="1">
        <f>MAX(Resume!B9/ 252-Portfolios!B314, 0)</f>
        <v>0</v>
      </c>
    </row>
    <row r="315" spans="1:2">
      <c r="A315" s="11">
        <f>Returns!A315</f>
        <v>0</v>
      </c>
      <c r="B315" s="1">
        <f>MAX(Resume!B9/ 252-Portfolios!B315, 0)</f>
        <v>0</v>
      </c>
    </row>
    <row r="316" spans="1:2">
      <c r="A316" s="11">
        <f>Returns!A316</f>
        <v>0</v>
      </c>
      <c r="B316" s="1">
        <f>MAX(Resume!B9/ 252-Portfolios!B316, 0)</f>
        <v>0</v>
      </c>
    </row>
    <row r="317" spans="1:2">
      <c r="A317" s="11">
        <f>Returns!A317</f>
        <v>0</v>
      </c>
      <c r="B317" s="1">
        <f>MAX(Resume!B9/ 252-Portfolios!B317, 0)</f>
        <v>0</v>
      </c>
    </row>
    <row r="318" spans="1:2">
      <c r="A318" s="11">
        <f>Returns!A318</f>
        <v>0</v>
      </c>
      <c r="B318" s="1">
        <f>MAX(Resume!B9/ 252-Portfolios!B318, 0)</f>
        <v>0</v>
      </c>
    </row>
    <row r="319" spans="1:2">
      <c r="A319" s="11">
        <f>Returns!A319</f>
        <v>0</v>
      </c>
      <c r="B319" s="1">
        <f>MAX(Resume!B9/ 252-Portfolios!B319, 0)</f>
        <v>0</v>
      </c>
    </row>
    <row r="320" spans="1:2">
      <c r="A320" s="11">
        <f>Returns!A320</f>
        <v>0</v>
      </c>
      <c r="B320" s="1">
        <f>MAX(Resume!B9/ 252-Portfolios!B320, 0)</f>
        <v>0</v>
      </c>
    </row>
    <row r="321" spans="1:2">
      <c r="A321" s="11">
        <f>Returns!A321</f>
        <v>0</v>
      </c>
      <c r="B321" s="1">
        <f>MAX(Resume!B9/ 252-Portfolios!B321, 0)</f>
        <v>0</v>
      </c>
    </row>
    <row r="322" spans="1:2">
      <c r="A322" s="11">
        <f>Returns!A322</f>
        <v>0</v>
      </c>
      <c r="B322" s="1">
        <f>MAX(Resume!B9/ 252-Portfolios!B322, 0)</f>
        <v>0</v>
      </c>
    </row>
    <row r="323" spans="1:2">
      <c r="A323" s="11">
        <f>Returns!A323</f>
        <v>0</v>
      </c>
      <c r="B323" s="1">
        <f>MAX(Resume!B9/ 252-Portfolios!B323, 0)</f>
        <v>0</v>
      </c>
    </row>
    <row r="324" spans="1:2">
      <c r="A324" s="11">
        <f>Returns!A324</f>
        <v>0</v>
      </c>
      <c r="B324" s="1">
        <f>MAX(Resume!B9/ 252-Portfolios!B324, 0)</f>
        <v>0</v>
      </c>
    </row>
    <row r="325" spans="1:2">
      <c r="A325" s="11">
        <f>Returns!A325</f>
        <v>0</v>
      </c>
      <c r="B325" s="1">
        <f>MAX(Resume!B9/ 252-Portfolios!B325, 0)</f>
        <v>0</v>
      </c>
    </row>
    <row r="326" spans="1:2">
      <c r="A326" s="11">
        <f>Returns!A326</f>
        <v>0</v>
      </c>
      <c r="B326" s="1">
        <f>MAX(Resume!B9/ 252-Portfolios!B326, 0)</f>
        <v>0</v>
      </c>
    </row>
    <row r="327" spans="1:2">
      <c r="A327" s="11">
        <f>Returns!A327</f>
        <v>0</v>
      </c>
      <c r="B327" s="1">
        <f>MAX(Resume!B9/ 252-Portfolios!B327, 0)</f>
        <v>0</v>
      </c>
    </row>
    <row r="328" spans="1:2">
      <c r="A328" s="11">
        <f>Returns!A328</f>
        <v>0</v>
      </c>
      <c r="B328" s="1">
        <f>MAX(Resume!B9/ 252-Portfolios!B328, 0)</f>
        <v>0</v>
      </c>
    </row>
    <row r="329" spans="1:2">
      <c r="A329" s="11">
        <f>Returns!A329</f>
        <v>0</v>
      </c>
      <c r="B329" s="1">
        <f>MAX(Resume!B9/ 252-Portfolios!B329, 0)</f>
        <v>0</v>
      </c>
    </row>
    <row r="330" spans="1:2">
      <c r="A330" s="11">
        <f>Returns!A330</f>
        <v>0</v>
      </c>
      <c r="B330" s="1">
        <f>MAX(Resume!B9/ 252-Portfolios!B330, 0)</f>
        <v>0</v>
      </c>
    </row>
    <row r="331" spans="1:2">
      <c r="A331" s="11">
        <f>Returns!A331</f>
        <v>0</v>
      </c>
      <c r="B331" s="1">
        <f>MAX(Resume!B9/ 252-Portfolios!B331, 0)</f>
        <v>0</v>
      </c>
    </row>
    <row r="332" spans="1:2">
      <c r="A332" s="11">
        <f>Returns!A332</f>
        <v>0</v>
      </c>
      <c r="B332" s="1">
        <f>MAX(Resume!B9/ 252-Portfolios!B332, 0)</f>
        <v>0</v>
      </c>
    </row>
    <row r="333" spans="1:2">
      <c r="A333" s="11">
        <f>Returns!A333</f>
        <v>0</v>
      </c>
      <c r="B333" s="1">
        <f>MAX(Resume!B9/ 252-Portfolios!B333, 0)</f>
        <v>0</v>
      </c>
    </row>
    <row r="334" spans="1:2">
      <c r="A334" s="11">
        <f>Returns!A334</f>
        <v>0</v>
      </c>
      <c r="B334" s="1">
        <f>MAX(Resume!B9/ 252-Portfolios!B334, 0)</f>
        <v>0</v>
      </c>
    </row>
    <row r="335" spans="1:2">
      <c r="A335" s="11">
        <f>Returns!A335</f>
        <v>0</v>
      </c>
      <c r="B335" s="1">
        <f>MAX(Resume!B9/ 252-Portfolios!B335, 0)</f>
        <v>0</v>
      </c>
    </row>
    <row r="336" spans="1:2">
      <c r="A336" s="11">
        <f>Returns!A336</f>
        <v>0</v>
      </c>
      <c r="B336" s="1">
        <f>MAX(Resume!B9/ 252-Portfolios!B336, 0)</f>
        <v>0</v>
      </c>
    </row>
    <row r="337" spans="1:2">
      <c r="A337" s="11">
        <f>Returns!A337</f>
        <v>0</v>
      </c>
      <c r="B337" s="1">
        <f>MAX(Resume!B9/ 252-Portfolios!B337, 0)</f>
        <v>0</v>
      </c>
    </row>
    <row r="338" spans="1:2">
      <c r="A338" s="11">
        <f>Returns!A338</f>
        <v>0</v>
      </c>
      <c r="B338" s="1">
        <f>MAX(Resume!B9/ 252-Portfolios!B338, 0)</f>
        <v>0</v>
      </c>
    </row>
    <row r="339" spans="1:2">
      <c r="A339" s="11">
        <f>Returns!A339</f>
        <v>0</v>
      </c>
      <c r="B339" s="1">
        <f>MAX(Resume!B9/ 252-Portfolios!B339, 0)</f>
        <v>0</v>
      </c>
    </row>
    <row r="340" spans="1:2">
      <c r="A340" s="11">
        <f>Returns!A340</f>
        <v>0</v>
      </c>
      <c r="B340" s="1">
        <f>MAX(Resume!B9/ 252-Portfolios!B340, 0)</f>
        <v>0</v>
      </c>
    </row>
    <row r="341" spans="1:2">
      <c r="A341" s="11">
        <f>Returns!A341</f>
        <v>0</v>
      </c>
      <c r="B341" s="1">
        <f>MAX(Resume!B9/ 252-Portfolios!B341, 0)</f>
        <v>0</v>
      </c>
    </row>
    <row r="342" spans="1:2">
      <c r="A342" s="11">
        <f>Returns!A342</f>
        <v>0</v>
      </c>
      <c r="B342" s="1">
        <f>MAX(Resume!B9/ 252-Portfolios!B342, 0)</f>
        <v>0</v>
      </c>
    </row>
    <row r="343" spans="1:2">
      <c r="A343" s="11">
        <f>Returns!A343</f>
        <v>0</v>
      </c>
      <c r="B343" s="1">
        <f>MAX(Resume!B9/ 252-Portfolios!B343, 0)</f>
        <v>0</v>
      </c>
    </row>
    <row r="344" spans="1:2">
      <c r="A344" s="11">
        <f>Returns!A344</f>
        <v>0</v>
      </c>
      <c r="B344" s="1">
        <f>MAX(Resume!B9/ 252-Portfolios!B344, 0)</f>
        <v>0</v>
      </c>
    </row>
    <row r="345" spans="1:2">
      <c r="A345" s="11">
        <f>Returns!A345</f>
        <v>0</v>
      </c>
      <c r="B345" s="1">
        <f>MAX(Resume!B9/ 252-Portfolios!B345, 0)</f>
        <v>0</v>
      </c>
    </row>
    <row r="346" spans="1:2">
      <c r="A346" s="11">
        <f>Returns!A346</f>
        <v>0</v>
      </c>
      <c r="B346" s="1">
        <f>MAX(Resume!B9/ 252-Portfolios!B346, 0)</f>
        <v>0</v>
      </c>
    </row>
    <row r="347" spans="1:2">
      <c r="A347" s="11">
        <f>Returns!A347</f>
        <v>0</v>
      </c>
      <c r="B347" s="1">
        <f>MAX(Resume!B9/ 252-Portfolios!B347, 0)</f>
        <v>0</v>
      </c>
    </row>
    <row r="348" spans="1:2">
      <c r="A348" s="11">
        <f>Returns!A348</f>
        <v>0</v>
      </c>
      <c r="B348" s="1">
        <f>MAX(Resume!B9/ 252-Portfolios!B348, 0)</f>
        <v>0</v>
      </c>
    </row>
    <row r="349" spans="1:2">
      <c r="A349" s="11">
        <f>Returns!A349</f>
        <v>0</v>
      </c>
      <c r="B349" s="1">
        <f>MAX(Resume!B9/ 252-Portfolios!B349, 0)</f>
        <v>0</v>
      </c>
    </row>
    <row r="350" spans="1:2">
      <c r="A350" s="11">
        <f>Returns!A350</f>
        <v>0</v>
      </c>
      <c r="B350" s="1">
        <f>MAX(Resume!B9/ 252-Portfolios!B350, 0)</f>
        <v>0</v>
      </c>
    </row>
    <row r="351" spans="1:2">
      <c r="A351" s="11">
        <f>Returns!A351</f>
        <v>0</v>
      </c>
      <c r="B351" s="1">
        <f>MAX(Resume!B9/ 252-Portfolios!B351, 0)</f>
        <v>0</v>
      </c>
    </row>
    <row r="352" spans="1:2">
      <c r="A352" s="11">
        <f>Returns!A352</f>
        <v>0</v>
      </c>
      <c r="B352" s="1">
        <f>MAX(Resume!B9/ 252-Portfolios!B352, 0)</f>
        <v>0</v>
      </c>
    </row>
    <row r="353" spans="1:2">
      <c r="A353" s="11">
        <f>Returns!A353</f>
        <v>0</v>
      </c>
      <c r="B353" s="1">
        <f>MAX(Resume!B9/ 252-Portfolios!B353, 0)</f>
        <v>0</v>
      </c>
    </row>
    <row r="354" spans="1:2">
      <c r="A354" s="11">
        <f>Returns!A354</f>
        <v>0</v>
      </c>
      <c r="B354" s="1">
        <f>MAX(Resume!B9/ 252-Portfolios!B354, 0)</f>
        <v>0</v>
      </c>
    </row>
    <row r="355" spans="1:2">
      <c r="A355" s="11">
        <f>Returns!A355</f>
        <v>0</v>
      </c>
      <c r="B355" s="1">
        <f>MAX(Resume!B9/ 252-Portfolios!B355, 0)</f>
        <v>0</v>
      </c>
    </row>
    <row r="356" spans="1:2">
      <c r="A356" s="11">
        <f>Returns!A356</f>
        <v>0</v>
      </c>
      <c r="B356" s="1">
        <f>MAX(Resume!B9/ 252-Portfolios!B356, 0)</f>
        <v>0</v>
      </c>
    </row>
    <row r="357" spans="1:2">
      <c r="A357" s="11">
        <f>Returns!A357</f>
        <v>0</v>
      </c>
      <c r="B357" s="1">
        <f>MAX(Resume!B9/ 252-Portfolios!B357, 0)</f>
        <v>0</v>
      </c>
    </row>
    <row r="358" spans="1:2">
      <c r="A358" s="11">
        <f>Returns!A358</f>
        <v>0</v>
      </c>
      <c r="B358" s="1">
        <f>MAX(Resume!B9/ 252-Portfolios!B358, 0)</f>
        <v>0</v>
      </c>
    </row>
    <row r="359" spans="1:2">
      <c r="A359" s="11">
        <f>Returns!A359</f>
        <v>0</v>
      </c>
      <c r="B359" s="1">
        <f>MAX(Resume!B9/ 252-Portfolios!B359, 0)</f>
        <v>0</v>
      </c>
    </row>
    <row r="360" spans="1:2">
      <c r="A360" s="11">
        <f>Returns!A360</f>
        <v>0</v>
      </c>
      <c r="B360" s="1">
        <f>MAX(Resume!B9/ 252-Portfolios!B360, 0)</f>
        <v>0</v>
      </c>
    </row>
    <row r="361" spans="1:2">
      <c r="A361" s="11">
        <f>Returns!A361</f>
        <v>0</v>
      </c>
      <c r="B361" s="1">
        <f>MAX(Resume!B9/ 252-Portfolios!B361, 0)</f>
        <v>0</v>
      </c>
    </row>
    <row r="362" spans="1:2">
      <c r="A362" s="11">
        <f>Returns!A362</f>
        <v>0</v>
      </c>
      <c r="B362" s="1">
        <f>MAX(Resume!B9/ 252-Portfolios!B362, 0)</f>
        <v>0</v>
      </c>
    </row>
    <row r="363" spans="1:2">
      <c r="A363" s="11">
        <f>Returns!A363</f>
        <v>0</v>
      </c>
      <c r="B363" s="1">
        <f>MAX(Resume!B9/ 252-Portfolios!B363, 0)</f>
        <v>0</v>
      </c>
    </row>
    <row r="364" spans="1:2">
      <c r="A364" s="11">
        <f>Returns!A364</f>
        <v>0</v>
      </c>
      <c r="B364" s="1">
        <f>MAX(Resume!B9/ 252-Portfolios!B364, 0)</f>
        <v>0</v>
      </c>
    </row>
    <row r="365" spans="1:2">
      <c r="A365" s="11">
        <f>Returns!A365</f>
        <v>0</v>
      </c>
      <c r="B365" s="1">
        <f>MAX(Resume!B9/ 252-Portfolios!B365, 0)</f>
        <v>0</v>
      </c>
    </row>
    <row r="366" spans="1:2">
      <c r="A366" s="11">
        <f>Returns!A366</f>
        <v>0</v>
      </c>
      <c r="B366" s="1">
        <f>MAX(Resume!B9/ 252-Portfolios!B366, 0)</f>
        <v>0</v>
      </c>
    </row>
    <row r="367" spans="1:2">
      <c r="A367" s="11">
        <f>Returns!A367</f>
        <v>0</v>
      </c>
      <c r="B367" s="1">
        <f>MAX(Resume!B9/ 252-Portfolios!B367, 0)</f>
        <v>0</v>
      </c>
    </row>
    <row r="368" spans="1:2">
      <c r="A368" s="11">
        <f>Returns!A368</f>
        <v>0</v>
      </c>
      <c r="B368" s="1">
        <f>MAX(Resume!B9/ 252-Portfolios!B368, 0)</f>
        <v>0</v>
      </c>
    </row>
    <row r="369" spans="1:2">
      <c r="A369" s="11">
        <f>Returns!A369</f>
        <v>0</v>
      </c>
      <c r="B369" s="1">
        <f>MAX(Resume!B9/ 252-Portfolios!B369, 0)</f>
        <v>0</v>
      </c>
    </row>
    <row r="370" spans="1:2">
      <c r="A370" s="11">
        <f>Returns!A370</f>
        <v>0</v>
      </c>
      <c r="B370" s="1">
        <f>MAX(Resume!B9/ 252-Portfolios!B370, 0)</f>
        <v>0</v>
      </c>
    </row>
    <row r="371" spans="1:2">
      <c r="A371" s="11">
        <f>Returns!A371</f>
        <v>0</v>
      </c>
      <c r="B371" s="1">
        <f>MAX(Resume!B9/ 252-Portfolios!B371, 0)</f>
        <v>0</v>
      </c>
    </row>
    <row r="372" spans="1:2">
      <c r="A372" s="11">
        <f>Returns!A372</f>
        <v>0</v>
      </c>
      <c r="B372" s="1">
        <f>MAX(Resume!B9/ 252-Portfolios!B372, 0)</f>
        <v>0</v>
      </c>
    </row>
    <row r="373" spans="1:2">
      <c r="A373" s="11">
        <f>Returns!A373</f>
        <v>0</v>
      </c>
      <c r="B373" s="1">
        <f>MAX(Resume!B9/ 252-Portfolios!B373, 0)</f>
        <v>0</v>
      </c>
    </row>
    <row r="374" spans="1:2">
      <c r="A374" s="11">
        <f>Returns!A374</f>
        <v>0</v>
      </c>
      <c r="B374" s="1">
        <f>MAX(Resume!B9/ 252-Portfolios!B374, 0)</f>
        <v>0</v>
      </c>
    </row>
    <row r="375" spans="1:2">
      <c r="A375" s="11">
        <f>Returns!A375</f>
        <v>0</v>
      </c>
      <c r="B375" s="1">
        <f>MAX(Resume!B9/ 252-Portfolios!B375, 0)</f>
        <v>0</v>
      </c>
    </row>
    <row r="376" spans="1:2">
      <c r="A376" s="11">
        <f>Returns!A376</f>
        <v>0</v>
      </c>
      <c r="B376" s="1">
        <f>MAX(Resume!B9/ 252-Portfolios!B376, 0)</f>
        <v>0</v>
      </c>
    </row>
    <row r="377" spans="1:2">
      <c r="A377" s="11">
        <f>Returns!A377</f>
        <v>0</v>
      </c>
      <c r="B377" s="1">
        <f>MAX(Resume!B9/ 252-Portfolios!B377, 0)</f>
        <v>0</v>
      </c>
    </row>
    <row r="378" spans="1:2">
      <c r="A378" s="11">
        <f>Returns!A378</f>
        <v>0</v>
      </c>
      <c r="B378" s="1">
        <f>MAX(Resume!B9/ 252-Portfolios!B378, 0)</f>
        <v>0</v>
      </c>
    </row>
    <row r="379" spans="1:2">
      <c r="A379" s="11">
        <f>Returns!A379</f>
        <v>0</v>
      </c>
      <c r="B379" s="1">
        <f>MAX(Resume!B9/ 252-Portfolios!B379, 0)</f>
        <v>0</v>
      </c>
    </row>
    <row r="380" spans="1:2">
      <c r="A380" s="11">
        <f>Returns!A380</f>
        <v>0</v>
      </c>
      <c r="B380" s="1">
        <f>MAX(Resume!B9/ 252-Portfolios!B380, 0)</f>
        <v>0</v>
      </c>
    </row>
    <row r="381" spans="1:2">
      <c r="A381" s="11">
        <f>Returns!A381</f>
        <v>0</v>
      </c>
      <c r="B381" s="1">
        <f>MAX(Resume!B9/ 252-Portfolios!B381, 0)</f>
        <v>0</v>
      </c>
    </row>
    <row r="382" spans="1:2">
      <c r="A382" s="11">
        <f>Returns!A382</f>
        <v>0</v>
      </c>
      <c r="B382" s="1">
        <f>MAX(Resume!B9/ 252-Portfolios!B382, 0)</f>
        <v>0</v>
      </c>
    </row>
    <row r="383" spans="1:2">
      <c r="A383" s="11">
        <f>Returns!A383</f>
        <v>0</v>
      </c>
      <c r="B383" s="1">
        <f>MAX(Resume!B9/ 252-Portfolios!B383, 0)</f>
        <v>0</v>
      </c>
    </row>
    <row r="384" spans="1:2">
      <c r="A384" s="11">
        <f>Returns!A384</f>
        <v>0</v>
      </c>
      <c r="B384" s="1">
        <f>MAX(Resume!B9/ 252-Portfolios!B384, 0)</f>
        <v>0</v>
      </c>
    </row>
    <row r="385" spans="1:2">
      <c r="A385" s="11">
        <f>Returns!A385</f>
        <v>0</v>
      </c>
      <c r="B385" s="1">
        <f>MAX(Resume!B9/ 252-Portfolios!B385, 0)</f>
        <v>0</v>
      </c>
    </row>
    <row r="386" spans="1:2">
      <c r="A386" s="11">
        <f>Returns!A386</f>
        <v>0</v>
      </c>
      <c r="B386" s="1">
        <f>MAX(Resume!B9/ 252-Portfolios!B386, 0)</f>
        <v>0</v>
      </c>
    </row>
    <row r="387" spans="1:2">
      <c r="A387" s="11">
        <f>Returns!A387</f>
        <v>0</v>
      </c>
      <c r="B387" s="1">
        <f>MAX(Resume!B9/ 252-Portfolios!B387, 0)</f>
        <v>0</v>
      </c>
    </row>
    <row r="388" spans="1:2">
      <c r="A388" s="11">
        <f>Returns!A388</f>
        <v>0</v>
      </c>
      <c r="B388" s="1">
        <f>MAX(Resume!B9/ 252-Portfolios!B388, 0)</f>
        <v>0</v>
      </c>
    </row>
    <row r="389" spans="1:2">
      <c r="A389" s="11">
        <f>Returns!A389</f>
        <v>0</v>
      </c>
      <c r="B389" s="1">
        <f>MAX(Resume!B9/ 252-Portfolios!B389, 0)</f>
        <v>0</v>
      </c>
    </row>
    <row r="390" spans="1:2">
      <c r="A390" s="11">
        <f>Returns!A390</f>
        <v>0</v>
      </c>
      <c r="B390" s="1">
        <f>MAX(Resume!B9/ 252-Portfolios!B390, 0)</f>
        <v>0</v>
      </c>
    </row>
    <row r="391" spans="1:2">
      <c r="A391" s="11">
        <f>Returns!A391</f>
        <v>0</v>
      </c>
      <c r="B391" s="1">
        <f>MAX(Resume!B9/ 252-Portfolios!B391, 0)</f>
        <v>0</v>
      </c>
    </row>
    <row r="392" spans="1:2">
      <c r="A392" s="11">
        <f>Returns!A392</f>
        <v>0</v>
      </c>
      <c r="B392" s="1">
        <f>MAX(Resume!B9/ 252-Portfolios!B392, 0)</f>
        <v>0</v>
      </c>
    </row>
    <row r="393" spans="1:2">
      <c r="A393" s="11">
        <f>Returns!A393</f>
        <v>0</v>
      </c>
      <c r="B393" s="1">
        <f>MAX(Resume!B9/ 252-Portfolios!B393, 0)</f>
        <v>0</v>
      </c>
    </row>
    <row r="394" spans="1:2">
      <c r="A394" s="11">
        <f>Returns!A394</f>
        <v>0</v>
      </c>
      <c r="B394" s="1">
        <f>MAX(Resume!B9/ 252-Portfolios!B394, 0)</f>
        <v>0</v>
      </c>
    </row>
    <row r="395" spans="1:2">
      <c r="A395" s="11">
        <f>Returns!A395</f>
        <v>0</v>
      </c>
      <c r="B395" s="1">
        <f>MAX(Resume!B9/ 252-Portfolios!B395, 0)</f>
        <v>0</v>
      </c>
    </row>
    <row r="396" spans="1:2">
      <c r="A396" s="11">
        <f>Returns!A396</f>
        <v>0</v>
      </c>
      <c r="B396" s="1">
        <f>MAX(Resume!B9/ 252-Portfolios!B396, 0)</f>
        <v>0</v>
      </c>
    </row>
    <row r="397" spans="1:2">
      <c r="A397" s="11">
        <f>Returns!A397</f>
        <v>0</v>
      </c>
      <c r="B397" s="1">
        <f>MAX(Resume!B9/ 252-Portfolios!B397, 0)</f>
        <v>0</v>
      </c>
    </row>
    <row r="398" spans="1:2">
      <c r="A398" s="11">
        <f>Returns!A398</f>
        <v>0</v>
      </c>
      <c r="B398" s="1">
        <f>MAX(Resume!B9/ 252-Portfolios!B398, 0)</f>
        <v>0</v>
      </c>
    </row>
    <row r="399" spans="1:2">
      <c r="A399" s="11">
        <f>Returns!A399</f>
        <v>0</v>
      </c>
      <c r="B399" s="1">
        <f>MAX(Resume!B9/ 252-Portfolios!B399, 0)</f>
        <v>0</v>
      </c>
    </row>
    <row r="400" spans="1:2">
      <c r="A400" s="11">
        <f>Returns!A400</f>
        <v>0</v>
      </c>
      <c r="B400" s="1">
        <f>MAX(Resume!B9/ 252-Portfolios!B400, 0)</f>
        <v>0</v>
      </c>
    </row>
    <row r="401" spans="1:2">
      <c r="A401" s="11">
        <f>Returns!A401</f>
        <v>0</v>
      </c>
      <c r="B401" s="1">
        <f>MAX(Resume!B9/ 252-Portfolios!B401, 0)</f>
        <v>0</v>
      </c>
    </row>
    <row r="402" spans="1:2">
      <c r="A402" s="11">
        <f>Returns!A402</f>
        <v>0</v>
      </c>
      <c r="B402" s="1">
        <f>MAX(Resume!B9/ 252-Portfolios!B402, 0)</f>
        <v>0</v>
      </c>
    </row>
    <row r="403" spans="1:2">
      <c r="A403" s="11">
        <f>Returns!A403</f>
        <v>0</v>
      </c>
      <c r="B403" s="1">
        <f>MAX(Resume!B9/ 252-Portfolios!B403, 0)</f>
        <v>0</v>
      </c>
    </row>
    <row r="404" spans="1:2">
      <c r="A404" s="11">
        <f>Returns!A404</f>
        <v>0</v>
      </c>
      <c r="B404" s="1">
        <f>MAX(Resume!B9/ 252-Portfolios!B404, 0)</f>
        <v>0</v>
      </c>
    </row>
    <row r="405" spans="1:2">
      <c r="A405" s="11">
        <f>Returns!A405</f>
        <v>0</v>
      </c>
      <c r="B405" s="1">
        <f>MAX(Resume!B9/ 252-Portfolios!B405, 0)</f>
        <v>0</v>
      </c>
    </row>
    <row r="406" spans="1:2">
      <c r="A406" s="11">
        <f>Returns!A406</f>
        <v>0</v>
      </c>
      <c r="B406" s="1">
        <f>MAX(Resume!B9/ 252-Portfolios!B406, 0)</f>
        <v>0</v>
      </c>
    </row>
    <row r="407" spans="1:2">
      <c r="A407" s="11">
        <f>Returns!A407</f>
        <v>0</v>
      </c>
      <c r="B407" s="1">
        <f>MAX(Resume!B9/ 252-Portfolios!B407, 0)</f>
        <v>0</v>
      </c>
    </row>
    <row r="408" spans="1:2">
      <c r="A408" s="11">
        <f>Returns!A408</f>
        <v>0</v>
      </c>
      <c r="B408" s="1">
        <f>MAX(Resume!B9/ 252-Portfolios!B408, 0)</f>
        <v>0</v>
      </c>
    </row>
    <row r="409" spans="1:2">
      <c r="A409" s="11">
        <f>Returns!A409</f>
        <v>0</v>
      </c>
      <c r="B409" s="1">
        <f>MAX(Resume!B9/ 252-Portfolios!B409, 0)</f>
        <v>0</v>
      </c>
    </row>
    <row r="410" spans="1:2">
      <c r="A410" s="11">
        <f>Returns!A410</f>
        <v>0</v>
      </c>
      <c r="B410" s="1">
        <f>MAX(Resume!B9/ 252-Portfolios!B410, 0)</f>
        <v>0</v>
      </c>
    </row>
    <row r="411" spans="1:2">
      <c r="A411" s="11">
        <f>Returns!A411</f>
        <v>0</v>
      </c>
      <c r="B411" s="1">
        <f>MAX(Resume!B9/ 252-Portfolios!B411, 0)</f>
        <v>0</v>
      </c>
    </row>
    <row r="412" spans="1:2">
      <c r="A412" s="11">
        <f>Returns!A412</f>
        <v>0</v>
      </c>
      <c r="B412" s="1">
        <f>MAX(Resume!B9/ 252-Portfolios!B412, 0)</f>
        <v>0</v>
      </c>
    </row>
    <row r="413" spans="1:2">
      <c r="A413" s="11">
        <f>Returns!A413</f>
        <v>0</v>
      </c>
      <c r="B413" s="1">
        <f>MAX(Resume!B9/ 252-Portfolios!B413, 0)</f>
        <v>0</v>
      </c>
    </row>
    <row r="414" spans="1:2">
      <c r="A414" s="11">
        <f>Returns!A414</f>
        <v>0</v>
      </c>
      <c r="B414" s="1">
        <f>MAX(Resume!B9/ 252-Portfolios!B414, 0)</f>
        <v>0</v>
      </c>
    </row>
    <row r="415" spans="1:2">
      <c r="A415" s="11">
        <f>Returns!A415</f>
        <v>0</v>
      </c>
      <c r="B415" s="1">
        <f>MAX(Resume!B9/ 252-Portfolios!B415, 0)</f>
        <v>0</v>
      </c>
    </row>
    <row r="416" spans="1:2">
      <c r="A416" s="11">
        <f>Returns!A416</f>
        <v>0</v>
      </c>
      <c r="B416" s="1">
        <f>MAX(Resume!B9/ 252-Portfolios!B416, 0)</f>
        <v>0</v>
      </c>
    </row>
    <row r="417" spans="1:2">
      <c r="A417" s="11">
        <f>Returns!A417</f>
        <v>0</v>
      </c>
      <c r="B417" s="1">
        <f>MAX(Resume!B9/ 252-Portfolios!B417, 0)</f>
        <v>0</v>
      </c>
    </row>
    <row r="418" spans="1:2">
      <c r="A418" s="11">
        <f>Returns!A418</f>
        <v>0</v>
      </c>
      <c r="B418" s="1">
        <f>MAX(Resume!B9/ 252-Portfolios!B418, 0)</f>
        <v>0</v>
      </c>
    </row>
    <row r="419" spans="1:2">
      <c r="A419" s="11">
        <f>Returns!A419</f>
        <v>0</v>
      </c>
      <c r="B419" s="1">
        <f>MAX(Resume!B9/ 252-Portfolios!B419, 0)</f>
        <v>0</v>
      </c>
    </row>
    <row r="420" spans="1:2">
      <c r="A420" s="11">
        <f>Returns!A420</f>
        <v>0</v>
      </c>
      <c r="B420" s="1">
        <f>MAX(Resume!B9/ 252-Portfolios!B420, 0)</f>
        <v>0</v>
      </c>
    </row>
    <row r="421" spans="1:2">
      <c r="A421" s="11">
        <f>Returns!A421</f>
        <v>0</v>
      </c>
      <c r="B421" s="1">
        <f>MAX(Resume!B9/ 252-Portfolios!B421, 0)</f>
        <v>0</v>
      </c>
    </row>
    <row r="422" spans="1:2">
      <c r="A422" s="11">
        <f>Returns!A422</f>
        <v>0</v>
      </c>
      <c r="B422" s="1">
        <f>MAX(Resume!B9/ 252-Portfolios!B422, 0)</f>
        <v>0</v>
      </c>
    </row>
    <row r="423" spans="1:2">
      <c r="A423" s="11">
        <f>Returns!A423</f>
        <v>0</v>
      </c>
      <c r="B423" s="1">
        <f>MAX(Resume!B9/ 252-Portfolios!B423, 0)</f>
        <v>0</v>
      </c>
    </row>
    <row r="424" spans="1:2">
      <c r="A424" s="11">
        <f>Returns!A424</f>
        <v>0</v>
      </c>
      <c r="B424" s="1">
        <f>MAX(Resume!B9/ 252-Portfolios!B424, 0)</f>
        <v>0</v>
      </c>
    </row>
    <row r="425" spans="1:2">
      <c r="A425" s="11">
        <f>Returns!A425</f>
        <v>0</v>
      </c>
      <c r="B425" s="1">
        <f>MAX(Resume!B9/ 252-Portfolios!B425, 0)</f>
        <v>0</v>
      </c>
    </row>
    <row r="426" spans="1:2">
      <c r="A426" s="11">
        <f>Returns!A426</f>
        <v>0</v>
      </c>
      <c r="B426" s="1">
        <f>MAX(Resume!B9/ 252-Portfolios!B426, 0)</f>
        <v>0</v>
      </c>
    </row>
    <row r="427" spans="1:2">
      <c r="A427" s="11">
        <f>Returns!A427</f>
        <v>0</v>
      </c>
      <c r="B427" s="1">
        <f>MAX(Resume!B9/ 252-Portfolios!B427, 0)</f>
        <v>0</v>
      </c>
    </row>
    <row r="428" spans="1:2">
      <c r="A428" s="11">
        <f>Returns!A428</f>
        <v>0</v>
      </c>
      <c r="B428" s="1">
        <f>MAX(Resume!B9/ 252-Portfolios!B428, 0)</f>
        <v>0</v>
      </c>
    </row>
    <row r="429" spans="1:2">
      <c r="A429" s="11">
        <f>Returns!A429</f>
        <v>0</v>
      </c>
      <c r="B429" s="1">
        <f>MAX(Resume!B9/ 252-Portfolios!B429, 0)</f>
        <v>0</v>
      </c>
    </row>
    <row r="430" spans="1:2">
      <c r="A430" s="11">
        <f>Returns!A430</f>
        <v>0</v>
      </c>
      <c r="B430" s="1">
        <f>MAX(Resume!B9/ 252-Portfolios!B430, 0)</f>
        <v>0</v>
      </c>
    </row>
    <row r="431" spans="1:2">
      <c r="A431" s="11">
        <f>Returns!A431</f>
        <v>0</v>
      </c>
      <c r="B431" s="1">
        <f>MAX(Resume!B9/ 252-Portfolios!B431, 0)</f>
        <v>0</v>
      </c>
    </row>
    <row r="432" spans="1:2">
      <c r="A432" s="11">
        <f>Returns!A432</f>
        <v>0</v>
      </c>
      <c r="B432" s="1">
        <f>MAX(Resume!B9/ 252-Portfolios!B432, 0)</f>
        <v>0</v>
      </c>
    </row>
    <row r="433" spans="1:2">
      <c r="A433" s="11">
        <f>Returns!A433</f>
        <v>0</v>
      </c>
      <c r="B433" s="1">
        <f>MAX(Resume!B9/ 252-Portfolios!B433, 0)</f>
        <v>0</v>
      </c>
    </row>
    <row r="434" spans="1:2">
      <c r="A434" s="11">
        <f>Returns!A434</f>
        <v>0</v>
      </c>
      <c r="B434" s="1">
        <f>MAX(Resume!B9/ 252-Portfolios!B434, 0)</f>
        <v>0</v>
      </c>
    </row>
    <row r="435" spans="1:2">
      <c r="A435" s="11">
        <f>Returns!A435</f>
        <v>0</v>
      </c>
      <c r="B435" s="1">
        <f>MAX(Resume!B9/ 252-Portfolios!B435, 0)</f>
        <v>0</v>
      </c>
    </row>
    <row r="436" spans="1:2">
      <c r="A436" s="11">
        <f>Returns!A436</f>
        <v>0</v>
      </c>
      <c r="B436" s="1">
        <f>MAX(Resume!B9/ 252-Portfolios!B436, 0)</f>
        <v>0</v>
      </c>
    </row>
    <row r="437" spans="1:2">
      <c r="A437" s="11">
        <f>Returns!A437</f>
        <v>0</v>
      </c>
      <c r="B437" s="1">
        <f>MAX(Resume!B9/ 252-Portfolios!B437, 0)</f>
        <v>0</v>
      </c>
    </row>
    <row r="438" spans="1:2">
      <c r="A438" s="11">
        <f>Returns!A438</f>
        <v>0</v>
      </c>
      <c r="B438" s="1">
        <f>MAX(Resume!B9/ 252-Portfolios!B438, 0)</f>
        <v>0</v>
      </c>
    </row>
    <row r="439" spans="1:2">
      <c r="A439" s="11">
        <f>Returns!A439</f>
        <v>0</v>
      </c>
      <c r="B439" s="1">
        <f>MAX(Resume!B9/ 252-Portfolios!B439, 0)</f>
        <v>0</v>
      </c>
    </row>
    <row r="440" spans="1:2">
      <c r="A440" s="11">
        <f>Returns!A440</f>
        <v>0</v>
      </c>
      <c r="B440" s="1">
        <f>MAX(Resume!B9/ 252-Portfolios!B440, 0)</f>
        <v>0</v>
      </c>
    </row>
    <row r="441" spans="1:2">
      <c r="A441" s="11">
        <f>Returns!A441</f>
        <v>0</v>
      </c>
      <c r="B441" s="1">
        <f>MAX(Resume!B9/ 252-Portfolios!B441, 0)</f>
        <v>0</v>
      </c>
    </row>
    <row r="442" spans="1:2">
      <c r="A442" s="11">
        <f>Returns!A442</f>
        <v>0</v>
      </c>
      <c r="B442" s="1">
        <f>MAX(Resume!B9/ 252-Portfolios!B442, 0)</f>
        <v>0</v>
      </c>
    </row>
    <row r="443" spans="1:2">
      <c r="A443" s="11">
        <f>Returns!A443</f>
        <v>0</v>
      </c>
      <c r="B443" s="1">
        <f>MAX(Resume!B9/ 252-Portfolios!B443, 0)</f>
        <v>0</v>
      </c>
    </row>
    <row r="444" spans="1:2">
      <c r="A444" s="11">
        <f>Returns!A444</f>
        <v>0</v>
      </c>
      <c r="B444" s="1">
        <f>MAX(Resume!B9/ 252-Portfolios!B444, 0)</f>
        <v>0</v>
      </c>
    </row>
    <row r="445" spans="1:2">
      <c r="A445" s="11">
        <f>Returns!A445</f>
        <v>0</v>
      </c>
      <c r="B445" s="1">
        <f>MAX(Resume!B9/ 252-Portfolios!B445, 0)</f>
        <v>0</v>
      </c>
    </row>
    <row r="446" spans="1:2">
      <c r="A446" s="11">
        <f>Returns!A446</f>
        <v>0</v>
      </c>
      <c r="B446" s="1">
        <f>MAX(Resume!B9/ 252-Portfolios!B446, 0)</f>
        <v>0</v>
      </c>
    </row>
    <row r="447" spans="1:2">
      <c r="A447" s="11">
        <f>Returns!A447</f>
        <v>0</v>
      </c>
      <c r="B447" s="1">
        <f>MAX(Resume!B9/ 252-Portfolios!B447, 0)</f>
        <v>0</v>
      </c>
    </row>
    <row r="448" spans="1:2">
      <c r="A448" s="11">
        <f>Returns!A448</f>
        <v>0</v>
      </c>
      <c r="B448" s="1">
        <f>MAX(Resume!B9/ 252-Portfolios!B448, 0)</f>
        <v>0</v>
      </c>
    </row>
    <row r="449" spans="1:2">
      <c r="A449" s="11">
        <f>Returns!A449</f>
        <v>0</v>
      </c>
      <c r="B449" s="1">
        <f>MAX(Resume!B9/ 252-Portfolios!B449, 0)</f>
        <v>0</v>
      </c>
    </row>
    <row r="450" spans="1:2">
      <c r="A450" s="11">
        <f>Returns!A450</f>
        <v>0</v>
      </c>
      <c r="B450" s="1">
        <f>MAX(Resume!B9/ 252-Portfolios!B450, 0)</f>
        <v>0</v>
      </c>
    </row>
    <row r="451" spans="1:2">
      <c r="A451" s="11">
        <f>Returns!A451</f>
        <v>0</v>
      </c>
      <c r="B451" s="1">
        <f>MAX(Resume!B9/ 252-Portfolios!B451, 0)</f>
        <v>0</v>
      </c>
    </row>
    <row r="452" spans="1:2">
      <c r="A452" s="11">
        <f>Returns!A452</f>
        <v>0</v>
      </c>
      <c r="B452" s="1">
        <f>MAX(Resume!B9/ 252-Portfolios!B452, 0)</f>
        <v>0</v>
      </c>
    </row>
    <row r="453" spans="1:2">
      <c r="A453" s="11">
        <f>Returns!A453</f>
        <v>0</v>
      </c>
      <c r="B453" s="1">
        <f>MAX(Resume!B9/ 252-Portfolios!B453, 0)</f>
        <v>0</v>
      </c>
    </row>
    <row r="454" spans="1:2">
      <c r="A454" s="11">
        <f>Returns!A454</f>
        <v>0</v>
      </c>
      <c r="B454" s="1">
        <f>MAX(Resume!B9/ 252-Portfolios!B454, 0)</f>
        <v>0</v>
      </c>
    </row>
    <row r="455" spans="1:2">
      <c r="A455" s="11">
        <f>Returns!A455</f>
        <v>0</v>
      </c>
      <c r="B455" s="1">
        <f>MAX(Resume!B9/ 252-Portfolios!B455, 0)</f>
        <v>0</v>
      </c>
    </row>
    <row r="456" spans="1:2">
      <c r="A456" s="11">
        <f>Returns!A456</f>
        <v>0</v>
      </c>
      <c r="B456" s="1">
        <f>MAX(Resume!B9/ 252-Portfolios!B456, 0)</f>
        <v>0</v>
      </c>
    </row>
    <row r="457" spans="1:2">
      <c r="A457" s="11">
        <f>Returns!A457</f>
        <v>0</v>
      </c>
      <c r="B457" s="1">
        <f>MAX(Resume!B9/ 252-Portfolios!B457, 0)</f>
        <v>0</v>
      </c>
    </row>
    <row r="458" spans="1:2">
      <c r="A458" s="11">
        <f>Returns!A458</f>
        <v>0</v>
      </c>
      <c r="B458" s="1">
        <f>MAX(Resume!B9/ 252-Portfolios!B458, 0)</f>
        <v>0</v>
      </c>
    </row>
    <row r="459" spans="1:2">
      <c r="A459" s="11">
        <f>Returns!A459</f>
        <v>0</v>
      </c>
      <c r="B459" s="1">
        <f>MAX(Resume!B9/ 252-Portfolios!B459, 0)</f>
        <v>0</v>
      </c>
    </row>
    <row r="460" spans="1:2">
      <c r="A460" s="11">
        <f>Returns!A460</f>
        <v>0</v>
      </c>
      <c r="B460" s="1">
        <f>MAX(Resume!B9/ 252-Portfolios!B460, 0)</f>
        <v>0</v>
      </c>
    </row>
    <row r="461" spans="1:2">
      <c r="A461" s="11">
        <f>Returns!A461</f>
        <v>0</v>
      </c>
      <c r="B461" s="1">
        <f>MAX(Resume!B9/ 252-Portfolios!B461, 0)</f>
        <v>0</v>
      </c>
    </row>
    <row r="462" spans="1:2">
      <c r="A462" s="11">
        <f>Returns!A462</f>
        <v>0</v>
      </c>
      <c r="B462" s="1">
        <f>MAX(Resume!B9/ 252-Portfolios!B462, 0)</f>
        <v>0</v>
      </c>
    </row>
    <row r="463" spans="1:2">
      <c r="A463" s="11">
        <f>Returns!A463</f>
        <v>0</v>
      </c>
      <c r="B463" s="1">
        <f>MAX(Resume!B9/ 252-Portfolios!B463, 0)</f>
        <v>0</v>
      </c>
    </row>
    <row r="464" spans="1:2">
      <c r="A464" s="11">
        <f>Returns!A464</f>
        <v>0</v>
      </c>
      <c r="B464" s="1">
        <f>MAX(Resume!B9/ 252-Portfolios!B464, 0)</f>
        <v>0</v>
      </c>
    </row>
    <row r="465" spans="1:2">
      <c r="A465" s="11">
        <f>Returns!A465</f>
        <v>0</v>
      </c>
      <c r="B465" s="1">
        <f>MAX(Resume!B9/ 252-Portfolios!B465, 0)</f>
        <v>0</v>
      </c>
    </row>
    <row r="466" spans="1:2">
      <c r="A466" s="11">
        <f>Returns!A466</f>
        <v>0</v>
      </c>
      <c r="B466" s="1">
        <f>MAX(Resume!B9/ 252-Portfolios!B466, 0)</f>
        <v>0</v>
      </c>
    </row>
    <row r="467" spans="1:2">
      <c r="A467" s="11">
        <f>Returns!A467</f>
        <v>0</v>
      </c>
      <c r="B467" s="1">
        <f>MAX(Resume!B9/ 252-Portfolios!B467, 0)</f>
        <v>0</v>
      </c>
    </row>
    <row r="468" spans="1:2">
      <c r="A468" s="11">
        <f>Returns!A468</f>
        <v>0</v>
      </c>
      <c r="B468" s="1">
        <f>MAX(Resume!B9/ 252-Portfolios!B468, 0)</f>
        <v>0</v>
      </c>
    </row>
    <row r="469" spans="1:2">
      <c r="A469" s="11">
        <f>Returns!A469</f>
        <v>0</v>
      </c>
      <c r="B469" s="1">
        <f>MAX(Resume!B9/ 252-Portfolios!B469, 0)</f>
        <v>0</v>
      </c>
    </row>
    <row r="470" spans="1:2">
      <c r="A470" s="11">
        <f>Returns!A470</f>
        <v>0</v>
      </c>
      <c r="B470" s="1">
        <f>MAX(Resume!B9/ 252-Portfolios!B470, 0)</f>
        <v>0</v>
      </c>
    </row>
    <row r="471" spans="1:2">
      <c r="A471" s="11">
        <f>Returns!A471</f>
        <v>0</v>
      </c>
      <c r="B471" s="1">
        <f>MAX(Resume!B9/ 252-Portfolios!B471, 0)</f>
        <v>0</v>
      </c>
    </row>
    <row r="472" spans="1:2">
      <c r="A472" s="11">
        <f>Returns!A472</f>
        <v>0</v>
      </c>
      <c r="B472" s="1">
        <f>MAX(Resume!B9/ 252-Portfolios!B472, 0)</f>
        <v>0</v>
      </c>
    </row>
    <row r="473" spans="1:2">
      <c r="A473" s="11">
        <f>Returns!A473</f>
        <v>0</v>
      </c>
      <c r="B473" s="1">
        <f>MAX(Resume!B9/ 252-Portfolios!B473, 0)</f>
        <v>0</v>
      </c>
    </row>
    <row r="474" spans="1:2">
      <c r="A474" s="11">
        <f>Returns!A474</f>
        <v>0</v>
      </c>
      <c r="B474" s="1">
        <f>MAX(Resume!B9/ 252-Portfolios!B474, 0)</f>
        <v>0</v>
      </c>
    </row>
    <row r="475" spans="1:2">
      <c r="A475" s="11">
        <f>Returns!A475</f>
        <v>0</v>
      </c>
      <c r="B475" s="1">
        <f>MAX(Resume!B9/ 252-Portfolios!B475, 0)</f>
        <v>0</v>
      </c>
    </row>
    <row r="476" spans="1:2">
      <c r="A476" s="11">
        <f>Returns!A476</f>
        <v>0</v>
      </c>
      <c r="B476" s="1">
        <f>MAX(Resume!B9/ 252-Portfolios!B476, 0)</f>
        <v>0</v>
      </c>
    </row>
    <row r="477" spans="1:2">
      <c r="A477" s="11">
        <f>Returns!A477</f>
        <v>0</v>
      </c>
      <c r="B477" s="1">
        <f>MAX(Resume!B9/ 252-Portfolios!B477, 0)</f>
        <v>0</v>
      </c>
    </row>
    <row r="478" spans="1:2">
      <c r="A478" s="11">
        <f>Returns!A478</f>
        <v>0</v>
      </c>
      <c r="B478" s="1">
        <f>MAX(Resume!B9/ 252-Portfolios!B478, 0)</f>
        <v>0</v>
      </c>
    </row>
    <row r="479" spans="1:2">
      <c r="A479" s="11">
        <f>Returns!A479</f>
        <v>0</v>
      </c>
      <c r="B479" s="1">
        <f>MAX(Resume!B9/ 252-Portfolios!B479, 0)</f>
        <v>0</v>
      </c>
    </row>
    <row r="480" spans="1:2">
      <c r="A480" s="11">
        <f>Returns!A480</f>
        <v>0</v>
      </c>
      <c r="B480" s="1">
        <f>MAX(Resume!B9/ 252-Portfolios!B480, 0)</f>
        <v>0</v>
      </c>
    </row>
    <row r="481" spans="1:2">
      <c r="A481" s="11">
        <f>Returns!A481</f>
        <v>0</v>
      </c>
      <c r="B481" s="1">
        <f>MAX(Resume!B9/ 252-Portfolios!B481, 0)</f>
        <v>0</v>
      </c>
    </row>
    <row r="482" spans="1:2">
      <c r="A482" s="11">
        <f>Returns!A482</f>
        <v>0</v>
      </c>
      <c r="B482" s="1">
        <f>MAX(Resume!B9/ 252-Portfolios!B482, 0)</f>
        <v>0</v>
      </c>
    </row>
    <row r="483" spans="1:2">
      <c r="A483" s="11">
        <f>Returns!A483</f>
        <v>0</v>
      </c>
      <c r="B483" s="1">
        <f>MAX(Resume!B9/ 252-Portfolios!B483, 0)</f>
        <v>0</v>
      </c>
    </row>
    <row r="484" spans="1:2">
      <c r="A484" s="11">
        <f>Returns!A484</f>
        <v>0</v>
      </c>
      <c r="B484" s="1">
        <f>MAX(Resume!B9/ 252-Portfolios!B484, 0)</f>
        <v>0</v>
      </c>
    </row>
    <row r="485" spans="1:2">
      <c r="A485" s="11">
        <f>Returns!A485</f>
        <v>0</v>
      </c>
      <c r="B485" s="1">
        <f>MAX(Resume!B9/ 252-Portfolios!B485, 0)</f>
        <v>0</v>
      </c>
    </row>
    <row r="486" spans="1:2">
      <c r="A486" s="11">
        <f>Returns!A486</f>
        <v>0</v>
      </c>
      <c r="B486" s="1">
        <f>MAX(Resume!B9/ 252-Portfolios!B486, 0)</f>
        <v>0</v>
      </c>
    </row>
    <row r="487" spans="1:2">
      <c r="A487" s="11">
        <f>Returns!A487</f>
        <v>0</v>
      </c>
      <c r="B487" s="1">
        <f>MAX(Resume!B9/ 252-Portfolios!B487, 0)</f>
        <v>0</v>
      </c>
    </row>
    <row r="488" spans="1:2">
      <c r="A488" s="11">
        <f>Returns!A488</f>
        <v>0</v>
      </c>
      <c r="B488" s="1">
        <f>MAX(Resume!B9/ 252-Portfolios!B488, 0)</f>
        <v>0</v>
      </c>
    </row>
    <row r="489" spans="1:2">
      <c r="A489" s="11">
        <f>Returns!A489</f>
        <v>0</v>
      </c>
      <c r="B489" s="1">
        <f>MAX(Resume!B9/ 252-Portfolios!B489, 0)</f>
        <v>0</v>
      </c>
    </row>
    <row r="490" spans="1:2">
      <c r="A490" s="11">
        <f>Returns!A490</f>
        <v>0</v>
      </c>
      <c r="B490" s="1">
        <f>MAX(Resume!B9/ 252-Portfolios!B490, 0)</f>
        <v>0</v>
      </c>
    </row>
    <row r="491" spans="1:2">
      <c r="A491" s="11">
        <f>Returns!A491</f>
        <v>0</v>
      </c>
      <c r="B491" s="1">
        <f>MAX(Resume!B9/ 252-Portfolios!B491, 0)</f>
        <v>0</v>
      </c>
    </row>
    <row r="492" spans="1:2">
      <c r="A492" s="11">
        <f>Returns!A492</f>
        <v>0</v>
      </c>
      <c r="B492" s="1">
        <f>MAX(Resume!B9/ 252-Portfolios!B492, 0)</f>
        <v>0</v>
      </c>
    </row>
    <row r="493" spans="1:2">
      <c r="A493" s="11">
        <f>Returns!A493</f>
        <v>0</v>
      </c>
      <c r="B493" s="1">
        <f>MAX(Resume!B9/ 252-Portfolios!B493, 0)</f>
        <v>0</v>
      </c>
    </row>
    <row r="494" spans="1:2">
      <c r="A494" s="11">
        <f>Returns!A494</f>
        <v>0</v>
      </c>
      <c r="B494" s="1">
        <f>MAX(Resume!B9/ 252-Portfolios!B494, 0)</f>
        <v>0</v>
      </c>
    </row>
    <row r="495" spans="1:2">
      <c r="A495" s="11">
        <f>Returns!A495</f>
        <v>0</v>
      </c>
      <c r="B495" s="1">
        <f>MAX(Resume!B9/ 252-Portfolios!B495, 0)</f>
        <v>0</v>
      </c>
    </row>
    <row r="496" spans="1:2">
      <c r="A496" s="11">
        <f>Returns!A496</f>
        <v>0</v>
      </c>
      <c r="B496" s="1">
        <f>MAX(Resume!B9/ 252-Portfolios!B496, 0)</f>
        <v>0</v>
      </c>
    </row>
    <row r="497" spans="1:2">
      <c r="A497" s="11">
        <f>Returns!A497</f>
        <v>0</v>
      </c>
      <c r="B497" s="1">
        <f>MAX(Resume!B9/ 252-Portfolios!B497, 0)</f>
        <v>0</v>
      </c>
    </row>
    <row r="498" spans="1:2">
      <c r="A498" s="11">
        <f>Returns!A498</f>
        <v>0</v>
      </c>
      <c r="B498" s="1">
        <f>MAX(Resume!B9/ 252-Portfolios!B498, 0)</f>
        <v>0</v>
      </c>
    </row>
    <row r="499" spans="1:2">
      <c r="A499" s="11">
        <f>Returns!A499</f>
        <v>0</v>
      </c>
      <c r="B499" s="1">
        <f>MAX(Resume!B9/ 252-Portfolios!B499, 0)</f>
        <v>0</v>
      </c>
    </row>
    <row r="500" spans="1:2">
      <c r="A500" s="11">
        <f>Returns!A500</f>
        <v>0</v>
      </c>
      <c r="B500" s="1">
        <f>MAX(Resume!B9/ 252-Portfolios!B500, 0)</f>
        <v>0</v>
      </c>
    </row>
    <row r="501" spans="1:2">
      <c r="A501" s="11">
        <f>Returns!A501</f>
        <v>0</v>
      </c>
      <c r="B501" s="1">
        <f>MAX(Resume!B9/ 252-Portfolios!B501, 0)</f>
        <v>0</v>
      </c>
    </row>
    <row r="502" spans="1:2">
      <c r="A502" s="11">
        <f>Returns!A502</f>
        <v>0</v>
      </c>
      <c r="B502" s="1">
        <f>MAX(Resume!B9/ 252-Portfolios!B502, 0)</f>
        <v>0</v>
      </c>
    </row>
    <row r="503" spans="1:2">
      <c r="A503" s="11">
        <f>Returns!A503</f>
        <v>0</v>
      </c>
      <c r="B503" s="1">
        <f>MAX(Resume!B9/ 252-Portfolios!B503, 0)</f>
        <v>0</v>
      </c>
    </row>
    <row r="504" spans="1:2">
      <c r="A504" s="11">
        <f>Returns!A504</f>
        <v>0</v>
      </c>
      <c r="B504" s="1">
        <f>MAX(Resume!B9/ 252-Portfolios!B504, 0)</f>
        <v>0</v>
      </c>
    </row>
    <row r="505" spans="1:2">
      <c r="A505" s="11">
        <f>Returns!A505</f>
        <v>0</v>
      </c>
      <c r="B505" s="1">
        <f>MAX(Resume!B9/ 252-Portfolios!B505, 0)</f>
        <v>0</v>
      </c>
    </row>
    <row r="506" spans="1:2">
      <c r="A506" s="11">
        <f>Returns!A506</f>
        <v>0</v>
      </c>
      <c r="B506" s="1">
        <f>MAX(Resume!B9/ 252-Portfolios!B506, 0)</f>
        <v>0</v>
      </c>
    </row>
    <row r="507" spans="1:2">
      <c r="A507" s="11">
        <f>Returns!A507</f>
        <v>0</v>
      </c>
      <c r="B507" s="1">
        <f>MAX(Resume!B9/ 252-Portfolios!B507, 0)</f>
        <v>0</v>
      </c>
    </row>
    <row r="508" spans="1:2">
      <c r="A508" s="11">
        <f>Returns!A508</f>
        <v>0</v>
      </c>
      <c r="B508" s="1">
        <f>MAX(Resume!B9/ 252-Portfolios!B508, 0)</f>
        <v>0</v>
      </c>
    </row>
    <row r="509" spans="1:2">
      <c r="A509" s="11">
        <f>Returns!A509</f>
        <v>0</v>
      </c>
      <c r="B509" s="1">
        <f>MAX(Resume!B9/ 252-Portfolios!B509, 0)</f>
        <v>0</v>
      </c>
    </row>
    <row r="510" spans="1:2">
      <c r="A510" s="11">
        <f>Returns!A510</f>
        <v>0</v>
      </c>
      <c r="B510" s="1">
        <f>MAX(Resume!B9/ 252-Portfolios!B510, 0)</f>
        <v>0</v>
      </c>
    </row>
    <row r="511" spans="1:2">
      <c r="A511" s="11">
        <f>Returns!A511</f>
        <v>0</v>
      </c>
      <c r="B511" s="1">
        <f>MAX(Resume!B9/ 252-Portfolios!B511, 0)</f>
        <v>0</v>
      </c>
    </row>
    <row r="512" spans="1:2">
      <c r="A512" s="11">
        <f>Returns!A512</f>
        <v>0</v>
      </c>
      <c r="B512" s="1">
        <f>MAX(Resume!B9/ 252-Portfolios!B512, 0)</f>
        <v>0</v>
      </c>
    </row>
    <row r="513" spans="1:2">
      <c r="A513" s="11">
        <f>Returns!A513</f>
        <v>0</v>
      </c>
      <c r="B513" s="1">
        <f>MAX(Resume!B9/ 252-Portfolios!B513, 0)</f>
        <v>0</v>
      </c>
    </row>
    <row r="514" spans="1:2">
      <c r="A514" s="11">
        <f>Returns!A514</f>
        <v>0</v>
      </c>
      <c r="B514" s="1">
        <f>MAX(Resume!B9/ 252-Portfolios!B514, 0)</f>
        <v>0</v>
      </c>
    </row>
    <row r="515" spans="1:2">
      <c r="A515" s="11">
        <f>Returns!A515</f>
        <v>0</v>
      </c>
      <c r="B515" s="1">
        <f>MAX(Resume!B9/ 252-Portfolios!B515, 0)</f>
        <v>0</v>
      </c>
    </row>
    <row r="516" spans="1:2">
      <c r="A516" s="11">
        <f>Returns!A516</f>
        <v>0</v>
      </c>
      <c r="B516" s="1">
        <f>MAX(Resume!B9/ 252-Portfolios!B516, 0)</f>
        <v>0</v>
      </c>
    </row>
    <row r="517" spans="1:2">
      <c r="A517" s="11">
        <f>Returns!A517</f>
        <v>0</v>
      </c>
      <c r="B517" s="1">
        <f>MAX(Resume!B9/ 252-Portfolios!B517, 0)</f>
        <v>0</v>
      </c>
    </row>
    <row r="518" spans="1:2">
      <c r="A518" s="11">
        <f>Returns!A518</f>
        <v>0</v>
      </c>
      <c r="B518" s="1">
        <f>MAX(Resume!B9/ 252-Portfolios!B518, 0)</f>
        <v>0</v>
      </c>
    </row>
    <row r="519" spans="1:2">
      <c r="A519" s="11">
        <f>Returns!A519</f>
        <v>0</v>
      </c>
      <c r="B519" s="1">
        <f>MAX(Resume!B9/ 252-Portfolios!B519, 0)</f>
        <v>0</v>
      </c>
    </row>
    <row r="520" spans="1:2">
      <c r="A520" s="11">
        <f>Returns!A520</f>
        <v>0</v>
      </c>
      <c r="B520" s="1">
        <f>MAX(Resume!B9/ 252-Portfolios!B520, 0)</f>
        <v>0</v>
      </c>
    </row>
    <row r="521" spans="1:2">
      <c r="A521" s="11">
        <f>Returns!A521</f>
        <v>0</v>
      </c>
      <c r="B521" s="1">
        <f>MAX(Resume!B9/ 252-Portfolios!B521, 0)</f>
        <v>0</v>
      </c>
    </row>
    <row r="522" spans="1:2">
      <c r="A522" s="11">
        <f>Returns!A522</f>
        <v>0</v>
      </c>
      <c r="B522" s="1">
        <f>MAX(Resume!B9/ 252-Portfolios!B522, 0)</f>
        <v>0</v>
      </c>
    </row>
    <row r="523" spans="1:2">
      <c r="A523" s="11">
        <f>Returns!A523</f>
        <v>0</v>
      </c>
      <c r="B523" s="1">
        <f>MAX(Resume!B9/ 252-Portfolios!B523, 0)</f>
        <v>0</v>
      </c>
    </row>
    <row r="524" spans="1:2">
      <c r="A524" s="11">
        <f>Returns!A524</f>
        <v>0</v>
      </c>
      <c r="B524" s="1">
        <f>MAX(Resume!B9/ 252-Portfolios!B524, 0)</f>
        <v>0</v>
      </c>
    </row>
    <row r="525" spans="1:2">
      <c r="A525" s="11">
        <f>Returns!A525</f>
        <v>0</v>
      </c>
      <c r="B525" s="1">
        <f>MAX(Resume!B9/ 252-Portfolios!B525, 0)</f>
        <v>0</v>
      </c>
    </row>
    <row r="526" spans="1:2">
      <c r="A526" s="11">
        <f>Returns!A526</f>
        <v>0</v>
      </c>
      <c r="B526" s="1">
        <f>MAX(Resume!B9/ 252-Portfolios!B526, 0)</f>
        <v>0</v>
      </c>
    </row>
    <row r="527" spans="1:2">
      <c r="A527" s="11">
        <f>Returns!A527</f>
        <v>0</v>
      </c>
      <c r="B527" s="1">
        <f>MAX(Resume!B9/ 252-Portfolios!B527, 0)</f>
        <v>0</v>
      </c>
    </row>
    <row r="528" spans="1:2">
      <c r="A528" s="11">
        <f>Returns!A528</f>
        <v>0</v>
      </c>
      <c r="B528" s="1">
        <f>MAX(Resume!B9/ 252-Portfolios!B528, 0)</f>
        <v>0</v>
      </c>
    </row>
    <row r="529" spans="1:2">
      <c r="A529" s="11">
        <f>Returns!A529</f>
        <v>0</v>
      </c>
      <c r="B529" s="1">
        <f>MAX(Resume!B9/ 252-Portfolios!B529, 0)</f>
        <v>0</v>
      </c>
    </row>
    <row r="530" spans="1:2">
      <c r="A530" s="11">
        <f>Returns!A530</f>
        <v>0</v>
      </c>
      <c r="B530" s="1">
        <f>MAX(Resume!B9/ 252-Portfolios!B530, 0)</f>
        <v>0</v>
      </c>
    </row>
    <row r="531" spans="1:2">
      <c r="A531" s="11">
        <f>Returns!A531</f>
        <v>0</v>
      </c>
      <c r="B531" s="1">
        <f>MAX(Resume!B9/ 252-Portfolios!B531, 0)</f>
        <v>0</v>
      </c>
    </row>
    <row r="532" spans="1:2">
      <c r="A532" s="11">
        <f>Returns!A532</f>
        <v>0</v>
      </c>
      <c r="B532" s="1">
        <f>MAX(Resume!B9/ 252-Portfolios!B532, 0)</f>
        <v>0</v>
      </c>
    </row>
    <row r="533" spans="1:2">
      <c r="A533" s="11">
        <f>Returns!A533</f>
        <v>0</v>
      </c>
      <c r="B533" s="1">
        <f>MAX(Resume!B9/ 252-Portfolios!B533, 0)</f>
        <v>0</v>
      </c>
    </row>
    <row r="534" spans="1:2">
      <c r="A534" s="11">
        <f>Returns!A534</f>
        <v>0</v>
      </c>
      <c r="B534" s="1">
        <f>MAX(Resume!B9/ 252-Portfolios!B534, 0)</f>
        <v>0</v>
      </c>
    </row>
    <row r="535" spans="1:2">
      <c r="A535" s="11">
        <f>Returns!A535</f>
        <v>0</v>
      </c>
      <c r="B535" s="1">
        <f>MAX(Resume!B9/ 252-Portfolios!B535, 0)</f>
        <v>0</v>
      </c>
    </row>
    <row r="536" spans="1:2">
      <c r="A536" s="11">
        <f>Returns!A536</f>
        <v>0</v>
      </c>
      <c r="B536" s="1">
        <f>MAX(Resume!B9/ 252-Portfolios!B536, 0)</f>
        <v>0</v>
      </c>
    </row>
    <row r="537" spans="1:2">
      <c r="A537" s="11">
        <f>Returns!A537</f>
        <v>0</v>
      </c>
      <c r="B537" s="1">
        <f>MAX(Resume!B9/ 252-Portfolios!B537, 0)</f>
        <v>0</v>
      </c>
    </row>
    <row r="538" spans="1:2">
      <c r="A538" s="11">
        <f>Returns!A538</f>
        <v>0</v>
      </c>
      <c r="B538" s="1">
        <f>MAX(Resume!B9/ 252-Portfolios!B538, 0)</f>
        <v>0</v>
      </c>
    </row>
    <row r="539" spans="1:2">
      <c r="A539" s="11">
        <f>Returns!A539</f>
        <v>0</v>
      </c>
      <c r="B539" s="1">
        <f>MAX(Resume!B9/ 252-Portfolios!B539, 0)</f>
        <v>0</v>
      </c>
    </row>
    <row r="540" spans="1:2">
      <c r="A540" s="11">
        <f>Returns!A540</f>
        <v>0</v>
      </c>
      <c r="B540" s="1">
        <f>MAX(Resume!B9/ 252-Portfolios!B540, 0)</f>
        <v>0</v>
      </c>
    </row>
    <row r="541" spans="1:2">
      <c r="A541" s="11">
        <f>Returns!A541</f>
        <v>0</v>
      </c>
      <c r="B541" s="1">
        <f>MAX(Resume!B9/ 252-Portfolios!B541, 0)</f>
        <v>0</v>
      </c>
    </row>
    <row r="542" spans="1:2">
      <c r="A542" s="11">
        <f>Returns!A542</f>
        <v>0</v>
      </c>
      <c r="B542" s="1">
        <f>MAX(Resume!B9/ 252-Portfolios!B542, 0)</f>
        <v>0</v>
      </c>
    </row>
    <row r="543" spans="1:2">
      <c r="A543" s="11">
        <f>Returns!A543</f>
        <v>0</v>
      </c>
      <c r="B543" s="1">
        <f>MAX(Resume!B9/ 252-Portfolios!B543, 0)</f>
        <v>0</v>
      </c>
    </row>
    <row r="544" spans="1:2">
      <c r="A544" s="11">
        <f>Returns!A544</f>
        <v>0</v>
      </c>
      <c r="B544" s="1">
        <f>MAX(Resume!B9/ 252-Portfolios!B544, 0)</f>
        <v>0</v>
      </c>
    </row>
    <row r="545" spans="1:2">
      <c r="A545" s="11">
        <f>Returns!A545</f>
        <v>0</v>
      </c>
      <c r="B545" s="1">
        <f>MAX(Resume!B9/ 252-Portfolios!B545, 0)</f>
        <v>0</v>
      </c>
    </row>
    <row r="546" spans="1:2">
      <c r="A546" s="11">
        <f>Returns!A546</f>
        <v>0</v>
      </c>
      <c r="B546" s="1">
        <f>MAX(Resume!B9/ 252-Portfolios!B546, 0)</f>
        <v>0</v>
      </c>
    </row>
    <row r="547" spans="1:2">
      <c r="A547" s="11">
        <f>Returns!A547</f>
        <v>0</v>
      </c>
      <c r="B547" s="1">
        <f>MAX(Resume!B9/ 252-Portfolios!B547, 0)</f>
        <v>0</v>
      </c>
    </row>
    <row r="548" spans="1:2">
      <c r="A548" s="11">
        <f>Returns!A548</f>
        <v>0</v>
      </c>
      <c r="B548" s="1">
        <f>MAX(Resume!B9/ 252-Portfolios!B548, 0)</f>
        <v>0</v>
      </c>
    </row>
    <row r="549" spans="1:2">
      <c r="A549" s="11">
        <f>Returns!A549</f>
        <v>0</v>
      </c>
      <c r="B549" s="1">
        <f>MAX(Resume!B9/ 252-Portfolios!B549, 0)</f>
        <v>0</v>
      </c>
    </row>
    <row r="550" spans="1:2">
      <c r="A550" s="11">
        <f>Returns!A550</f>
        <v>0</v>
      </c>
      <c r="B550" s="1">
        <f>MAX(Resume!B9/ 252-Portfolios!B550, 0)</f>
        <v>0</v>
      </c>
    </row>
    <row r="551" spans="1:2">
      <c r="A551" s="11">
        <f>Returns!A551</f>
        <v>0</v>
      </c>
      <c r="B551" s="1">
        <f>MAX(Resume!B9/ 252-Portfolios!B551, 0)</f>
        <v>0</v>
      </c>
    </row>
    <row r="552" spans="1:2">
      <c r="A552" s="11">
        <f>Returns!A552</f>
        <v>0</v>
      </c>
      <c r="B552" s="1">
        <f>MAX(Resume!B9/ 252-Portfolios!B552, 0)</f>
        <v>0</v>
      </c>
    </row>
    <row r="553" spans="1:2">
      <c r="A553" s="11">
        <f>Returns!A553</f>
        <v>0</v>
      </c>
      <c r="B553" s="1">
        <f>MAX(Resume!B9/ 252-Portfolios!B553, 0)</f>
        <v>0</v>
      </c>
    </row>
    <row r="554" spans="1:2">
      <c r="A554" s="11">
        <f>Returns!A554</f>
        <v>0</v>
      </c>
      <c r="B554" s="1">
        <f>MAX(Resume!B9/ 252-Portfolios!B554, 0)</f>
        <v>0</v>
      </c>
    </row>
    <row r="555" spans="1:2">
      <c r="A555" s="11">
        <f>Returns!A555</f>
        <v>0</v>
      </c>
      <c r="B555" s="1">
        <f>MAX(Resume!B9/ 252-Portfolios!B555, 0)</f>
        <v>0</v>
      </c>
    </row>
    <row r="556" spans="1:2">
      <c r="A556" s="11">
        <f>Returns!A556</f>
        <v>0</v>
      </c>
      <c r="B556" s="1">
        <f>MAX(Resume!B9/ 252-Portfolios!B556, 0)</f>
        <v>0</v>
      </c>
    </row>
    <row r="557" spans="1:2">
      <c r="A557" s="11">
        <f>Returns!A557</f>
        <v>0</v>
      </c>
      <c r="B557" s="1">
        <f>MAX(Resume!B9/ 252-Portfolios!B557, 0)</f>
        <v>0</v>
      </c>
    </row>
    <row r="558" spans="1:2">
      <c r="A558" s="11">
        <f>Returns!A558</f>
        <v>0</v>
      </c>
      <c r="B558" s="1">
        <f>MAX(Resume!B9/ 252-Portfolios!B558, 0)</f>
        <v>0</v>
      </c>
    </row>
    <row r="559" spans="1:2">
      <c r="A559" s="11">
        <f>Returns!A559</f>
        <v>0</v>
      </c>
      <c r="B559" s="1">
        <f>MAX(Resume!B9/ 252-Portfolios!B559, 0)</f>
        <v>0</v>
      </c>
    </row>
    <row r="560" spans="1:2">
      <c r="A560" s="11">
        <f>Returns!A560</f>
        <v>0</v>
      </c>
      <c r="B560" s="1">
        <f>MAX(Resume!B9/ 252-Portfolios!B560, 0)</f>
        <v>0</v>
      </c>
    </row>
    <row r="561" spans="1:2">
      <c r="A561" s="11">
        <f>Returns!A561</f>
        <v>0</v>
      </c>
      <c r="B561" s="1">
        <f>MAX(Resume!B9/ 252-Portfolios!B561, 0)</f>
        <v>0</v>
      </c>
    </row>
    <row r="562" spans="1:2">
      <c r="A562" s="11">
        <f>Returns!A562</f>
        <v>0</v>
      </c>
      <c r="B562" s="1">
        <f>MAX(Resume!B9/ 252-Portfolios!B562, 0)</f>
        <v>0</v>
      </c>
    </row>
    <row r="563" spans="1:2">
      <c r="A563" s="11">
        <f>Returns!A563</f>
        <v>0</v>
      </c>
      <c r="B563" s="1">
        <f>MAX(Resume!B9/ 252-Portfolios!B563, 0)</f>
        <v>0</v>
      </c>
    </row>
    <row r="564" spans="1:2">
      <c r="A564" s="11">
        <f>Returns!A564</f>
        <v>0</v>
      </c>
      <c r="B564" s="1">
        <f>MAX(Resume!B9/ 252-Portfolios!B564, 0)</f>
        <v>0</v>
      </c>
    </row>
    <row r="565" spans="1:2">
      <c r="A565" s="11">
        <f>Returns!A565</f>
        <v>0</v>
      </c>
      <c r="B565" s="1">
        <f>MAX(Resume!B9/ 252-Portfolios!B565, 0)</f>
        <v>0</v>
      </c>
    </row>
    <row r="566" spans="1:2">
      <c r="A566" s="11">
        <f>Returns!A566</f>
        <v>0</v>
      </c>
      <c r="B566" s="1">
        <f>MAX(Resume!B9/ 252-Portfolios!B566, 0)</f>
        <v>0</v>
      </c>
    </row>
    <row r="567" spans="1:2">
      <c r="A567" s="11">
        <f>Returns!A567</f>
        <v>0</v>
      </c>
      <c r="B567" s="1">
        <f>MAX(Resume!B9/ 252-Portfolios!B567, 0)</f>
        <v>0</v>
      </c>
    </row>
    <row r="568" spans="1:2">
      <c r="A568" s="11">
        <f>Returns!A568</f>
        <v>0</v>
      </c>
      <c r="B568" s="1">
        <f>MAX(Resume!B9/ 252-Portfolios!B568, 0)</f>
        <v>0</v>
      </c>
    </row>
    <row r="569" spans="1:2">
      <c r="A569" s="11">
        <f>Returns!A569</f>
        <v>0</v>
      </c>
      <c r="B569" s="1">
        <f>MAX(Resume!B9/ 252-Portfolios!B569, 0)</f>
        <v>0</v>
      </c>
    </row>
    <row r="570" spans="1:2">
      <c r="A570" s="11">
        <f>Returns!A570</f>
        <v>0</v>
      </c>
      <c r="B570" s="1">
        <f>MAX(Resume!B9/ 252-Portfolios!B570, 0)</f>
        <v>0</v>
      </c>
    </row>
    <row r="571" spans="1:2">
      <c r="A571" s="11">
        <f>Returns!A571</f>
        <v>0</v>
      </c>
      <c r="B571" s="1">
        <f>MAX(Resume!B9/ 252-Portfolios!B571, 0)</f>
        <v>0</v>
      </c>
    </row>
    <row r="572" spans="1:2">
      <c r="A572" s="11">
        <f>Returns!A572</f>
        <v>0</v>
      </c>
      <c r="B572" s="1">
        <f>MAX(Resume!B9/ 252-Portfolios!B572, 0)</f>
        <v>0</v>
      </c>
    </row>
    <row r="573" spans="1:2">
      <c r="A573" s="11">
        <f>Returns!A573</f>
        <v>0</v>
      </c>
      <c r="B573" s="1">
        <f>MAX(Resume!B9/ 252-Portfolios!B573, 0)</f>
        <v>0</v>
      </c>
    </row>
    <row r="574" spans="1:2">
      <c r="A574" s="11">
        <f>Returns!A574</f>
        <v>0</v>
      </c>
      <c r="B574" s="1">
        <f>MAX(Resume!B9/ 252-Portfolios!B574, 0)</f>
        <v>0</v>
      </c>
    </row>
    <row r="575" spans="1:2">
      <c r="A575" s="11">
        <f>Returns!A575</f>
        <v>0</v>
      </c>
      <c r="B575" s="1">
        <f>MAX(Resume!B9/ 252-Portfolios!B575, 0)</f>
        <v>0</v>
      </c>
    </row>
    <row r="576" spans="1:2">
      <c r="A576" s="11">
        <f>Returns!A576</f>
        <v>0</v>
      </c>
      <c r="B576" s="1">
        <f>MAX(Resume!B9/ 252-Portfolios!B576, 0)</f>
        <v>0</v>
      </c>
    </row>
    <row r="577" spans="1:2">
      <c r="A577" s="11">
        <f>Returns!A577</f>
        <v>0</v>
      </c>
      <c r="B577" s="1">
        <f>MAX(Resume!B9/ 252-Portfolios!B577, 0)</f>
        <v>0</v>
      </c>
    </row>
    <row r="578" spans="1:2">
      <c r="A578" s="11">
        <f>Returns!A578</f>
        <v>0</v>
      </c>
      <c r="B578" s="1">
        <f>MAX(Resume!B9/ 252-Portfolios!B578, 0)</f>
        <v>0</v>
      </c>
    </row>
    <row r="579" spans="1:2">
      <c r="A579" s="11">
        <f>Returns!A579</f>
        <v>0</v>
      </c>
      <c r="B579" s="1">
        <f>MAX(Resume!B9/ 252-Portfolios!B579, 0)</f>
        <v>0</v>
      </c>
    </row>
    <row r="580" spans="1:2">
      <c r="A580" s="11">
        <f>Returns!A580</f>
        <v>0</v>
      </c>
      <c r="B580" s="1">
        <f>MAX(Resume!B9/ 252-Portfolios!B580, 0)</f>
        <v>0</v>
      </c>
    </row>
    <row r="581" spans="1:2">
      <c r="A581" s="11">
        <f>Returns!A581</f>
        <v>0</v>
      </c>
      <c r="B581" s="1">
        <f>MAX(Resume!B9/ 252-Portfolios!B581, 0)</f>
        <v>0</v>
      </c>
    </row>
    <row r="582" spans="1:2">
      <c r="A582" s="11">
        <f>Returns!A582</f>
        <v>0</v>
      </c>
      <c r="B582" s="1">
        <f>MAX(Resume!B9/ 252-Portfolios!B582, 0)</f>
        <v>0</v>
      </c>
    </row>
    <row r="583" spans="1:2">
      <c r="A583" s="11">
        <f>Returns!A583</f>
        <v>0</v>
      </c>
      <c r="B583" s="1">
        <f>MAX(Resume!B9/ 252-Portfolios!B583, 0)</f>
        <v>0</v>
      </c>
    </row>
    <row r="584" spans="1:2">
      <c r="A584" s="11">
        <f>Returns!A584</f>
        <v>0</v>
      </c>
      <c r="B584" s="1">
        <f>MAX(Resume!B9/ 252-Portfolios!B584, 0)</f>
        <v>0</v>
      </c>
    </row>
    <row r="585" spans="1:2">
      <c r="A585" s="11">
        <f>Returns!A585</f>
        <v>0</v>
      </c>
      <c r="B585" s="1">
        <f>MAX(Resume!B9/ 252-Portfolios!B585, 0)</f>
        <v>0</v>
      </c>
    </row>
    <row r="586" spans="1:2">
      <c r="A586" s="11">
        <f>Returns!A586</f>
        <v>0</v>
      </c>
      <c r="B586" s="1">
        <f>MAX(Resume!B9/ 252-Portfolios!B586, 0)</f>
        <v>0</v>
      </c>
    </row>
    <row r="587" spans="1:2">
      <c r="A587" s="11">
        <f>Returns!A587</f>
        <v>0</v>
      </c>
      <c r="B587" s="1">
        <f>MAX(Resume!B9/ 252-Portfolios!B587, 0)</f>
        <v>0</v>
      </c>
    </row>
    <row r="588" spans="1:2">
      <c r="A588" s="11">
        <f>Returns!A588</f>
        <v>0</v>
      </c>
      <c r="B588" s="1">
        <f>MAX(Resume!B9/ 252-Portfolios!B588, 0)</f>
        <v>0</v>
      </c>
    </row>
    <row r="589" spans="1:2">
      <c r="A589" s="11">
        <f>Returns!A589</f>
        <v>0</v>
      </c>
      <c r="B589" s="1">
        <f>MAX(Resume!B9/ 252-Portfolios!B589, 0)</f>
        <v>0</v>
      </c>
    </row>
    <row r="590" spans="1:2">
      <c r="A590" s="11">
        <f>Returns!A590</f>
        <v>0</v>
      </c>
      <c r="B590" s="1">
        <f>MAX(Resume!B9/ 252-Portfolios!B590, 0)</f>
        <v>0</v>
      </c>
    </row>
    <row r="591" spans="1:2">
      <c r="A591" s="11">
        <f>Returns!A591</f>
        <v>0</v>
      </c>
      <c r="B591" s="1">
        <f>MAX(Resume!B9/ 252-Portfolios!B591, 0)</f>
        <v>0</v>
      </c>
    </row>
    <row r="592" spans="1:2">
      <c r="A592" s="11">
        <f>Returns!A592</f>
        <v>0</v>
      </c>
      <c r="B592" s="1">
        <f>MAX(Resume!B9/ 252-Portfolios!B592, 0)</f>
        <v>0</v>
      </c>
    </row>
    <row r="593" spans="1:2">
      <c r="A593" s="11">
        <f>Returns!A593</f>
        <v>0</v>
      </c>
      <c r="B593" s="1">
        <f>MAX(Resume!B9/ 252-Portfolios!B593, 0)</f>
        <v>0</v>
      </c>
    </row>
    <row r="594" spans="1:2">
      <c r="A594" s="11">
        <f>Returns!A594</f>
        <v>0</v>
      </c>
      <c r="B594" s="1">
        <f>MAX(Resume!B9/ 252-Portfolios!B594, 0)</f>
        <v>0</v>
      </c>
    </row>
    <row r="595" spans="1:2">
      <c r="A595" s="11">
        <f>Returns!A595</f>
        <v>0</v>
      </c>
      <c r="B595" s="1">
        <f>MAX(Resume!B9/ 252-Portfolios!B595, 0)</f>
        <v>0</v>
      </c>
    </row>
    <row r="596" spans="1:2">
      <c r="A596" s="11">
        <f>Returns!A596</f>
        <v>0</v>
      </c>
      <c r="B596" s="1">
        <f>MAX(Resume!B9/ 252-Portfolios!B596, 0)</f>
        <v>0</v>
      </c>
    </row>
    <row r="597" spans="1:2">
      <c r="A597" s="11">
        <f>Returns!A597</f>
        <v>0</v>
      </c>
      <c r="B597" s="1">
        <f>MAX(Resume!B9/ 252-Portfolios!B597, 0)</f>
        <v>0</v>
      </c>
    </row>
    <row r="598" spans="1:2">
      <c r="A598" s="11">
        <f>Returns!A598</f>
        <v>0</v>
      </c>
      <c r="B598" s="1">
        <f>MAX(Resume!B9/ 252-Portfolios!B598, 0)</f>
        <v>0</v>
      </c>
    </row>
    <row r="599" spans="1:2">
      <c r="A599" s="11">
        <f>Returns!A599</f>
        <v>0</v>
      </c>
      <c r="B599" s="1">
        <f>MAX(Resume!B9/ 252-Portfolios!B599, 0)</f>
        <v>0</v>
      </c>
    </row>
    <row r="600" spans="1:2">
      <c r="A600" s="11">
        <f>Returns!A600</f>
        <v>0</v>
      </c>
      <c r="B600" s="1">
        <f>MAX(Resume!B9/ 252-Portfolios!B600, 0)</f>
        <v>0</v>
      </c>
    </row>
    <row r="601" spans="1:2">
      <c r="A601" s="11">
        <f>Returns!A601</f>
        <v>0</v>
      </c>
      <c r="B601" s="1">
        <f>MAX(Resume!B9/ 252-Portfolios!B601, 0)</f>
        <v>0</v>
      </c>
    </row>
    <row r="602" spans="1:2">
      <c r="A602" s="11">
        <f>Returns!A602</f>
        <v>0</v>
      </c>
      <c r="B602" s="1">
        <f>MAX(Resume!B9/ 252-Portfolios!B602, 0)</f>
        <v>0</v>
      </c>
    </row>
    <row r="603" spans="1:2">
      <c r="A603" s="11">
        <f>Returns!A603</f>
        <v>0</v>
      </c>
      <c r="B603" s="1">
        <f>MAX(Resume!B9/ 252-Portfolios!B603, 0)</f>
        <v>0</v>
      </c>
    </row>
    <row r="604" spans="1:2">
      <c r="A604" s="11">
        <f>Returns!A604</f>
        <v>0</v>
      </c>
      <c r="B604" s="1">
        <f>MAX(Resume!B9/ 252-Portfolios!B604, 0)</f>
        <v>0</v>
      </c>
    </row>
    <row r="605" spans="1:2">
      <c r="A605" s="11">
        <f>Returns!A605</f>
        <v>0</v>
      </c>
      <c r="B605" s="1">
        <f>MAX(Resume!B9/ 252-Portfolios!B605, 0)</f>
        <v>0</v>
      </c>
    </row>
    <row r="606" spans="1:2">
      <c r="A606" s="11">
        <f>Returns!A606</f>
        <v>0</v>
      </c>
      <c r="B606" s="1">
        <f>MAX(Resume!B9/ 252-Portfolios!B606, 0)</f>
        <v>0</v>
      </c>
    </row>
    <row r="607" spans="1:2">
      <c r="A607" s="11">
        <f>Returns!A607</f>
        <v>0</v>
      </c>
      <c r="B607" s="1">
        <f>MAX(Resume!B9/ 252-Portfolios!B607, 0)</f>
        <v>0</v>
      </c>
    </row>
    <row r="608" spans="1:2">
      <c r="A608" s="11">
        <f>Returns!A608</f>
        <v>0</v>
      </c>
      <c r="B608" s="1">
        <f>MAX(Resume!B9/ 252-Portfolios!B608, 0)</f>
        <v>0</v>
      </c>
    </row>
    <row r="609" spans="1:2">
      <c r="A609" s="11">
        <f>Returns!A609</f>
        <v>0</v>
      </c>
      <c r="B609" s="1">
        <f>MAX(Resume!B9/ 252-Portfolios!B609, 0)</f>
        <v>0</v>
      </c>
    </row>
    <row r="610" spans="1:2">
      <c r="A610" s="11">
        <f>Returns!A610</f>
        <v>0</v>
      </c>
      <c r="B610" s="1">
        <f>MAX(Resume!B9/ 252-Portfolios!B610, 0)</f>
        <v>0</v>
      </c>
    </row>
    <row r="611" spans="1:2">
      <c r="A611" s="11">
        <f>Returns!A611</f>
        <v>0</v>
      </c>
      <c r="B611" s="1">
        <f>MAX(Resume!B9/ 252-Portfolios!B611, 0)</f>
        <v>0</v>
      </c>
    </row>
    <row r="612" spans="1:2">
      <c r="A612" s="11">
        <f>Returns!A612</f>
        <v>0</v>
      </c>
      <c r="B612" s="1">
        <f>MAX(Resume!B9/ 252-Portfolios!B612, 0)</f>
        <v>0</v>
      </c>
    </row>
    <row r="613" spans="1:2">
      <c r="A613" s="11">
        <f>Returns!A613</f>
        <v>0</v>
      </c>
      <c r="B613" s="1">
        <f>MAX(Resume!B9/ 252-Portfolios!B613, 0)</f>
        <v>0</v>
      </c>
    </row>
    <row r="614" spans="1:2">
      <c r="A614" s="11">
        <f>Returns!A614</f>
        <v>0</v>
      </c>
      <c r="B614" s="1">
        <f>MAX(Resume!B9/ 252-Portfolios!B614, 0)</f>
        <v>0</v>
      </c>
    </row>
    <row r="615" spans="1:2">
      <c r="A615" s="11">
        <f>Returns!A615</f>
        <v>0</v>
      </c>
      <c r="B615" s="1">
        <f>MAX(Resume!B9/ 252-Portfolios!B615, 0)</f>
        <v>0</v>
      </c>
    </row>
    <row r="616" spans="1:2">
      <c r="A616" s="11">
        <f>Returns!A616</f>
        <v>0</v>
      </c>
      <c r="B616" s="1">
        <f>MAX(Resume!B9/ 252-Portfolios!B616, 0)</f>
        <v>0</v>
      </c>
    </row>
    <row r="617" spans="1:2">
      <c r="A617" s="11">
        <f>Returns!A617</f>
        <v>0</v>
      </c>
      <c r="B617" s="1">
        <f>MAX(Resume!B9/ 252-Portfolios!B617, 0)</f>
        <v>0</v>
      </c>
    </row>
    <row r="618" spans="1:2">
      <c r="A618" s="11">
        <f>Returns!A618</f>
        <v>0</v>
      </c>
      <c r="B618" s="1">
        <f>MAX(Resume!B9/ 252-Portfolios!B618, 0)</f>
        <v>0</v>
      </c>
    </row>
    <row r="619" spans="1:2">
      <c r="A619" s="11">
        <f>Returns!A619</f>
        <v>0</v>
      </c>
      <c r="B619" s="1">
        <f>MAX(Resume!B9/ 252-Portfolios!B619, 0)</f>
        <v>0</v>
      </c>
    </row>
    <row r="620" spans="1:2">
      <c r="A620" s="11">
        <f>Returns!A620</f>
        <v>0</v>
      </c>
      <c r="B620" s="1">
        <f>MAX(Resume!B9/ 252-Portfolios!B620, 0)</f>
        <v>0</v>
      </c>
    </row>
    <row r="621" spans="1:2">
      <c r="A621" s="11">
        <f>Returns!A621</f>
        <v>0</v>
      </c>
      <c r="B621" s="1">
        <f>MAX(Resume!B9/ 252-Portfolios!B621, 0)</f>
        <v>0</v>
      </c>
    </row>
    <row r="622" spans="1:2">
      <c r="A622" s="11">
        <f>Returns!A622</f>
        <v>0</v>
      </c>
      <c r="B622" s="1">
        <f>MAX(Resume!B9/ 252-Portfolios!B622, 0)</f>
        <v>0</v>
      </c>
    </row>
    <row r="623" spans="1:2">
      <c r="A623" s="11">
        <f>Returns!A623</f>
        <v>0</v>
      </c>
      <c r="B623" s="1">
        <f>MAX(Resume!B9/ 252-Portfolios!B623, 0)</f>
        <v>0</v>
      </c>
    </row>
    <row r="624" spans="1:2">
      <c r="A624" s="11">
        <f>Returns!A624</f>
        <v>0</v>
      </c>
      <c r="B624" s="1">
        <f>MAX(Resume!B9/ 252-Portfolios!B624, 0)</f>
        <v>0</v>
      </c>
    </row>
    <row r="625" spans="1:2">
      <c r="A625" s="11">
        <f>Returns!A625</f>
        <v>0</v>
      </c>
      <c r="B625" s="1">
        <f>MAX(Resume!B9/ 252-Portfolios!B625, 0)</f>
        <v>0</v>
      </c>
    </row>
    <row r="626" spans="1:2">
      <c r="A626" s="11">
        <f>Returns!A626</f>
        <v>0</v>
      </c>
      <c r="B626" s="1">
        <f>MAX(Resume!B9/ 252-Portfolios!B626, 0)</f>
        <v>0</v>
      </c>
    </row>
    <row r="627" spans="1:2">
      <c r="A627" s="11">
        <f>Returns!A627</f>
        <v>0</v>
      </c>
      <c r="B627" s="1">
        <f>MAX(Resume!B9/ 252-Portfolios!B627, 0)</f>
        <v>0</v>
      </c>
    </row>
    <row r="628" spans="1:2">
      <c r="A628" s="11">
        <f>Returns!A628</f>
        <v>0</v>
      </c>
      <c r="B628" s="1">
        <f>MAX(Resume!B9/ 252-Portfolios!B628, 0)</f>
        <v>0</v>
      </c>
    </row>
    <row r="629" spans="1:2">
      <c r="A629" s="11">
        <f>Returns!A629</f>
        <v>0</v>
      </c>
      <c r="B629" s="1">
        <f>MAX(Resume!B9/ 252-Portfolios!B629, 0)</f>
        <v>0</v>
      </c>
    </row>
    <row r="630" spans="1:2">
      <c r="A630" s="11">
        <f>Returns!A630</f>
        <v>0</v>
      </c>
      <c r="B630" s="1">
        <f>MAX(Resume!B9/ 252-Portfolios!B630, 0)</f>
        <v>0</v>
      </c>
    </row>
    <row r="631" spans="1:2">
      <c r="A631" s="11">
        <f>Returns!A631</f>
        <v>0</v>
      </c>
      <c r="B631" s="1">
        <f>MAX(Resume!B9/ 252-Portfolios!B631, 0)</f>
        <v>0</v>
      </c>
    </row>
    <row r="632" spans="1:2">
      <c r="A632" s="11">
        <f>Returns!A632</f>
        <v>0</v>
      </c>
      <c r="B632" s="1">
        <f>MAX(Resume!B9/ 252-Portfolios!B632, 0)</f>
        <v>0</v>
      </c>
    </row>
    <row r="633" spans="1:2">
      <c r="A633" s="11">
        <f>Returns!A633</f>
        <v>0</v>
      </c>
      <c r="B633" s="1">
        <f>MAX(Resume!B9/ 252-Portfolios!B633, 0)</f>
        <v>0</v>
      </c>
    </row>
    <row r="634" spans="1:2">
      <c r="A634" s="11">
        <f>Returns!A634</f>
        <v>0</v>
      </c>
      <c r="B634" s="1">
        <f>MAX(Resume!B9/ 252-Portfolios!B634, 0)</f>
        <v>0</v>
      </c>
    </row>
    <row r="635" spans="1:2">
      <c r="A635" s="11">
        <f>Returns!A635</f>
        <v>0</v>
      </c>
      <c r="B635" s="1">
        <f>MAX(Resume!B9/ 252-Portfolios!B635, 0)</f>
        <v>0</v>
      </c>
    </row>
    <row r="636" spans="1:2">
      <c r="A636" s="11">
        <f>Returns!A636</f>
        <v>0</v>
      </c>
      <c r="B636" s="1">
        <f>MAX(Resume!B9/ 252-Portfolios!B636, 0)</f>
        <v>0</v>
      </c>
    </row>
    <row r="637" spans="1:2">
      <c r="A637" s="11">
        <f>Returns!A637</f>
        <v>0</v>
      </c>
      <c r="B637" s="1">
        <f>MAX(Resume!B9/ 252-Portfolios!B637, 0)</f>
        <v>0</v>
      </c>
    </row>
    <row r="638" spans="1:2">
      <c r="A638" s="11">
        <f>Returns!A638</f>
        <v>0</v>
      </c>
      <c r="B638" s="1">
        <f>MAX(Resume!B9/ 252-Portfolios!B638, 0)</f>
        <v>0</v>
      </c>
    </row>
    <row r="639" spans="1:2">
      <c r="A639" s="11">
        <f>Returns!A639</f>
        <v>0</v>
      </c>
      <c r="B639" s="1">
        <f>MAX(Resume!B9/ 252-Portfolios!B639, 0)</f>
        <v>0</v>
      </c>
    </row>
    <row r="640" spans="1:2">
      <c r="A640" s="11">
        <f>Returns!A640</f>
        <v>0</v>
      </c>
      <c r="B640" s="1">
        <f>MAX(Resume!B9/ 252-Portfolios!B640, 0)</f>
        <v>0</v>
      </c>
    </row>
    <row r="641" spans="1:2">
      <c r="A641" s="11">
        <f>Returns!A641</f>
        <v>0</v>
      </c>
      <c r="B641" s="1">
        <f>MAX(Resume!B9/ 252-Portfolios!B641, 0)</f>
        <v>0</v>
      </c>
    </row>
    <row r="642" spans="1:2">
      <c r="A642" s="11">
        <f>Returns!A642</f>
        <v>0</v>
      </c>
      <c r="B642" s="1">
        <f>MAX(Resume!B9/ 252-Portfolios!B642, 0)</f>
        <v>0</v>
      </c>
    </row>
    <row r="643" spans="1:2">
      <c r="A643" s="11">
        <f>Returns!A643</f>
        <v>0</v>
      </c>
      <c r="B643" s="1">
        <f>MAX(Resume!B9/ 252-Portfolios!B643, 0)</f>
        <v>0</v>
      </c>
    </row>
    <row r="644" spans="1:2">
      <c r="A644" s="11">
        <f>Returns!A644</f>
        <v>0</v>
      </c>
      <c r="B644" s="1">
        <f>MAX(Resume!B9/ 252-Portfolios!B644, 0)</f>
        <v>0</v>
      </c>
    </row>
    <row r="645" spans="1:2">
      <c r="A645" s="11">
        <f>Returns!A645</f>
        <v>0</v>
      </c>
      <c r="B645" s="1">
        <f>MAX(Resume!B9/ 252-Portfolios!B645, 0)</f>
        <v>0</v>
      </c>
    </row>
    <row r="646" spans="1:2">
      <c r="A646" s="11">
        <f>Returns!A646</f>
        <v>0</v>
      </c>
      <c r="B646" s="1">
        <f>MAX(Resume!B9/ 252-Portfolios!B646, 0)</f>
        <v>0</v>
      </c>
    </row>
    <row r="647" spans="1:2">
      <c r="A647" s="11">
        <f>Returns!A647</f>
        <v>0</v>
      </c>
      <c r="B647" s="1">
        <f>MAX(Resume!B9/ 252-Portfolios!B647, 0)</f>
        <v>0</v>
      </c>
    </row>
    <row r="648" spans="1:2">
      <c r="A648" s="11">
        <f>Returns!A648</f>
        <v>0</v>
      </c>
      <c r="B648" s="1">
        <f>MAX(Resume!B9/ 252-Portfolios!B648, 0)</f>
        <v>0</v>
      </c>
    </row>
    <row r="649" spans="1:2">
      <c r="A649" s="11">
        <f>Returns!A649</f>
        <v>0</v>
      </c>
      <c r="B649" s="1">
        <f>MAX(Resume!B9/ 252-Portfolios!B649, 0)</f>
        <v>0</v>
      </c>
    </row>
    <row r="650" spans="1:2">
      <c r="A650" s="11">
        <f>Returns!A650</f>
        <v>0</v>
      </c>
      <c r="B650" s="1">
        <f>MAX(Resume!B9/ 252-Portfolios!B650, 0)</f>
        <v>0</v>
      </c>
    </row>
    <row r="651" spans="1:2">
      <c r="A651" s="11">
        <f>Returns!A651</f>
        <v>0</v>
      </c>
      <c r="B651" s="1">
        <f>MAX(Resume!B9/ 252-Portfolios!B651, 0)</f>
        <v>0</v>
      </c>
    </row>
    <row r="652" spans="1:2">
      <c r="A652" s="11">
        <f>Returns!A652</f>
        <v>0</v>
      </c>
      <c r="B652" s="1">
        <f>MAX(Resume!B9/ 252-Portfolios!B652, 0)</f>
        <v>0</v>
      </c>
    </row>
    <row r="653" spans="1:2">
      <c r="A653" s="11">
        <f>Returns!A653</f>
        <v>0</v>
      </c>
      <c r="B653" s="1">
        <f>MAX(Resume!B9/ 252-Portfolios!B653, 0)</f>
        <v>0</v>
      </c>
    </row>
    <row r="654" spans="1:2">
      <c r="A654" s="11">
        <f>Returns!A654</f>
        <v>0</v>
      </c>
      <c r="B654" s="1">
        <f>MAX(Resume!B9/ 252-Portfolios!B654, 0)</f>
        <v>0</v>
      </c>
    </row>
    <row r="655" spans="1:2">
      <c r="A655" s="11">
        <f>Returns!A655</f>
        <v>0</v>
      </c>
      <c r="B655" s="1">
        <f>MAX(Resume!B9/ 252-Portfolios!B655, 0)</f>
        <v>0</v>
      </c>
    </row>
    <row r="656" spans="1:2">
      <c r="A656" s="11">
        <f>Returns!A656</f>
        <v>0</v>
      </c>
      <c r="B656" s="1">
        <f>MAX(Resume!B9/ 252-Portfolios!B656, 0)</f>
        <v>0</v>
      </c>
    </row>
    <row r="657" spans="1:2">
      <c r="A657" s="11">
        <f>Returns!A657</f>
        <v>0</v>
      </c>
      <c r="B657" s="1">
        <f>MAX(Resume!B9/ 252-Portfolios!B657, 0)</f>
        <v>0</v>
      </c>
    </row>
    <row r="658" spans="1:2">
      <c r="A658" s="11">
        <f>Returns!A658</f>
        <v>0</v>
      </c>
      <c r="B658" s="1">
        <f>MAX(Resume!B9/ 252-Portfolios!B658, 0)</f>
        <v>0</v>
      </c>
    </row>
    <row r="659" spans="1:2">
      <c r="A659" s="11">
        <f>Returns!A659</f>
        <v>0</v>
      </c>
      <c r="B659" s="1">
        <f>MAX(Resume!B9/ 252-Portfolios!B659, 0)</f>
        <v>0</v>
      </c>
    </row>
    <row r="660" spans="1:2">
      <c r="A660" s="11">
        <f>Returns!A660</f>
        <v>0</v>
      </c>
      <c r="B660" s="1">
        <f>MAX(Resume!B9/ 252-Portfolios!B660, 0)</f>
        <v>0</v>
      </c>
    </row>
    <row r="661" spans="1:2">
      <c r="A661" s="11">
        <f>Returns!A661</f>
        <v>0</v>
      </c>
      <c r="B661" s="1">
        <f>MAX(Resume!B9/ 252-Portfolios!B661, 0)</f>
        <v>0</v>
      </c>
    </row>
    <row r="662" spans="1:2">
      <c r="A662" s="11">
        <f>Returns!A662</f>
        <v>0</v>
      </c>
      <c r="B662" s="1">
        <f>MAX(Resume!B9/ 252-Portfolios!B662, 0)</f>
        <v>0</v>
      </c>
    </row>
    <row r="663" spans="1:2">
      <c r="A663" s="11">
        <f>Returns!A663</f>
        <v>0</v>
      </c>
      <c r="B663" s="1">
        <f>MAX(Resume!B9/ 252-Portfolios!B663, 0)</f>
        <v>0</v>
      </c>
    </row>
    <row r="664" spans="1:2">
      <c r="A664" s="11">
        <f>Returns!A664</f>
        <v>0</v>
      </c>
      <c r="B664" s="1">
        <f>MAX(Resume!B9/ 252-Portfolios!B664, 0)</f>
        <v>0</v>
      </c>
    </row>
    <row r="665" spans="1:2">
      <c r="A665" s="11">
        <f>Returns!A665</f>
        <v>0</v>
      </c>
      <c r="B665" s="1">
        <f>MAX(Resume!B9/ 252-Portfolios!B665, 0)</f>
        <v>0</v>
      </c>
    </row>
    <row r="666" spans="1:2">
      <c r="A666" s="11">
        <f>Returns!A666</f>
        <v>0</v>
      </c>
      <c r="B666" s="1">
        <f>MAX(Resume!B9/ 252-Portfolios!B666, 0)</f>
        <v>0</v>
      </c>
    </row>
    <row r="667" spans="1:2">
      <c r="A667" s="11">
        <f>Returns!A667</f>
        <v>0</v>
      </c>
      <c r="B667" s="1">
        <f>MAX(Resume!B9/ 252-Portfolios!B667, 0)</f>
        <v>0</v>
      </c>
    </row>
    <row r="668" spans="1:2">
      <c r="A668" s="11">
        <f>Returns!A668</f>
        <v>0</v>
      </c>
      <c r="B668" s="1">
        <f>MAX(Resume!B9/ 252-Portfolios!B668, 0)</f>
        <v>0</v>
      </c>
    </row>
    <row r="669" spans="1:2">
      <c r="A669" s="11">
        <f>Returns!A669</f>
        <v>0</v>
      </c>
      <c r="B669" s="1">
        <f>MAX(Resume!B9/ 252-Portfolios!B669, 0)</f>
        <v>0</v>
      </c>
    </row>
    <row r="670" spans="1:2">
      <c r="A670" s="11">
        <f>Returns!A670</f>
        <v>0</v>
      </c>
      <c r="B670" s="1">
        <f>MAX(Resume!B9/ 252-Portfolios!B670, 0)</f>
        <v>0</v>
      </c>
    </row>
    <row r="671" spans="1:2">
      <c r="A671" s="11">
        <f>Returns!A671</f>
        <v>0</v>
      </c>
      <c r="B671" s="1">
        <f>MAX(Resume!B9/ 252-Portfolios!B671, 0)</f>
        <v>0</v>
      </c>
    </row>
    <row r="672" spans="1:2">
      <c r="A672" s="11">
        <f>Returns!A672</f>
        <v>0</v>
      </c>
      <c r="B672" s="1">
        <f>MAX(Resume!B9/ 252-Portfolios!B672, 0)</f>
        <v>0</v>
      </c>
    </row>
    <row r="673" spans="1:2">
      <c r="A673" s="11">
        <f>Returns!A673</f>
        <v>0</v>
      </c>
      <c r="B673" s="1">
        <f>MAX(Resume!B9/ 252-Portfolios!B673, 0)</f>
        <v>0</v>
      </c>
    </row>
    <row r="674" spans="1:2">
      <c r="A674" s="11">
        <f>Returns!A674</f>
        <v>0</v>
      </c>
      <c r="B674" s="1">
        <f>MAX(Resume!B9/ 252-Portfolios!B674, 0)</f>
        <v>0</v>
      </c>
    </row>
    <row r="675" spans="1:2">
      <c r="A675" s="11">
        <f>Returns!A675</f>
        <v>0</v>
      </c>
      <c r="B675" s="1">
        <f>MAX(Resume!B9/ 252-Portfolios!B675, 0)</f>
        <v>0</v>
      </c>
    </row>
    <row r="676" spans="1:2">
      <c r="A676" s="11">
        <f>Returns!A676</f>
        <v>0</v>
      </c>
      <c r="B676" s="1">
        <f>MAX(Resume!B9/ 252-Portfolios!B676, 0)</f>
        <v>0</v>
      </c>
    </row>
    <row r="677" spans="1:2">
      <c r="A677" s="11">
        <f>Returns!A677</f>
        <v>0</v>
      </c>
      <c r="B677" s="1">
        <f>MAX(Resume!B9/ 252-Portfolios!B677, 0)</f>
        <v>0</v>
      </c>
    </row>
    <row r="678" spans="1:2">
      <c r="A678" s="11">
        <f>Returns!A678</f>
        <v>0</v>
      </c>
      <c r="B678" s="1">
        <f>MAX(Resume!B9/ 252-Portfolios!B678, 0)</f>
        <v>0</v>
      </c>
    </row>
    <row r="679" spans="1:2">
      <c r="A679" s="11">
        <f>Returns!A679</f>
        <v>0</v>
      </c>
      <c r="B679" s="1">
        <f>MAX(Resume!B9/ 252-Portfolios!B679, 0)</f>
        <v>0</v>
      </c>
    </row>
    <row r="680" spans="1:2">
      <c r="A680" s="11">
        <f>Returns!A680</f>
        <v>0</v>
      </c>
      <c r="B680" s="1">
        <f>MAX(Resume!B9/ 252-Portfolios!B680, 0)</f>
        <v>0</v>
      </c>
    </row>
    <row r="681" spans="1:2">
      <c r="A681" s="11">
        <f>Returns!A681</f>
        <v>0</v>
      </c>
      <c r="B681" s="1">
        <f>MAX(Resume!B9/ 252-Portfolios!B681, 0)</f>
        <v>0</v>
      </c>
    </row>
    <row r="682" spans="1:2">
      <c r="A682" s="11">
        <f>Returns!A682</f>
        <v>0</v>
      </c>
      <c r="B682" s="1">
        <f>MAX(Resume!B9/ 252-Portfolios!B682, 0)</f>
        <v>0</v>
      </c>
    </row>
    <row r="683" spans="1:2">
      <c r="A683" s="11">
        <f>Returns!A683</f>
        <v>0</v>
      </c>
      <c r="B683" s="1">
        <f>MAX(Resume!B9/ 252-Portfolios!B683, 0)</f>
        <v>0</v>
      </c>
    </row>
    <row r="684" spans="1:2">
      <c r="A684" s="11">
        <f>Returns!A684</f>
        <v>0</v>
      </c>
      <c r="B684" s="1">
        <f>MAX(Resume!B9/ 252-Portfolios!B684, 0)</f>
        <v>0</v>
      </c>
    </row>
    <row r="685" spans="1:2">
      <c r="A685" s="11">
        <f>Returns!A685</f>
        <v>0</v>
      </c>
      <c r="B685" s="1">
        <f>MAX(Resume!B9/ 252-Portfolios!B685, 0)</f>
        <v>0</v>
      </c>
    </row>
    <row r="686" spans="1:2">
      <c r="A686" s="11">
        <f>Returns!A686</f>
        <v>0</v>
      </c>
      <c r="B686" s="1">
        <f>MAX(Resume!B9/ 252-Portfolios!B686, 0)</f>
        <v>0</v>
      </c>
    </row>
    <row r="687" spans="1:2">
      <c r="A687" s="11">
        <f>Returns!A687</f>
        <v>0</v>
      </c>
      <c r="B687" s="1">
        <f>MAX(Resume!B9/ 252-Portfolios!B687, 0)</f>
        <v>0</v>
      </c>
    </row>
    <row r="688" spans="1:2">
      <c r="A688" s="11">
        <f>Returns!A688</f>
        <v>0</v>
      </c>
      <c r="B688" s="1">
        <f>MAX(Resume!B9/ 252-Portfolios!B688, 0)</f>
        <v>0</v>
      </c>
    </row>
    <row r="689" spans="1:2">
      <c r="A689" s="11">
        <f>Returns!A689</f>
        <v>0</v>
      </c>
      <c r="B689" s="1">
        <f>MAX(Resume!B9/ 252-Portfolios!B689, 0)</f>
        <v>0</v>
      </c>
    </row>
    <row r="690" spans="1:2">
      <c r="A690" s="11">
        <f>Returns!A690</f>
        <v>0</v>
      </c>
      <c r="B690" s="1">
        <f>MAX(Resume!B9/ 252-Portfolios!B690, 0)</f>
        <v>0</v>
      </c>
    </row>
    <row r="691" spans="1:2">
      <c r="A691" s="11">
        <f>Returns!A691</f>
        <v>0</v>
      </c>
      <c r="B691" s="1">
        <f>MAX(Resume!B9/ 252-Portfolios!B691, 0)</f>
        <v>0</v>
      </c>
    </row>
    <row r="692" spans="1:2">
      <c r="A692" s="11">
        <f>Returns!A692</f>
        <v>0</v>
      </c>
      <c r="B692" s="1">
        <f>MAX(Resume!B9/ 252-Portfolios!B692, 0)</f>
        <v>0</v>
      </c>
    </row>
    <row r="693" spans="1:2">
      <c r="A693" s="11">
        <f>Returns!A693</f>
        <v>0</v>
      </c>
      <c r="B693" s="1">
        <f>MAX(Resume!B9/ 252-Portfolios!B693, 0)</f>
        <v>0</v>
      </c>
    </row>
    <row r="694" spans="1:2">
      <c r="A694" s="11">
        <f>Returns!A694</f>
        <v>0</v>
      </c>
      <c r="B694" s="1">
        <f>MAX(Resume!B9/ 252-Portfolios!B694, 0)</f>
        <v>0</v>
      </c>
    </row>
    <row r="695" spans="1:2">
      <c r="A695" s="11">
        <f>Returns!A695</f>
        <v>0</v>
      </c>
      <c r="B695" s="1">
        <f>MAX(Resume!B9/ 252-Portfolios!B695, 0)</f>
        <v>0</v>
      </c>
    </row>
    <row r="696" spans="1:2">
      <c r="A696" s="11">
        <f>Returns!A696</f>
        <v>0</v>
      </c>
      <c r="B696" s="1">
        <f>MAX(Resume!B9/ 252-Portfolios!B696, 0)</f>
        <v>0</v>
      </c>
    </row>
    <row r="697" spans="1:2">
      <c r="A697" s="11">
        <f>Returns!A697</f>
        <v>0</v>
      </c>
      <c r="B697" s="1">
        <f>MAX(Resume!B9/ 252-Portfolios!B697, 0)</f>
        <v>0</v>
      </c>
    </row>
    <row r="698" spans="1:2">
      <c r="A698" s="11">
        <f>Returns!A698</f>
        <v>0</v>
      </c>
      <c r="B698" s="1">
        <f>MAX(Resume!B9/ 252-Portfolios!B698, 0)</f>
        <v>0</v>
      </c>
    </row>
    <row r="699" spans="1:2">
      <c r="A699" s="11">
        <f>Returns!A699</f>
        <v>0</v>
      </c>
      <c r="B699" s="1">
        <f>MAX(Resume!B9/ 252-Portfolios!B699, 0)</f>
        <v>0</v>
      </c>
    </row>
    <row r="700" spans="1:2">
      <c r="A700" s="11">
        <f>Returns!A700</f>
        <v>0</v>
      </c>
      <c r="B700" s="1">
        <f>MAX(Resume!B9/ 252-Portfolios!B700, 0)</f>
        <v>0</v>
      </c>
    </row>
    <row r="701" spans="1:2">
      <c r="A701" s="11">
        <f>Returns!A701</f>
        <v>0</v>
      </c>
      <c r="B701" s="1">
        <f>MAX(Resume!B9/ 252-Portfolios!B701, 0)</f>
        <v>0</v>
      </c>
    </row>
    <row r="702" spans="1:2">
      <c r="A702" s="11">
        <f>Returns!A702</f>
        <v>0</v>
      </c>
      <c r="B702" s="1">
        <f>MAX(Resume!B9/ 252-Portfolios!B702, 0)</f>
        <v>0</v>
      </c>
    </row>
    <row r="703" spans="1:2">
      <c r="A703" s="11">
        <f>Returns!A703</f>
        <v>0</v>
      </c>
      <c r="B703" s="1">
        <f>MAX(Resume!B9/ 252-Portfolios!B703, 0)</f>
        <v>0</v>
      </c>
    </row>
    <row r="704" spans="1:2">
      <c r="A704" s="11">
        <f>Returns!A704</f>
        <v>0</v>
      </c>
      <c r="B704" s="1">
        <f>MAX(Resume!B9/ 252-Portfolios!B704, 0)</f>
        <v>0</v>
      </c>
    </row>
    <row r="705" spans="1:2">
      <c r="A705" s="11">
        <f>Returns!A705</f>
        <v>0</v>
      </c>
      <c r="B705" s="1">
        <f>MAX(Resume!B9/ 252-Portfolios!B705, 0)</f>
        <v>0</v>
      </c>
    </row>
    <row r="706" spans="1:2">
      <c r="A706" s="11">
        <f>Returns!A706</f>
        <v>0</v>
      </c>
      <c r="B706" s="1">
        <f>MAX(Resume!B9/ 252-Portfolios!B706, 0)</f>
        <v>0</v>
      </c>
    </row>
    <row r="707" spans="1:2">
      <c r="A707" s="11">
        <f>Returns!A707</f>
        <v>0</v>
      </c>
      <c r="B707" s="1">
        <f>MAX(Resume!B9/ 252-Portfolios!B707, 0)</f>
        <v>0</v>
      </c>
    </row>
    <row r="708" spans="1:2">
      <c r="A708" s="11">
        <f>Returns!A708</f>
        <v>0</v>
      </c>
      <c r="B708" s="1">
        <f>MAX(Resume!B9/ 252-Portfolios!B708, 0)</f>
        <v>0</v>
      </c>
    </row>
    <row r="709" spans="1:2">
      <c r="A709" s="11">
        <f>Returns!A709</f>
        <v>0</v>
      </c>
      <c r="B709" s="1">
        <f>MAX(Resume!B9/ 252-Portfolios!B709, 0)</f>
        <v>0</v>
      </c>
    </row>
    <row r="710" spans="1:2">
      <c r="A710" s="11">
        <f>Returns!A710</f>
        <v>0</v>
      </c>
      <c r="B710" s="1">
        <f>MAX(Resume!B9/ 252-Portfolios!B710, 0)</f>
        <v>0</v>
      </c>
    </row>
    <row r="711" spans="1:2">
      <c r="A711" s="11">
        <f>Returns!A711</f>
        <v>0</v>
      </c>
      <c r="B711" s="1">
        <f>MAX(Resume!B9/ 252-Portfolios!B711, 0)</f>
        <v>0</v>
      </c>
    </row>
    <row r="712" spans="1:2">
      <c r="A712" s="11">
        <f>Returns!A712</f>
        <v>0</v>
      </c>
      <c r="B712" s="1">
        <f>MAX(Resume!B9/ 252-Portfolios!B712, 0)</f>
        <v>0</v>
      </c>
    </row>
    <row r="713" spans="1:2">
      <c r="A713" s="11">
        <f>Returns!A713</f>
        <v>0</v>
      </c>
      <c r="B713" s="1">
        <f>MAX(Resume!B9/ 252-Portfolios!B713, 0)</f>
        <v>0</v>
      </c>
    </row>
    <row r="714" spans="1:2">
      <c r="A714" s="11">
        <f>Returns!A714</f>
        <v>0</v>
      </c>
      <c r="B714" s="1">
        <f>MAX(Resume!B9/ 252-Portfolios!B714, 0)</f>
        <v>0</v>
      </c>
    </row>
    <row r="715" spans="1:2">
      <c r="A715" s="11">
        <f>Returns!A715</f>
        <v>0</v>
      </c>
      <c r="B715" s="1">
        <f>MAX(Resume!B9/ 252-Portfolios!B715, 0)</f>
        <v>0</v>
      </c>
    </row>
    <row r="716" spans="1:2">
      <c r="A716" s="11">
        <f>Returns!A716</f>
        <v>0</v>
      </c>
      <c r="B716" s="1">
        <f>MAX(Resume!B9/ 252-Portfolios!B716, 0)</f>
        <v>0</v>
      </c>
    </row>
    <row r="717" spans="1:2">
      <c r="A717" s="11">
        <f>Returns!A717</f>
        <v>0</v>
      </c>
      <c r="B717" s="1">
        <f>MAX(Resume!B9/ 252-Portfolios!B717, 0)</f>
        <v>0</v>
      </c>
    </row>
    <row r="718" spans="1:2">
      <c r="A718" s="11">
        <f>Returns!A718</f>
        <v>0</v>
      </c>
      <c r="B718" s="1">
        <f>MAX(Resume!B9/ 252-Portfolios!B718, 0)</f>
        <v>0</v>
      </c>
    </row>
    <row r="719" spans="1:2">
      <c r="A719" s="11">
        <f>Returns!A719</f>
        <v>0</v>
      </c>
      <c r="B719" s="1">
        <f>MAX(Resume!B9/ 252-Portfolios!B719, 0)</f>
        <v>0</v>
      </c>
    </row>
    <row r="720" spans="1:2">
      <c r="A720" s="11">
        <f>Returns!A720</f>
        <v>0</v>
      </c>
      <c r="B720" s="1">
        <f>MAX(Resume!B9/ 252-Portfolios!B720, 0)</f>
        <v>0</v>
      </c>
    </row>
    <row r="721" spans="1:2">
      <c r="A721" s="11">
        <f>Returns!A721</f>
        <v>0</v>
      </c>
      <c r="B721" s="1">
        <f>MAX(Resume!B9/ 252-Portfolios!B721, 0)</f>
        <v>0</v>
      </c>
    </row>
    <row r="722" spans="1:2">
      <c r="A722" s="11">
        <f>Returns!A722</f>
        <v>0</v>
      </c>
      <c r="B722" s="1">
        <f>MAX(Resume!B9/ 252-Portfolios!B722, 0)</f>
        <v>0</v>
      </c>
    </row>
    <row r="723" spans="1:2">
      <c r="A723" s="11">
        <f>Returns!A723</f>
        <v>0</v>
      </c>
      <c r="B723" s="1">
        <f>MAX(Resume!B9/ 252-Portfolios!B723, 0)</f>
        <v>0</v>
      </c>
    </row>
    <row r="724" spans="1:2">
      <c r="A724" s="11">
        <f>Returns!A724</f>
        <v>0</v>
      </c>
      <c r="B724" s="1">
        <f>MAX(Resume!B9/ 252-Portfolios!B724, 0)</f>
        <v>0</v>
      </c>
    </row>
    <row r="725" spans="1:2">
      <c r="A725" s="11">
        <f>Returns!A725</f>
        <v>0</v>
      </c>
      <c r="B725" s="1">
        <f>MAX(Resume!B9/ 252-Portfolios!B725, 0)</f>
        <v>0</v>
      </c>
    </row>
    <row r="726" spans="1:2">
      <c r="A726" s="11">
        <f>Returns!A726</f>
        <v>0</v>
      </c>
      <c r="B726" s="1">
        <f>MAX(Resume!B9/ 252-Portfolios!B726, 0)</f>
        <v>0</v>
      </c>
    </row>
    <row r="727" spans="1:2">
      <c r="A727" s="11">
        <f>Returns!A727</f>
        <v>0</v>
      </c>
      <c r="B727" s="1">
        <f>MAX(Resume!B9/ 252-Portfolios!B727, 0)</f>
        <v>0</v>
      </c>
    </row>
    <row r="728" spans="1:2">
      <c r="A728" s="11">
        <f>Returns!A728</f>
        <v>0</v>
      </c>
      <c r="B728" s="1">
        <f>MAX(Resume!B9/ 252-Portfolios!B728, 0)</f>
        <v>0</v>
      </c>
    </row>
    <row r="729" spans="1:2">
      <c r="A729" s="11">
        <f>Returns!A729</f>
        <v>0</v>
      </c>
      <c r="B729" s="1">
        <f>MAX(Resume!B9/ 252-Portfolios!B729, 0)</f>
        <v>0</v>
      </c>
    </row>
    <row r="730" spans="1:2">
      <c r="A730" s="11">
        <f>Returns!A730</f>
        <v>0</v>
      </c>
      <c r="B730" s="1">
        <f>MAX(Resume!B9/ 252-Portfolios!B730, 0)</f>
        <v>0</v>
      </c>
    </row>
    <row r="731" spans="1:2">
      <c r="A731" s="11">
        <f>Returns!A731</f>
        <v>0</v>
      </c>
      <c r="B731" s="1">
        <f>MAX(Resume!B9/ 252-Portfolios!B731, 0)</f>
        <v>0</v>
      </c>
    </row>
    <row r="732" spans="1:2">
      <c r="A732" s="11">
        <f>Returns!A732</f>
        <v>0</v>
      </c>
      <c r="B732" s="1">
        <f>MAX(Resume!B9/ 252-Portfolios!B732, 0)</f>
        <v>0</v>
      </c>
    </row>
    <row r="733" spans="1:2">
      <c r="A733" s="11">
        <f>Returns!A733</f>
        <v>0</v>
      </c>
      <c r="B733" s="1">
        <f>MAX(Resume!B9/ 252-Portfolios!B733, 0)</f>
        <v>0</v>
      </c>
    </row>
    <row r="734" spans="1:2">
      <c r="A734" s="11">
        <f>Returns!A734</f>
        <v>0</v>
      </c>
      <c r="B734" s="1">
        <f>MAX(Resume!B9/ 252-Portfolios!B734, 0)</f>
        <v>0</v>
      </c>
    </row>
    <row r="735" spans="1:2">
      <c r="A735" s="11">
        <f>Returns!A735</f>
        <v>0</v>
      </c>
      <c r="B735" s="1">
        <f>MAX(Resume!B9/ 252-Portfolios!B735, 0)</f>
        <v>0</v>
      </c>
    </row>
    <row r="736" spans="1:2">
      <c r="A736" s="11">
        <f>Returns!A736</f>
        <v>0</v>
      </c>
      <c r="B736" s="1">
        <f>MAX(Resume!B9/ 252-Portfolios!B736, 0)</f>
        <v>0</v>
      </c>
    </row>
    <row r="737" spans="1:2">
      <c r="A737" s="11">
        <f>Returns!A737</f>
        <v>0</v>
      </c>
      <c r="B737" s="1">
        <f>MAX(Resume!B9/ 252-Portfolios!B737, 0)</f>
        <v>0</v>
      </c>
    </row>
    <row r="738" spans="1:2">
      <c r="A738" s="11">
        <f>Returns!A738</f>
        <v>0</v>
      </c>
      <c r="B738" s="1">
        <f>MAX(Resume!B9/ 252-Portfolios!B738, 0)</f>
        <v>0</v>
      </c>
    </row>
    <row r="739" spans="1:2">
      <c r="A739" s="11">
        <f>Returns!A739</f>
        <v>0</v>
      </c>
      <c r="B739" s="1">
        <f>MAX(Resume!B9/ 252-Portfolios!B739, 0)</f>
        <v>0</v>
      </c>
    </row>
    <row r="740" spans="1:2">
      <c r="A740" s="11">
        <f>Returns!A740</f>
        <v>0</v>
      </c>
      <c r="B740" s="1">
        <f>MAX(Resume!B9/ 252-Portfolios!B740, 0)</f>
        <v>0</v>
      </c>
    </row>
    <row r="741" spans="1:2">
      <c r="A741" s="11">
        <f>Returns!A741</f>
        <v>0</v>
      </c>
      <c r="B741" s="1">
        <f>MAX(Resume!B9/ 252-Portfolios!B741, 0)</f>
        <v>0</v>
      </c>
    </row>
    <row r="742" spans="1:2">
      <c r="A742" s="11">
        <f>Returns!A742</f>
        <v>0</v>
      </c>
      <c r="B742" s="1">
        <f>MAX(Resume!B9/ 252-Portfolios!B742, 0)</f>
        <v>0</v>
      </c>
    </row>
    <row r="743" spans="1:2">
      <c r="A743" s="11">
        <f>Returns!A743</f>
        <v>0</v>
      </c>
      <c r="B743" s="1">
        <f>MAX(Resume!B9/ 252-Portfolios!B743, 0)</f>
        <v>0</v>
      </c>
    </row>
    <row r="744" spans="1:2">
      <c r="A744" s="11">
        <f>Returns!A744</f>
        <v>0</v>
      </c>
      <c r="B744" s="1">
        <f>MAX(Resume!B9/ 252-Portfolios!B744, 0)</f>
        <v>0</v>
      </c>
    </row>
    <row r="745" spans="1:2">
      <c r="A745" s="11">
        <f>Returns!A745</f>
        <v>0</v>
      </c>
      <c r="B745" s="1">
        <f>MAX(Resume!B9/ 252-Portfolios!B745, 0)</f>
        <v>0</v>
      </c>
    </row>
    <row r="746" spans="1:2">
      <c r="A746" s="11">
        <f>Returns!A746</f>
        <v>0</v>
      </c>
      <c r="B746" s="1">
        <f>MAX(Resume!B9/ 252-Portfolios!B746, 0)</f>
        <v>0</v>
      </c>
    </row>
    <row r="747" spans="1:2">
      <c r="A747" s="11">
        <f>Returns!A747</f>
        <v>0</v>
      </c>
      <c r="B747" s="1">
        <f>MAX(Resume!B9/ 252-Portfolios!B747, 0)</f>
        <v>0</v>
      </c>
    </row>
    <row r="748" spans="1:2">
      <c r="A748" s="11">
        <f>Returns!A748</f>
        <v>0</v>
      </c>
      <c r="B748" s="1">
        <f>MAX(Resume!B9/ 252-Portfolios!B748, 0)</f>
        <v>0</v>
      </c>
    </row>
    <row r="749" spans="1:2">
      <c r="A749" s="11">
        <f>Returns!A749</f>
        <v>0</v>
      </c>
      <c r="B749" s="1">
        <f>MAX(Resume!B9/ 252-Portfolios!B749, 0)</f>
        <v>0</v>
      </c>
    </row>
    <row r="750" spans="1:2">
      <c r="A750" s="11">
        <f>Returns!A750</f>
        <v>0</v>
      </c>
      <c r="B750" s="1">
        <f>MAX(Resume!B9/ 252-Portfolios!B750, 0)</f>
        <v>0</v>
      </c>
    </row>
    <row r="751" spans="1:2">
      <c r="A751" s="11">
        <f>Returns!A751</f>
        <v>0</v>
      </c>
      <c r="B751" s="1">
        <f>MAX(Resume!B9/ 252-Portfolios!B751, 0)</f>
        <v>0</v>
      </c>
    </row>
    <row r="752" spans="1:2">
      <c r="A752" s="11">
        <f>Returns!A752</f>
        <v>0</v>
      </c>
      <c r="B752" s="1">
        <f>MAX(Resume!B9/ 252-Portfolios!B752, 0)</f>
        <v>0</v>
      </c>
    </row>
    <row r="753" spans="1:2">
      <c r="A753" s="11">
        <f>Returns!A753</f>
        <v>0</v>
      </c>
      <c r="B753" s="1">
        <f>MAX(Resume!B9/ 252-Portfolios!B753, 0)</f>
        <v>0</v>
      </c>
    </row>
    <row r="754" spans="1:2">
      <c r="A754" s="11">
        <f>Returns!A754</f>
        <v>0</v>
      </c>
      <c r="B754" s="1">
        <f>MAX(Resume!B9/ 252-Portfolios!B754, 0)</f>
        <v>0</v>
      </c>
    </row>
    <row r="755" spans="1:2">
      <c r="A755" s="11">
        <f>Returns!A755</f>
        <v>0</v>
      </c>
      <c r="B755" s="1">
        <f>MAX(Resume!B9/ 252-Portfolios!B755, 0)</f>
        <v>0</v>
      </c>
    </row>
    <row r="756" spans="1:2">
      <c r="A756" s="11">
        <f>Returns!A756</f>
        <v>0</v>
      </c>
      <c r="B756" s="1">
        <f>MAX(Resume!B9/ 252-Portfolios!B756, 0)</f>
        <v>0</v>
      </c>
    </row>
    <row r="757" spans="1:2">
      <c r="A757" s="11">
        <f>Returns!A757</f>
        <v>0</v>
      </c>
      <c r="B757" s="1">
        <f>MAX(Resume!B9/ 252-Portfolios!B757, 0)</f>
        <v>0</v>
      </c>
    </row>
    <row r="758" spans="1:2">
      <c r="A758" s="11">
        <f>Returns!A758</f>
        <v>0</v>
      </c>
      <c r="B758" s="1">
        <f>MAX(Resume!B9/ 252-Portfolios!B758, 0)</f>
        <v>0</v>
      </c>
    </row>
    <row r="759" spans="1:2">
      <c r="A759" s="11">
        <f>Returns!A759</f>
        <v>0</v>
      </c>
      <c r="B759" s="1">
        <f>MAX(Resume!B9/ 252-Portfolios!B759, 0)</f>
        <v>0</v>
      </c>
    </row>
    <row r="760" spans="1:2">
      <c r="A760" s="11">
        <f>Returns!A760</f>
        <v>0</v>
      </c>
      <c r="B760" s="1">
        <f>MAX(Resume!B9/ 252-Portfolios!B760, 0)</f>
        <v>0</v>
      </c>
    </row>
    <row r="761" spans="1:2">
      <c r="A761" s="11">
        <f>Returns!A761</f>
        <v>0</v>
      </c>
      <c r="B761" s="1">
        <f>MAX(Resume!B9/ 252-Portfolios!B761, 0)</f>
        <v>0</v>
      </c>
    </row>
    <row r="762" spans="1:2">
      <c r="A762" s="11">
        <f>Returns!A762</f>
        <v>0</v>
      </c>
      <c r="B762" s="1">
        <f>MAX(Resume!B9/ 252-Portfolios!B762, 0)</f>
        <v>0</v>
      </c>
    </row>
    <row r="763" spans="1:2">
      <c r="A763" s="11">
        <f>Returns!A763</f>
        <v>0</v>
      </c>
      <c r="B763" s="1">
        <f>MAX(Resume!B9/ 252-Portfolios!B763, 0)</f>
        <v>0</v>
      </c>
    </row>
    <row r="764" spans="1:2">
      <c r="A764" s="11">
        <f>Returns!A764</f>
        <v>0</v>
      </c>
      <c r="B764" s="1">
        <f>MAX(Resume!B9/ 252-Portfolios!B764, 0)</f>
        <v>0</v>
      </c>
    </row>
    <row r="765" spans="1:2">
      <c r="A765" s="11">
        <f>Returns!A765</f>
        <v>0</v>
      </c>
      <c r="B765" s="1">
        <f>MAX(Resume!B9/ 252-Portfolios!B765, 0)</f>
        <v>0</v>
      </c>
    </row>
    <row r="766" spans="1:2">
      <c r="A766" s="11">
        <f>Returns!A766</f>
        <v>0</v>
      </c>
      <c r="B766" s="1">
        <f>MAX(Resume!B9/ 252-Portfolios!B766, 0)</f>
        <v>0</v>
      </c>
    </row>
    <row r="767" spans="1:2">
      <c r="A767" s="11">
        <f>Returns!A767</f>
        <v>0</v>
      </c>
      <c r="B767" s="1">
        <f>MAX(Resume!B9/ 252-Portfolios!B767, 0)</f>
        <v>0</v>
      </c>
    </row>
    <row r="768" spans="1:2">
      <c r="A768" s="11">
        <f>Returns!A768</f>
        <v>0</v>
      </c>
      <c r="B768" s="1">
        <f>MAX(Resume!B9/ 252-Portfolios!B768, 0)</f>
        <v>0</v>
      </c>
    </row>
    <row r="769" spans="1:2">
      <c r="A769" s="11">
        <f>Returns!A769</f>
        <v>0</v>
      </c>
      <c r="B769" s="1">
        <f>MAX(Resume!B9/ 252-Portfolios!B769, 0)</f>
        <v>0</v>
      </c>
    </row>
    <row r="770" spans="1:2">
      <c r="A770" s="11">
        <f>Returns!A770</f>
        <v>0</v>
      </c>
      <c r="B770" s="1">
        <f>MAX(Resume!B9/ 252-Portfolios!B770, 0)</f>
        <v>0</v>
      </c>
    </row>
    <row r="771" spans="1:2">
      <c r="A771" s="11">
        <f>Returns!A771</f>
        <v>0</v>
      </c>
      <c r="B771" s="1">
        <f>MAX(Resume!B9/ 252-Portfolios!B771, 0)</f>
        <v>0</v>
      </c>
    </row>
    <row r="772" spans="1:2">
      <c r="A772" s="11">
        <f>Returns!A772</f>
        <v>0</v>
      </c>
      <c r="B772" s="1">
        <f>MAX(Resume!B9/ 252-Portfolios!B772, 0)</f>
        <v>0</v>
      </c>
    </row>
    <row r="773" spans="1:2">
      <c r="A773" s="11">
        <f>Returns!A773</f>
        <v>0</v>
      </c>
      <c r="B773" s="1">
        <f>MAX(Resume!B9/ 252-Portfolios!B773, 0)</f>
        <v>0</v>
      </c>
    </row>
    <row r="774" spans="1:2">
      <c r="A774" s="11">
        <f>Returns!A774</f>
        <v>0</v>
      </c>
      <c r="B774" s="1">
        <f>MAX(Resume!B9/ 252-Portfolios!B774, 0)</f>
        <v>0</v>
      </c>
    </row>
    <row r="775" spans="1:2">
      <c r="A775" s="11">
        <f>Returns!A775</f>
        <v>0</v>
      </c>
      <c r="B775" s="1">
        <f>MAX(Resume!B9/ 252-Portfolios!B775, 0)</f>
        <v>0</v>
      </c>
    </row>
    <row r="776" spans="1:2">
      <c r="A776" s="11">
        <f>Returns!A776</f>
        <v>0</v>
      </c>
      <c r="B776" s="1">
        <f>MAX(Resume!B9/ 252-Portfolios!B776, 0)</f>
        <v>0</v>
      </c>
    </row>
    <row r="777" spans="1:2">
      <c r="A777" s="11">
        <f>Returns!A777</f>
        <v>0</v>
      </c>
      <c r="B777" s="1">
        <f>MAX(Resume!B9/ 252-Portfolios!B777, 0)</f>
        <v>0</v>
      </c>
    </row>
    <row r="778" spans="1:2">
      <c r="A778" s="11">
        <f>Returns!A778</f>
        <v>0</v>
      </c>
      <c r="B778" s="1">
        <f>MAX(Resume!B9/ 252-Portfolios!B778, 0)</f>
        <v>0</v>
      </c>
    </row>
    <row r="779" spans="1:2">
      <c r="A779" s="11">
        <f>Returns!A779</f>
        <v>0</v>
      </c>
      <c r="B779" s="1">
        <f>MAX(Resume!B9/ 252-Portfolios!B779, 0)</f>
        <v>0</v>
      </c>
    </row>
    <row r="780" spans="1:2">
      <c r="A780" s="11">
        <f>Returns!A780</f>
        <v>0</v>
      </c>
      <c r="B780" s="1">
        <f>MAX(Resume!B9/ 252-Portfolios!B780, 0)</f>
        <v>0</v>
      </c>
    </row>
    <row r="781" spans="1:2">
      <c r="A781" s="11">
        <f>Returns!A781</f>
        <v>0</v>
      </c>
      <c r="B781" s="1">
        <f>MAX(Resume!B9/ 252-Portfolios!B781, 0)</f>
        <v>0</v>
      </c>
    </row>
    <row r="782" spans="1:2">
      <c r="A782" s="11">
        <f>Returns!A782</f>
        <v>0</v>
      </c>
      <c r="B782" s="1">
        <f>MAX(Resume!B9/ 252-Portfolios!B782, 0)</f>
        <v>0</v>
      </c>
    </row>
    <row r="783" spans="1:2">
      <c r="A783" s="11">
        <f>Returns!A783</f>
        <v>0</v>
      </c>
      <c r="B783" s="1">
        <f>MAX(Resume!B9/ 252-Portfolios!B783, 0)</f>
        <v>0</v>
      </c>
    </row>
    <row r="784" spans="1:2">
      <c r="A784" s="11">
        <f>Returns!A784</f>
        <v>0</v>
      </c>
      <c r="B784" s="1">
        <f>MAX(Resume!B9/ 252-Portfolios!B784, 0)</f>
        <v>0</v>
      </c>
    </row>
    <row r="785" spans="1:2">
      <c r="A785" s="11">
        <f>Returns!A785</f>
        <v>0</v>
      </c>
      <c r="B785" s="1">
        <f>MAX(Resume!B9/ 252-Portfolios!B785, 0)</f>
        <v>0</v>
      </c>
    </row>
    <row r="786" spans="1:2">
      <c r="A786" s="11">
        <f>Returns!A786</f>
        <v>0</v>
      </c>
      <c r="B786" s="1">
        <f>MAX(Resume!B9/ 252-Portfolios!B786, 0)</f>
        <v>0</v>
      </c>
    </row>
    <row r="787" spans="1:2">
      <c r="A787" s="11">
        <f>Returns!A787</f>
        <v>0</v>
      </c>
      <c r="B787" s="1">
        <f>MAX(Resume!B9/ 252-Portfolios!B787, 0)</f>
        <v>0</v>
      </c>
    </row>
    <row r="788" spans="1:2">
      <c r="A788" s="11">
        <f>Returns!A788</f>
        <v>0</v>
      </c>
      <c r="B788" s="1">
        <f>MAX(Resume!B9/ 252-Portfolios!B788, 0)</f>
        <v>0</v>
      </c>
    </row>
    <row r="789" spans="1:2">
      <c r="A789" s="11">
        <f>Returns!A789</f>
        <v>0</v>
      </c>
      <c r="B789" s="1">
        <f>MAX(Resume!B9/ 252-Portfolios!B789, 0)</f>
        <v>0</v>
      </c>
    </row>
    <row r="790" spans="1:2">
      <c r="A790" s="11">
        <f>Returns!A790</f>
        <v>0</v>
      </c>
      <c r="B790" s="1">
        <f>MAX(Resume!B9/ 252-Portfolios!B790, 0)</f>
        <v>0</v>
      </c>
    </row>
    <row r="791" spans="1:2">
      <c r="A791" s="11">
        <f>Returns!A791</f>
        <v>0</v>
      </c>
      <c r="B791" s="1">
        <f>MAX(Resume!B9/ 252-Portfolios!B791, 0)</f>
        <v>0</v>
      </c>
    </row>
    <row r="792" spans="1:2">
      <c r="A792" s="11">
        <f>Returns!A792</f>
        <v>0</v>
      </c>
      <c r="B792" s="1">
        <f>MAX(Resume!B9/ 252-Portfolios!B792, 0)</f>
        <v>0</v>
      </c>
    </row>
    <row r="793" spans="1:2">
      <c r="A793" s="11">
        <f>Returns!A793</f>
        <v>0</v>
      </c>
      <c r="B793" s="1">
        <f>MAX(Resume!B9/ 252-Portfolios!B793, 0)</f>
        <v>0</v>
      </c>
    </row>
    <row r="794" spans="1:2">
      <c r="A794" s="11">
        <f>Returns!A794</f>
        <v>0</v>
      </c>
      <c r="B794" s="1">
        <f>MAX(Resume!B9/ 252-Portfolios!B794, 0)</f>
        <v>0</v>
      </c>
    </row>
    <row r="795" spans="1:2">
      <c r="A795" s="11">
        <f>Returns!A795</f>
        <v>0</v>
      </c>
      <c r="B795" s="1">
        <f>MAX(Resume!B9/ 252-Portfolios!B795, 0)</f>
        <v>0</v>
      </c>
    </row>
    <row r="796" spans="1:2">
      <c r="A796" s="11">
        <f>Returns!A796</f>
        <v>0</v>
      </c>
      <c r="B796" s="1">
        <f>MAX(Resume!B9/ 252-Portfolios!B796, 0)</f>
        <v>0</v>
      </c>
    </row>
    <row r="797" spans="1:2">
      <c r="A797" s="11">
        <f>Returns!A797</f>
        <v>0</v>
      </c>
      <c r="B797" s="1">
        <f>MAX(Resume!B9/ 252-Portfolios!B797, 0)</f>
        <v>0</v>
      </c>
    </row>
    <row r="798" spans="1:2">
      <c r="A798" s="11">
        <f>Returns!A798</f>
        <v>0</v>
      </c>
      <c r="B798" s="1">
        <f>MAX(Resume!B9/ 252-Portfolios!B798, 0)</f>
        <v>0</v>
      </c>
    </row>
    <row r="799" spans="1:2">
      <c r="A799" s="11">
        <f>Returns!A799</f>
        <v>0</v>
      </c>
      <c r="B799" s="1">
        <f>MAX(Resume!B9/ 252-Portfolios!B799, 0)</f>
        <v>0</v>
      </c>
    </row>
    <row r="800" spans="1:2">
      <c r="A800" s="11">
        <f>Returns!A800</f>
        <v>0</v>
      </c>
      <c r="B800" s="1">
        <f>MAX(Resume!B9/ 252-Portfolios!B800, 0)</f>
        <v>0</v>
      </c>
    </row>
    <row r="801" spans="1:2">
      <c r="A801" s="11">
        <f>Returns!A801</f>
        <v>0</v>
      </c>
      <c r="B801" s="1">
        <f>MAX(Resume!B9/ 252-Portfolios!B801, 0)</f>
        <v>0</v>
      </c>
    </row>
    <row r="802" spans="1:2">
      <c r="A802" s="11">
        <f>Returns!A802</f>
        <v>0</v>
      </c>
      <c r="B802" s="1">
        <f>MAX(Resume!B9/ 252-Portfolios!B802, 0)</f>
        <v>0</v>
      </c>
    </row>
    <row r="803" spans="1:2">
      <c r="A803" s="11">
        <f>Returns!A803</f>
        <v>0</v>
      </c>
      <c r="B803" s="1">
        <f>MAX(Resume!B9/ 252-Portfolios!B803, 0)</f>
        <v>0</v>
      </c>
    </row>
    <row r="804" spans="1:2">
      <c r="A804" s="11">
        <f>Returns!A804</f>
        <v>0</v>
      </c>
      <c r="B804" s="1">
        <f>MAX(Resume!B9/ 252-Portfolios!B804, 0)</f>
        <v>0</v>
      </c>
    </row>
    <row r="805" spans="1:2">
      <c r="A805" s="11">
        <f>Returns!A805</f>
        <v>0</v>
      </c>
      <c r="B805" s="1">
        <f>MAX(Resume!B9/ 252-Portfolios!B805, 0)</f>
        <v>0</v>
      </c>
    </row>
    <row r="806" spans="1:2">
      <c r="A806" s="11">
        <f>Returns!A806</f>
        <v>0</v>
      </c>
      <c r="B806" s="1">
        <f>MAX(Resume!B9/ 252-Portfolios!B806, 0)</f>
        <v>0</v>
      </c>
    </row>
    <row r="807" spans="1:2">
      <c r="A807" s="11">
        <f>Returns!A807</f>
        <v>0</v>
      </c>
      <c r="B807" s="1">
        <f>MAX(Resume!B9/ 252-Portfolios!B807, 0)</f>
        <v>0</v>
      </c>
    </row>
    <row r="808" spans="1:2">
      <c r="A808" s="11">
        <f>Returns!A808</f>
        <v>0</v>
      </c>
      <c r="B808" s="1">
        <f>MAX(Resume!B9/ 252-Portfolios!B808, 0)</f>
        <v>0</v>
      </c>
    </row>
    <row r="809" spans="1:2">
      <c r="A809" s="11">
        <f>Returns!A809</f>
        <v>0</v>
      </c>
      <c r="B809" s="1">
        <f>MAX(Resume!B9/ 252-Portfolios!B809, 0)</f>
        <v>0</v>
      </c>
    </row>
    <row r="810" spans="1:2">
      <c r="A810" s="11">
        <f>Returns!A810</f>
        <v>0</v>
      </c>
      <c r="B810" s="1">
        <f>MAX(Resume!B9/ 252-Portfolios!B810, 0)</f>
        <v>0</v>
      </c>
    </row>
    <row r="811" spans="1:2">
      <c r="A811" s="11">
        <f>Returns!A811</f>
        <v>0</v>
      </c>
      <c r="B811" s="1">
        <f>MAX(Resume!B9/ 252-Portfolios!B811, 0)</f>
        <v>0</v>
      </c>
    </row>
    <row r="812" spans="1:2">
      <c r="A812" s="11">
        <f>Returns!A812</f>
        <v>0</v>
      </c>
      <c r="B812" s="1">
        <f>MAX(Resume!B9/ 252-Portfolios!B812, 0)</f>
        <v>0</v>
      </c>
    </row>
    <row r="813" spans="1:2">
      <c r="A813" s="11">
        <f>Returns!A813</f>
        <v>0</v>
      </c>
      <c r="B813" s="1">
        <f>MAX(Resume!B9/ 252-Portfolios!B813, 0)</f>
        <v>0</v>
      </c>
    </row>
    <row r="814" spans="1:2">
      <c r="A814" s="11">
        <f>Returns!A814</f>
        <v>0</v>
      </c>
      <c r="B814" s="1">
        <f>MAX(Resume!B9/ 252-Portfolios!B814, 0)</f>
        <v>0</v>
      </c>
    </row>
    <row r="815" spans="1:2">
      <c r="A815" s="11">
        <f>Returns!A815</f>
        <v>0</v>
      </c>
      <c r="B815" s="1">
        <f>MAX(Resume!B9/ 252-Portfolios!B815, 0)</f>
        <v>0</v>
      </c>
    </row>
    <row r="816" spans="1:2">
      <c r="A816" s="11">
        <f>Returns!A816</f>
        <v>0</v>
      </c>
      <c r="B816" s="1">
        <f>MAX(Resume!B9/ 252-Portfolios!B816, 0)</f>
        <v>0</v>
      </c>
    </row>
    <row r="817" spans="1:2">
      <c r="A817" s="11">
        <f>Returns!A817</f>
        <v>0</v>
      </c>
      <c r="B817" s="1">
        <f>MAX(Resume!B9/ 252-Portfolios!B817, 0)</f>
        <v>0</v>
      </c>
    </row>
    <row r="818" spans="1:2">
      <c r="A818" s="11">
        <f>Returns!A818</f>
        <v>0</v>
      </c>
      <c r="B818" s="1">
        <f>MAX(Resume!B9/ 252-Portfolios!B818, 0)</f>
        <v>0</v>
      </c>
    </row>
    <row r="819" spans="1:2">
      <c r="A819" s="11">
        <f>Returns!A819</f>
        <v>0</v>
      </c>
      <c r="B819" s="1">
        <f>MAX(Resume!B9/ 252-Portfolios!B819, 0)</f>
        <v>0</v>
      </c>
    </row>
    <row r="820" spans="1:2">
      <c r="A820" s="11">
        <f>Returns!A820</f>
        <v>0</v>
      </c>
      <c r="B820" s="1">
        <f>MAX(Resume!B9/ 252-Portfolios!B820, 0)</f>
        <v>0</v>
      </c>
    </row>
    <row r="821" spans="1:2">
      <c r="A821" s="11">
        <f>Returns!A821</f>
        <v>0</v>
      </c>
      <c r="B821" s="1">
        <f>MAX(Resume!B9/ 252-Portfolios!B821, 0)</f>
        <v>0</v>
      </c>
    </row>
    <row r="822" spans="1:2">
      <c r="A822" s="11">
        <f>Returns!A822</f>
        <v>0</v>
      </c>
      <c r="B822" s="1">
        <f>MAX(Resume!B9/ 252-Portfolios!B822, 0)</f>
        <v>0</v>
      </c>
    </row>
    <row r="823" spans="1:2">
      <c r="A823" s="11">
        <f>Returns!A823</f>
        <v>0</v>
      </c>
      <c r="B823" s="1">
        <f>MAX(Resume!B9/ 252-Portfolios!B823, 0)</f>
        <v>0</v>
      </c>
    </row>
    <row r="824" spans="1:2">
      <c r="A824" s="11">
        <f>Returns!A824</f>
        <v>0</v>
      </c>
      <c r="B824" s="1">
        <f>MAX(Resume!B9/ 252-Portfolios!B824, 0)</f>
        <v>0</v>
      </c>
    </row>
    <row r="825" spans="1:2">
      <c r="A825" s="11">
        <f>Returns!A825</f>
        <v>0</v>
      </c>
      <c r="B825" s="1">
        <f>MAX(Resume!B9/ 252-Portfolios!B825, 0)</f>
        <v>0</v>
      </c>
    </row>
    <row r="826" spans="1:2">
      <c r="A826" s="11">
        <f>Returns!A826</f>
        <v>0</v>
      </c>
      <c r="B826" s="1">
        <f>MAX(Resume!B9/ 252-Portfolios!B826, 0)</f>
        <v>0</v>
      </c>
    </row>
    <row r="827" spans="1:2">
      <c r="A827" s="11">
        <f>Returns!A827</f>
        <v>0</v>
      </c>
      <c r="B827" s="1">
        <f>MAX(Resume!B9/ 252-Portfolios!B827, 0)</f>
        <v>0</v>
      </c>
    </row>
    <row r="828" spans="1:2">
      <c r="A828" s="11">
        <f>Returns!A828</f>
        <v>0</v>
      </c>
      <c r="B828" s="1">
        <f>MAX(Resume!B9/ 252-Portfolios!B828, 0)</f>
        <v>0</v>
      </c>
    </row>
    <row r="829" spans="1:2">
      <c r="A829" s="11">
        <f>Returns!A829</f>
        <v>0</v>
      </c>
      <c r="B829" s="1">
        <f>MAX(Resume!B9/ 252-Portfolios!B829, 0)</f>
        <v>0</v>
      </c>
    </row>
    <row r="830" spans="1:2">
      <c r="A830" s="11">
        <f>Returns!A830</f>
        <v>0</v>
      </c>
      <c r="B830" s="1">
        <f>MAX(Resume!B9/ 252-Portfolios!B830, 0)</f>
        <v>0</v>
      </c>
    </row>
    <row r="831" spans="1:2">
      <c r="A831" s="11">
        <f>Returns!A831</f>
        <v>0</v>
      </c>
      <c r="B831" s="1">
        <f>MAX(Resume!B9/ 252-Portfolios!B831, 0)</f>
        <v>0</v>
      </c>
    </row>
    <row r="832" spans="1:2">
      <c r="A832" s="11">
        <f>Returns!A832</f>
        <v>0</v>
      </c>
      <c r="B832" s="1">
        <f>MAX(Resume!B9/ 252-Portfolios!B832, 0)</f>
        <v>0</v>
      </c>
    </row>
    <row r="833" spans="1:2">
      <c r="A833" s="11">
        <f>Returns!A833</f>
        <v>0</v>
      </c>
      <c r="B833" s="1">
        <f>MAX(Resume!B9/ 252-Portfolios!B833, 0)</f>
        <v>0</v>
      </c>
    </row>
    <row r="834" spans="1:2">
      <c r="A834" s="11">
        <f>Returns!A834</f>
        <v>0</v>
      </c>
      <c r="B834" s="1">
        <f>MAX(Resume!B9/ 252-Portfolios!B834, 0)</f>
        <v>0</v>
      </c>
    </row>
    <row r="835" spans="1:2">
      <c r="A835" s="11">
        <f>Returns!A835</f>
        <v>0</v>
      </c>
      <c r="B835" s="1">
        <f>MAX(Resume!B9/ 252-Portfolios!B835, 0)</f>
        <v>0</v>
      </c>
    </row>
    <row r="836" spans="1:2">
      <c r="A836" s="11">
        <f>Returns!A836</f>
        <v>0</v>
      </c>
      <c r="B836" s="1">
        <f>MAX(Resume!B9/ 252-Portfolios!B836, 0)</f>
        <v>0</v>
      </c>
    </row>
    <row r="837" spans="1:2">
      <c r="A837" s="11">
        <f>Returns!A837</f>
        <v>0</v>
      </c>
      <c r="B837" s="1">
        <f>MAX(Resume!B9/ 252-Portfolios!B837, 0)</f>
        <v>0</v>
      </c>
    </row>
    <row r="838" spans="1:2">
      <c r="A838" s="11">
        <f>Returns!A838</f>
        <v>0</v>
      </c>
      <c r="B838" s="1">
        <f>MAX(Resume!B9/ 252-Portfolios!B838, 0)</f>
        <v>0</v>
      </c>
    </row>
    <row r="839" spans="1:2">
      <c r="A839" s="11">
        <f>Returns!A839</f>
        <v>0</v>
      </c>
      <c r="B839" s="1">
        <f>MAX(Resume!B9/ 252-Portfolios!B839, 0)</f>
        <v>0</v>
      </c>
    </row>
    <row r="840" spans="1:2">
      <c r="A840" s="11">
        <f>Returns!A840</f>
        <v>0</v>
      </c>
      <c r="B840" s="1">
        <f>MAX(Resume!B9/ 252-Portfolios!B840, 0)</f>
        <v>0</v>
      </c>
    </row>
    <row r="841" spans="1:2">
      <c r="A841" s="11">
        <f>Returns!A841</f>
        <v>0</v>
      </c>
      <c r="B841" s="1">
        <f>MAX(Resume!B9/ 252-Portfolios!B841, 0)</f>
        <v>0</v>
      </c>
    </row>
    <row r="842" spans="1:2">
      <c r="A842" s="11">
        <f>Returns!A842</f>
        <v>0</v>
      </c>
      <c r="B842" s="1">
        <f>MAX(Resume!B9/ 252-Portfolios!B842, 0)</f>
        <v>0</v>
      </c>
    </row>
    <row r="843" spans="1:2">
      <c r="A843" s="11">
        <f>Returns!A843</f>
        <v>0</v>
      </c>
      <c r="B843" s="1">
        <f>MAX(Resume!B9/ 252-Portfolios!B843, 0)</f>
        <v>0</v>
      </c>
    </row>
    <row r="844" spans="1:2">
      <c r="A844" s="11">
        <f>Returns!A844</f>
        <v>0</v>
      </c>
      <c r="B844" s="1">
        <f>MAX(Resume!B9/ 252-Portfolios!B844, 0)</f>
        <v>0</v>
      </c>
    </row>
    <row r="845" spans="1:2">
      <c r="A845" s="11">
        <f>Returns!A845</f>
        <v>0</v>
      </c>
      <c r="B845" s="1">
        <f>MAX(Resume!B9/ 252-Portfolios!B845, 0)</f>
        <v>0</v>
      </c>
    </row>
    <row r="846" spans="1:2">
      <c r="A846" s="11">
        <f>Returns!A846</f>
        <v>0</v>
      </c>
      <c r="B846" s="1">
        <f>MAX(Resume!B9/ 252-Portfolios!B846, 0)</f>
        <v>0</v>
      </c>
    </row>
    <row r="847" spans="1:2">
      <c r="A847" s="11">
        <f>Returns!A847</f>
        <v>0</v>
      </c>
      <c r="B847" s="1">
        <f>MAX(Resume!B9/ 252-Portfolios!B847, 0)</f>
        <v>0</v>
      </c>
    </row>
    <row r="848" spans="1:2">
      <c r="A848" s="11">
        <f>Returns!A848</f>
        <v>0</v>
      </c>
      <c r="B848" s="1">
        <f>MAX(Resume!B9/ 252-Portfolios!B848, 0)</f>
        <v>0</v>
      </c>
    </row>
    <row r="849" spans="1:2">
      <c r="A849" s="11">
        <f>Returns!A849</f>
        <v>0</v>
      </c>
      <c r="B849" s="1">
        <f>MAX(Resume!B9/ 252-Portfolios!B849, 0)</f>
        <v>0</v>
      </c>
    </row>
    <row r="850" spans="1:2">
      <c r="A850" s="11">
        <f>Returns!A850</f>
        <v>0</v>
      </c>
      <c r="B850" s="1">
        <f>MAX(Resume!B9/ 252-Portfolios!B850, 0)</f>
        <v>0</v>
      </c>
    </row>
    <row r="851" spans="1:2">
      <c r="A851" s="11">
        <f>Returns!A851</f>
        <v>0</v>
      </c>
      <c r="B851" s="1">
        <f>MAX(Resume!B9/ 252-Portfolios!B851, 0)</f>
        <v>0</v>
      </c>
    </row>
    <row r="852" spans="1:2">
      <c r="A852" s="11">
        <f>Returns!A852</f>
        <v>0</v>
      </c>
      <c r="B852" s="1">
        <f>MAX(Resume!B9/ 252-Portfolios!B852, 0)</f>
        <v>0</v>
      </c>
    </row>
    <row r="853" spans="1:2">
      <c r="A853" s="11">
        <f>Returns!A853</f>
        <v>0</v>
      </c>
      <c r="B853" s="1">
        <f>MAX(Resume!B9/ 252-Portfolios!B853, 0)</f>
        <v>0</v>
      </c>
    </row>
    <row r="854" spans="1:2">
      <c r="A854" s="11">
        <f>Returns!A854</f>
        <v>0</v>
      </c>
      <c r="B854" s="1">
        <f>MAX(Resume!B9/ 252-Portfolios!B854, 0)</f>
        <v>0</v>
      </c>
    </row>
    <row r="855" spans="1:2">
      <c r="A855" s="11">
        <f>Returns!A855</f>
        <v>0</v>
      </c>
      <c r="B855" s="1">
        <f>MAX(Resume!B9/ 252-Portfolios!B855, 0)</f>
        <v>0</v>
      </c>
    </row>
    <row r="856" spans="1:2">
      <c r="A856" s="11">
        <f>Returns!A856</f>
        <v>0</v>
      </c>
      <c r="B856" s="1">
        <f>MAX(Resume!B9/ 252-Portfolios!B856, 0)</f>
        <v>0</v>
      </c>
    </row>
    <row r="857" spans="1:2">
      <c r="A857" s="11">
        <f>Returns!A857</f>
        <v>0</v>
      </c>
      <c r="B857" s="1">
        <f>MAX(Resume!B9/ 252-Portfolios!B857, 0)</f>
        <v>0</v>
      </c>
    </row>
    <row r="858" spans="1:2">
      <c r="A858" s="11">
        <f>Returns!A858</f>
        <v>0</v>
      </c>
      <c r="B858" s="1">
        <f>MAX(Resume!B9/ 252-Portfolios!B858, 0)</f>
        <v>0</v>
      </c>
    </row>
    <row r="859" spans="1:2">
      <c r="A859" s="11">
        <f>Returns!A859</f>
        <v>0</v>
      </c>
      <c r="B859" s="1">
        <f>MAX(Resume!B9/ 252-Portfolios!B859, 0)</f>
        <v>0</v>
      </c>
    </row>
    <row r="860" spans="1:2">
      <c r="A860" s="11">
        <f>Returns!A860</f>
        <v>0</v>
      </c>
      <c r="B860" s="1">
        <f>MAX(Resume!B9/ 252-Portfolios!B860, 0)</f>
        <v>0</v>
      </c>
    </row>
    <row r="861" spans="1:2">
      <c r="A861" s="11">
        <f>Returns!A861</f>
        <v>0</v>
      </c>
      <c r="B861" s="1">
        <f>MAX(Resume!B9/ 252-Portfolios!B861, 0)</f>
        <v>0</v>
      </c>
    </row>
    <row r="862" spans="1:2">
      <c r="A862" s="11">
        <f>Returns!A862</f>
        <v>0</v>
      </c>
      <c r="B862" s="1">
        <f>MAX(Resume!B9/ 252-Portfolios!B862, 0)</f>
        <v>0</v>
      </c>
    </row>
    <row r="863" spans="1:2">
      <c r="A863" s="11">
        <f>Returns!A863</f>
        <v>0</v>
      </c>
      <c r="B863" s="1">
        <f>MAX(Resume!B9/ 252-Portfolios!B863, 0)</f>
        <v>0</v>
      </c>
    </row>
    <row r="864" spans="1:2">
      <c r="A864" s="11">
        <f>Returns!A864</f>
        <v>0</v>
      </c>
      <c r="B864" s="1">
        <f>MAX(Resume!B9/ 252-Portfolios!B864, 0)</f>
        <v>0</v>
      </c>
    </row>
    <row r="865" spans="1:2">
      <c r="A865" s="11">
        <f>Returns!A865</f>
        <v>0</v>
      </c>
      <c r="B865" s="1">
        <f>MAX(Resume!B9/ 252-Portfolios!B865, 0)</f>
        <v>0</v>
      </c>
    </row>
    <row r="866" spans="1:2">
      <c r="A866" s="11">
        <f>Returns!A866</f>
        <v>0</v>
      </c>
      <c r="B866" s="1">
        <f>MAX(Resume!B9/ 252-Portfolios!B866, 0)</f>
        <v>0</v>
      </c>
    </row>
    <row r="867" spans="1:2">
      <c r="A867" s="11">
        <f>Returns!A867</f>
        <v>0</v>
      </c>
      <c r="B867" s="1">
        <f>MAX(Resume!B9/ 252-Portfolios!B867, 0)</f>
        <v>0</v>
      </c>
    </row>
    <row r="868" spans="1:2">
      <c r="A868" s="11">
        <f>Returns!A868</f>
        <v>0</v>
      </c>
      <c r="B868" s="1">
        <f>MAX(Resume!B9/ 252-Portfolios!B868, 0)</f>
        <v>0</v>
      </c>
    </row>
    <row r="869" spans="1:2">
      <c r="A869" s="11">
        <f>Returns!A869</f>
        <v>0</v>
      </c>
      <c r="B869" s="1">
        <f>MAX(Resume!B9/ 252-Portfolios!B869, 0)</f>
        <v>0</v>
      </c>
    </row>
    <row r="870" spans="1:2">
      <c r="A870" s="11">
        <f>Returns!A870</f>
        <v>0</v>
      </c>
      <c r="B870" s="1">
        <f>MAX(Resume!B9/ 252-Portfolios!B870, 0)</f>
        <v>0</v>
      </c>
    </row>
    <row r="871" spans="1:2">
      <c r="A871" s="11">
        <f>Returns!A871</f>
        <v>0</v>
      </c>
      <c r="B871" s="1">
        <f>MAX(Resume!B9/ 252-Portfolios!B871, 0)</f>
        <v>0</v>
      </c>
    </row>
    <row r="872" spans="1:2">
      <c r="A872" s="11">
        <f>Returns!A872</f>
        <v>0</v>
      </c>
      <c r="B872" s="1">
        <f>MAX(Resume!B9/ 252-Portfolios!B872, 0)</f>
        <v>0</v>
      </c>
    </row>
    <row r="873" spans="1:2">
      <c r="A873" s="11">
        <f>Returns!A873</f>
        <v>0</v>
      </c>
      <c r="B873" s="1">
        <f>MAX(Resume!B9/ 252-Portfolios!B873, 0)</f>
        <v>0</v>
      </c>
    </row>
    <row r="874" spans="1:2">
      <c r="A874" s="11">
        <f>Returns!A874</f>
        <v>0</v>
      </c>
      <c r="B874" s="1">
        <f>MAX(Resume!B9/ 252-Portfolios!B874, 0)</f>
        <v>0</v>
      </c>
    </row>
    <row r="875" spans="1:2">
      <c r="A875" s="11">
        <f>Returns!A875</f>
        <v>0</v>
      </c>
      <c r="B875" s="1">
        <f>MAX(Resume!B9/ 252-Portfolios!B875, 0)</f>
        <v>0</v>
      </c>
    </row>
    <row r="876" spans="1:2">
      <c r="A876" s="11">
        <f>Returns!A876</f>
        <v>0</v>
      </c>
      <c r="B876" s="1">
        <f>MAX(Resume!B9/ 252-Portfolios!B876, 0)</f>
        <v>0</v>
      </c>
    </row>
    <row r="877" spans="1:2">
      <c r="A877" s="11">
        <f>Returns!A877</f>
        <v>0</v>
      </c>
      <c r="B877" s="1">
        <f>MAX(Resume!B9/ 252-Portfolios!B877, 0)</f>
        <v>0</v>
      </c>
    </row>
    <row r="878" spans="1:2">
      <c r="A878" s="11">
        <f>Returns!A878</f>
        <v>0</v>
      </c>
      <c r="B878" s="1">
        <f>MAX(Resume!B9/ 252-Portfolios!B878, 0)</f>
        <v>0</v>
      </c>
    </row>
    <row r="879" spans="1:2">
      <c r="A879" s="11">
        <f>Returns!A879</f>
        <v>0</v>
      </c>
      <c r="B879" s="1">
        <f>MAX(Resume!B9/ 252-Portfolios!B879, 0)</f>
        <v>0</v>
      </c>
    </row>
    <row r="880" spans="1:2">
      <c r="A880" s="11">
        <f>Returns!A880</f>
        <v>0</v>
      </c>
      <c r="B880" s="1">
        <f>MAX(Resume!B9/ 252-Portfolios!B880, 0)</f>
        <v>0</v>
      </c>
    </row>
    <row r="881" spans="1:2">
      <c r="A881" s="11">
        <f>Returns!A881</f>
        <v>0</v>
      </c>
      <c r="B881" s="1">
        <f>MAX(Resume!B9/ 252-Portfolios!B881, 0)</f>
        <v>0</v>
      </c>
    </row>
    <row r="882" spans="1:2">
      <c r="A882" s="11">
        <f>Returns!A882</f>
        <v>0</v>
      </c>
      <c r="B882" s="1">
        <f>MAX(Resume!B9/ 252-Portfolios!B882, 0)</f>
        <v>0</v>
      </c>
    </row>
    <row r="883" spans="1:2">
      <c r="A883" s="11">
        <f>Returns!A883</f>
        <v>0</v>
      </c>
      <c r="B883" s="1">
        <f>MAX(Resume!B9/ 252-Portfolios!B883, 0)</f>
        <v>0</v>
      </c>
    </row>
    <row r="884" spans="1:2">
      <c r="A884" s="11">
        <f>Returns!A884</f>
        <v>0</v>
      </c>
      <c r="B884" s="1">
        <f>MAX(Resume!B9/ 252-Portfolios!B884, 0)</f>
        <v>0</v>
      </c>
    </row>
    <row r="885" spans="1:2">
      <c r="A885" s="11">
        <f>Returns!A885</f>
        <v>0</v>
      </c>
      <c r="B885" s="1">
        <f>MAX(Resume!B9/ 252-Portfolios!B885, 0)</f>
        <v>0</v>
      </c>
    </row>
    <row r="886" spans="1:2">
      <c r="A886" s="11">
        <f>Returns!A886</f>
        <v>0</v>
      </c>
      <c r="B886" s="1">
        <f>MAX(Resume!B9/ 252-Portfolios!B886, 0)</f>
        <v>0</v>
      </c>
    </row>
    <row r="887" spans="1:2">
      <c r="A887" s="11">
        <f>Returns!A887</f>
        <v>0</v>
      </c>
      <c r="B887" s="1">
        <f>MAX(Resume!B9/ 252-Portfolios!B887, 0)</f>
        <v>0</v>
      </c>
    </row>
    <row r="888" spans="1:2">
      <c r="A888" s="11">
        <f>Returns!A888</f>
        <v>0</v>
      </c>
      <c r="B888" s="1">
        <f>MAX(Resume!B9/ 252-Portfolios!B888, 0)</f>
        <v>0</v>
      </c>
    </row>
    <row r="889" spans="1:2">
      <c r="A889" s="11">
        <f>Returns!A889</f>
        <v>0</v>
      </c>
      <c r="B889" s="1">
        <f>MAX(Resume!B9/ 252-Portfolios!B889, 0)</f>
        <v>0</v>
      </c>
    </row>
    <row r="890" spans="1:2">
      <c r="A890" s="11">
        <f>Returns!A890</f>
        <v>0</v>
      </c>
      <c r="B890" s="1">
        <f>MAX(Resume!B9/ 252-Portfolios!B890, 0)</f>
        <v>0</v>
      </c>
    </row>
    <row r="891" spans="1:2">
      <c r="A891" s="11">
        <f>Returns!A891</f>
        <v>0</v>
      </c>
      <c r="B891" s="1">
        <f>MAX(Resume!B9/ 252-Portfolios!B891, 0)</f>
        <v>0</v>
      </c>
    </row>
    <row r="892" spans="1:2">
      <c r="A892" s="11">
        <f>Returns!A892</f>
        <v>0</v>
      </c>
      <c r="B892" s="1">
        <f>MAX(Resume!B9/ 252-Portfolios!B892, 0)</f>
        <v>0</v>
      </c>
    </row>
    <row r="893" spans="1:2">
      <c r="A893" s="11">
        <f>Returns!A893</f>
        <v>0</v>
      </c>
      <c r="B893" s="1">
        <f>MAX(Resume!B9/ 252-Portfolios!B893, 0)</f>
        <v>0</v>
      </c>
    </row>
    <row r="894" spans="1:2">
      <c r="A894" s="11">
        <f>Returns!A894</f>
        <v>0</v>
      </c>
      <c r="B894" s="1">
        <f>MAX(Resume!B9/ 252-Portfolios!B894, 0)</f>
        <v>0</v>
      </c>
    </row>
    <row r="895" spans="1:2">
      <c r="A895" s="11">
        <f>Returns!A895</f>
        <v>0</v>
      </c>
      <c r="B895" s="1">
        <f>MAX(Resume!B9/ 252-Portfolios!B895, 0)</f>
        <v>0</v>
      </c>
    </row>
    <row r="896" spans="1:2">
      <c r="A896" s="11">
        <f>Returns!A896</f>
        <v>0</v>
      </c>
      <c r="B896" s="1">
        <f>MAX(Resume!B9/ 252-Portfolios!B896, 0)</f>
        <v>0</v>
      </c>
    </row>
    <row r="897" spans="1:2">
      <c r="A897" s="11">
        <f>Returns!A897</f>
        <v>0</v>
      </c>
      <c r="B897" s="1">
        <f>MAX(Resume!B9/ 252-Portfolios!B897, 0)</f>
        <v>0</v>
      </c>
    </row>
    <row r="898" spans="1:2">
      <c r="A898" s="11">
        <f>Returns!A898</f>
        <v>0</v>
      </c>
      <c r="B898" s="1">
        <f>MAX(Resume!B9/ 252-Portfolios!B898, 0)</f>
        <v>0</v>
      </c>
    </row>
    <row r="899" spans="1:2">
      <c r="A899" s="11">
        <f>Returns!A899</f>
        <v>0</v>
      </c>
      <c r="B899" s="1">
        <f>MAX(Resume!B9/ 252-Portfolios!B899, 0)</f>
        <v>0</v>
      </c>
    </row>
    <row r="900" spans="1:2">
      <c r="A900" s="11">
        <f>Returns!A900</f>
        <v>0</v>
      </c>
      <c r="B900" s="1">
        <f>MAX(Resume!B9/ 252-Portfolios!B900, 0)</f>
        <v>0</v>
      </c>
    </row>
    <row r="901" spans="1:2">
      <c r="A901" s="11">
        <f>Returns!A901</f>
        <v>0</v>
      </c>
      <c r="B901" s="1">
        <f>MAX(Resume!B9/ 252-Portfolios!B901, 0)</f>
        <v>0</v>
      </c>
    </row>
    <row r="902" spans="1:2">
      <c r="A902" s="11">
        <f>Returns!A902</f>
        <v>0</v>
      </c>
      <c r="B902" s="1">
        <f>MAX(Resume!B9/ 252-Portfolios!B902, 0)</f>
        <v>0</v>
      </c>
    </row>
    <row r="903" spans="1:2">
      <c r="A903" s="11">
        <f>Returns!A903</f>
        <v>0</v>
      </c>
      <c r="B903" s="1">
        <f>MAX(Resume!B9/ 252-Portfolios!B903, 0)</f>
        <v>0</v>
      </c>
    </row>
    <row r="904" spans="1:2">
      <c r="A904" s="11">
        <f>Returns!A904</f>
        <v>0</v>
      </c>
      <c r="B904" s="1">
        <f>MAX(Resume!B9/ 252-Portfolios!B904, 0)</f>
        <v>0</v>
      </c>
    </row>
    <row r="905" spans="1:2">
      <c r="A905" s="11">
        <f>Returns!A905</f>
        <v>0</v>
      </c>
      <c r="B905" s="1">
        <f>MAX(Resume!B9/ 252-Portfolios!B905, 0)</f>
        <v>0</v>
      </c>
    </row>
    <row r="906" spans="1:2">
      <c r="A906" s="11">
        <f>Returns!A906</f>
        <v>0</v>
      </c>
      <c r="B906" s="1">
        <f>MAX(Resume!B9/ 252-Portfolios!B906, 0)</f>
        <v>0</v>
      </c>
    </row>
    <row r="907" spans="1:2">
      <c r="A907" s="11">
        <f>Returns!A907</f>
        <v>0</v>
      </c>
      <c r="B907" s="1">
        <f>MAX(Resume!B9/ 252-Portfolios!B907, 0)</f>
        <v>0</v>
      </c>
    </row>
    <row r="908" spans="1:2">
      <c r="A908" s="11">
        <f>Returns!A908</f>
        <v>0</v>
      </c>
      <c r="B908" s="1">
        <f>MAX(Resume!B9/ 252-Portfolios!B908, 0)</f>
        <v>0</v>
      </c>
    </row>
    <row r="909" spans="1:2">
      <c r="A909" s="11">
        <f>Returns!A909</f>
        <v>0</v>
      </c>
      <c r="B909" s="1">
        <f>MAX(Resume!B9/ 252-Portfolios!B909, 0)</f>
        <v>0</v>
      </c>
    </row>
    <row r="910" spans="1:2">
      <c r="A910" s="11">
        <f>Returns!A910</f>
        <v>0</v>
      </c>
      <c r="B910" s="1">
        <f>MAX(Resume!B9/ 252-Portfolios!B910, 0)</f>
        <v>0</v>
      </c>
    </row>
    <row r="911" spans="1:2">
      <c r="A911" s="11">
        <f>Returns!A911</f>
        <v>0</v>
      </c>
      <c r="B911" s="1">
        <f>MAX(Resume!B9/ 252-Portfolios!B911, 0)</f>
        <v>0</v>
      </c>
    </row>
    <row r="912" spans="1:2">
      <c r="A912" s="11">
        <f>Returns!A912</f>
        <v>0</v>
      </c>
      <c r="B912" s="1">
        <f>MAX(Resume!B9/ 252-Portfolios!B912, 0)</f>
        <v>0</v>
      </c>
    </row>
    <row r="913" spans="1:2">
      <c r="A913" s="11">
        <f>Returns!A913</f>
        <v>0</v>
      </c>
      <c r="B913" s="1">
        <f>MAX(Resume!B9/ 252-Portfolios!B913, 0)</f>
        <v>0</v>
      </c>
    </row>
    <row r="914" spans="1:2">
      <c r="A914" s="11">
        <f>Returns!A914</f>
        <v>0</v>
      </c>
      <c r="B914" s="1">
        <f>MAX(Resume!B9/ 252-Portfolios!B914, 0)</f>
        <v>0</v>
      </c>
    </row>
    <row r="915" spans="1:2">
      <c r="A915" s="11">
        <f>Returns!A915</f>
        <v>0</v>
      </c>
      <c r="B915" s="1">
        <f>MAX(Resume!B9/ 252-Portfolios!B915, 0)</f>
        <v>0</v>
      </c>
    </row>
    <row r="916" spans="1:2">
      <c r="A916" s="11">
        <f>Returns!A916</f>
        <v>0</v>
      </c>
      <c r="B916" s="1">
        <f>MAX(Resume!B9/ 252-Portfolios!B916, 0)</f>
        <v>0</v>
      </c>
    </row>
    <row r="917" spans="1:2">
      <c r="A917" s="11">
        <f>Returns!A917</f>
        <v>0</v>
      </c>
      <c r="B917" s="1">
        <f>MAX(Resume!B9/ 252-Portfolios!B917, 0)</f>
        <v>0</v>
      </c>
    </row>
    <row r="918" spans="1:2">
      <c r="A918" s="11">
        <f>Returns!A918</f>
        <v>0</v>
      </c>
      <c r="B918" s="1">
        <f>MAX(Resume!B9/ 252-Portfolios!B918, 0)</f>
        <v>0</v>
      </c>
    </row>
    <row r="919" spans="1:2">
      <c r="A919" s="11">
        <f>Returns!A919</f>
        <v>0</v>
      </c>
      <c r="B919" s="1">
        <f>MAX(Resume!B9/ 252-Portfolios!B919, 0)</f>
        <v>0</v>
      </c>
    </row>
    <row r="920" spans="1:2">
      <c r="A920" s="11">
        <f>Returns!A920</f>
        <v>0</v>
      </c>
      <c r="B920" s="1">
        <f>MAX(Resume!B9/ 252-Portfolios!B920, 0)</f>
        <v>0</v>
      </c>
    </row>
    <row r="921" spans="1:2">
      <c r="A921" s="11">
        <f>Returns!A921</f>
        <v>0</v>
      </c>
      <c r="B921" s="1">
        <f>MAX(Resume!B9/ 252-Portfolios!B921, 0)</f>
        <v>0</v>
      </c>
    </row>
    <row r="922" spans="1:2">
      <c r="A922" s="11">
        <f>Returns!A922</f>
        <v>0</v>
      </c>
      <c r="B922" s="1">
        <f>MAX(Resume!B9/ 252-Portfolios!B922, 0)</f>
        <v>0</v>
      </c>
    </row>
    <row r="923" spans="1:2">
      <c r="A923" s="11">
        <f>Returns!A923</f>
        <v>0</v>
      </c>
      <c r="B923" s="1">
        <f>MAX(Resume!B9/ 252-Portfolios!B923, 0)</f>
        <v>0</v>
      </c>
    </row>
    <row r="924" spans="1:2">
      <c r="A924" s="11">
        <f>Returns!A924</f>
        <v>0</v>
      </c>
      <c r="B924" s="1">
        <f>MAX(Resume!B9/ 252-Portfolios!B924, 0)</f>
        <v>0</v>
      </c>
    </row>
    <row r="925" spans="1:2">
      <c r="A925" s="11">
        <f>Returns!A925</f>
        <v>0</v>
      </c>
      <c r="B925" s="1">
        <f>MAX(Resume!B9/ 252-Portfolios!B925, 0)</f>
        <v>0</v>
      </c>
    </row>
    <row r="926" spans="1:2">
      <c r="A926" s="11">
        <f>Returns!A926</f>
        <v>0</v>
      </c>
      <c r="B926" s="1">
        <f>MAX(Resume!B9/ 252-Portfolios!B926, 0)</f>
        <v>0</v>
      </c>
    </row>
    <row r="927" spans="1:2">
      <c r="A927" s="11">
        <f>Returns!A927</f>
        <v>0</v>
      </c>
      <c r="B927" s="1">
        <f>MAX(Resume!B9/ 252-Portfolios!B927, 0)</f>
        <v>0</v>
      </c>
    </row>
    <row r="928" spans="1:2">
      <c r="A928" s="11">
        <f>Returns!A928</f>
        <v>0</v>
      </c>
      <c r="B928" s="1">
        <f>MAX(Resume!B9/ 252-Portfolios!B928, 0)</f>
        <v>0</v>
      </c>
    </row>
    <row r="929" spans="1:2">
      <c r="A929" s="11">
        <f>Returns!A929</f>
        <v>0</v>
      </c>
      <c r="B929" s="1">
        <f>MAX(Resume!B9/ 252-Portfolios!B929, 0)</f>
        <v>0</v>
      </c>
    </row>
    <row r="930" spans="1:2">
      <c r="A930" s="11">
        <f>Returns!A930</f>
        <v>0</v>
      </c>
      <c r="B930" s="1">
        <f>MAX(Resume!B9/ 252-Portfolios!B930, 0)</f>
        <v>0</v>
      </c>
    </row>
    <row r="931" spans="1:2">
      <c r="A931" s="11">
        <f>Returns!A931</f>
        <v>0</v>
      </c>
      <c r="B931" s="1">
        <f>MAX(Resume!B9/ 252-Portfolios!B931, 0)</f>
        <v>0</v>
      </c>
    </row>
    <row r="932" spans="1:2">
      <c r="A932" s="11">
        <f>Returns!A932</f>
        <v>0</v>
      </c>
      <c r="B932" s="1">
        <f>MAX(Resume!B9/ 252-Portfolios!B932, 0)</f>
        <v>0</v>
      </c>
    </row>
    <row r="933" spans="1:2">
      <c r="A933" s="11">
        <f>Returns!A933</f>
        <v>0</v>
      </c>
      <c r="B933" s="1">
        <f>MAX(Resume!B9/ 252-Portfolios!B933, 0)</f>
        <v>0</v>
      </c>
    </row>
    <row r="934" spans="1:2">
      <c r="A934" s="11">
        <f>Returns!A934</f>
        <v>0</v>
      </c>
      <c r="B934" s="1">
        <f>MAX(Resume!B9/ 252-Portfolios!B934, 0)</f>
        <v>0</v>
      </c>
    </row>
    <row r="935" spans="1:2">
      <c r="A935" s="11">
        <f>Returns!A935</f>
        <v>0</v>
      </c>
      <c r="B935" s="1">
        <f>MAX(Resume!B9/ 252-Portfolios!B935, 0)</f>
        <v>0</v>
      </c>
    </row>
    <row r="936" spans="1:2">
      <c r="A936" s="11">
        <f>Returns!A936</f>
        <v>0</v>
      </c>
      <c r="B936" s="1">
        <f>MAX(Resume!B9/ 252-Portfolios!B936, 0)</f>
        <v>0</v>
      </c>
    </row>
    <row r="937" spans="1:2">
      <c r="A937" s="11">
        <f>Returns!A937</f>
        <v>0</v>
      </c>
      <c r="B937" s="1">
        <f>MAX(Resume!B9/ 252-Portfolios!B937, 0)</f>
        <v>0</v>
      </c>
    </row>
    <row r="938" spans="1:2">
      <c r="A938" s="11">
        <f>Returns!A938</f>
        <v>0</v>
      </c>
      <c r="B938" s="1">
        <f>MAX(Resume!B9/ 252-Portfolios!B938, 0)</f>
        <v>0</v>
      </c>
    </row>
    <row r="939" spans="1:2">
      <c r="A939" s="11">
        <f>Returns!A939</f>
        <v>0</v>
      </c>
      <c r="B939" s="1">
        <f>MAX(Resume!B9/ 252-Portfolios!B939, 0)</f>
        <v>0</v>
      </c>
    </row>
    <row r="940" spans="1:2">
      <c r="A940" s="11">
        <f>Returns!A940</f>
        <v>0</v>
      </c>
      <c r="B940" s="1">
        <f>MAX(Resume!B9/ 252-Portfolios!B940, 0)</f>
        <v>0</v>
      </c>
    </row>
    <row r="941" spans="1:2">
      <c r="A941" s="11">
        <f>Returns!A941</f>
        <v>0</v>
      </c>
      <c r="B941" s="1">
        <f>MAX(Resume!B9/ 252-Portfolios!B941, 0)</f>
        <v>0</v>
      </c>
    </row>
    <row r="942" spans="1:2">
      <c r="A942" s="11">
        <f>Returns!A942</f>
        <v>0</v>
      </c>
      <c r="B942" s="1">
        <f>MAX(Resume!B9/ 252-Portfolios!B942, 0)</f>
        <v>0</v>
      </c>
    </row>
    <row r="943" spans="1:2">
      <c r="A943" s="11">
        <f>Returns!A943</f>
        <v>0</v>
      </c>
      <c r="B943" s="1">
        <f>MAX(Resume!B9/ 252-Portfolios!B943, 0)</f>
        <v>0</v>
      </c>
    </row>
    <row r="944" spans="1:2">
      <c r="A944" s="11">
        <f>Returns!A944</f>
        <v>0</v>
      </c>
      <c r="B944" s="1">
        <f>MAX(Resume!B9/ 252-Portfolios!B944, 0)</f>
        <v>0</v>
      </c>
    </row>
    <row r="945" spans="1:2">
      <c r="A945" s="11">
        <f>Returns!A945</f>
        <v>0</v>
      </c>
      <c r="B945" s="1">
        <f>MAX(Resume!B9/ 252-Portfolios!B945, 0)</f>
        <v>0</v>
      </c>
    </row>
    <row r="946" spans="1:2">
      <c r="A946" s="11">
        <f>Returns!A946</f>
        <v>0</v>
      </c>
      <c r="B946" s="1">
        <f>MAX(Resume!B9/ 252-Portfolios!B946, 0)</f>
        <v>0</v>
      </c>
    </row>
    <row r="947" spans="1:2">
      <c r="A947" s="11">
        <f>Returns!A947</f>
        <v>0</v>
      </c>
      <c r="B947" s="1">
        <f>MAX(Resume!B9/ 252-Portfolios!B947, 0)</f>
        <v>0</v>
      </c>
    </row>
    <row r="948" spans="1:2">
      <c r="A948" s="11">
        <f>Returns!A948</f>
        <v>0</v>
      </c>
      <c r="B948" s="1">
        <f>MAX(Resume!B9/ 252-Portfolios!B948, 0)</f>
        <v>0</v>
      </c>
    </row>
    <row r="949" spans="1:2">
      <c r="A949" s="11">
        <f>Returns!A949</f>
        <v>0</v>
      </c>
      <c r="B949" s="1">
        <f>MAX(Resume!B9/ 252-Portfolios!B949, 0)</f>
        <v>0</v>
      </c>
    </row>
    <row r="950" spans="1:2">
      <c r="A950" s="11">
        <f>Returns!A950</f>
        <v>0</v>
      </c>
      <c r="B950" s="1">
        <f>MAX(Resume!B9/ 252-Portfolios!B950, 0)</f>
        <v>0</v>
      </c>
    </row>
    <row r="951" spans="1:2">
      <c r="A951" s="11">
        <f>Returns!A951</f>
        <v>0</v>
      </c>
      <c r="B951" s="1">
        <f>MAX(Resume!B9/ 252-Portfolios!B951, 0)</f>
        <v>0</v>
      </c>
    </row>
    <row r="952" spans="1:2">
      <c r="A952" s="11">
        <f>Returns!A952</f>
        <v>0</v>
      </c>
      <c r="B952" s="1">
        <f>MAX(Resume!B9/ 252-Portfolios!B952, 0)</f>
        <v>0</v>
      </c>
    </row>
    <row r="953" spans="1:2">
      <c r="A953" s="11">
        <f>Returns!A953</f>
        <v>0</v>
      </c>
      <c r="B953" s="1">
        <f>MAX(Resume!B9/ 252-Portfolios!B953, 0)</f>
        <v>0</v>
      </c>
    </row>
    <row r="954" spans="1:2">
      <c r="A954" s="11">
        <f>Returns!A954</f>
        <v>0</v>
      </c>
      <c r="B954" s="1">
        <f>MAX(Resume!B9/ 252-Portfolios!B954, 0)</f>
        <v>0</v>
      </c>
    </row>
    <row r="955" spans="1:2">
      <c r="A955" s="11">
        <f>Returns!A955</f>
        <v>0</v>
      </c>
      <c r="B955" s="1">
        <f>MAX(Resume!B9/ 252-Portfolios!B955, 0)</f>
        <v>0</v>
      </c>
    </row>
    <row r="956" spans="1:2">
      <c r="A956" s="11">
        <f>Returns!A956</f>
        <v>0</v>
      </c>
      <c r="B956" s="1">
        <f>MAX(Resume!B9/ 252-Portfolios!B956, 0)</f>
        <v>0</v>
      </c>
    </row>
    <row r="957" spans="1:2">
      <c r="A957" s="11">
        <f>Returns!A957</f>
        <v>0</v>
      </c>
      <c r="B957" s="1">
        <f>MAX(Resume!B9/ 252-Portfolios!B957, 0)</f>
        <v>0</v>
      </c>
    </row>
    <row r="958" spans="1:2">
      <c r="A958" s="11">
        <f>Returns!A958</f>
        <v>0</v>
      </c>
      <c r="B958" s="1">
        <f>MAX(Resume!B9/ 252-Portfolios!B958, 0)</f>
        <v>0</v>
      </c>
    </row>
    <row r="959" spans="1:2">
      <c r="A959" s="11">
        <f>Returns!A959</f>
        <v>0</v>
      </c>
      <c r="B959" s="1">
        <f>MAX(Resume!B9/ 252-Portfolios!B959, 0)</f>
        <v>0</v>
      </c>
    </row>
    <row r="960" spans="1:2">
      <c r="A960" s="11">
        <f>Returns!A960</f>
        <v>0</v>
      </c>
      <c r="B960" s="1">
        <f>MAX(Resume!B9/ 252-Portfolios!B960, 0)</f>
        <v>0</v>
      </c>
    </row>
    <row r="961" spans="1:2">
      <c r="A961" s="11">
        <f>Returns!A961</f>
        <v>0</v>
      </c>
      <c r="B961" s="1">
        <f>MAX(Resume!B9/ 252-Portfolios!B961, 0)</f>
        <v>0</v>
      </c>
    </row>
    <row r="962" spans="1:2">
      <c r="A962" s="11">
        <f>Returns!A962</f>
        <v>0</v>
      </c>
      <c r="B962" s="1">
        <f>MAX(Resume!B9/ 252-Portfolios!B962, 0)</f>
        <v>0</v>
      </c>
    </row>
    <row r="963" spans="1:2">
      <c r="A963" s="11">
        <f>Returns!A963</f>
        <v>0</v>
      </c>
      <c r="B963" s="1">
        <f>MAX(Resume!B9/ 252-Portfolios!B963, 0)</f>
        <v>0</v>
      </c>
    </row>
    <row r="964" spans="1:2">
      <c r="A964" s="11">
        <f>Returns!A964</f>
        <v>0</v>
      </c>
      <c r="B964" s="1">
        <f>MAX(Resume!B9/ 252-Portfolios!B964, 0)</f>
        <v>0</v>
      </c>
    </row>
    <row r="965" spans="1:2">
      <c r="A965" s="11">
        <f>Returns!A965</f>
        <v>0</v>
      </c>
      <c r="B965" s="1">
        <f>MAX(Resume!B9/ 252-Portfolios!B965, 0)</f>
        <v>0</v>
      </c>
    </row>
    <row r="966" spans="1:2">
      <c r="A966" s="11">
        <f>Returns!A966</f>
        <v>0</v>
      </c>
      <c r="B966" s="1">
        <f>MAX(Resume!B9/ 252-Portfolios!B966, 0)</f>
        <v>0</v>
      </c>
    </row>
    <row r="967" spans="1:2">
      <c r="A967" s="11">
        <f>Returns!A967</f>
        <v>0</v>
      </c>
      <c r="B967" s="1">
        <f>MAX(Resume!B9/ 252-Portfolios!B967, 0)</f>
        <v>0</v>
      </c>
    </row>
    <row r="968" spans="1:2">
      <c r="A968" s="11">
        <f>Returns!A968</f>
        <v>0</v>
      </c>
      <c r="B968" s="1">
        <f>MAX(Resume!B9/ 252-Portfolios!B968, 0)</f>
        <v>0</v>
      </c>
    </row>
    <row r="969" spans="1:2">
      <c r="A969" s="11">
        <f>Returns!A969</f>
        <v>0</v>
      </c>
      <c r="B969" s="1">
        <f>MAX(Resume!B9/ 252-Portfolios!B969, 0)</f>
        <v>0</v>
      </c>
    </row>
    <row r="970" spans="1:2">
      <c r="A970" s="11">
        <f>Returns!A970</f>
        <v>0</v>
      </c>
      <c r="B970" s="1">
        <f>MAX(Resume!B9/ 252-Portfolios!B970, 0)</f>
        <v>0</v>
      </c>
    </row>
    <row r="971" spans="1:2">
      <c r="A971" s="11">
        <f>Returns!A971</f>
        <v>0</v>
      </c>
      <c r="B971" s="1">
        <f>MAX(Resume!B9/ 252-Portfolios!B971, 0)</f>
        <v>0</v>
      </c>
    </row>
    <row r="972" spans="1:2">
      <c r="A972" s="11">
        <f>Returns!A972</f>
        <v>0</v>
      </c>
      <c r="B972" s="1">
        <f>MAX(Resume!B9/ 252-Portfolios!B972, 0)</f>
        <v>0</v>
      </c>
    </row>
    <row r="973" spans="1:2">
      <c r="A973" s="11">
        <f>Returns!A973</f>
        <v>0</v>
      </c>
      <c r="B973" s="1">
        <f>MAX(Resume!B9/ 252-Portfolios!B973, 0)</f>
        <v>0</v>
      </c>
    </row>
    <row r="974" spans="1:2">
      <c r="A974" s="11">
        <f>Returns!A974</f>
        <v>0</v>
      </c>
      <c r="B974" s="1">
        <f>MAX(Resume!B9/ 252-Portfolios!B974, 0)</f>
        <v>0</v>
      </c>
    </row>
    <row r="975" spans="1:2">
      <c r="A975" s="11">
        <f>Returns!A975</f>
        <v>0</v>
      </c>
      <c r="B975" s="1">
        <f>MAX(Resume!B9/ 252-Portfolios!B975, 0)</f>
        <v>0</v>
      </c>
    </row>
    <row r="976" spans="1:2">
      <c r="A976" s="11">
        <f>Returns!A976</f>
        <v>0</v>
      </c>
      <c r="B976" s="1">
        <f>MAX(Resume!B9/ 252-Portfolios!B976, 0)</f>
        <v>0</v>
      </c>
    </row>
    <row r="977" spans="1:2">
      <c r="A977" s="11">
        <f>Returns!A977</f>
        <v>0</v>
      </c>
      <c r="B977" s="1">
        <f>MAX(Resume!B9/ 252-Portfolios!B977, 0)</f>
        <v>0</v>
      </c>
    </row>
    <row r="978" spans="1:2">
      <c r="A978" s="11">
        <f>Returns!A978</f>
        <v>0</v>
      </c>
      <c r="B978" s="1">
        <f>MAX(Resume!B9/ 252-Portfolios!B978, 0)</f>
        <v>0</v>
      </c>
    </row>
    <row r="979" spans="1:2">
      <c r="A979" s="11">
        <f>Returns!A979</f>
        <v>0</v>
      </c>
      <c r="B979" s="1">
        <f>MAX(Resume!B9/ 252-Portfolios!B979, 0)</f>
        <v>0</v>
      </c>
    </row>
    <row r="980" spans="1:2">
      <c r="A980" s="11">
        <f>Returns!A980</f>
        <v>0</v>
      </c>
      <c r="B980" s="1">
        <f>MAX(Resume!B9/ 252-Portfolios!B980, 0)</f>
        <v>0</v>
      </c>
    </row>
    <row r="981" spans="1:2">
      <c r="A981" s="11">
        <f>Returns!A981</f>
        <v>0</v>
      </c>
      <c r="B981" s="1">
        <f>MAX(Resume!B9/ 252-Portfolios!B981, 0)</f>
        <v>0</v>
      </c>
    </row>
    <row r="982" spans="1:2">
      <c r="A982" s="11">
        <f>Returns!A982</f>
        <v>0</v>
      </c>
      <c r="B982" s="1">
        <f>MAX(Resume!B9/ 252-Portfolios!B982, 0)</f>
        <v>0</v>
      </c>
    </row>
    <row r="983" spans="1:2">
      <c r="A983" s="11">
        <f>Returns!A983</f>
        <v>0</v>
      </c>
      <c r="B983" s="1">
        <f>MAX(Resume!B9/ 252-Portfolios!B983, 0)</f>
        <v>0</v>
      </c>
    </row>
    <row r="984" spans="1:2">
      <c r="A984" s="11">
        <f>Returns!A984</f>
        <v>0</v>
      </c>
      <c r="B984" s="1">
        <f>MAX(Resume!B9/ 252-Portfolios!B984, 0)</f>
        <v>0</v>
      </c>
    </row>
    <row r="985" spans="1:2">
      <c r="A985" s="11">
        <f>Returns!A985</f>
        <v>0</v>
      </c>
      <c r="B985" s="1">
        <f>MAX(Resume!B9/ 252-Portfolios!B985, 0)</f>
        <v>0</v>
      </c>
    </row>
    <row r="986" spans="1:2">
      <c r="A986" s="11">
        <f>Returns!A986</f>
        <v>0</v>
      </c>
      <c r="B986" s="1">
        <f>MAX(Resume!B9/ 252-Portfolios!B986, 0)</f>
        <v>0</v>
      </c>
    </row>
    <row r="987" spans="1:2">
      <c r="A987" s="11">
        <f>Returns!A987</f>
        <v>0</v>
      </c>
      <c r="B987" s="1">
        <f>MAX(Resume!B9/ 252-Portfolios!B987, 0)</f>
        <v>0</v>
      </c>
    </row>
    <row r="988" spans="1:2">
      <c r="A988" s="11">
        <f>Returns!A988</f>
        <v>0</v>
      </c>
      <c r="B988" s="1">
        <f>MAX(Resume!B9/ 252-Portfolios!B988, 0)</f>
        <v>0</v>
      </c>
    </row>
    <row r="989" spans="1:2">
      <c r="A989" s="11">
        <f>Returns!A989</f>
        <v>0</v>
      </c>
      <c r="B989" s="1">
        <f>MAX(Resume!B9/ 252-Portfolios!B989, 0)</f>
        <v>0</v>
      </c>
    </row>
    <row r="990" spans="1:2">
      <c r="A990" s="11">
        <f>Returns!A990</f>
        <v>0</v>
      </c>
      <c r="B990" s="1">
        <f>MAX(Resume!B9/ 252-Portfolios!B990, 0)</f>
        <v>0</v>
      </c>
    </row>
    <row r="991" spans="1:2">
      <c r="A991" s="11">
        <f>Returns!A991</f>
        <v>0</v>
      </c>
      <c r="B991" s="1">
        <f>MAX(Resume!B9/ 252-Portfolios!B991, 0)</f>
        <v>0</v>
      </c>
    </row>
    <row r="992" spans="1:2">
      <c r="A992" s="11">
        <f>Returns!A992</f>
        <v>0</v>
      </c>
      <c r="B992" s="1">
        <f>MAX(Resume!B9/ 252-Portfolios!B992, 0)</f>
        <v>0</v>
      </c>
    </row>
    <row r="993" spans="1:2">
      <c r="A993" s="11">
        <f>Returns!A993</f>
        <v>0</v>
      </c>
      <c r="B993" s="1">
        <f>MAX(Resume!B9/ 252-Portfolios!B993, 0)</f>
        <v>0</v>
      </c>
    </row>
    <row r="994" spans="1:2">
      <c r="A994" s="11">
        <f>Returns!A994</f>
        <v>0</v>
      </c>
      <c r="B994" s="1">
        <f>MAX(Resume!B9/ 252-Portfolios!B994, 0)</f>
        <v>0</v>
      </c>
    </row>
    <row r="995" spans="1:2">
      <c r="A995" s="11">
        <f>Returns!A995</f>
        <v>0</v>
      </c>
      <c r="B995" s="1">
        <f>MAX(Resume!B9/ 252-Portfolios!B995, 0)</f>
        <v>0</v>
      </c>
    </row>
    <row r="996" spans="1:2">
      <c r="A996" s="11">
        <f>Returns!A996</f>
        <v>0</v>
      </c>
      <c r="B996" s="1">
        <f>MAX(Resume!B9/ 252-Portfolios!B996, 0)</f>
        <v>0</v>
      </c>
    </row>
    <row r="997" spans="1:2">
      <c r="A997" s="11">
        <f>Returns!A997</f>
        <v>0</v>
      </c>
      <c r="B997" s="1">
        <f>MAX(Resume!B9/ 252-Portfolios!B997, 0)</f>
        <v>0</v>
      </c>
    </row>
    <row r="998" spans="1:2">
      <c r="A998" s="11">
        <f>Returns!A998</f>
        <v>0</v>
      </c>
      <c r="B998" s="1">
        <f>MAX(Resume!B9/ 252-Portfolios!B998, 0)</f>
        <v>0</v>
      </c>
    </row>
    <row r="999" spans="1:2">
      <c r="A999" s="11">
        <f>Returns!A999</f>
        <v>0</v>
      </c>
      <c r="B999" s="1">
        <f>MAX(Resume!B9/ 252-Portfolios!B999, 0)</f>
        <v>0</v>
      </c>
    </row>
    <row r="1000" spans="1:2">
      <c r="A1000" s="11">
        <f>Returns!A1000</f>
        <v>0</v>
      </c>
      <c r="B1000" s="1">
        <f>MAX(Resume!B9/ 252-Portfolios!B1000, 0)</f>
        <v>0</v>
      </c>
    </row>
    <row r="1001" spans="1:2">
      <c r="A1001" s="11">
        <f>Returns!A1001</f>
        <v>0</v>
      </c>
      <c r="B1001" s="1">
        <f>MAX(Resume!B9/ 252-Portfolios!B1001, 0)</f>
        <v>0</v>
      </c>
    </row>
    <row r="1002" spans="1:2">
      <c r="A1002" s="11">
        <f>Returns!A1002</f>
        <v>0</v>
      </c>
      <c r="B1002" s="1">
        <f>MAX(Resume!B9/ 252-Portfolios!B1002, 0)</f>
        <v>0</v>
      </c>
    </row>
    <row r="1003" spans="1:2">
      <c r="A1003" s="11">
        <f>Returns!A1003</f>
        <v>0</v>
      </c>
      <c r="B1003" s="1">
        <f>MAX(Resume!B9/ 252-Portfolios!B1003, 0)</f>
        <v>0</v>
      </c>
    </row>
    <row r="1004" spans="1:2">
      <c r="A1004" s="11">
        <f>Returns!A1004</f>
        <v>0</v>
      </c>
      <c r="B1004" s="1">
        <f>MAX(Resume!B9/ 252-Portfolios!B1004, 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B1004"/>
  <sheetViews>
    <sheetView showGridLines="0" workbookViewId="0"/>
  </sheetViews>
  <sheetFormatPr defaultRowHeight="15"/>
  <cols>
    <col min="1" max="1" width="10.7109375" style="10" customWidth="1"/>
  </cols>
  <sheetData>
    <row r="1" spans="1:2">
      <c r="A1" s="5" t="s">
        <v>26</v>
      </c>
      <c r="B1" s="5" t="s">
        <v>52</v>
      </c>
    </row>
    <row r="2" spans="1:2">
      <c r="A2" s="11">
        <f>Returns!A2</f>
        <v>0</v>
      </c>
      <c r="B2" s="1">
        <f>MAX(AVERAGE(Portfolios!$B$2:$B$1004)-Portfolios!B2, 0)</f>
        <v>0</v>
      </c>
    </row>
    <row r="3" spans="1:2">
      <c r="A3" s="11">
        <f>Returns!A3</f>
        <v>0</v>
      </c>
      <c r="B3" s="1">
        <f>MAX(AVERAGE(Portfolios!$B$2:$B$1004)-Portfolios!B3, 0)</f>
        <v>0</v>
      </c>
    </row>
    <row r="4" spans="1:2">
      <c r="A4" s="11">
        <f>Returns!A4</f>
        <v>0</v>
      </c>
      <c r="B4" s="1">
        <f>MAX(AVERAGE(Portfolios!$B$2:$B$1004)-Portfolios!B4, 0)</f>
        <v>0</v>
      </c>
    </row>
    <row r="5" spans="1:2">
      <c r="A5" s="11">
        <f>Returns!A5</f>
        <v>0</v>
      </c>
      <c r="B5" s="1">
        <f>MAX(AVERAGE(Portfolios!$B$2:$B$1004)-Portfolios!B5, 0)</f>
        <v>0</v>
      </c>
    </row>
    <row r="6" spans="1:2">
      <c r="A6" s="11">
        <f>Returns!A6</f>
        <v>0</v>
      </c>
      <c r="B6" s="1">
        <f>MAX(AVERAGE(Portfolios!$B$2:$B$1004)-Portfolios!B6, 0)</f>
        <v>0</v>
      </c>
    </row>
    <row r="7" spans="1:2">
      <c r="A7" s="11">
        <f>Returns!A7</f>
        <v>0</v>
      </c>
      <c r="B7" s="1">
        <f>MAX(AVERAGE(Portfolios!$B$2:$B$1004)-Portfolios!B7, 0)</f>
        <v>0</v>
      </c>
    </row>
    <row r="8" spans="1:2">
      <c r="A8" s="11">
        <f>Returns!A8</f>
        <v>0</v>
      </c>
      <c r="B8" s="1">
        <f>MAX(AVERAGE(Portfolios!$B$2:$B$1004)-Portfolios!B8, 0)</f>
        <v>0</v>
      </c>
    </row>
    <row r="9" spans="1:2">
      <c r="A9" s="11">
        <f>Returns!A9</f>
        <v>0</v>
      </c>
      <c r="B9" s="1">
        <f>MAX(AVERAGE(Portfolios!$B$2:$B$1004)-Portfolios!B9, 0)</f>
        <v>0</v>
      </c>
    </row>
    <row r="10" spans="1:2">
      <c r="A10" s="11">
        <f>Returns!A10</f>
        <v>0</v>
      </c>
      <c r="B10" s="1">
        <f>MAX(AVERAGE(Portfolios!$B$2:$B$1004)-Portfolios!B10, 0)</f>
        <v>0</v>
      </c>
    </row>
    <row r="11" spans="1:2">
      <c r="A11" s="11">
        <f>Returns!A11</f>
        <v>0</v>
      </c>
      <c r="B11" s="1">
        <f>MAX(AVERAGE(Portfolios!$B$2:$B$1004)-Portfolios!B11, 0)</f>
        <v>0</v>
      </c>
    </row>
    <row r="12" spans="1:2">
      <c r="A12" s="11">
        <f>Returns!A12</f>
        <v>0</v>
      </c>
      <c r="B12" s="1">
        <f>MAX(AVERAGE(Portfolios!$B$2:$B$1004)-Portfolios!B12, 0)</f>
        <v>0</v>
      </c>
    </row>
    <row r="13" spans="1:2">
      <c r="A13" s="11">
        <f>Returns!A13</f>
        <v>0</v>
      </c>
      <c r="B13" s="1">
        <f>MAX(AVERAGE(Portfolios!$B$2:$B$1004)-Portfolios!B13, 0)</f>
        <v>0</v>
      </c>
    </row>
    <row r="14" spans="1:2">
      <c r="A14" s="11">
        <f>Returns!A14</f>
        <v>0</v>
      </c>
      <c r="B14" s="1">
        <f>MAX(AVERAGE(Portfolios!$B$2:$B$1004)-Portfolios!B14, 0)</f>
        <v>0</v>
      </c>
    </row>
    <row r="15" spans="1:2">
      <c r="A15" s="11">
        <f>Returns!A15</f>
        <v>0</v>
      </c>
      <c r="B15" s="1">
        <f>MAX(AVERAGE(Portfolios!$B$2:$B$1004)-Portfolios!B15, 0)</f>
        <v>0</v>
      </c>
    </row>
    <row r="16" spans="1:2">
      <c r="A16" s="11">
        <f>Returns!A16</f>
        <v>0</v>
      </c>
      <c r="B16" s="1">
        <f>MAX(AVERAGE(Portfolios!$B$2:$B$1004)-Portfolios!B16, 0)</f>
        <v>0</v>
      </c>
    </row>
    <row r="17" spans="1:2">
      <c r="A17" s="11">
        <f>Returns!A17</f>
        <v>0</v>
      </c>
      <c r="B17" s="1">
        <f>MAX(AVERAGE(Portfolios!$B$2:$B$1004)-Portfolios!B17, 0)</f>
        <v>0</v>
      </c>
    </row>
    <row r="18" spans="1:2">
      <c r="A18" s="11">
        <f>Returns!A18</f>
        <v>0</v>
      </c>
      <c r="B18" s="1">
        <f>MAX(AVERAGE(Portfolios!$B$2:$B$1004)-Portfolios!B18, 0)</f>
        <v>0</v>
      </c>
    </row>
    <row r="19" spans="1:2">
      <c r="A19" s="11">
        <f>Returns!A19</f>
        <v>0</v>
      </c>
      <c r="B19" s="1">
        <f>MAX(AVERAGE(Portfolios!$B$2:$B$1004)-Portfolios!B19, 0)</f>
        <v>0</v>
      </c>
    </row>
    <row r="20" spans="1:2">
      <c r="A20" s="11">
        <f>Returns!A20</f>
        <v>0</v>
      </c>
      <c r="B20" s="1">
        <f>MAX(AVERAGE(Portfolios!$B$2:$B$1004)-Portfolios!B20, 0)</f>
        <v>0</v>
      </c>
    </row>
    <row r="21" spans="1:2">
      <c r="A21" s="11">
        <f>Returns!A21</f>
        <v>0</v>
      </c>
      <c r="B21" s="1">
        <f>MAX(AVERAGE(Portfolios!$B$2:$B$1004)-Portfolios!B21, 0)</f>
        <v>0</v>
      </c>
    </row>
    <row r="22" spans="1:2">
      <c r="A22" s="11">
        <f>Returns!A22</f>
        <v>0</v>
      </c>
      <c r="B22" s="1">
        <f>MAX(AVERAGE(Portfolios!$B$2:$B$1004)-Portfolios!B22, 0)</f>
        <v>0</v>
      </c>
    </row>
    <row r="23" spans="1:2">
      <c r="A23" s="11">
        <f>Returns!A23</f>
        <v>0</v>
      </c>
      <c r="B23" s="1">
        <f>MAX(AVERAGE(Portfolios!$B$2:$B$1004)-Portfolios!B23, 0)</f>
        <v>0</v>
      </c>
    </row>
    <row r="24" spans="1:2">
      <c r="A24" s="11">
        <f>Returns!A24</f>
        <v>0</v>
      </c>
      <c r="B24" s="1">
        <f>MAX(AVERAGE(Portfolios!$B$2:$B$1004)-Portfolios!B24, 0)</f>
        <v>0</v>
      </c>
    </row>
    <row r="25" spans="1:2">
      <c r="A25" s="11">
        <f>Returns!A25</f>
        <v>0</v>
      </c>
      <c r="B25" s="1">
        <f>MAX(AVERAGE(Portfolios!$B$2:$B$1004)-Portfolios!B25, 0)</f>
        <v>0</v>
      </c>
    </row>
    <row r="26" spans="1:2">
      <c r="A26" s="11">
        <f>Returns!A26</f>
        <v>0</v>
      </c>
      <c r="B26" s="1">
        <f>MAX(AVERAGE(Portfolios!$B$2:$B$1004)-Portfolios!B26, 0)</f>
        <v>0</v>
      </c>
    </row>
    <row r="27" spans="1:2">
      <c r="A27" s="11">
        <f>Returns!A27</f>
        <v>0</v>
      </c>
      <c r="B27" s="1">
        <f>MAX(AVERAGE(Portfolios!$B$2:$B$1004)-Portfolios!B27, 0)</f>
        <v>0</v>
      </c>
    </row>
    <row r="28" spans="1:2">
      <c r="A28" s="11">
        <f>Returns!A28</f>
        <v>0</v>
      </c>
      <c r="B28" s="1">
        <f>MAX(AVERAGE(Portfolios!$B$2:$B$1004)-Portfolios!B28, 0)</f>
        <v>0</v>
      </c>
    </row>
    <row r="29" spans="1:2">
      <c r="A29" s="11">
        <f>Returns!A29</f>
        <v>0</v>
      </c>
      <c r="B29" s="1">
        <f>MAX(AVERAGE(Portfolios!$B$2:$B$1004)-Portfolios!B29, 0)</f>
        <v>0</v>
      </c>
    </row>
    <row r="30" spans="1:2">
      <c r="A30" s="11">
        <f>Returns!A30</f>
        <v>0</v>
      </c>
      <c r="B30" s="1">
        <f>MAX(AVERAGE(Portfolios!$B$2:$B$1004)-Portfolios!B30, 0)</f>
        <v>0</v>
      </c>
    </row>
    <row r="31" spans="1:2">
      <c r="A31" s="11">
        <f>Returns!A31</f>
        <v>0</v>
      </c>
      <c r="B31" s="1">
        <f>MAX(AVERAGE(Portfolios!$B$2:$B$1004)-Portfolios!B31, 0)</f>
        <v>0</v>
      </c>
    </row>
    <row r="32" spans="1:2">
      <c r="A32" s="11">
        <f>Returns!A32</f>
        <v>0</v>
      </c>
      <c r="B32" s="1">
        <f>MAX(AVERAGE(Portfolios!$B$2:$B$1004)-Portfolios!B32, 0)</f>
        <v>0</v>
      </c>
    </row>
    <row r="33" spans="1:2">
      <c r="A33" s="11">
        <f>Returns!A33</f>
        <v>0</v>
      </c>
      <c r="B33" s="1">
        <f>MAX(AVERAGE(Portfolios!$B$2:$B$1004)-Portfolios!B33, 0)</f>
        <v>0</v>
      </c>
    </row>
    <row r="34" spans="1:2">
      <c r="A34" s="11">
        <f>Returns!A34</f>
        <v>0</v>
      </c>
      <c r="B34" s="1">
        <f>MAX(AVERAGE(Portfolios!$B$2:$B$1004)-Portfolios!B34, 0)</f>
        <v>0</v>
      </c>
    </row>
    <row r="35" spans="1:2">
      <c r="A35" s="11">
        <f>Returns!A35</f>
        <v>0</v>
      </c>
      <c r="B35" s="1">
        <f>MAX(AVERAGE(Portfolios!$B$2:$B$1004)-Portfolios!B35, 0)</f>
        <v>0</v>
      </c>
    </row>
    <row r="36" spans="1:2">
      <c r="A36" s="11">
        <f>Returns!A36</f>
        <v>0</v>
      </c>
      <c r="B36" s="1">
        <f>MAX(AVERAGE(Portfolios!$B$2:$B$1004)-Portfolios!B36, 0)</f>
        <v>0</v>
      </c>
    </row>
    <row r="37" spans="1:2">
      <c r="A37" s="11">
        <f>Returns!A37</f>
        <v>0</v>
      </c>
      <c r="B37" s="1">
        <f>MAX(AVERAGE(Portfolios!$B$2:$B$1004)-Portfolios!B37, 0)</f>
        <v>0</v>
      </c>
    </row>
    <row r="38" spans="1:2">
      <c r="A38" s="11">
        <f>Returns!A38</f>
        <v>0</v>
      </c>
      <c r="B38" s="1">
        <f>MAX(AVERAGE(Portfolios!$B$2:$B$1004)-Portfolios!B38, 0)</f>
        <v>0</v>
      </c>
    </row>
    <row r="39" spans="1:2">
      <c r="A39" s="11">
        <f>Returns!A39</f>
        <v>0</v>
      </c>
      <c r="B39" s="1">
        <f>MAX(AVERAGE(Portfolios!$B$2:$B$1004)-Portfolios!B39, 0)</f>
        <v>0</v>
      </c>
    </row>
    <row r="40" spans="1:2">
      <c r="A40" s="11">
        <f>Returns!A40</f>
        <v>0</v>
      </c>
      <c r="B40" s="1">
        <f>MAX(AVERAGE(Portfolios!$B$2:$B$1004)-Portfolios!B40, 0)</f>
        <v>0</v>
      </c>
    </row>
    <row r="41" spans="1:2">
      <c r="A41" s="11">
        <f>Returns!A41</f>
        <v>0</v>
      </c>
      <c r="B41" s="1">
        <f>MAX(AVERAGE(Portfolios!$B$2:$B$1004)-Portfolios!B41, 0)</f>
        <v>0</v>
      </c>
    </row>
    <row r="42" spans="1:2">
      <c r="A42" s="11">
        <f>Returns!A42</f>
        <v>0</v>
      </c>
      <c r="B42" s="1">
        <f>MAX(AVERAGE(Portfolios!$B$2:$B$1004)-Portfolios!B42, 0)</f>
        <v>0</v>
      </c>
    </row>
    <row r="43" spans="1:2">
      <c r="A43" s="11">
        <f>Returns!A43</f>
        <v>0</v>
      </c>
      <c r="B43" s="1">
        <f>MAX(AVERAGE(Portfolios!$B$2:$B$1004)-Portfolios!B43, 0)</f>
        <v>0</v>
      </c>
    </row>
    <row r="44" spans="1:2">
      <c r="A44" s="11">
        <f>Returns!A44</f>
        <v>0</v>
      </c>
      <c r="B44" s="1">
        <f>MAX(AVERAGE(Portfolios!$B$2:$B$1004)-Portfolios!B44, 0)</f>
        <v>0</v>
      </c>
    </row>
    <row r="45" spans="1:2">
      <c r="A45" s="11">
        <f>Returns!A45</f>
        <v>0</v>
      </c>
      <c r="B45" s="1">
        <f>MAX(AVERAGE(Portfolios!$B$2:$B$1004)-Portfolios!B45, 0)</f>
        <v>0</v>
      </c>
    </row>
    <row r="46" spans="1:2">
      <c r="A46" s="11">
        <f>Returns!A46</f>
        <v>0</v>
      </c>
      <c r="B46" s="1">
        <f>MAX(AVERAGE(Portfolios!$B$2:$B$1004)-Portfolios!B46, 0)</f>
        <v>0</v>
      </c>
    </row>
    <row r="47" spans="1:2">
      <c r="A47" s="11">
        <f>Returns!A47</f>
        <v>0</v>
      </c>
      <c r="B47" s="1">
        <f>MAX(AVERAGE(Portfolios!$B$2:$B$1004)-Portfolios!B47, 0)</f>
        <v>0</v>
      </c>
    </row>
    <row r="48" spans="1:2">
      <c r="A48" s="11">
        <f>Returns!A48</f>
        <v>0</v>
      </c>
      <c r="B48" s="1">
        <f>MAX(AVERAGE(Portfolios!$B$2:$B$1004)-Portfolios!B48, 0)</f>
        <v>0</v>
      </c>
    </row>
    <row r="49" spans="1:2">
      <c r="A49" s="11">
        <f>Returns!A49</f>
        <v>0</v>
      </c>
      <c r="B49" s="1">
        <f>MAX(AVERAGE(Portfolios!$B$2:$B$1004)-Portfolios!B49, 0)</f>
        <v>0</v>
      </c>
    </row>
    <row r="50" spans="1:2">
      <c r="A50" s="11">
        <f>Returns!A50</f>
        <v>0</v>
      </c>
      <c r="B50" s="1">
        <f>MAX(AVERAGE(Portfolios!$B$2:$B$1004)-Portfolios!B50, 0)</f>
        <v>0</v>
      </c>
    </row>
    <row r="51" spans="1:2">
      <c r="A51" s="11">
        <f>Returns!A51</f>
        <v>0</v>
      </c>
      <c r="B51" s="1">
        <f>MAX(AVERAGE(Portfolios!$B$2:$B$1004)-Portfolios!B51, 0)</f>
        <v>0</v>
      </c>
    </row>
    <row r="52" spans="1:2">
      <c r="A52" s="11">
        <f>Returns!A52</f>
        <v>0</v>
      </c>
      <c r="B52" s="1">
        <f>MAX(AVERAGE(Portfolios!$B$2:$B$1004)-Portfolios!B52, 0)</f>
        <v>0</v>
      </c>
    </row>
    <row r="53" spans="1:2">
      <c r="A53" s="11">
        <f>Returns!A53</f>
        <v>0</v>
      </c>
      <c r="B53" s="1">
        <f>MAX(AVERAGE(Portfolios!$B$2:$B$1004)-Portfolios!B53, 0)</f>
        <v>0</v>
      </c>
    </row>
    <row r="54" spans="1:2">
      <c r="A54" s="11">
        <f>Returns!A54</f>
        <v>0</v>
      </c>
      <c r="B54" s="1">
        <f>MAX(AVERAGE(Portfolios!$B$2:$B$1004)-Portfolios!B54, 0)</f>
        <v>0</v>
      </c>
    </row>
    <row r="55" spans="1:2">
      <c r="A55" s="11">
        <f>Returns!A55</f>
        <v>0</v>
      </c>
      <c r="B55" s="1">
        <f>MAX(AVERAGE(Portfolios!$B$2:$B$1004)-Portfolios!B55, 0)</f>
        <v>0</v>
      </c>
    </row>
    <row r="56" spans="1:2">
      <c r="A56" s="11">
        <f>Returns!A56</f>
        <v>0</v>
      </c>
      <c r="B56" s="1">
        <f>MAX(AVERAGE(Portfolios!$B$2:$B$1004)-Portfolios!B56, 0)</f>
        <v>0</v>
      </c>
    </row>
    <row r="57" spans="1:2">
      <c r="A57" s="11">
        <f>Returns!A57</f>
        <v>0</v>
      </c>
      <c r="B57" s="1">
        <f>MAX(AVERAGE(Portfolios!$B$2:$B$1004)-Portfolios!B57, 0)</f>
        <v>0</v>
      </c>
    </row>
    <row r="58" spans="1:2">
      <c r="A58" s="11">
        <f>Returns!A58</f>
        <v>0</v>
      </c>
      <c r="B58" s="1">
        <f>MAX(AVERAGE(Portfolios!$B$2:$B$1004)-Portfolios!B58, 0)</f>
        <v>0</v>
      </c>
    </row>
    <row r="59" spans="1:2">
      <c r="A59" s="11">
        <f>Returns!A59</f>
        <v>0</v>
      </c>
      <c r="B59" s="1">
        <f>MAX(AVERAGE(Portfolios!$B$2:$B$1004)-Portfolios!B59, 0)</f>
        <v>0</v>
      </c>
    </row>
    <row r="60" spans="1:2">
      <c r="A60" s="11">
        <f>Returns!A60</f>
        <v>0</v>
      </c>
      <c r="B60" s="1">
        <f>MAX(AVERAGE(Portfolios!$B$2:$B$1004)-Portfolios!B60, 0)</f>
        <v>0</v>
      </c>
    </row>
    <row r="61" spans="1:2">
      <c r="A61" s="11">
        <f>Returns!A61</f>
        <v>0</v>
      </c>
      <c r="B61" s="1">
        <f>MAX(AVERAGE(Portfolios!$B$2:$B$1004)-Portfolios!B61, 0)</f>
        <v>0</v>
      </c>
    </row>
    <row r="62" spans="1:2">
      <c r="A62" s="11">
        <f>Returns!A62</f>
        <v>0</v>
      </c>
      <c r="B62" s="1">
        <f>MAX(AVERAGE(Portfolios!$B$2:$B$1004)-Portfolios!B62, 0)</f>
        <v>0</v>
      </c>
    </row>
    <row r="63" spans="1:2">
      <c r="A63" s="11">
        <f>Returns!A63</f>
        <v>0</v>
      </c>
      <c r="B63" s="1">
        <f>MAX(AVERAGE(Portfolios!$B$2:$B$1004)-Portfolios!B63, 0)</f>
        <v>0</v>
      </c>
    </row>
    <row r="64" spans="1:2">
      <c r="A64" s="11">
        <f>Returns!A64</f>
        <v>0</v>
      </c>
      <c r="B64" s="1">
        <f>MAX(AVERAGE(Portfolios!$B$2:$B$1004)-Portfolios!B64, 0)</f>
        <v>0</v>
      </c>
    </row>
    <row r="65" spans="1:2">
      <c r="A65" s="11">
        <f>Returns!A65</f>
        <v>0</v>
      </c>
      <c r="B65" s="1">
        <f>MAX(AVERAGE(Portfolios!$B$2:$B$1004)-Portfolios!B65, 0)</f>
        <v>0</v>
      </c>
    </row>
    <row r="66" spans="1:2">
      <c r="A66" s="11">
        <f>Returns!A66</f>
        <v>0</v>
      </c>
      <c r="B66" s="1">
        <f>MAX(AVERAGE(Portfolios!$B$2:$B$1004)-Portfolios!B66, 0)</f>
        <v>0</v>
      </c>
    </row>
    <row r="67" spans="1:2">
      <c r="A67" s="11">
        <f>Returns!A67</f>
        <v>0</v>
      </c>
      <c r="B67" s="1">
        <f>MAX(AVERAGE(Portfolios!$B$2:$B$1004)-Portfolios!B67, 0)</f>
        <v>0</v>
      </c>
    </row>
    <row r="68" spans="1:2">
      <c r="A68" s="11">
        <f>Returns!A68</f>
        <v>0</v>
      </c>
      <c r="B68" s="1">
        <f>MAX(AVERAGE(Portfolios!$B$2:$B$1004)-Portfolios!B68, 0)</f>
        <v>0</v>
      </c>
    </row>
    <row r="69" spans="1:2">
      <c r="A69" s="11">
        <f>Returns!A69</f>
        <v>0</v>
      </c>
      <c r="B69" s="1">
        <f>MAX(AVERAGE(Portfolios!$B$2:$B$1004)-Portfolios!B69, 0)</f>
        <v>0</v>
      </c>
    </row>
    <row r="70" spans="1:2">
      <c r="A70" s="11">
        <f>Returns!A70</f>
        <v>0</v>
      </c>
      <c r="B70" s="1">
        <f>MAX(AVERAGE(Portfolios!$B$2:$B$1004)-Portfolios!B70, 0)</f>
        <v>0</v>
      </c>
    </row>
    <row r="71" spans="1:2">
      <c r="A71" s="11">
        <f>Returns!A71</f>
        <v>0</v>
      </c>
      <c r="B71" s="1">
        <f>MAX(AVERAGE(Portfolios!$B$2:$B$1004)-Portfolios!B71, 0)</f>
        <v>0</v>
      </c>
    </row>
    <row r="72" spans="1:2">
      <c r="A72" s="11">
        <f>Returns!A72</f>
        <v>0</v>
      </c>
      <c r="B72" s="1">
        <f>MAX(AVERAGE(Portfolios!$B$2:$B$1004)-Portfolios!B72, 0)</f>
        <v>0</v>
      </c>
    </row>
    <row r="73" spans="1:2">
      <c r="A73" s="11">
        <f>Returns!A73</f>
        <v>0</v>
      </c>
      <c r="B73" s="1">
        <f>MAX(AVERAGE(Portfolios!$B$2:$B$1004)-Portfolios!B73, 0)</f>
        <v>0</v>
      </c>
    </row>
    <row r="74" spans="1:2">
      <c r="A74" s="11">
        <f>Returns!A74</f>
        <v>0</v>
      </c>
      <c r="B74" s="1">
        <f>MAX(AVERAGE(Portfolios!$B$2:$B$1004)-Portfolios!B74, 0)</f>
        <v>0</v>
      </c>
    </row>
    <row r="75" spans="1:2">
      <c r="A75" s="11">
        <f>Returns!A75</f>
        <v>0</v>
      </c>
      <c r="B75" s="1">
        <f>MAX(AVERAGE(Portfolios!$B$2:$B$1004)-Portfolios!B75, 0)</f>
        <v>0</v>
      </c>
    </row>
    <row r="76" spans="1:2">
      <c r="A76" s="11">
        <f>Returns!A76</f>
        <v>0</v>
      </c>
      <c r="B76" s="1">
        <f>MAX(AVERAGE(Portfolios!$B$2:$B$1004)-Portfolios!B76, 0)</f>
        <v>0</v>
      </c>
    </row>
    <row r="77" spans="1:2">
      <c r="A77" s="11">
        <f>Returns!A77</f>
        <v>0</v>
      </c>
      <c r="B77" s="1">
        <f>MAX(AVERAGE(Portfolios!$B$2:$B$1004)-Portfolios!B77, 0)</f>
        <v>0</v>
      </c>
    </row>
    <row r="78" spans="1:2">
      <c r="A78" s="11">
        <f>Returns!A78</f>
        <v>0</v>
      </c>
      <c r="B78" s="1">
        <f>MAX(AVERAGE(Portfolios!$B$2:$B$1004)-Portfolios!B78, 0)</f>
        <v>0</v>
      </c>
    </row>
    <row r="79" spans="1:2">
      <c r="A79" s="11">
        <f>Returns!A79</f>
        <v>0</v>
      </c>
      <c r="B79" s="1">
        <f>MAX(AVERAGE(Portfolios!$B$2:$B$1004)-Portfolios!B79, 0)</f>
        <v>0</v>
      </c>
    </row>
    <row r="80" spans="1:2">
      <c r="A80" s="11">
        <f>Returns!A80</f>
        <v>0</v>
      </c>
      <c r="B80" s="1">
        <f>MAX(AVERAGE(Portfolios!$B$2:$B$1004)-Portfolios!B80, 0)</f>
        <v>0</v>
      </c>
    </row>
    <row r="81" spans="1:2">
      <c r="A81" s="11">
        <f>Returns!A81</f>
        <v>0</v>
      </c>
      <c r="B81" s="1">
        <f>MAX(AVERAGE(Portfolios!$B$2:$B$1004)-Portfolios!B81, 0)</f>
        <v>0</v>
      </c>
    </row>
    <row r="82" spans="1:2">
      <c r="A82" s="11">
        <f>Returns!A82</f>
        <v>0</v>
      </c>
      <c r="B82" s="1">
        <f>MAX(AVERAGE(Portfolios!$B$2:$B$1004)-Portfolios!B82, 0)</f>
        <v>0</v>
      </c>
    </row>
    <row r="83" spans="1:2">
      <c r="A83" s="11">
        <f>Returns!A83</f>
        <v>0</v>
      </c>
      <c r="B83" s="1">
        <f>MAX(AVERAGE(Portfolios!$B$2:$B$1004)-Portfolios!B83, 0)</f>
        <v>0</v>
      </c>
    </row>
    <row r="84" spans="1:2">
      <c r="A84" s="11">
        <f>Returns!A84</f>
        <v>0</v>
      </c>
      <c r="B84" s="1">
        <f>MAX(AVERAGE(Portfolios!$B$2:$B$1004)-Portfolios!B84, 0)</f>
        <v>0</v>
      </c>
    </row>
    <row r="85" spans="1:2">
      <c r="A85" s="11">
        <f>Returns!A85</f>
        <v>0</v>
      </c>
      <c r="B85" s="1">
        <f>MAX(AVERAGE(Portfolios!$B$2:$B$1004)-Portfolios!B85, 0)</f>
        <v>0</v>
      </c>
    </row>
    <row r="86" spans="1:2">
      <c r="A86" s="11">
        <f>Returns!A86</f>
        <v>0</v>
      </c>
      <c r="B86" s="1">
        <f>MAX(AVERAGE(Portfolios!$B$2:$B$1004)-Portfolios!B86, 0)</f>
        <v>0</v>
      </c>
    </row>
    <row r="87" spans="1:2">
      <c r="A87" s="11">
        <f>Returns!A87</f>
        <v>0</v>
      </c>
      <c r="B87" s="1">
        <f>MAX(AVERAGE(Portfolios!$B$2:$B$1004)-Portfolios!B87, 0)</f>
        <v>0</v>
      </c>
    </row>
    <row r="88" spans="1:2">
      <c r="A88" s="11">
        <f>Returns!A88</f>
        <v>0</v>
      </c>
      <c r="B88" s="1">
        <f>MAX(AVERAGE(Portfolios!$B$2:$B$1004)-Portfolios!B88, 0)</f>
        <v>0</v>
      </c>
    </row>
    <row r="89" spans="1:2">
      <c r="A89" s="11">
        <f>Returns!A89</f>
        <v>0</v>
      </c>
      <c r="B89" s="1">
        <f>MAX(AVERAGE(Portfolios!$B$2:$B$1004)-Portfolios!B89, 0)</f>
        <v>0</v>
      </c>
    </row>
    <row r="90" spans="1:2">
      <c r="A90" s="11">
        <f>Returns!A90</f>
        <v>0</v>
      </c>
      <c r="B90" s="1">
        <f>MAX(AVERAGE(Portfolios!$B$2:$B$1004)-Portfolios!B90, 0)</f>
        <v>0</v>
      </c>
    </row>
    <row r="91" spans="1:2">
      <c r="A91" s="11">
        <f>Returns!A91</f>
        <v>0</v>
      </c>
      <c r="B91" s="1">
        <f>MAX(AVERAGE(Portfolios!$B$2:$B$1004)-Portfolios!B91, 0)</f>
        <v>0</v>
      </c>
    </row>
    <row r="92" spans="1:2">
      <c r="A92" s="11">
        <f>Returns!A92</f>
        <v>0</v>
      </c>
      <c r="B92" s="1">
        <f>MAX(AVERAGE(Portfolios!$B$2:$B$1004)-Portfolios!B92, 0)</f>
        <v>0</v>
      </c>
    </row>
    <row r="93" spans="1:2">
      <c r="A93" s="11">
        <f>Returns!A93</f>
        <v>0</v>
      </c>
      <c r="B93" s="1">
        <f>MAX(AVERAGE(Portfolios!$B$2:$B$1004)-Portfolios!B93, 0)</f>
        <v>0</v>
      </c>
    </row>
    <row r="94" spans="1:2">
      <c r="A94" s="11">
        <f>Returns!A94</f>
        <v>0</v>
      </c>
      <c r="B94" s="1">
        <f>MAX(AVERAGE(Portfolios!$B$2:$B$1004)-Portfolios!B94, 0)</f>
        <v>0</v>
      </c>
    </row>
    <row r="95" spans="1:2">
      <c r="A95" s="11">
        <f>Returns!A95</f>
        <v>0</v>
      </c>
      <c r="B95" s="1">
        <f>MAX(AVERAGE(Portfolios!$B$2:$B$1004)-Portfolios!B95, 0)</f>
        <v>0</v>
      </c>
    </row>
    <row r="96" spans="1:2">
      <c r="A96" s="11">
        <f>Returns!A96</f>
        <v>0</v>
      </c>
      <c r="B96" s="1">
        <f>MAX(AVERAGE(Portfolios!$B$2:$B$1004)-Portfolios!B96, 0)</f>
        <v>0</v>
      </c>
    </row>
    <row r="97" spans="1:2">
      <c r="A97" s="11">
        <f>Returns!A97</f>
        <v>0</v>
      </c>
      <c r="B97" s="1">
        <f>MAX(AVERAGE(Portfolios!$B$2:$B$1004)-Portfolios!B97, 0)</f>
        <v>0</v>
      </c>
    </row>
    <row r="98" spans="1:2">
      <c r="A98" s="11">
        <f>Returns!A98</f>
        <v>0</v>
      </c>
      <c r="B98" s="1">
        <f>MAX(AVERAGE(Portfolios!$B$2:$B$1004)-Portfolios!B98, 0)</f>
        <v>0</v>
      </c>
    </row>
    <row r="99" spans="1:2">
      <c r="A99" s="11">
        <f>Returns!A99</f>
        <v>0</v>
      </c>
      <c r="B99" s="1">
        <f>MAX(AVERAGE(Portfolios!$B$2:$B$1004)-Portfolios!B99, 0)</f>
        <v>0</v>
      </c>
    </row>
    <row r="100" spans="1:2">
      <c r="A100" s="11">
        <f>Returns!A100</f>
        <v>0</v>
      </c>
      <c r="B100" s="1">
        <f>MAX(AVERAGE(Portfolios!$B$2:$B$1004)-Portfolios!B100, 0)</f>
        <v>0</v>
      </c>
    </row>
    <row r="101" spans="1:2">
      <c r="A101" s="11">
        <f>Returns!A101</f>
        <v>0</v>
      </c>
      <c r="B101" s="1">
        <f>MAX(AVERAGE(Portfolios!$B$2:$B$1004)-Portfolios!B101, 0)</f>
        <v>0</v>
      </c>
    </row>
    <row r="102" spans="1:2">
      <c r="A102" s="11">
        <f>Returns!A102</f>
        <v>0</v>
      </c>
      <c r="B102" s="1">
        <f>MAX(AVERAGE(Portfolios!$B$2:$B$1004)-Portfolios!B102, 0)</f>
        <v>0</v>
      </c>
    </row>
    <row r="103" spans="1:2">
      <c r="A103" s="11">
        <f>Returns!A103</f>
        <v>0</v>
      </c>
      <c r="B103" s="1">
        <f>MAX(AVERAGE(Portfolios!$B$2:$B$1004)-Portfolios!B103, 0)</f>
        <v>0</v>
      </c>
    </row>
    <row r="104" spans="1:2">
      <c r="A104" s="11">
        <f>Returns!A104</f>
        <v>0</v>
      </c>
      <c r="B104" s="1">
        <f>MAX(AVERAGE(Portfolios!$B$2:$B$1004)-Portfolios!B104, 0)</f>
        <v>0</v>
      </c>
    </row>
    <row r="105" spans="1:2">
      <c r="A105" s="11">
        <f>Returns!A105</f>
        <v>0</v>
      </c>
      <c r="B105" s="1">
        <f>MAX(AVERAGE(Portfolios!$B$2:$B$1004)-Portfolios!B105, 0)</f>
        <v>0</v>
      </c>
    </row>
    <row r="106" spans="1:2">
      <c r="A106" s="11">
        <f>Returns!A106</f>
        <v>0</v>
      </c>
      <c r="B106" s="1">
        <f>MAX(AVERAGE(Portfolios!$B$2:$B$1004)-Portfolios!B106, 0)</f>
        <v>0</v>
      </c>
    </row>
    <row r="107" spans="1:2">
      <c r="A107" s="11">
        <f>Returns!A107</f>
        <v>0</v>
      </c>
      <c r="B107" s="1">
        <f>MAX(AVERAGE(Portfolios!$B$2:$B$1004)-Portfolios!B107, 0)</f>
        <v>0</v>
      </c>
    </row>
    <row r="108" spans="1:2">
      <c r="A108" s="11">
        <f>Returns!A108</f>
        <v>0</v>
      </c>
      <c r="B108" s="1">
        <f>MAX(AVERAGE(Portfolios!$B$2:$B$1004)-Portfolios!B108, 0)</f>
        <v>0</v>
      </c>
    </row>
    <row r="109" spans="1:2">
      <c r="A109" s="11">
        <f>Returns!A109</f>
        <v>0</v>
      </c>
      <c r="B109" s="1">
        <f>MAX(AVERAGE(Portfolios!$B$2:$B$1004)-Portfolios!B109, 0)</f>
        <v>0</v>
      </c>
    </row>
    <row r="110" spans="1:2">
      <c r="A110" s="11">
        <f>Returns!A110</f>
        <v>0</v>
      </c>
      <c r="B110" s="1">
        <f>MAX(AVERAGE(Portfolios!$B$2:$B$1004)-Portfolios!B110, 0)</f>
        <v>0</v>
      </c>
    </row>
    <row r="111" spans="1:2">
      <c r="A111" s="11">
        <f>Returns!A111</f>
        <v>0</v>
      </c>
      <c r="B111" s="1">
        <f>MAX(AVERAGE(Portfolios!$B$2:$B$1004)-Portfolios!B111, 0)</f>
        <v>0</v>
      </c>
    </row>
    <row r="112" spans="1:2">
      <c r="A112" s="11">
        <f>Returns!A112</f>
        <v>0</v>
      </c>
      <c r="B112" s="1">
        <f>MAX(AVERAGE(Portfolios!$B$2:$B$1004)-Portfolios!B112, 0)</f>
        <v>0</v>
      </c>
    </row>
    <row r="113" spans="1:2">
      <c r="A113" s="11">
        <f>Returns!A113</f>
        <v>0</v>
      </c>
      <c r="B113" s="1">
        <f>MAX(AVERAGE(Portfolios!$B$2:$B$1004)-Portfolios!B113, 0)</f>
        <v>0</v>
      </c>
    </row>
    <row r="114" spans="1:2">
      <c r="A114" s="11">
        <f>Returns!A114</f>
        <v>0</v>
      </c>
      <c r="B114" s="1">
        <f>MAX(AVERAGE(Portfolios!$B$2:$B$1004)-Portfolios!B114, 0)</f>
        <v>0</v>
      </c>
    </row>
    <row r="115" spans="1:2">
      <c r="A115" s="11">
        <f>Returns!A115</f>
        <v>0</v>
      </c>
      <c r="B115" s="1">
        <f>MAX(AVERAGE(Portfolios!$B$2:$B$1004)-Portfolios!B115, 0)</f>
        <v>0</v>
      </c>
    </row>
    <row r="116" spans="1:2">
      <c r="A116" s="11">
        <f>Returns!A116</f>
        <v>0</v>
      </c>
      <c r="B116" s="1">
        <f>MAX(AVERAGE(Portfolios!$B$2:$B$1004)-Portfolios!B116, 0)</f>
        <v>0</v>
      </c>
    </row>
    <row r="117" spans="1:2">
      <c r="A117" s="11">
        <f>Returns!A117</f>
        <v>0</v>
      </c>
      <c r="B117" s="1">
        <f>MAX(AVERAGE(Portfolios!$B$2:$B$1004)-Portfolios!B117, 0)</f>
        <v>0</v>
      </c>
    </row>
    <row r="118" spans="1:2">
      <c r="A118" s="11">
        <f>Returns!A118</f>
        <v>0</v>
      </c>
      <c r="B118" s="1">
        <f>MAX(AVERAGE(Portfolios!$B$2:$B$1004)-Portfolios!B118, 0)</f>
        <v>0</v>
      </c>
    </row>
    <row r="119" spans="1:2">
      <c r="A119" s="11">
        <f>Returns!A119</f>
        <v>0</v>
      </c>
      <c r="B119" s="1">
        <f>MAX(AVERAGE(Portfolios!$B$2:$B$1004)-Portfolios!B119, 0)</f>
        <v>0</v>
      </c>
    </row>
    <row r="120" spans="1:2">
      <c r="A120" s="11">
        <f>Returns!A120</f>
        <v>0</v>
      </c>
      <c r="B120" s="1">
        <f>MAX(AVERAGE(Portfolios!$B$2:$B$1004)-Portfolios!B120, 0)</f>
        <v>0</v>
      </c>
    </row>
    <row r="121" spans="1:2">
      <c r="A121" s="11">
        <f>Returns!A121</f>
        <v>0</v>
      </c>
      <c r="B121" s="1">
        <f>MAX(AVERAGE(Portfolios!$B$2:$B$1004)-Portfolios!B121, 0)</f>
        <v>0</v>
      </c>
    </row>
    <row r="122" spans="1:2">
      <c r="A122" s="11">
        <f>Returns!A122</f>
        <v>0</v>
      </c>
      <c r="B122" s="1">
        <f>MAX(AVERAGE(Portfolios!$B$2:$B$1004)-Portfolios!B122, 0)</f>
        <v>0</v>
      </c>
    </row>
    <row r="123" spans="1:2">
      <c r="A123" s="11">
        <f>Returns!A123</f>
        <v>0</v>
      </c>
      <c r="B123" s="1">
        <f>MAX(AVERAGE(Portfolios!$B$2:$B$1004)-Portfolios!B123, 0)</f>
        <v>0</v>
      </c>
    </row>
    <row r="124" spans="1:2">
      <c r="A124" s="11">
        <f>Returns!A124</f>
        <v>0</v>
      </c>
      <c r="B124" s="1">
        <f>MAX(AVERAGE(Portfolios!$B$2:$B$1004)-Portfolios!B124, 0)</f>
        <v>0</v>
      </c>
    </row>
    <row r="125" spans="1:2">
      <c r="A125" s="11">
        <f>Returns!A125</f>
        <v>0</v>
      </c>
      <c r="B125" s="1">
        <f>MAX(AVERAGE(Portfolios!$B$2:$B$1004)-Portfolios!B125, 0)</f>
        <v>0</v>
      </c>
    </row>
    <row r="126" spans="1:2">
      <c r="A126" s="11">
        <f>Returns!A126</f>
        <v>0</v>
      </c>
      <c r="B126" s="1">
        <f>MAX(AVERAGE(Portfolios!$B$2:$B$1004)-Portfolios!B126, 0)</f>
        <v>0</v>
      </c>
    </row>
    <row r="127" spans="1:2">
      <c r="A127" s="11">
        <f>Returns!A127</f>
        <v>0</v>
      </c>
      <c r="B127" s="1">
        <f>MAX(AVERAGE(Portfolios!$B$2:$B$1004)-Portfolios!B127, 0)</f>
        <v>0</v>
      </c>
    </row>
    <row r="128" spans="1:2">
      <c r="A128" s="11">
        <f>Returns!A128</f>
        <v>0</v>
      </c>
      <c r="B128" s="1">
        <f>MAX(AVERAGE(Portfolios!$B$2:$B$1004)-Portfolios!B128, 0)</f>
        <v>0</v>
      </c>
    </row>
    <row r="129" spans="1:2">
      <c r="A129" s="11">
        <f>Returns!A129</f>
        <v>0</v>
      </c>
      <c r="B129" s="1">
        <f>MAX(AVERAGE(Portfolios!$B$2:$B$1004)-Portfolios!B129, 0)</f>
        <v>0</v>
      </c>
    </row>
    <row r="130" spans="1:2">
      <c r="A130" s="11">
        <f>Returns!A130</f>
        <v>0</v>
      </c>
      <c r="B130" s="1">
        <f>MAX(AVERAGE(Portfolios!$B$2:$B$1004)-Portfolios!B130, 0)</f>
        <v>0</v>
      </c>
    </row>
    <row r="131" spans="1:2">
      <c r="A131" s="11">
        <f>Returns!A131</f>
        <v>0</v>
      </c>
      <c r="B131" s="1">
        <f>MAX(AVERAGE(Portfolios!$B$2:$B$1004)-Portfolios!B131, 0)</f>
        <v>0</v>
      </c>
    </row>
    <row r="132" spans="1:2">
      <c r="A132" s="11">
        <f>Returns!A132</f>
        <v>0</v>
      </c>
      <c r="B132" s="1">
        <f>MAX(AVERAGE(Portfolios!$B$2:$B$1004)-Portfolios!B132, 0)</f>
        <v>0</v>
      </c>
    </row>
    <row r="133" spans="1:2">
      <c r="A133" s="11">
        <f>Returns!A133</f>
        <v>0</v>
      </c>
      <c r="B133" s="1">
        <f>MAX(AVERAGE(Portfolios!$B$2:$B$1004)-Portfolios!B133, 0)</f>
        <v>0</v>
      </c>
    </row>
    <row r="134" spans="1:2">
      <c r="A134" s="11">
        <f>Returns!A134</f>
        <v>0</v>
      </c>
      <c r="B134" s="1">
        <f>MAX(AVERAGE(Portfolios!$B$2:$B$1004)-Portfolios!B134, 0)</f>
        <v>0</v>
      </c>
    </row>
    <row r="135" spans="1:2">
      <c r="A135" s="11">
        <f>Returns!A135</f>
        <v>0</v>
      </c>
      <c r="B135" s="1">
        <f>MAX(AVERAGE(Portfolios!$B$2:$B$1004)-Portfolios!B135, 0)</f>
        <v>0</v>
      </c>
    </row>
    <row r="136" spans="1:2">
      <c r="A136" s="11">
        <f>Returns!A136</f>
        <v>0</v>
      </c>
      <c r="B136" s="1">
        <f>MAX(AVERAGE(Portfolios!$B$2:$B$1004)-Portfolios!B136, 0)</f>
        <v>0</v>
      </c>
    </row>
    <row r="137" spans="1:2">
      <c r="A137" s="11">
        <f>Returns!A137</f>
        <v>0</v>
      </c>
      <c r="B137" s="1">
        <f>MAX(AVERAGE(Portfolios!$B$2:$B$1004)-Portfolios!B137, 0)</f>
        <v>0</v>
      </c>
    </row>
    <row r="138" spans="1:2">
      <c r="A138" s="11">
        <f>Returns!A138</f>
        <v>0</v>
      </c>
      <c r="B138" s="1">
        <f>MAX(AVERAGE(Portfolios!$B$2:$B$1004)-Portfolios!B138, 0)</f>
        <v>0</v>
      </c>
    </row>
    <row r="139" spans="1:2">
      <c r="A139" s="11">
        <f>Returns!A139</f>
        <v>0</v>
      </c>
      <c r="B139" s="1">
        <f>MAX(AVERAGE(Portfolios!$B$2:$B$1004)-Portfolios!B139, 0)</f>
        <v>0</v>
      </c>
    </row>
    <row r="140" spans="1:2">
      <c r="A140" s="11">
        <f>Returns!A140</f>
        <v>0</v>
      </c>
      <c r="B140" s="1">
        <f>MAX(AVERAGE(Portfolios!$B$2:$B$1004)-Portfolios!B140, 0)</f>
        <v>0</v>
      </c>
    </row>
    <row r="141" spans="1:2">
      <c r="A141" s="11">
        <f>Returns!A141</f>
        <v>0</v>
      </c>
      <c r="B141" s="1">
        <f>MAX(AVERAGE(Portfolios!$B$2:$B$1004)-Portfolios!B141, 0)</f>
        <v>0</v>
      </c>
    </row>
    <row r="142" spans="1:2">
      <c r="A142" s="11">
        <f>Returns!A142</f>
        <v>0</v>
      </c>
      <c r="B142" s="1">
        <f>MAX(AVERAGE(Portfolios!$B$2:$B$1004)-Portfolios!B142, 0)</f>
        <v>0</v>
      </c>
    </row>
    <row r="143" spans="1:2">
      <c r="A143" s="11">
        <f>Returns!A143</f>
        <v>0</v>
      </c>
      <c r="B143" s="1">
        <f>MAX(AVERAGE(Portfolios!$B$2:$B$1004)-Portfolios!B143, 0)</f>
        <v>0</v>
      </c>
    </row>
    <row r="144" spans="1:2">
      <c r="A144" s="11">
        <f>Returns!A144</f>
        <v>0</v>
      </c>
      <c r="B144" s="1">
        <f>MAX(AVERAGE(Portfolios!$B$2:$B$1004)-Portfolios!B144, 0)</f>
        <v>0</v>
      </c>
    </row>
    <row r="145" spans="1:2">
      <c r="A145" s="11">
        <f>Returns!A145</f>
        <v>0</v>
      </c>
      <c r="B145" s="1">
        <f>MAX(AVERAGE(Portfolios!$B$2:$B$1004)-Portfolios!B145, 0)</f>
        <v>0</v>
      </c>
    </row>
    <row r="146" spans="1:2">
      <c r="A146" s="11">
        <f>Returns!A146</f>
        <v>0</v>
      </c>
      <c r="B146" s="1">
        <f>MAX(AVERAGE(Portfolios!$B$2:$B$1004)-Portfolios!B146, 0)</f>
        <v>0</v>
      </c>
    </row>
    <row r="147" spans="1:2">
      <c r="A147" s="11">
        <f>Returns!A147</f>
        <v>0</v>
      </c>
      <c r="B147" s="1">
        <f>MAX(AVERAGE(Portfolios!$B$2:$B$1004)-Portfolios!B147, 0)</f>
        <v>0</v>
      </c>
    </row>
    <row r="148" spans="1:2">
      <c r="A148" s="11">
        <f>Returns!A148</f>
        <v>0</v>
      </c>
      <c r="B148" s="1">
        <f>MAX(AVERAGE(Portfolios!$B$2:$B$1004)-Portfolios!B148, 0)</f>
        <v>0</v>
      </c>
    </row>
    <row r="149" spans="1:2">
      <c r="A149" s="11">
        <f>Returns!A149</f>
        <v>0</v>
      </c>
      <c r="B149" s="1">
        <f>MAX(AVERAGE(Portfolios!$B$2:$B$1004)-Portfolios!B149, 0)</f>
        <v>0</v>
      </c>
    </row>
    <row r="150" spans="1:2">
      <c r="A150" s="11">
        <f>Returns!A150</f>
        <v>0</v>
      </c>
      <c r="B150" s="1">
        <f>MAX(AVERAGE(Portfolios!$B$2:$B$1004)-Portfolios!B150, 0)</f>
        <v>0</v>
      </c>
    </row>
    <row r="151" spans="1:2">
      <c r="A151" s="11">
        <f>Returns!A151</f>
        <v>0</v>
      </c>
      <c r="B151" s="1">
        <f>MAX(AVERAGE(Portfolios!$B$2:$B$1004)-Portfolios!B151, 0)</f>
        <v>0</v>
      </c>
    </row>
    <row r="152" spans="1:2">
      <c r="A152" s="11">
        <f>Returns!A152</f>
        <v>0</v>
      </c>
      <c r="B152" s="1">
        <f>MAX(AVERAGE(Portfolios!$B$2:$B$1004)-Portfolios!B152, 0)</f>
        <v>0</v>
      </c>
    </row>
    <row r="153" spans="1:2">
      <c r="A153" s="11">
        <f>Returns!A153</f>
        <v>0</v>
      </c>
      <c r="B153" s="1">
        <f>MAX(AVERAGE(Portfolios!$B$2:$B$1004)-Portfolios!B153, 0)</f>
        <v>0</v>
      </c>
    </row>
    <row r="154" spans="1:2">
      <c r="A154" s="11">
        <f>Returns!A154</f>
        <v>0</v>
      </c>
      <c r="B154" s="1">
        <f>MAX(AVERAGE(Portfolios!$B$2:$B$1004)-Portfolios!B154, 0)</f>
        <v>0</v>
      </c>
    </row>
    <row r="155" spans="1:2">
      <c r="A155" s="11">
        <f>Returns!A155</f>
        <v>0</v>
      </c>
      <c r="B155" s="1">
        <f>MAX(AVERAGE(Portfolios!$B$2:$B$1004)-Portfolios!B155, 0)</f>
        <v>0</v>
      </c>
    </row>
    <row r="156" spans="1:2">
      <c r="A156" s="11">
        <f>Returns!A156</f>
        <v>0</v>
      </c>
      <c r="B156" s="1">
        <f>MAX(AVERAGE(Portfolios!$B$2:$B$1004)-Portfolios!B156, 0)</f>
        <v>0</v>
      </c>
    </row>
    <row r="157" spans="1:2">
      <c r="A157" s="11">
        <f>Returns!A157</f>
        <v>0</v>
      </c>
      <c r="B157" s="1">
        <f>MAX(AVERAGE(Portfolios!$B$2:$B$1004)-Portfolios!B157, 0)</f>
        <v>0</v>
      </c>
    </row>
    <row r="158" spans="1:2">
      <c r="A158" s="11">
        <f>Returns!A158</f>
        <v>0</v>
      </c>
      <c r="B158" s="1">
        <f>MAX(AVERAGE(Portfolios!$B$2:$B$1004)-Portfolios!B158, 0)</f>
        <v>0</v>
      </c>
    </row>
    <row r="159" spans="1:2">
      <c r="A159" s="11">
        <f>Returns!A159</f>
        <v>0</v>
      </c>
      <c r="B159" s="1">
        <f>MAX(AVERAGE(Portfolios!$B$2:$B$1004)-Portfolios!B159, 0)</f>
        <v>0</v>
      </c>
    </row>
    <row r="160" spans="1:2">
      <c r="A160" s="11">
        <f>Returns!A160</f>
        <v>0</v>
      </c>
      <c r="B160" s="1">
        <f>MAX(AVERAGE(Portfolios!$B$2:$B$1004)-Portfolios!B160, 0)</f>
        <v>0</v>
      </c>
    </row>
    <row r="161" spans="1:2">
      <c r="A161" s="11">
        <f>Returns!A161</f>
        <v>0</v>
      </c>
      <c r="B161" s="1">
        <f>MAX(AVERAGE(Portfolios!$B$2:$B$1004)-Portfolios!B161, 0)</f>
        <v>0</v>
      </c>
    </row>
    <row r="162" spans="1:2">
      <c r="A162" s="11">
        <f>Returns!A162</f>
        <v>0</v>
      </c>
      <c r="B162" s="1">
        <f>MAX(AVERAGE(Portfolios!$B$2:$B$1004)-Portfolios!B162, 0)</f>
        <v>0</v>
      </c>
    </row>
    <row r="163" spans="1:2">
      <c r="A163" s="11">
        <f>Returns!A163</f>
        <v>0</v>
      </c>
      <c r="B163" s="1">
        <f>MAX(AVERAGE(Portfolios!$B$2:$B$1004)-Portfolios!B163, 0)</f>
        <v>0</v>
      </c>
    </row>
    <row r="164" spans="1:2">
      <c r="A164" s="11">
        <f>Returns!A164</f>
        <v>0</v>
      </c>
      <c r="B164" s="1">
        <f>MAX(AVERAGE(Portfolios!$B$2:$B$1004)-Portfolios!B164, 0)</f>
        <v>0</v>
      </c>
    </row>
    <row r="165" spans="1:2">
      <c r="A165" s="11">
        <f>Returns!A165</f>
        <v>0</v>
      </c>
      <c r="B165" s="1">
        <f>MAX(AVERAGE(Portfolios!$B$2:$B$1004)-Portfolios!B165, 0)</f>
        <v>0</v>
      </c>
    </row>
    <row r="166" spans="1:2">
      <c r="A166" s="11">
        <f>Returns!A166</f>
        <v>0</v>
      </c>
      <c r="B166" s="1">
        <f>MAX(AVERAGE(Portfolios!$B$2:$B$1004)-Portfolios!B166, 0)</f>
        <v>0</v>
      </c>
    </row>
    <row r="167" spans="1:2">
      <c r="A167" s="11">
        <f>Returns!A167</f>
        <v>0</v>
      </c>
      <c r="B167" s="1">
        <f>MAX(AVERAGE(Portfolios!$B$2:$B$1004)-Portfolios!B167, 0)</f>
        <v>0</v>
      </c>
    </row>
    <row r="168" spans="1:2">
      <c r="A168" s="11">
        <f>Returns!A168</f>
        <v>0</v>
      </c>
      <c r="B168" s="1">
        <f>MAX(AVERAGE(Portfolios!$B$2:$B$1004)-Portfolios!B168, 0)</f>
        <v>0</v>
      </c>
    </row>
    <row r="169" spans="1:2">
      <c r="A169" s="11">
        <f>Returns!A169</f>
        <v>0</v>
      </c>
      <c r="B169" s="1">
        <f>MAX(AVERAGE(Portfolios!$B$2:$B$1004)-Portfolios!B169, 0)</f>
        <v>0</v>
      </c>
    </row>
    <row r="170" spans="1:2">
      <c r="A170" s="11">
        <f>Returns!A170</f>
        <v>0</v>
      </c>
      <c r="B170" s="1">
        <f>MAX(AVERAGE(Portfolios!$B$2:$B$1004)-Portfolios!B170, 0)</f>
        <v>0</v>
      </c>
    </row>
    <row r="171" spans="1:2">
      <c r="A171" s="11">
        <f>Returns!A171</f>
        <v>0</v>
      </c>
      <c r="B171" s="1">
        <f>MAX(AVERAGE(Portfolios!$B$2:$B$1004)-Portfolios!B171, 0)</f>
        <v>0</v>
      </c>
    </row>
    <row r="172" spans="1:2">
      <c r="A172" s="11">
        <f>Returns!A172</f>
        <v>0</v>
      </c>
      <c r="B172" s="1">
        <f>MAX(AVERAGE(Portfolios!$B$2:$B$1004)-Portfolios!B172, 0)</f>
        <v>0</v>
      </c>
    </row>
    <row r="173" spans="1:2">
      <c r="A173" s="11">
        <f>Returns!A173</f>
        <v>0</v>
      </c>
      <c r="B173" s="1">
        <f>MAX(AVERAGE(Portfolios!$B$2:$B$1004)-Portfolios!B173, 0)</f>
        <v>0</v>
      </c>
    </row>
    <row r="174" spans="1:2">
      <c r="A174" s="11">
        <f>Returns!A174</f>
        <v>0</v>
      </c>
      <c r="B174" s="1">
        <f>MAX(AVERAGE(Portfolios!$B$2:$B$1004)-Portfolios!B174, 0)</f>
        <v>0</v>
      </c>
    </row>
    <row r="175" spans="1:2">
      <c r="A175" s="11">
        <f>Returns!A175</f>
        <v>0</v>
      </c>
      <c r="B175" s="1">
        <f>MAX(AVERAGE(Portfolios!$B$2:$B$1004)-Portfolios!B175, 0)</f>
        <v>0</v>
      </c>
    </row>
    <row r="176" spans="1:2">
      <c r="A176" s="11">
        <f>Returns!A176</f>
        <v>0</v>
      </c>
      <c r="B176" s="1">
        <f>MAX(AVERAGE(Portfolios!$B$2:$B$1004)-Portfolios!B176, 0)</f>
        <v>0</v>
      </c>
    </row>
    <row r="177" spans="1:2">
      <c r="A177" s="11">
        <f>Returns!A177</f>
        <v>0</v>
      </c>
      <c r="B177" s="1">
        <f>MAX(AVERAGE(Portfolios!$B$2:$B$1004)-Portfolios!B177, 0)</f>
        <v>0</v>
      </c>
    </row>
    <row r="178" spans="1:2">
      <c r="A178" s="11">
        <f>Returns!A178</f>
        <v>0</v>
      </c>
      <c r="B178" s="1">
        <f>MAX(AVERAGE(Portfolios!$B$2:$B$1004)-Portfolios!B178, 0)</f>
        <v>0</v>
      </c>
    </row>
    <row r="179" spans="1:2">
      <c r="A179" s="11">
        <f>Returns!A179</f>
        <v>0</v>
      </c>
      <c r="B179" s="1">
        <f>MAX(AVERAGE(Portfolios!$B$2:$B$1004)-Portfolios!B179, 0)</f>
        <v>0</v>
      </c>
    </row>
    <row r="180" spans="1:2">
      <c r="A180" s="11">
        <f>Returns!A180</f>
        <v>0</v>
      </c>
      <c r="B180" s="1">
        <f>MAX(AVERAGE(Portfolios!$B$2:$B$1004)-Portfolios!B180, 0)</f>
        <v>0</v>
      </c>
    </row>
    <row r="181" spans="1:2">
      <c r="A181" s="11">
        <f>Returns!A181</f>
        <v>0</v>
      </c>
      <c r="B181" s="1">
        <f>MAX(AVERAGE(Portfolios!$B$2:$B$1004)-Portfolios!B181, 0)</f>
        <v>0</v>
      </c>
    </row>
    <row r="182" spans="1:2">
      <c r="A182" s="11">
        <f>Returns!A182</f>
        <v>0</v>
      </c>
      <c r="B182" s="1">
        <f>MAX(AVERAGE(Portfolios!$B$2:$B$1004)-Portfolios!B182, 0)</f>
        <v>0</v>
      </c>
    </row>
    <row r="183" spans="1:2">
      <c r="A183" s="11">
        <f>Returns!A183</f>
        <v>0</v>
      </c>
      <c r="B183" s="1">
        <f>MAX(AVERAGE(Portfolios!$B$2:$B$1004)-Portfolios!B183, 0)</f>
        <v>0</v>
      </c>
    </row>
    <row r="184" spans="1:2">
      <c r="A184" s="11">
        <f>Returns!A184</f>
        <v>0</v>
      </c>
      <c r="B184" s="1">
        <f>MAX(AVERAGE(Portfolios!$B$2:$B$1004)-Portfolios!B184, 0)</f>
        <v>0</v>
      </c>
    </row>
    <row r="185" spans="1:2">
      <c r="A185" s="11">
        <f>Returns!A185</f>
        <v>0</v>
      </c>
      <c r="B185" s="1">
        <f>MAX(AVERAGE(Portfolios!$B$2:$B$1004)-Portfolios!B185, 0)</f>
        <v>0</v>
      </c>
    </row>
    <row r="186" spans="1:2">
      <c r="A186" s="11">
        <f>Returns!A186</f>
        <v>0</v>
      </c>
      <c r="B186" s="1">
        <f>MAX(AVERAGE(Portfolios!$B$2:$B$1004)-Portfolios!B186, 0)</f>
        <v>0</v>
      </c>
    </row>
    <row r="187" spans="1:2">
      <c r="A187" s="11">
        <f>Returns!A187</f>
        <v>0</v>
      </c>
      <c r="B187" s="1">
        <f>MAX(AVERAGE(Portfolios!$B$2:$B$1004)-Portfolios!B187, 0)</f>
        <v>0</v>
      </c>
    </row>
    <row r="188" spans="1:2">
      <c r="A188" s="11">
        <f>Returns!A188</f>
        <v>0</v>
      </c>
      <c r="B188" s="1">
        <f>MAX(AVERAGE(Portfolios!$B$2:$B$1004)-Portfolios!B188, 0)</f>
        <v>0</v>
      </c>
    </row>
    <row r="189" spans="1:2">
      <c r="A189" s="11">
        <f>Returns!A189</f>
        <v>0</v>
      </c>
      <c r="B189" s="1">
        <f>MAX(AVERAGE(Portfolios!$B$2:$B$1004)-Portfolios!B189, 0)</f>
        <v>0</v>
      </c>
    </row>
    <row r="190" spans="1:2">
      <c r="A190" s="11">
        <f>Returns!A190</f>
        <v>0</v>
      </c>
      <c r="B190" s="1">
        <f>MAX(AVERAGE(Portfolios!$B$2:$B$1004)-Portfolios!B190, 0)</f>
        <v>0</v>
      </c>
    </row>
    <row r="191" spans="1:2">
      <c r="A191" s="11">
        <f>Returns!A191</f>
        <v>0</v>
      </c>
      <c r="B191" s="1">
        <f>MAX(AVERAGE(Portfolios!$B$2:$B$1004)-Portfolios!B191, 0)</f>
        <v>0</v>
      </c>
    </row>
    <row r="192" spans="1:2">
      <c r="A192" s="11">
        <f>Returns!A192</f>
        <v>0</v>
      </c>
      <c r="B192" s="1">
        <f>MAX(AVERAGE(Portfolios!$B$2:$B$1004)-Portfolios!B192, 0)</f>
        <v>0</v>
      </c>
    </row>
    <row r="193" spans="1:2">
      <c r="A193" s="11">
        <f>Returns!A193</f>
        <v>0</v>
      </c>
      <c r="B193" s="1">
        <f>MAX(AVERAGE(Portfolios!$B$2:$B$1004)-Portfolios!B193, 0)</f>
        <v>0</v>
      </c>
    </row>
    <row r="194" spans="1:2">
      <c r="A194" s="11">
        <f>Returns!A194</f>
        <v>0</v>
      </c>
      <c r="B194" s="1">
        <f>MAX(AVERAGE(Portfolios!$B$2:$B$1004)-Portfolios!B194, 0)</f>
        <v>0</v>
      </c>
    </row>
    <row r="195" spans="1:2">
      <c r="A195" s="11">
        <f>Returns!A195</f>
        <v>0</v>
      </c>
      <c r="B195" s="1">
        <f>MAX(AVERAGE(Portfolios!$B$2:$B$1004)-Portfolios!B195, 0)</f>
        <v>0</v>
      </c>
    </row>
    <row r="196" spans="1:2">
      <c r="A196" s="11">
        <f>Returns!A196</f>
        <v>0</v>
      </c>
      <c r="B196" s="1">
        <f>MAX(AVERAGE(Portfolios!$B$2:$B$1004)-Portfolios!B196, 0)</f>
        <v>0</v>
      </c>
    </row>
    <row r="197" spans="1:2">
      <c r="A197" s="11">
        <f>Returns!A197</f>
        <v>0</v>
      </c>
      <c r="B197" s="1">
        <f>MAX(AVERAGE(Portfolios!$B$2:$B$1004)-Portfolios!B197, 0)</f>
        <v>0</v>
      </c>
    </row>
    <row r="198" spans="1:2">
      <c r="A198" s="11">
        <f>Returns!A198</f>
        <v>0</v>
      </c>
      <c r="B198" s="1">
        <f>MAX(AVERAGE(Portfolios!$B$2:$B$1004)-Portfolios!B198, 0)</f>
        <v>0</v>
      </c>
    </row>
    <row r="199" spans="1:2">
      <c r="A199" s="11">
        <f>Returns!A199</f>
        <v>0</v>
      </c>
      <c r="B199" s="1">
        <f>MAX(AVERAGE(Portfolios!$B$2:$B$1004)-Portfolios!B199, 0)</f>
        <v>0</v>
      </c>
    </row>
    <row r="200" spans="1:2">
      <c r="A200" s="11">
        <f>Returns!A200</f>
        <v>0</v>
      </c>
      <c r="B200" s="1">
        <f>MAX(AVERAGE(Portfolios!$B$2:$B$1004)-Portfolios!B200, 0)</f>
        <v>0</v>
      </c>
    </row>
    <row r="201" spans="1:2">
      <c r="A201" s="11">
        <f>Returns!A201</f>
        <v>0</v>
      </c>
      <c r="B201" s="1">
        <f>MAX(AVERAGE(Portfolios!$B$2:$B$1004)-Portfolios!B201, 0)</f>
        <v>0</v>
      </c>
    </row>
    <row r="202" spans="1:2">
      <c r="A202" s="11">
        <f>Returns!A202</f>
        <v>0</v>
      </c>
      <c r="B202" s="1">
        <f>MAX(AVERAGE(Portfolios!$B$2:$B$1004)-Portfolios!B202, 0)</f>
        <v>0</v>
      </c>
    </row>
    <row r="203" spans="1:2">
      <c r="A203" s="11">
        <f>Returns!A203</f>
        <v>0</v>
      </c>
      <c r="B203" s="1">
        <f>MAX(AVERAGE(Portfolios!$B$2:$B$1004)-Portfolios!B203, 0)</f>
        <v>0</v>
      </c>
    </row>
    <row r="204" spans="1:2">
      <c r="A204" s="11">
        <f>Returns!A204</f>
        <v>0</v>
      </c>
      <c r="B204" s="1">
        <f>MAX(AVERAGE(Portfolios!$B$2:$B$1004)-Portfolios!B204, 0)</f>
        <v>0</v>
      </c>
    </row>
    <row r="205" spans="1:2">
      <c r="A205" s="11">
        <f>Returns!A205</f>
        <v>0</v>
      </c>
      <c r="B205" s="1">
        <f>MAX(AVERAGE(Portfolios!$B$2:$B$1004)-Portfolios!B205, 0)</f>
        <v>0</v>
      </c>
    </row>
    <row r="206" spans="1:2">
      <c r="A206" s="11">
        <f>Returns!A206</f>
        <v>0</v>
      </c>
      <c r="B206" s="1">
        <f>MAX(AVERAGE(Portfolios!$B$2:$B$1004)-Portfolios!B206, 0)</f>
        <v>0</v>
      </c>
    </row>
    <row r="207" spans="1:2">
      <c r="A207" s="11">
        <f>Returns!A207</f>
        <v>0</v>
      </c>
      <c r="B207" s="1">
        <f>MAX(AVERAGE(Portfolios!$B$2:$B$1004)-Portfolios!B207, 0)</f>
        <v>0</v>
      </c>
    </row>
    <row r="208" spans="1:2">
      <c r="A208" s="11">
        <f>Returns!A208</f>
        <v>0</v>
      </c>
      <c r="B208" s="1">
        <f>MAX(AVERAGE(Portfolios!$B$2:$B$1004)-Portfolios!B208, 0)</f>
        <v>0</v>
      </c>
    </row>
    <row r="209" spans="1:2">
      <c r="A209" s="11">
        <f>Returns!A209</f>
        <v>0</v>
      </c>
      <c r="B209" s="1">
        <f>MAX(AVERAGE(Portfolios!$B$2:$B$1004)-Portfolios!B209, 0)</f>
        <v>0</v>
      </c>
    </row>
    <row r="210" spans="1:2">
      <c r="A210" s="11">
        <f>Returns!A210</f>
        <v>0</v>
      </c>
      <c r="B210" s="1">
        <f>MAX(AVERAGE(Portfolios!$B$2:$B$1004)-Portfolios!B210, 0)</f>
        <v>0</v>
      </c>
    </row>
    <row r="211" spans="1:2">
      <c r="A211" s="11">
        <f>Returns!A211</f>
        <v>0</v>
      </c>
      <c r="B211" s="1">
        <f>MAX(AVERAGE(Portfolios!$B$2:$B$1004)-Portfolios!B211, 0)</f>
        <v>0</v>
      </c>
    </row>
    <row r="212" spans="1:2">
      <c r="A212" s="11">
        <f>Returns!A212</f>
        <v>0</v>
      </c>
      <c r="B212" s="1">
        <f>MAX(AVERAGE(Portfolios!$B$2:$B$1004)-Portfolios!B212, 0)</f>
        <v>0</v>
      </c>
    </row>
    <row r="213" spans="1:2">
      <c r="A213" s="11">
        <f>Returns!A213</f>
        <v>0</v>
      </c>
      <c r="B213" s="1">
        <f>MAX(AVERAGE(Portfolios!$B$2:$B$1004)-Portfolios!B213, 0)</f>
        <v>0</v>
      </c>
    </row>
    <row r="214" spans="1:2">
      <c r="A214" s="11">
        <f>Returns!A214</f>
        <v>0</v>
      </c>
      <c r="B214" s="1">
        <f>MAX(AVERAGE(Portfolios!$B$2:$B$1004)-Portfolios!B214, 0)</f>
        <v>0</v>
      </c>
    </row>
    <row r="215" spans="1:2">
      <c r="A215" s="11">
        <f>Returns!A215</f>
        <v>0</v>
      </c>
      <c r="B215" s="1">
        <f>MAX(AVERAGE(Portfolios!$B$2:$B$1004)-Portfolios!B215, 0)</f>
        <v>0</v>
      </c>
    </row>
    <row r="216" spans="1:2">
      <c r="A216" s="11">
        <f>Returns!A216</f>
        <v>0</v>
      </c>
      <c r="B216" s="1">
        <f>MAX(AVERAGE(Portfolios!$B$2:$B$1004)-Portfolios!B216, 0)</f>
        <v>0</v>
      </c>
    </row>
    <row r="217" spans="1:2">
      <c r="A217" s="11">
        <f>Returns!A217</f>
        <v>0</v>
      </c>
      <c r="B217" s="1">
        <f>MAX(AVERAGE(Portfolios!$B$2:$B$1004)-Portfolios!B217, 0)</f>
        <v>0</v>
      </c>
    </row>
    <row r="218" spans="1:2">
      <c r="A218" s="11">
        <f>Returns!A218</f>
        <v>0</v>
      </c>
      <c r="B218" s="1">
        <f>MAX(AVERAGE(Portfolios!$B$2:$B$1004)-Portfolios!B218, 0)</f>
        <v>0</v>
      </c>
    </row>
    <row r="219" spans="1:2">
      <c r="A219" s="11">
        <f>Returns!A219</f>
        <v>0</v>
      </c>
      <c r="B219" s="1">
        <f>MAX(AVERAGE(Portfolios!$B$2:$B$1004)-Portfolios!B219, 0)</f>
        <v>0</v>
      </c>
    </row>
    <row r="220" spans="1:2">
      <c r="A220" s="11">
        <f>Returns!A220</f>
        <v>0</v>
      </c>
      <c r="B220" s="1">
        <f>MAX(AVERAGE(Portfolios!$B$2:$B$1004)-Portfolios!B220, 0)</f>
        <v>0</v>
      </c>
    </row>
    <row r="221" spans="1:2">
      <c r="A221" s="11">
        <f>Returns!A221</f>
        <v>0</v>
      </c>
      <c r="B221" s="1">
        <f>MAX(AVERAGE(Portfolios!$B$2:$B$1004)-Portfolios!B221, 0)</f>
        <v>0</v>
      </c>
    </row>
    <row r="222" spans="1:2">
      <c r="A222" s="11">
        <f>Returns!A222</f>
        <v>0</v>
      </c>
      <c r="B222" s="1">
        <f>MAX(AVERAGE(Portfolios!$B$2:$B$1004)-Portfolios!B222, 0)</f>
        <v>0</v>
      </c>
    </row>
    <row r="223" spans="1:2">
      <c r="A223" s="11">
        <f>Returns!A223</f>
        <v>0</v>
      </c>
      <c r="B223" s="1">
        <f>MAX(AVERAGE(Portfolios!$B$2:$B$1004)-Portfolios!B223, 0)</f>
        <v>0</v>
      </c>
    </row>
    <row r="224" spans="1:2">
      <c r="A224" s="11">
        <f>Returns!A224</f>
        <v>0</v>
      </c>
      <c r="B224" s="1">
        <f>MAX(AVERAGE(Portfolios!$B$2:$B$1004)-Portfolios!B224, 0)</f>
        <v>0</v>
      </c>
    </row>
    <row r="225" spans="1:2">
      <c r="A225" s="11">
        <f>Returns!A225</f>
        <v>0</v>
      </c>
      <c r="B225" s="1">
        <f>MAX(AVERAGE(Portfolios!$B$2:$B$1004)-Portfolios!B225, 0)</f>
        <v>0</v>
      </c>
    </row>
    <row r="226" spans="1:2">
      <c r="A226" s="11">
        <f>Returns!A226</f>
        <v>0</v>
      </c>
      <c r="B226" s="1">
        <f>MAX(AVERAGE(Portfolios!$B$2:$B$1004)-Portfolios!B226, 0)</f>
        <v>0</v>
      </c>
    </row>
    <row r="227" spans="1:2">
      <c r="A227" s="11">
        <f>Returns!A227</f>
        <v>0</v>
      </c>
      <c r="B227" s="1">
        <f>MAX(AVERAGE(Portfolios!$B$2:$B$1004)-Portfolios!B227, 0)</f>
        <v>0</v>
      </c>
    </row>
    <row r="228" spans="1:2">
      <c r="A228" s="11">
        <f>Returns!A228</f>
        <v>0</v>
      </c>
      <c r="B228" s="1">
        <f>MAX(AVERAGE(Portfolios!$B$2:$B$1004)-Portfolios!B228, 0)</f>
        <v>0</v>
      </c>
    </row>
    <row r="229" spans="1:2">
      <c r="A229" s="11">
        <f>Returns!A229</f>
        <v>0</v>
      </c>
      <c r="B229" s="1">
        <f>MAX(AVERAGE(Portfolios!$B$2:$B$1004)-Portfolios!B229, 0)</f>
        <v>0</v>
      </c>
    </row>
    <row r="230" spans="1:2">
      <c r="A230" s="11">
        <f>Returns!A230</f>
        <v>0</v>
      </c>
      <c r="B230" s="1">
        <f>MAX(AVERAGE(Portfolios!$B$2:$B$1004)-Portfolios!B230, 0)</f>
        <v>0</v>
      </c>
    </row>
    <row r="231" spans="1:2">
      <c r="A231" s="11">
        <f>Returns!A231</f>
        <v>0</v>
      </c>
      <c r="B231" s="1">
        <f>MAX(AVERAGE(Portfolios!$B$2:$B$1004)-Portfolios!B231, 0)</f>
        <v>0</v>
      </c>
    </row>
    <row r="232" spans="1:2">
      <c r="A232" s="11">
        <f>Returns!A232</f>
        <v>0</v>
      </c>
      <c r="B232" s="1">
        <f>MAX(AVERAGE(Portfolios!$B$2:$B$1004)-Portfolios!B232, 0)</f>
        <v>0</v>
      </c>
    </row>
    <row r="233" spans="1:2">
      <c r="A233" s="11">
        <f>Returns!A233</f>
        <v>0</v>
      </c>
      <c r="B233" s="1">
        <f>MAX(AVERAGE(Portfolios!$B$2:$B$1004)-Portfolios!B233, 0)</f>
        <v>0</v>
      </c>
    </row>
    <row r="234" spans="1:2">
      <c r="A234" s="11">
        <f>Returns!A234</f>
        <v>0</v>
      </c>
      <c r="B234" s="1">
        <f>MAX(AVERAGE(Portfolios!$B$2:$B$1004)-Portfolios!B234, 0)</f>
        <v>0</v>
      </c>
    </row>
    <row r="235" spans="1:2">
      <c r="A235" s="11">
        <f>Returns!A235</f>
        <v>0</v>
      </c>
      <c r="B235" s="1">
        <f>MAX(AVERAGE(Portfolios!$B$2:$B$1004)-Portfolios!B235, 0)</f>
        <v>0</v>
      </c>
    </row>
    <row r="236" spans="1:2">
      <c r="A236" s="11">
        <f>Returns!A236</f>
        <v>0</v>
      </c>
      <c r="B236" s="1">
        <f>MAX(AVERAGE(Portfolios!$B$2:$B$1004)-Portfolios!B236, 0)</f>
        <v>0</v>
      </c>
    </row>
    <row r="237" spans="1:2">
      <c r="A237" s="11">
        <f>Returns!A237</f>
        <v>0</v>
      </c>
      <c r="B237" s="1">
        <f>MAX(AVERAGE(Portfolios!$B$2:$B$1004)-Portfolios!B237, 0)</f>
        <v>0</v>
      </c>
    </row>
    <row r="238" spans="1:2">
      <c r="A238" s="11">
        <f>Returns!A238</f>
        <v>0</v>
      </c>
      <c r="B238" s="1">
        <f>MAX(AVERAGE(Portfolios!$B$2:$B$1004)-Portfolios!B238, 0)</f>
        <v>0</v>
      </c>
    </row>
    <row r="239" spans="1:2">
      <c r="A239" s="11">
        <f>Returns!A239</f>
        <v>0</v>
      </c>
      <c r="B239" s="1">
        <f>MAX(AVERAGE(Portfolios!$B$2:$B$1004)-Portfolios!B239, 0)</f>
        <v>0</v>
      </c>
    </row>
    <row r="240" spans="1:2">
      <c r="A240" s="11">
        <f>Returns!A240</f>
        <v>0</v>
      </c>
      <c r="B240" s="1">
        <f>MAX(AVERAGE(Portfolios!$B$2:$B$1004)-Portfolios!B240, 0)</f>
        <v>0</v>
      </c>
    </row>
    <row r="241" spans="1:2">
      <c r="A241" s="11">
        <f>Returns!A241</f>
        <v>0</v>
      </c>
      <c r="B241" s="1">
        <f>MAX(AVERAGE(Portfolios!$B$2:$B$1004)-Portfolios!B241, 0)</f>
        <v>0</v>
      </c>
    </row>
    <row r="242" spans="1:2">
      <c r="A242" s="11">
        <f>Returns!A242</f>
        <v>0</v>
      </c>
      <c r="B242" s="1">
        <f>MAX(AVERAGE(Portfolios!$B$2:$B$1004)-Portfolios!B242, 0)</f>
        <v>0</v>
      </c>
    </row>
    <row r="243" spans="1:2">
      <c r="A243" s="11">
        <f>Returns!A243</f>
        <v>0</v>
      </c>
      <c r="B243" s="1">
        <f>MAX(AVERAGE(Portfolios!$B$2:$B$1004)-Portfolios!B243, 0)</f>
        <v>0</v>
      </c>
    </row>
    <row r="244" spans="1:2">
      <c r="A244" s="11">
        <f>Returns!A244</f>
        <v>0</v>
      </c>
      <c r="B244" s="1">
        <f>MAX(AVERAGE(Portfolios!$B$2:$B$1004)-Portfolios!B244, 0)</f>
        <v>0</v>
      </c>
    </row>
    <row r="245" spans="1:2">
      <c r="A245" s="11">
        <f>Returns!A245</f>
        <v>0</v>
      </c>
      <c r="B245" s="1">
        <f>MAX(AVERAGE(Portfolios!$B$2:$B$1004)-Portfolios!B245, 0)</f>
        <v>0</v>
      </c>
    </row>
    <row r="246" spans="1:2">
      <c r="A246" s="11">
        <f>Returns!A246</f>
        <v>0</v>
      </c>
      <c r="B246" s="1">
        <f>MAX(AVERAGE(Portfolios!$B$2:$B$1004)-Portfolios!B246, 0)</f>
        <v>0</v>
      </c>
    </row>
    <row r="247" spans="1:2">
      <c r="A247" s="11">
        <f>Returns!A247</f>
        <v>0</v>
      </c>
      <c r="B247" s="1">
        <f>MAX(AVERAGE(Portfolios!$B$2:$B$1004)-Portfolios!B247, 0)</f>
        <v>0</v>
      </c>
    </row>
    <row r="248" spans="1:2">
      <c r="A248" s="11">
        <f>Returns!A248</f>
        <v>0</v>
      </c>
      <c r="B248" s="1">
        <f>MAX(AVERAGE(Portfolios!$B$2:$B$1004)-Portfolios!B248, 0)</f>
        <v>0</v>
      </c>
    </row>
    <row r="249" spans="1:2">
      <c r="A249" s="11">
        <f>Returns!A249</f>
        <v>0</v>
      </c>
      <c r="B249" s="1">
        <f>MAX(AVERAGE(Portfolios!$B$2:$B$1004)-Portfolios!B249, 0)</f>
        <v>0</v>
      </c>
    </row>
    <row r="250" spans="1:2">
      <c r="A250" s="11">
        <f>Returns!A250</f>
        <v>0</v>
      </c>
      <c r="B250" s="1">
        <f>MAX(AVERAGE(Portfolios!$B$2:$B$1004)-Portfolios!B250, 0)</f>
        <v>0</v>
      </c>
    </row>
    <row r="251" spans="1:2">
      <c r="A251" s="11">
        <f>Returns!A251</f>
        <v>0</v>
      </c>
      <c r="B251" s="1">
        <f>MAX(AVERAGE(Portfolios!$B$2:$B$1004)-Portfolios!B251, 0)</f>
        <v>0</v>
      </c>
    </row>
    <row r="252" spans="1:2">
      <c r="A252" s="11">
        <f>Returns!A252</f>
        <v>0</v>
      </c>
      <c r="B252" s="1">
        <f>MAX(AVERAGE(Portfolios!$B$2:$B$1004)-Portfolios!B252, 0)</f>
        <v>0</v>
      </c>
    </row>
    <row r="253" spans="1:2">
      <c r="A253" s="11">
        <f>Returns!A253</f>
        <v>0</v>
      </c>
      <c r="B253" s="1">
        <f>MAX(AVERAGE(Portfolios!$B$2:$B$1004)-Portfolios!B253, 0)</f>
        <v>0</v>
      </c>
    </row>
    <row r="254" spans="1:2">
      <c r="A254" s="11">
        <f>Returns!A254</f>
        <v>0</v>
      </c>
      <c r="B254" s="1">
        <f>MAX(AVERAGE(Portfolios!$B$2:$B$1004)-Portfolios!B254, 0)</f>
        <v>0</v>
      </c>
    </row>
    <row r="255" spans="1:2">
      <c r="A255" s="11">
        <f>Returns!A255</f>
        <v>0</v>
      </c>
      <c r="B255" s="1">
        <f>MAX(AVERAGE(Portfolios!$B$2:$B$1004)-Portfolios!B255, 0)</f>
        <v>0</v>
      </c>
    </row>
    <row r="256" spans="1:2">
      <c r="A256" s="11">
        <f>Returns!A256</f>
        <v>0</v>
      </c>
      <c r="B256" s="1">
        <f>MAX(AVERAGE(Portfolios!$B$2:$B$1004)-Portfolios!B256, 0)</f>
        <v>0</v>
      </c>
    </row>
    <row r="257" spans="1:2">
      <c r="A257" s="11">
        <f>Returns!A257</f>
        <v>0</v>
      </c>
      <c r="B257" s="1">
        <f>MAX(AVERAGE(Portfolios!$B$2:$B$1004)-Portfolios!B257, 0)</f>
        <v>0</v>
      </c>
    </row>
    <row r="258" spans="1:2">
      <c r="A258" s="11">
        <f>Returns!A258</f>
        <v>0</v>
      </c>
      <c r="B258" s="1">
        <f>MAX(AVERAGE(Portfolios!$B$2:$B$1004)-Portfolios!B258, 0)</f>
        <v>0</v>
      </c>
    </row>
    <row r="259" spans="1:2">
      <c r="A259" s="11">
        <f>Returns!A259</f>
        <v>0</v>
      </c>
      <c r="B259" s="1">
        <f>MAX(AVERAGE(Portfolios!$B$2:$B$1004)-Portfolios!B259, 0)</f>
        <v>0</v>
      </c>
    </row>
    <row r="260" spans="1:2">
      <c r="A260" s="11">
        <f>Returns!A260</f>
        <v>0</v>
      </c>
      <c r="B260" s="1">
        <f>MAX(AVERAGE(Portfolios!$B$2:$B$1004)-Portfolios!B260, 0)</f>
        <v>0</v>
      </c>
    </row>
    <row r="261" spans="1:2">
      <c r="A261" s="11">
        <f>Returns!A261</f>
        <v>0</v>
      </c>
      <c r="B261" s="1">
        <f>MAX(AVERAGE(Portfolios!$B$2:$B$1004)-Portfolios!B261, 0)</f>
        <v>0</v>
      </c>
    </row>
    <row r="262" spans="1:2">
      <c r="A262" s="11">
        <f>Returns!A262</f>
        <v>0</v>
      </c>
      <c r="B262" s="1">
        <f>MAX(AVERAGE(Portfolios!$B$2:$B$1004)-Portfolios!B262, 0)</f>
        <v>0</v>
      </c>
    </row>
    <row r="263" spans="1:2">
      <c r="A263" s="11">
        <f>Returns!A263</f>
        <v>0</v>
      </c>
      <c r="B263" s="1">
        <f>MAX(AVERAGE(Portfolios!$B$2:$B$1004)-Portfolios!B263, 0)</f>
        <v>0</v>
      </c>
    </row>
    <row r="264" spans="1:2">
      <c r="A264" s="11">
        <f>Returns!A264</f>
        <v>0</v>
      </c>
      <c r="B264" s="1">
        <f>MAX(AVERAGE(Portfolios!$B$2:$B$1004)-Portfolios!B264, 0)</f>
        <v>0</v>
      </c>
    </row>
    <row r="265" spans="1:2">
      <c r="A265" s="11">
        <f>Returns!A265</f>
        <v>0</v>
      </c>
      <c r="B265" s="1">
        <f>MAX(AVERAGE(Portfolios!$B$2:$B$1004)-Portfolios!B265, 0)</f>
        <v>0</v>
      </c>
    </row>
    <row r="266" spans="1:2">
      <c r="A266" s="11">
        <f>Returns!A266</f>
        <v>0</v>
      </c>
      <c r="B266" s="1">
        <f>MAX(AVERAGE(Portfolios!$B$2:$B$1004)-Portfolios!B266, 0)</f>
        <v>0</v>
      </c>
    </row>
    <row r="267" spans="1:2">
      <c r="A267" s="11">
        <f>Returns!A267</f>
        <v>0</v>
      </c>
      <c r="B267" s="1">
        <f>MAX(AVERAGE(Portfolios!$B$2:$B$1004)-Portfolios!B267, 0)</f>
        <v>0</v>
      </c>
    </row>
    <row r="268" spans="1:2">
      <c r="A268" s="11">
        <f>Returns!A268</f>
        <v>0</v>
      </c>
      <c r="B268" s="1">
        <f>MAX(AVERAGE(Portfolios!$B$2:$B$1004)-Portfolios!B268, 0)</f>
        <v>0</v>
      </c>
    </row>
    <row r="269" spans="1:2">
      <c r="A269" s="11">
        <f>Returns!A269</f>
        <v>0</v>
      </c>
      <c r="B269" s="1">
        <f>MAX(AVERAGE(Portfolios!$B$2:$B$1004)-Portfolios!B269, 0)</f>
        <v>0</v>
      </c>
    </row>
    <row r="270" spans="1:2">
      <c r="A270" s="11">
        <f>Returns!A270</f>
        <v>0</v>
      </c>
      <c r="B270" s="1">
        <f>MAX(AVERAGE(Portfolios!$B$2:$B$1004)-Portfolios!B270, 0)</f>
        <v>0</v>
      </c>
    </row>
    <row r="271" spans="1:2">
      <c r="A271" s="11">
        <f>Returns!A271</f>
        <v>0</v>
      </c>
      <c r="B271" s="1">
        <f>MAX(AVERAGE(Portfolios!$B$2:$B$1004)-Portfolios!B271, 0)</f>
        <v>0</v>
      </c>
    </row>
    <row r="272" spans="1:2">
      <c r="A272" s="11">
        <f>Returns!A272</f>
        <v>0</v>
      </c>
      <c r="B272" s="1">
        <f>MAX(AVERAGE(Portfolios!$B$2:$B$1004)-Portfolios!B272, 0)</f>
        <v>0</v>
      </c>
    </row>
    <row r="273" spans="1:2">
      <c r="A273" s="11">
        <f>Returns!A273</f>
        <v>0</v>
      </c>
      <c r="B273" s="1">
        <f>MAX(AVERAGE(Portfolios!$B$2:$B$1004)-Portfolios!B273, 0)</f>
        <v>0</v>
      </c>
    </row>
    <row r="274" spans="1:2">
      <c r="A274" s="11">
        <f>Returns!A274</f>
        <v>0</v>
      </c>
      <c r="B274" s="1">
        <f>MAX(AVERAGE(Portfolios!$B$2:$B$1004)-Portfolios!B274, 0)</f>
        <v>0</v>
      </c>
    </row>
    <row r="275" spans="1:2">
      <c r="A275" s="11">
        <f>Returns!A275</f>
        <v>0</v>
      </c>
      <c r="B275" s="1">
        <f>MAX(AVERAGE(Portfolios!$B$2:$B$1004)-Portfolios!B275, 0)</f>
        <v>0</v>
      </c>
    </row>
    <row r="276" spans="1:2">
      <c r="A276" s="11">
        <f>Returns!A276</f>
        <v>0</v>
      </c>
      <c r="B276" s="1">
        <f>MAX(AVERAGE(Portfolios!$B$2:$B$1004)-Portfolios!B276, 0)</f>
        <v>0</v>
      </c>
    </row>
    <row r="277" spans="1:2">
      <c r="A277" s="11">
        <f>Returns!A277</f>
        <v>0</v>
      </c>
      <c r="B277" s="1">
        <f>MAX(AVERAGE(Portfolios!$B$2:$B$1004)-Portfolios!B277, 0)</f>
        <v>0</v>
      </c>
    </row>
    <row r="278" spans="1:2">
      <c r="A278" s="11">
        <f>Returns!A278</f>
        <v>0</v>
      </c>
      <c r="B278" s="1">
        <f>MAX(AVERAGE(Portfolios!$B$2:$B$1004)-Portfolios!B278, 0)</f>
        <v>0</v>
      </c>
    </row>
    <row r="279" spans="1:2">
      <c r="A279" s="11">
        <f>Returns!A279</f>
        <v>0</v>
      </c>
      <c r="B279" s="1">
        <f>MAX(AVERAGE(Portfolios!$B$2:$B$1004)-Portfolios!B279, 0)</f>
        <v>0</v>
      </c>
    </row>
    <row r="280" spans="1:2">
      <c r="A280" s="11">
        <f>Returns!A280</f>
        <v>0</v>
      </c>
      <c r="B280" s="1">
        <f>MAX(AVERAGE(Portfolios!$B$2:$B$1004)-Portfolios!B280, 0)</f>
        <v>0</v>
      </c>
    </row>
    <row r="281" spans="1:2">
      <c r="A281" s="11">
        <f>Returns!A281</f>
        <v>0</v>
      </c>
      <c r="B281" s="1">
        <f>MAX(AVERAGE(Portfolios!$B$2:$B$1004)-Portfolios!B281, 0)</f>
        <v>0</v>
      </c>
    </row>
    <row r="282" spans="1:2">
      <c r="A282" s="11">
        <f>Returns!A282</f>
        <v>0</v>
      </c>
      <c r="B282" s="1">
        <f>MAX(AVERAGE(Portfolios!$B$2:$B$1004)-Portfolios!B282, 0)</f>
        <v>0</v>
      </c>
    </row>
    <row r="283" spans="1:2">
      <c r="A283" s="11">
        <f>Returns!A283</f>
        <v>0</v>
      </c>
      <c r="B283" s="1">
        <f>MAX(AVERAGE(Portfolios!$B$2:$B$1004)-Portfolios!B283, 0)</f>
        <v>0</v>
      </c>
    </row>
    <row r="284" spans="1:2">
      <c r="A284" s="11">
        <f>Returns!A284</f>
        <v>0</v>
      </c>
      <c r="B284" s="1">
        <f>MAX(AVERAGE(Portfolios!$B$2:$B$1004)-Portfolios!B284, 0)</f>
        <v>0</v>
      </c>
    </row>
    <row r="285" spans="1:2">
      <c r="A285" s="11">
        <f>Returns!A285</f>
        <v>0</v>
      </c>
      <c r="B285" s="1">
        <f>MAX(AVERAGE(Portfolios!$B$2:$B$1004)-Portfolios!B285, 0)</f>
        <v>0</v>
      </c>
    </row>
    <row r="286" spans="1:2">
      <c r="A286" s="11">
        <f>Returns!A286</f>
        <v>0</v>
      </c>
      <c r="B286" s="1">
        <f>MAX(AVERAGE(Portfolios!$B$2:$B$1004)-Portfolios!B286, 0)</f>
        <v>0</v>
      </c>
    </row>
    <row r="287" spans="1:2">
      <c r="A287" s="11">
        <f>Returns!A287</f>
        <v>0</v>
      </c>
      <c r="B287" s="1">
        <f>MAX(AVERAGE(Portfolios!$B$2:$B$1004)-Portfolios!B287, 0)</f>
        <v>0</v>
      </c>
    </row>
    <row r="288" spans="1:2">
      <c r="A288" s="11">
        <f>Returns!A288</f>
        <v>0</v>
      </c>
      <c r="B288" s="1">
        <f>MAX(AVERAGE(Portfolios!$B$2:$B$1004)-Portfolios!B288, 0)</f>
        <v>0</v>
      </c>
    </row>
    <row r="289" spans="1:2">
      <c r="A289" s="11">
        <f>Returns!A289</f>
        <v>0</v>
      </c>
      <c r="B289" s="1">
        <f>MAX(AVERAGE(Portfolios!$B$2:$B$1004)-Portfolios!B289, 0)</f>
        <v>0</v>
      </c>
    </row>
    <row r="290" spans="1:2">
      <c r="A290" s="11">
        <f>Returns!A290</f>
        <v>0</v>
      </c>
      <c r="B290" s="1">
        <f>MAX(AVERAGE(Portfolios!$B$2:$B$1004)-Portfolios!B290, 0)</f>
        <v>0</v>
      </c>
    </row>
    <row r="291" spans="1:2">
      <c r="A291" s="11">
        <f>Returns!A291</f>
        <v>0</v>
      </c>
      <c r="B291" s="1">
        <f>MAX(AVERAGE(Portfolios!$B$2:$B$1004)-Portfolios!B291, 0)</f>
        <v>0</v>
      </c>
    </row>
    <row r="292" spans="1:2">
      <c r="A292" s="11">
        <f>Returns!A292</f>
        <v>0</v>
      </c>
      <c r="B292" s="1">
        <f>MAX(AVERAGE(Portfolios!$B$2:$B$1004)-Portfolios!B292, 0)</f>
        <v>0</v>
      </c>
    </row>
    <row r="293" spans="1:2">
      <c r="A293" s="11">
        <f>Returns!A293</f>
        <v>0</v>
      </c>
      <c r="B293" s="1">
        <f>MAX(AVERAGE(Portfolios!$B$2:$B$1004)-Portfolios!B293, 0)</f>
        <v>0</v>
      </c>
    </row>
    <row r="294" spans="1:2">
      <c r="A294" s="11">
        <f>Returns!A294</f>
        <v>0</v>
      </c>
      <c r="B294" s="1">
        <f>MAX(AVERAGE(Portfolios!$B$2:$B$1004)-Portfolios!B294, 0)</f>
        <v>0</v>
      </c>
    </row>
    <row r="295" spans="1:2">
      <c r="A295" s="11">
        <f>Returns!A295</f>
        <v>0</v>
      </c>
      <c r="B295" s="1">
        <f>MAX(AVERAGE(Portfolios!$B$2:$B$1004)-Portfolios!B295, 0)</f>
        <v>0</v>
      </c>
    </row>
    <row r="296" spans="1:2">
      <c r="A296" s="11">
        <f>Returns!A296</f>
        <v>0</v>
      </c>
      <c r="B296" s="1">
        <f>MAX(AVERAGE(Portfolios!$B$2:$B$1004)-Portfolios!B296, 0)</f>
        <v>0</v>
      </c>
    </row>
    <row r="297" spans="1:2">
      <c r="A297" s="11">
        <f>Returns!A297</f>
        <v>0</v>
      </c>
      <c r="B297" s="1">
        <f>MAX(AVERAGE(Portfolios!$B$2:$B$1004)-Portfolios!B297, 0)</f>
        <v>0</v>
      </c>
    </row>
    <row r="298" spans="1:2">
      <c r="A298" s="11">
        <f>Returns!A298</f>
        <v>0</v>
      </c>
      <c r="B298" s="1">
        <f>MAX(AVERAGE(Portfolios!$B$2:$B$1004)-Portfolios!B298, 0)</f>
        <v>0</v>
      </c>
    </row>
    <row r="299" spans="1:2">
      <c r="A299" s="11">
        <f>Returns!A299</f>
        <v>0</v>
      </c>
      <c r="B299" s="1">
        <f>MAX(AVERAGE(Portfolios!$B$2:$B$1004)-Portfolios!B299, 0)</f>
        <v>0</v>
      </c>
    </row>
    <row r="300" spans="1:2">
      <c r="A300" s="11">
        <f>Returns!A300</f>
        <v>0</v>
      </c>
      <c r="B300" s="1">
        <f>MAX(AVERAGE(Portfolios!$B$2:$B$1004)-Portfolios!B300, 0)</f>
        <v>0</v>
      </c>
    </row>
    <row r="301" spans="1:2">
      <c r="A301" s="11">
        <f>Returns!A301</f>
        <v>0</v>
      </c>
      <c r="B301" s="1">
        <f>MAX(AVERAGE(Portfolios!$B$2:$B$1004)-Portfolios!B301, 0)</f>
        <v>0</v>
      </c>
    </row>
    <row r="302" spans="1:2">
      <c r="A302" s="11">
        <f>Returns!A302</f>
        <v>0</v>
      </c>
      <c r="B302" s="1">
        <f>MAX(AVERAGE(Portfolios!$B$2:$B$1004)-Portfolios!B302, 0)</f>
        <v>0</v>
      </c>
    </row>
    <row r="303" spans="1:2">
      <c r="A303" s="11">
        <f>Returns!A303</f>
        <v>0</v>
      </c>
      <c r="B303" s="1">
        <f>MAX(AVERAGE(Portfolios!$B$2:$B$1004)-Portfolios!B303, 0)</f>
        <v>0</v>
      </c>
    </row>
    <row r="304" spans="1:2">
      <c r="A304" s="11">
        <f>Returns!A304</f>
        <v>0</v>
      </c>
      <c r="B304" s="1">
        <f>MAX(AVERAGE(Portfolios!$B$2:$B$1004)-Portfolios!B304, 0)</f>
        <v>0</v>
      </c>
    </row>
    <row r="305" spans="1:2">
      <c r="A305" s="11">
        <f>Returns!A305</f>
        <v>0</v>
      </c>
      <c r="B305" s="1">
        <f>MAX(AVERAGE(Portfolios!$B$2:$B$1004)-Portfolios!B305, 0)</f>
        <v>0</v>
      </c>
    </row>
    <row r="306" spans="1:2">
      <c r="A306" s="11">
        <f>Returns!A306</f>
        <v>0</v>
      </c>
      <c r="B306" s="1">
        <f>MAX(AVERAGE(Portfolios!$B$2:$B$1004)-Portfolios!B306, 0)</f>
        <v>0</v>
      </c>
    </row>
    <row r="307" spans="1:2">
      <c r="A307" s="11">
        <f>Returns!A307</f>
        <v>0</v>
      </c>
      <c r="B307" s="1">
        <f>MAX(AVERAGE(Portfolios!$B$2:$B$1004)-Portfolios!B307, 0)</f>
        <v>0</v>
      </c>
    </row>
    <row r="308" spans="1:2">
      <c r="A308" s="11">
        <f>Returns!A308</f>
        <v>0</v>
      </c>
      <c r="B308" s="1">
        <f>MAX(AVERAGE(Portfolios!$B$2:$B$1004)-Portfolios!B308, 0)</f>
        <v>0</v>
      </c>
    </row>
    <row r="309" spans="1:2">
      <c r="A309" s="11">
        <f>Returns!A309</f>
        <v>0</v>
      </c>
      <c r="B309" s="1">
        <f>MAX(AVERAGE(Portfolios!$B$2:$B$1004)-Portfolios!B309, 0)</f>
        <v>0</v>
      </c>
    </row>
    <row r="310" spans="1:2">
      <c r="A310" s="11">
        <f>Returns!A310</f>
        <v>0</v>
      </c>
      <c r="B310" s="1">
        <f>MAX(AVERAGE(Portfolios!$B$2:$B$1004)-Portfolios!B310, 0)</f>
        <v>0</v>
      </c>
    </row>
    <row r="311" spans="1:2">
      <c r="A311" s="11">
        <f>Returns!A311</f>
        <v>0</v>
      </c>
      <c r="B311" s="1">
        <f>MAX(AVERAGE(Portfolios!$B$2:$B$1004)-Portfolios!B311, 0)</f>
        <v>0</v>
      </c>
    </row>
    <row r="312" spans="1:2">
      <c r="A312" s="11">
        <f>Returns!A312</f>
        <v>0</v>
      </c>
      <c r="B312" s="1">
        <f>MAX(AVERAGE(Portfolios!$B$2:$B$1004)-Portfolios!B312, 0)</f>
        <v>0</v>
      </c>
    </row>
    <row r="313" spans="1:2">
      <c r="A313" s="11">
        <f>Returns!A313</f>
        <v>0</v>
      </c>
      <c r="B313" s="1">
        <f>MAX(AVERAGE(Portfolios!$B$2:$B$1004)-Portfolios!B313, 0)</f>
        <v>0</v>
      </c>
    </row>
    <row r="314" spans="1:2">
      <c r="A314" s="11">
        <f>Returns!A314</f>
        <v>0</v>
      </c>
      <c r="B314" s="1">
        <f>MAX(AVERAGE(Portfolios!$B$2:$B$1004)-Portfolios!B314, 0)</f>
        <v>0</v>
      </c>
    </row>
    <row r="315" spans="1:2">
      <c r="A315" s="11">
        <f>Returns!A315</f>
        <v>0</v>
      </c>
      <c r="B315" s="1">
        <f>MAX(AVERAGE(Portfolios!$B$2:$B$1004)-Portfolios!B315, 0)</f>
        <v>0</v>
      </c>
    </row>
    <row r="316" spans="1:2">
      <c r="A316" s="11">
        <f>Returns!A316</f>
        <v>0</v>
      </c>
      <c r="B316" s="1">
        <f>MAX(AVERAGE(Portfolios!$B$2:$B$1004)-Portfolios!B316, 0)</f>
        <v>0</v>
      </c>
    </row>
    <row r="317" spans="1:2">
      <c r="A317" s="11">
        <f>Returns!A317</f>
        <v>0</v>
      </c>
      <c r="B317" s="1">
        <f>MAX(AVERAGE(Portfolios!$B$2:$B$1004)-Portfolios!B317, 0)</f>
        <v>0</v>
      </c>
    </row>
    <row r="318" spans="1:2">
      <c r="A318" s="11">
        <f>Returns!A318</f>
        <v>0</v>
      </c>
      <c r="B318" s="1">
        <f>MAX(AVERAGE(Portfolios!$B$2:$B$1004)-Portfolios!B318, 0)</f>
        <v>0</v>
      </c>
    </row>
    <row r="319" spans="1:2">
      <c r="A319" s="11">
        <f>Returns!A319</f>
        <v>0</v>
      </c>
      <c r="B319" s="1">
        <f>MAX(AVERAGE(Portfolios!$B$2:$B$1004)-Portfolios!B319, 0)</f>
        <v>0</v>
      </c>
    </row>
    <row r="320" spans="1:2">
      <c r="A320" s="11">
        <f>Returns!A320</f>
        <v>0</v>
      </c>
      <c r="B320" s="1">
        <f>MAX(AVERAGE(Portfolios!$B$2:$B$1004)-Portfolios!B320, 0)</f>
        <v>0</v>
      </c>
    </row>
    <row r="321" spans="1:2">
      <c r="A321" s="11">
        <f>Returns!A321</f>
        <v>0</v>
      </c>
      <c r="B321" s="1">
        <f>MAX(AVERAGE(Portfolios!$B$2:$B$1004)-Portfolios!B321, 0)</f>
        <v>0</v>
      </c>
    </row>
    <row r="322" spans="1:2">
      <c r="A322" s="11">
        <f>Returns!A322</f>
        <v>0</v>
      </c>
      <c r="B322" s="1">
        <f>MAX(AVERAGE(Portfolios!$B$2:$B$1004)-Portfolios!B322, 0)</f>
        <v>0</v>
      </c>
    </row>
    <row r="323" spans="1:2">
      <c r="A323" s="11">
        <f>Returns!A323</f>
        <v>0</v>
      </c>
      <c r="B323" s="1">
        <f>MAX(AVERAGE(Portfolios!$B$2:$B$1004)-Portfolios!B323, 0)</f>
        <v>0</v>
      </c>
    </row>
    <row r="324" spans="1:2">
      <c r="A324" s="11">
        <f>Returns!A324</f>
        <v>0</v>
      </c>
      <c r="B324" s="1">
        <f>MAX(AVERAGE(Portfolios!$B$2:$B$1004)-Portfolios!B324, 0)</f>
        <v>0</v>
      </c>
    </row>
    <row r="325" spans="1:2">
      <c r="A325" s="11">
        <f>Returns!A325</f>
        <v>0</v>
      </c>
      <c r="B325" s="1">
        <f>MAX(AVERAGE(Portfolios!$B$2:$B$1004)-Portfolios!B325, 0)</f>
        <v>0</v>
      </c>
    </row>
    <row r="326" spans="1:2">
      <c r="A326" s="11">
        <f>Returns!A326</f>
        <v>0</v>
      </c>
      <c r="B326" s="1">
        <f>MAX(AVERAGE(Portfolios!$B$2:$B$1004)-Portfolios!B326, 0)</f>
        <v>0</v>
      </c>
    </row>
    <row r="327" spans="1:2">
      <c r="A327" s="11">
        <f>Returns!A327</f>
        <v>0</v>
      </c>
      <c r="B327" s="1">
        <f>MAX(AVERAGE(Portfolios!$B$2:$B$1004)-Portfolios!B327, 0)</f>
        <v>0</v>
      </c>
    </row>
    <row r="328" spans="1:2">
      <c r="A328" s="11">
        <f>Returns!A328</f>
        <v>0</v>
      </c>
      <c r="B328" s="1">
        <f>MAX(AVERAGE(Portfolios!$B$2:$B$1004)-Portfolios!B328, 0)</f>
        <v>0</v>
      </c>
    </row>
    <row r="329" spans="1:2">
      <c r="A329" s="11">
        <f>Returns!A329</f>
        <v>0</v>
      </c>
      <c r="B329" s="1">
        <f>MAX(AVERAGE(Portfolios!$B$2:$B$1004)-Portfolios!B329, 0)</f>
        <v>0</v>
      </c>
    </row>
    <row r="330" spans="1:2">
      <c r="A330" s="11">
        <f>Returns!A330</f>
        <v>0</v>
      </c>
      <c r="B330" s="1">
        <f>MAX(AVERAGE(Portfolios!$B$2:$B$1004)-Portfolios!B330, 0)</f>
        <v>0</v>
      </c>
    </row>
    <row r="331" spans="1:2">
      <c r="A331" s="11">
        <f>Returns!A331</f>
        <v>0</v>
      </c>
      <c r="B331" s="1">
        <f>MAX(AVERAGE(Portfolios!$B$2:$B$1004)-Portfolios!B331, 0)</f>
        <v>0</v>
      </c>
    </row>
    <row r="332" spans="1:2">
      <c r="A332" s="11">
        <f>Returns!A332</f>
        <v>0</v>
      </c>
      <c r="B332" s="1">
        <f>MAX(AVERAGE(Portfolios!$B$2:$B$1004)-Portfolios!B332, 0)</f>
        <v>0</v>
      </c>
    </row>
    <row r="333" spans="1:2">
      <c r="A333" s="11">
        <f>Returns!A333</f>
        <v>0</v>
      </c>
      <c r="B333" s="1">
        <f>MAX(AVERAGE(Portfolios!$B$2:$B$1004)-Portfolios!B333, 0)</f>
        <v>0</v>
      </c>
    </row>
    <row r="334" spans="1:2">
      <c r="A334" s="11">
        <f>Returns!A334</f>
        <v>0</v>
      </c>
      <c r="B334" s="1">
        <f>MAX(AVERAGE(Portfolios!$B$2:$B$1004)-Portfolios!B334, 0)</f>
        <v>0</v>
      </c>
    </row>
    <row r="335" spans="1:2">
      <c r="A335" s="11">
        <f>Returns!A335</f>
        <v>0</v>
      </c>
      <c r="B335" s="1">
        <f>MAX(AVERAGE(Portfolios!$B$2:$B$1004)-Portfolios!B335, 0)</f>
        <v>0</v>
      </c>
    </row>
    <row r="336" spans="1:2">
      <c r="A336" s="11">
        <f>Returns!A336</f>
        <v>0</v>
      </c>
      <c r="B336" s="1">
        <f>MAX(AVERAGE(Portfolios!$B$2:$B$1004)-Portfolios!B336, 0)</f>
        <v>0</v>
      </c>
    </row>
    <row r="337" spans="1:2">
      <c r="A337" s="11">
        <f>Returns!A337</f>
        <v>0</v>
      </c>
      <c r="B337" s="1">
        <f>MAX(AVERAGE(Portfolios!$B$2:$B$1004)-Portfolios!B337, 0)</f>
        <v>0</v>
      </c>
    </row>
    <row r="338" spans="1:2">
      <c r="A338" s="11">
        <f>Returns!A338</f>
        <v>0</v>
      </c>
      <c r="B338" s="1">
        <f>MAX(AVERAGE(Portfolios!$B$2:$B$1004)-Portfolios!B338, 0)</f>
        <v>0</v>
      </c>
    </row>
    <row r="339" spans="1:2">
      <c r="A339" s="11">
        <f>Returns!A339</f>
        <v>0</v>
      </c>
      <c r="B339" s="1">
        <f>MAX(AVERAGE(Portfolios!$B$2:$B$1004)-Portfolios!B339, 0)</f>
        <v>0</v>
      </c>
    </row>
    <row r="340" spans="1:2">
      <c r="A340" s="11">
        <f>Returns!A340</f>
        <v>0</v>
      </c>
      <c r="B340" s="1">
        <f>MAX(AVERAGE(Portfolios!$B$2:$B$1004)-Portfolios!B340, 0)</f>
        <v>0</v>
      </c>
    </row>
    <row r="341" spans="1:2">
      <c r="A341" s="11">
        <f>Returns!A341</f>
        <v>0</v>
      </c>
      <c r="B341" s="1">
        <f>MAX(AVERAGE(Portfolios!$B$2:$B$1004)-Portfolios!B341, 0)</f>
        <v>0</v>
      </c>
    </row>
    <row r="342" spans="1:2">
      <c r="A342" s="11">
        <f>Returns!A342</f>
        <v>0</v>
      </c>
      <c r="B342" s="1">
        <f>MAX(AVERAGE(Portfolios!$B$2:$B$1004)-Portfolios!B342, 0)</f>
        <v>0</v>
      </c>
    </row>
    <row r="343" spans="1:2">
      <c r="A343" s="11">
        <f>Returns!A343</f>
        <v>0</v>
      </c>
      <c r="B343" s="1">
        <f>MAX(AVERAGE(Portfolios!$B$2:$B$1004)-Portfolios!B343, 0)</f>
        <v>0</v>
      </c>
    </row>
    <row r="344" spans="1:2">
      <c r="A344" s="11">
        <f>Returns!A344</f>
        <v>0</v>
      </c>
      <c r="B344" s="1">
        <f>MAX(AVERAGE(Portfolios!$B$2:$B$1004)-Portfolios!B344, 0)</f>
        <v>0</v>
      </c>
    </row>
    <row r="345" spans="1:2">
      <c r="A345" s="11">
        <f>Returns!A345</f>
        <v>0</v>
      </c>
      <c r="B345" s="1">
        <f>MAX(AVERAGE(Portfolios!$B$2:$B$1004)-Portfolios!B345, 0)</f>
        <v>0</v>
      </c>
    </row>
    <row r="346" spans="1:2">
      <c r="A346" s="11">
        <f>Returns!A346</f>
        <v>0</v>
      </c>
      <c r="B346" s="1">
        <f>MAX(AVERAGE(Portfolios!$B$2:$B$1004)-Portfolios!B346, 0)</f>
        <v>0</v>
      </c>
    </row>
    <row r="347" spans="1:2">
      <c r="A347" s="11">
        <f>Returns!A347</f>
        <v>0</v>
      </c>
      <c r="B347" s="1">
        <f>MAX(AVERAGE(Portfolios!$B$2:$B$1004)-Portfolios!B347, 0)</f>
        <v>0</v>
      </c>
    </row>
    <row r="348" spans="1:2">
      <c r="A348" s="11">
        <f>Returns!A348</f>
        <v>0</v>
      </c>
      <c r="B348" s="1">
        <f>MAX(AVERAGE(Portfolios!$B$2:$B$1004)-Portfolios!B348, 0)</f>
        <v>0</v>
      </c>
    </row>
    <row r="349" spans="1:2">
      <c r="A349" s="11">
        <f>Returns!A349</f>
        <v>0</v>
      </c>
      <c r="B349" s="1">
        <f>MAX(AVERAGE(Portfolios!$B$2:$B$1004)-Portfolios!B349, 0)</f>
        <v>0</v>
      </c>
    </row>
    <row r="350" spans="1:2">
      <c r="A350" s="11">
        <f>Returns!A350</f>
        <v>0</v>
      </c>
      <c r="B350" s="1">
        <f>MAX(AVERAGE(Portfolios!$B$2:$B$1004)-Portfolios!B350, 0)</f>
        <v>0</v>
      </c>
    </row>
    <row r="351" spans="1:2">
      <c r="A351" s="11">
        <f>Returns!A351</f>
        <v>0</v>
      </c>
      <c r="B351" s="1">
        <f>MAX(AVERAGE(Portfolios!$B$2:$B$1004)-Portfolios!B351, 0)</f>
        <v>0</v>
      </c>
    </row>
    <row r="352" spans="1:2">
      <c r="A352" s="11">
        <f>Returns!A352</f>
        <v>0</v>
      </c>
      <c r="B352" s="1">
        <f>MAX(AVERAGE(Portfolios!$B$2:$B$1004)-Portfolios!B352, 0)</f>
        <v>0</v>
      </c>
    </row>
    <row r="353" spans="1:2">
      <c r="A353" s="11">
        <f>Returns!A353</f>
        <v>0</v>
      </c>
      <c r="B353" s="1">
        <f>MAX(AVERAGE(Portfolios!$B$2:$B$1004)-Portfolios!B353, 0)</f>
        <v>0</v>
      </c>
    </row>
    <row r="354" spans="1:2">
      <c r="A354" s="11">
        <f>Returns!A354</f>
        <v>0</v>
      </c>
      <c r="B354" s="1">
        <f>MAX(AVERAGE(Portfolios!$B$2:$B$1004)-Portfolios!B354, 0)</f>
        <v>0</v>
      </c>
    </row>
    <row r="355" spans="1:2">
      <c r="A355" s="11">
        <f>Returns!A355</f>
        <v>0</v>
      </c>
      <c r="B355" s="1">
        <f>MAX(AVERAGE(Portfolios!$B$2:$B$1004)-Portfolios!B355, 0)</f>
        <v>0</v>
      </c>
    </row>
    <row r="356" spans="1:2">
      <c r="A356" s="11">
        <f>Returns!A356</f>
        <v>0</v>
      </c>
      <c r="B356" s="1">
        <f>MAX(AVERAGE(Portfolios!$B$2:$B$1004)-Portfolios!B356, 0)</f>
        <v>0</v>
      </c>
    </row>
    <row r="357" spans="1:2">
      <c r="A357" s="11">
        <f>Returns!A357</f>
        <v>0</v>
      </c>
      <c r="B357" s="1">
        <f>MAX(AVERAGE(Portfolios!$B$2:$B$1004)-Portfolios!B357, 0)</f>
        <v>0</v>
      </c>
    </row>
    <row r="358" spans="1:2">
      <c r="A358" s="11">
        <f>Returns!A358</f>
        <v>0</v>
      </c>
      <c r="B358" s="1">
        <f>MAX(AVERAGE(Portfolios!$B$2:$B$1004)-Portfolios!B358, 0)</f>
        <v>0</v>
      </c>
    </row>
    <row r="359" spans="1:2">
      <c r="A359" s="11">
        <f>Returns!A359</f>
        <v>0</v>
      </c>
      <c r="B359" s="1">
        <f>MAX(AVERAGE(Portfolios!$B$2:$B$1004)-Portfolios!B359, 0)</f>
        <v>0</v>
      </c>
    </row>
    <row r="360" spans="1:2">
      <c r="A360" s="11">
        <f>Returns!A360</f>
        <v>0</v>
      </c>
      <c r="B360" s="1">
        <f>MAX(AVERAGE(Portfolios!$B$2:$B$1004)-Portfolios!B360, 0)</f>
        <v>0</v>
      </c>
    </row>
    <row r="361" spans="1:2">
      <c r="A361" s="11">
        <f>Returns!A361</f>
        <v>0</v>
      </c>
      <c r="B361" s="1">
        <f>MAX(AVERAGE(Portfolios!$B$2:$B$1004)-Portfolios!B361, 0)</f>
        <v>0</v>
      </c>
    </row>
    <row r="362" spans="1:2">
      <c r="A362" s="11">
        <f>Returns!A362</f>
        <v>0</v>
      </c>
      <c r="B362" s="1">
        <f>MAX(AVERAGE(Portfolios!$B$2:$B$1004)-Portfolios!B362, 0)</f>
        <v>0</v>
      </c>
    </row>
    <row r="363" spans="1:2">
      <c r="A363" s="11">
        <f>Returns!A363</f>
        <v>0</v>
      </c>
      <c r="B363" s="1">
        <f>MAX(AVERAGE(Portfolios!$B$2:$B$1004)-Portfolios!B363, 0)</f>
        <v>0</v>
      </c>
    </row>
    <row r="364" spans="1:2">
      <c r="A364" s="11">
        <f>Returns!A364</f>
        <v>0</v>
      </c>
      <c r="B364" s="1">
        <f>MAX(AVERAGE(Portfolios!$B$2:$B$1004)-Portfolios!B364, 0)</f>
        <v>0</v>
      </c>
    </row>
    <row r="365" spans="1:2">
      <c r="A365" s="11">
        <f>Returns!A365</f>
        <v>0</v>
      </c>
      <c r="B365" s="1">
        <f>MAX(AVERAGE(Portfolios!$B$2:$B$1004)-Portfolios!B365, 0)</f>
        <v>0</v>
      </c>
    </row>
    <row r="366" spans="1:2">
      <c r="A366" s="11">
        <f>Returns!A366</f>
        <v>0</v>
      </c>
      <c r="B366" s="1">
        <f>MAX(AVERAGE(Portfolios!$B$2:$B$1004)-Portfolios!B366, 0)</f>
        <v>0</v>
      </c>
    </row>
    <row r="367" spans="1:2">
      <c r="A367" s="11">
        <f>Returns!A367</f>
        <v>0</v>
      </c>
      <c r="B367" s="1">
        <f>MAX(AVERAGE(Portfolios!$B$2:$B$1004)-Portfolios!B367, 0)</f>
        <v>0</v>
      </c>
    </row>
    <row r="368" spans="1:2">
      <c r="A368" s="11">
        <f>Returns!A368</f>
        <v>0</v>
      </c>
      <c r="B368" s="1">
        <f>MAX(AVERAGE(Portfolios!$B$2:$B$1004)-Portfolios!B368, 0)</f>
        <v>0</v>
      </c>
    </row>
    <row r="369" spans="1:2">
      <c r="A369" s="11">
        <f>Returns!A369</f>
        <v>0</v>
      </c>
      <c r="B369" s="1">
        <f>MAX(AVERAGE(Portfolios!$B$2:$B$1004)-Portfolios!B369, 0)</f>
        <v>0</v>
      </c>
    </row>
    <row r="370" spans="1:2">
      <c r="A370" s="11">
        <f>Returns!A370</f>
        <v>0</v>
      </c>
      <c r="B370" s="1">
        <f>MAX(AVERAGE(Portfolios!$B$2:$B$1004)-Portfolios!B370, 0)</f>
        <v>0</v>
      </c>
    </row>
    <row r="371" spans="1:2">
      <c r="A371" s="11">
        <f>Returns!A371</f>
        <v>0</v>
      </c>
      <c r="B371" s="1">
        <f>MAX(AVERAGE(Portfolios!$B$2:$B$1004)-Portfolios!B371, 0)</f>
        <v>0</v>
      </c>
    </row>
    <row r="372" spans="1:2">
      <c r="A372" s="11">
        <f>Returns!A372</f>
        <v>0</v>
      </c>
      <c r="B372" s="1">
        <f>MAX(AVERAGE(Portfolios!$B$2:$B$1004)-Portfolios!B372, 0)</f>
        <v>0</v>
      </c>
    </row>
    <row r="373" spans="1:2">
      <c r="A373" s="11">
        <f>Returns!A373</f>
        <v>0</v>
      </c>
      <c r="B373" s="1">
        <f>MAX(AVERAGE(Portfolios!$B$2:$B$1004)-Portfolios!B373, 0)</f>
        <v>0</v>
      </c>
    </row>
    <row r="374" spans="1:2">
      <c r="A374" s="11">
        <f>Returns!A374</f>
        <v>0</v>
      </c>
      <c r="B374" s="1">
        <f>MAX(AVERAGE(Portfolios!$B$2:$B$1004)-Portfolios!B374, 0)</f>
        <v>0</v>
      </c>
    </row>
    <row r="375" spans="1:2">
      <c r="A375" s="11">
        <f>Returns!A375</f>
        <v>0</v>
      </c>
      <c r="B375" s="1">
        <f>MAX(AVERAGE(Portfolios!$B$2:$B$1004)-Portfolios!B375, 0)</f>
        <v>0</v>
      </c>
    </row>
    <row r="376" spans="1:2">
      <c r="A376" s="11">
        <f>Returns!A376</f>
        <v>0</v>
      </c>
      <c r="B376" s="1">
        <f>MAX(AVERAGE(Portfolios!$B$2:$B$1004)-Portfolios!B376, 0)</f>
        <v>0</v>
      </c>
    </row>
    <row r="377" spans="1:2">
      <c r="A377" s="11">
        <f>Returns!A377</f>
        <v>0</v>
      </c>
      <c r="B377" s="1">
        <f>MAX(AVERAGE(Portfolios!$B$2:$B$1004)-Portfolios!B377, 0)</f>
        <v>0</v>
      </c>
    </row>
    <row r="378" spans="1:2">
      <c r="A378" s="11">
        <f>Returns!A378</f>
        <v>0</v>
      </c>
      <c r="B378" s="1">
        <f>MAX(AVERAGE(Portfolios!$B$2:$B$1004)-Portfolios!B378, 0)</f>
        <v>0</v>
      </c>
    </row>
    <row r="379" spans="1:2">
      <c r="A379" s="11">
        <f>Returns!A379</f>
        <v>0</v>
      </c>
      <c r="B379" s="1">
        <f>MAX(AVERAGE(Portfolios!$B$2:$B$1004)-Portfolios!B379, 0)</f>
        <v>0</v>
      </c>
    </row>
    <row r="380" spans="1:2">
      <c r="A380" s="11">
        <f>Returns!A380</f>
        <v>0</v>
      </c>
      <c r="B380" s="1">
        <f>MAX(AVERAGE(Portfolios!$B$2:$B$1004)-Portfolios!B380, 0)</f>
        <v>0</v>
      </c>
    </row>
    <row r="381" spans="1:2">
      <c r="A381" s="11">
        <f>Returns!A381</f>
        <v>0</v>
      </c>
      <c r="B381" s="1">
        <f>MAX(AVERAGE(Portfolios!$B$2:$B$1004)-Portfolios!B381, 0)</f>
        <v>0</v>
      </c>
    </row>
    <row r="382" spans="1:2">
      <c r="A382" s="11">
        <f>Returns!A382</f>
        <v>0</v>
      </c>
      <c r="B382" s="1">
        <f>MAX(AVERAGE(Portfolios!$B$2:$B$1004)-Portfolios!B382, 0)</f>
        <v>0</v>
      </c>
    </row>
    <row r="383" spans="1:2">
      <c r="A383" s="11">
        <f>Returns!A383</f>
        <v>0</v>
      </c>
      <c r="B383" s="1">
        <f>MAX(AVERAGE(Portfolios!$B$2:$B$1004)-Portfolios!B383, 0)</f>
        <v>0</v>
      </c>
    </row>
    <row r="384" spans="1:2">
      <c r="A384" s="11">
        <f>Returns!A384</f>
        <v>0</v>
      </c>
      <c r="B384" s="1">
        <f>MAX(AVERAGE(Portfolios!$B$2:$B$1004)-Portfolios!B384, 0)</f>
        <v>0</v>
      </c>
    </row>
    <row r="385" spans="1:2">
      <c r="A385" s="11">
        <f>Returns!A385</f>
        <v>0</v>
      </c>
      <c r="B385" s="1">
        <f>MAX(AVERAGE(Portfolios!$B$2:$B$1004)-Portfolios!B385, 0)</f>
        <v>0</v>
      </c>
    </row>
    <row r="386" spans="1:2">
      <c r="A386" s="11">
        <f>Returns!A386</f>
        <v>0</v>
      </c>
      <c r="B386" s="1">
        <f>MAX(AVERAGE(Portfolios!$B$2:$B$1004)-Portfolios!B386, 0)</f>
        <v>0</v>
      </c>
    </row>
    <row r="387" spans="1:2">
      <c r="A387" s="11">
        <f>Returns!A387</f>
        <v>0</v>
      </c>
      <c r="B387" s="1">
        <f>MAX(AVERAGE(Portfolios!$B$2:$B$1004)-Portfolios!B387, 0)</f>
        <v>0</v>
      </c>
    </row>
    <row r="388" spans="1:2">
      <c r="A388" s="11">
        <f>Returns!A388</f>
        <v>0</v>
      </c>
      <c r="B388" s="1">
        <f>MAX(AVERAGE(Portfolios!$B$2:$B$1004)-Portfolios!B388, 0)</f>
        <v>0</v>
      </c>
    </row>
    <row r="389" spans="1:2">
      <c r="A389" s="11">
        <f>Returns!A389</f>
        <v>0</v>
      </c>
      <c r="B389" s="1">
        <f>MAX(AVERAGE(Portfolios!$B$2:$B$1004)-Portfolios!B389, 0)</f>
        <v>0</v>
      </c>
    </row>
    <row r="390" spans="1:2">
      <c r="A390" s="11">
        <f>Returns!A390</f>
        <v>0</v>
      </c>
      <c r="B390" s="1">
        <f>MAX(AVERAGE(Portfolios!$B$2:$B$1004)-Portfolios!B390, 0)</f>
        <v>0</v>
      </c>
    </row>
    <row r="391" spans="1:2">
      <c r="A391" s="11">
        <f>Returns!A391</f>
        <v>0</v>
      </c>
      <c r="B391" s="1">
        <f>MAX(AVERAGE(Portfolios!$B$2:$B$1004)-Portfolios!B391, 0)</f>
        <v>0</v>
      </c>
    </row>
    <row r="392" spans="1:2">
      <c r="A392" s="11">
        <f>Returns!A392</f>
        <v>0</v>
      </c>
      <c r="B392" s="1">
        <f>MAX(AVERAGE(Portfolios!$B$2:$B$1004)-Portfolios!B392, 0)</f>
        <v>0</v>
      </c>
    </row>
    <row r="393" spans="1:2">
      <c r="A393" s="11">
        <f>Returns!A393</f>
        <v>0</v>
      </c>
      <c r="B393" s="1">
        <f>MAX(AVERAGE(Portfolios!$B$2:$B$1004)-Portfolios!B393, 0)</f>
        <v>0</v>
      </c>
    </row>
    <row r="394" spans="1:2">
      <c r="A394" s="11">
        <f>Returns!A394</f>
        <v>0</v>
      </c>
      <c r="B394" s="1">
        <f>MAX(AVERAGE(Portfolios!$B$2:$B$1004)-Portfolios!B394, 0)</f>
        <v>0</v>
      </c>
    </row>
    <row r="395" spans="1:2">
      <c r="A395" s="11">
        <f>Returns!A395</f>
        <v>0</v>
      </c>
      <c r="B395" s="1">
        <f>MAX(AVERAGE(Portfolios!$B$2:$B$1004)-Portfolios!B395, 0)</f>
        <v>0</v>
      </c>
    </row>
    <row r="396" spans="1:2">
      <c r="A396" s="11">
        <f>Returns!A396</f>
        <v>0</v>
      </c>
      <c r="B396" s="1">
        <f>MAX(AVERAGE(Portfolios!$B$2:$B$1004)-Portfolios!B396, 0)</f>
        <v>0</v>
      </c>
    </row>
    <row r="397" spans="1:2">
      <c r="A397" s="11">
        <f>Returns!A397</f>
        <v>0</v>
      </c>
      <c r="B397" s="1">
        <f>MAX(AVERAGE(Portfolios!$B$2:$B$1004)-Portfolios!B397, 0)</f>
        <v>0</v>
      </c>
    </row>
    <row r="398" spans="1:2">
      <c r="A398" s="11">
        <f>Returns!A398</f>
        <v>0</v>
      </c>
      <c r="B398" s="1">
        <f>MAX(AVERAGE(Portfolios!$B$2:$B$1004)-Portfolios!B398, 0)</f>
        <v>0</v>
      </c>
    </row>
    <row r="399" spans="1:2">
      <c r="A399" s="11">
        <f>Returns!A399</f>
        <v>0</v>
      </c>
      <c r="B399" s="1">
        <f>MAX(AVERAGE(Portfolios!$B$2:$B$1004)-Portfolios!B399, 0)</f>
        <v>0</v>
      </c>
    </row>
    <row r="400" spans="1:2">
      <c r="A400" s="11">
        <f>Returns!A400</f>
        <v>0</v>
      </c>
      <c r="B400" s="1">
        <f>MAX(AVERAGE(Portfolios!$B$2:$B$1004)-Portfolios!B400, 0)</f>
        <v>0</v>
      </c>
    </row>
    <row r="401" spans="1:2">
      <c r="A401" s="11">
        <f>Returns!A401</f>
        <v>0</v>
      </c>
      <c r="B401" s="1">
        <f>MAX(AVERAGE(Portfolios!$B$2:$B$1004)-Portfolios!B401, 0)</f>
        <v>0</v>
      </c>
    </row>
    <row r="402" spans="1:2">
      <c r="A402" s="11">
        <f>Returns!A402</f>
        <v>0</v>
      </c>
      <c r="B402" s="1">
        <f>MAX(AVERAGE(Portfolios!$B$2:$B$1004)-Portfolios!B402, 0)</f>
        <v>0</v>
      </c>
    </row>
    <row r="403" spans="1:2">
      <c r="A403" s="11">
        <f>Returns!A403</f>
        <v>0</v>
      </c>
      <c r="B403" s="1">
        <f>MAX(AVERAGE(Portfolios!$B$2:$B$1004)-Portfolios!B403, 0)</f>
        <v>0</v>
      </c>
    </row>
    <row r="404" spans="1:2">
      <c r="A404" s="11">
        <f>Returns!A404</f>
        <v>0</v>
      </c>
      <c r="B404" s="1">
        <f>MAX(AVERAGE(Portfolios!$B$2:$B$1004)-Portfolios!B404, 0)</f>
        <v>0</v>
      </c>
    </row>
    <row r="405" spans="1:2">
      <c r="A405" s="11">
        <f>Returns!A405</f>
        <v>0</v>
      </c>
      <c r="B405" s="1">
        <f>MAX(AVERAGE(Portfolios!$B$2:$B$1004)-Portfolios!B405, 0)</f>
        <v>0</v>
      </c>
    </row>
    <row r="406" spans="1:2">
      <c r="A406" s="11">
        <f>Returns!A406</f>
        <v>0</v>
      </c>
      <c r="B406" s="1">
        <f>MAX(AVERAGE(Portfolios!$B$2:$B$1004)-Portfolios!B406, 0)</f>
        <v>0</v>
      </c>
    </row>
    <row r="407" spans="1:2">
      <c r="A407" s="11">
        <f>Returns!A407</f>
        <v>0</v>
      </c>
      <c r="B407" s="1">
        <f>MAX(AVERAGE(Portfolios!$B$2:$B$1004)-Portfolios!B407, 0)</f>
        <v>0</v>
      </c>
    </row>
    <row r="408" spans="1:2">
      <c r="A408" s="11">
        <f>Returns!A408</f>
        <v>0</v>
      </c>
      <c r="B408" s="1">
        <f>MAX(AVERAGE(Portfolios!$B$2:$B$1004)-Portfolios!B408, 0)</f>
        <v>0</v>
      </c>
    </row>
    <row r="409" spans="1:2">
      <c r="A409" s="11">
        <f>Returns!A409</f>
        <v>0</v>
      </c>
      <c r="B409" s="1">
        <f>MAX(AVERAGE(Portfolios!$B$2:$B$1004)-Portfolios!B409, 0)</f>
        <v>0</v>
      </c>
    </row>
    <row r="410" spans="1:2">
      <c r="A410" s="11">
        <f>Returns!A410</f>
        <v>0</v>
      </c>
      <c r="B410" s="1">
        <f>MAX(AVERAGE(Portfolios!$B$2:$B$1004)-Portfolios!B410, 0)</f>
        <v>0</v>
      </c>
    </row>
    <row r="411" spans="1:2">
      <c r="A411" s="11">
        <f>Returns!A411</f>
        <v>0</v>
      </c>
      <c r="B411" s="1">
        <f>MAX(AVERAGE(Portfolios!$B$2:$B$1004)-Portfolios!B411, 0)</f>
        <v>0</v>
      </c>
    </row>
    <row r="412" spans="1:2">
      <c r="A412" s="11">
        <f>Returns!A412</f>
        <v>0</v>
      </c>
      <c r="B412" s="1">
        <f>MAX(AVERAGE(Portfolios!$B$2:$B$1004)-Portfolios!B412, 0)</f>
        <v>0</v>
      </c>
    </row>
    <row r="413" spans="1:2">
      <c r="A413" s="11">
        <f>Returns!A413</f>
        <v>0</v>
      </c>
      <c r="B413" s="1">
        <f>MAX(AVERAGE(Portfolios!$B$2:$B$1004)-Portfolios!B413, 0)</f>
        <v>0</v>
      </c>
    </row>
    <row r="414" spans="1:2">
      <c r="A414" s="11">
        <f>Returns!A414</f>
        <v>0</v>
      </c>
      <c r="B414" s="1">
        <f>MAX(AVERAGE(Portfolios!$B$2:$B$1004)-Portfolios!B414, 0)</f>
        <v>0</v>
      </c>
    </row>
    <row r="415" spans="1:2">
      <c r="A415" s="11">
        <f>Returns!A415</f>
        <v>0</v>
      </c>
      <c r="B415" s="1">
        <f>MAX(AVERAGE(Portfolios!$B$2:$B$1004)-Portfolios!B415, 0)</f>
        <v>0</v>
      </c>
    </row>
    <row r="416" spans="1:2">
      <c r="A416" s="11">
        <f>Returns!A416</f>
        <v>0</v>
      </c>
      <c r="B416" s="1">
        <f>MAX(AVERAGE(Portfolios!$B$2:$B$1004)-Portfolios!B416, 0)</f>
        <v>0</v>
      </c>
    </row>
    <row r="417" spans="1:2">
      <c r="A417" s="11">
        <f>Returns!A417</f>
        <v>0</v>
      </c>
      <c r="B417" s="1">
        <f>MAX(AVERAGE(Portfolios!$B$2:$B$1004)-Portfolios!B417, 0)</f>
        <v>0</v>
      </c>
    </row>
    <row r="418" spans="1:2">
      <c r="A418" s="11">
        <f>Returns!A418</f>
        <v>0</v>
      </c>
      <c r="B418" s="1">
        <f>MAX(AVERAGE(Portfolios!$B$2:$B$1004)-Portfolios!B418, 0)</f>
        <v>0</v>
      </c>
    </row>
    <row r="419" spans="1:2">
      <c r="A419" s="11">
        <f>Returns!A419</f>
        <v>0</v>
      </c>
      <c r="B419" s="1">
        <f>MAX(AVERAGE(Portfolios!$B$2:$B$1004)-Portfolios!B419, 0)</f>
        <v>0</v>
      </c>
    </row>
    <row r="420" spans="1:2">
      <c r="A420" s="11">
        <f>Returns!A420</f>
        <v>0</v>
      </c>
      <c r="B420" s="1">
        <f>MAX(AVERAGE(Portfolios!$B$2:$B$1004)-Portfolios!B420, 0)</f>
        <v>0</v>
      </c>
    </row>
    <row r="421" spans="1:2">
      <c r="A421" s="11">
        <f>Returns!A421</f>
        <v>0</v>
      </c>
      <c r="B421" s="1">
        <f>MAX(AVERAGE(Portfolios!$B$2:$B$1004)-Portfolios!B421, 0)</f>
        <v>0</v>
      </c>
    </row>
    <row r="422" spans="1:2">
      <c r="A422" s="11">
        <f>Returns!A422</f>
        <v>0</v>
      </c>
      <c r="B422" s="1">
        <f>MAX(AVERAGE(Portfolios!$B$2:$B$1004)-Portfolios!B422, 0)</f>
        <v>0</v>
      </c>
    </row>
    <row r="423" spans="1:2">
      <c r="A423" s="11">
        <f>Returns!A423</f>
        <v>0</v>
      </c>
      <c r="B423" s="1">
        <f>MAX(AVERAGE(Portfolios!$B$2:$B$1004)-Portfolios!B423, 0)</f>
        <v>0</v>
      </c>
    </row>
    <row r="424" spans="1:2">
      <c r="A424" s="11">
        <f>Returns!A424</f>
        <v>0</v>
      </c>
      <c r="B424" s="1">
        <f>MAX(AVERAGE(Portfolios!$B$2:$B$1004)-Portfolios!B424, 0)</f>
        <v>0</v>
      </c>
    </row>
    <row r="425" spans="1:2">
      <c r="A425" s="11">
        <f>Returns!A425</f>
        <v>0</v>
      </c>
      <c r="B425" s="1">
        <f>MAX(AVERAGE(Portfolios!$B$2:$B$1004)-Portfolios!B425, 0)</f>
        <v>0</v>
      </c>
    </row>
    <row r="426" spans="1:2">
      <c r="A426" s="11">
        <f>Returns!A426</f>
        <v>0</v>
      </c>
      <c r="B426" s="1">
        <f>MAX(AVERAGE(Portfolios!$B$2:$B$1004)-Portfolios!B426, 0)</f>
        <v>0</v>
      </c>
    </row>
    <row r="427" spans="1:2">
      <c r="A427" s="11">
        <f>Returns!A427</f>
        <v>0</v>
      </c>
      <c r="B427" s="1">
        <f>MAX(AVERAGE(Portfolios!$B$2:$B$1004)-Portfolios!B427, 0)</f>
        <v>0</v>
      </c>
    </row>
    <row r="428" spans="1:2">
      <c r="A428" s="11">
        <f>Returns!A428</f>
        <v>0</v>
      </c>
      <c r="B428" s="1">
        <f>MAX(AVERAGE(Portfolios!$B$2:$B$1004)-Portfolios!B428, 0)</f>
        <v>0</v>
      </c>
    </row>
    <row r="429" spans="1:2">
      <c r="A429" s="11">
        <f>Returns!A429</f>
        <v>0</v>
      </c>
      <c r="B429" s="1">
        <f>MAX(AVERAGE(Portfolios!$B$2:$B$1004)-Portfolios!B429, 0)</f>
        <v>0</v>
      </c>
    </row>
    <row r="430" spans="1:2">
      <c r="A430" s="11">
        <f>Returns!A430</f>
        <v>0</v>
      </c>
      <c r="B430" s="1">
        <f>MAX(AVERAGE(Portfolios!$B$2:$B$1004)-Portfolios!B430, 0)</f>
        <v>0</v>
      </c>
    </row>
    <row r="431" spans="1:2">
      <c r="A431" s="11">
        <f>Returns!A431</f>
        <v>0</v>
      </c>
      <c r="B431" s="1">
        <f>MAX(AVERAGE(Portfolios!$B$2:$B$1004)-Portfolios!B431, 0)</f>
        <v>0</v>
      </c>
    </row>
    <row r="432" spans="1:2">
      <c r="A432" s="11">
        <f>Returns!A432</f>
        <v>0</v>
      </c>
      <c r="B432" s="1">
        <f>MAX(AVERAGE(Portfolios!$B$2:$B$1004)-Portfolios!B432, 0)</f>
        <v>0</v>
      </c>
    </row>
    <row r="433" spans="1:2">
      <c r="A433" s="11">
        <f>Returns!A433</f>
        <v>0</v>
      </c>
      <c r="B433" s="1">
        <f>MAX(AVERAGE(Portfolios!$B$2:$B$1004)-Portfolios!B433, 0)</f>
        <v>0</v>
      </c>
    </row>
    <row r="434" spans="1:2">
      <c r="A434" s="11">
        <f>Returns!A434</f>
        <v>0</v>
      </c>
      <c r="B434" s="1">
        <f>MAX(AVERAGE(Portfolios!$B$2:$B$1004)-Portfolios!B434, 0)</f>
        <v>0</v>
      </c>
    </row>
    <row r="435" spans="1:2">
      <c r="A435" s="11">
        <f>Returns!A435</f>
        <v>0</v>
      </c>
      <c r="B435" s="1">
        <f>MAX(AVERAGE(Portfolios!$B$2:$B$1004)-Portfolios!B435, 0)</f>
        <v>0</v>
      </c>
    </row>
    <row r="436" spans="1:2">
      <c r="A436" s="11">
        <f>Returns!A436</f>
        <v>0</v>
      </c>
      <c r="B436" s="1">
        <f>MAX(AVERAGE(Portfolios!$B$2:$B$1004)-Portfolios!B436, 0)</f>
        <v>0</v>
      </c>
    </row>
    <row r="437" spans="1:2">
      <c r="A437" s="11">
        <f>Returns!A437</f>
        <v>0</v>
      </c>
      <c r="B437" s="1">
        <f>MAX(AVERAGE(Portfolios!$B$2:$B$1004)-Portfolios!B437, 0)</f>
        <v>0</v>
      </c>
    </row>
    <row r="438" spans="1:2">
      <c r="A438" s="11">
        <f>Returns!A438</f>
        <v>0</v>
      </c>
      <c r="B438" s="1">
        <f>MAX(AVERAGE(Portfolios!$B$2:$B$1004)-Portfolios!B438, 0)</f>
        <v>0</v>
      </c>
    </row>
    <row r="439" spans="1:2">
      <c r="A439" s="11">
        <f>Returns!A439</f>
        <v>0</v>
      </c>
      <c r="B439" s="1">
        <f>MAX(AVERAGE(Portfolios!$B$2:$B$1004)-Portfolios!B439, 0)</f>
        <v>0</v>
      </c>
    </row>
    <row r="440" spans="1:2">
      <c r="A440" s="11">
        <f>Returns!A440</f>
        <v>0</v>
      </c>
      <c r="B440" s="1">
        <f>MAX(AVERAGE(Portfolios!$B$2:$B$1004)-Portfolios!B440, 0)</f>
        <v>0</v>
      </c>
    </row>
    <row r="441" spans="1:2">
      <c r="A441" s="11">
        <f>Returns!A441</f>
        <v>0</v>
      </c>
      <c r="B441" s="1">
        <f>MAX(AVERAGE(Portfolios!$B$2:$B$1004)-Portfolios!B441, 0)</f>
        <v>0</v>
      </c>
    </row>
    <row r="442" spans="1:2">
      <c r="A442" s="11">
        <f>Returns!A442</f>
        <v>0</v>
      </c>
      <c r="B442" s="1">
        <f>MAX(AVERAGE(Portfolios!$B$2:$B$1004)-Portfolios!B442, 0)</f>
        <v>0</v>
      </c>
    </row>
    <row r="443" spans="1:2">
      <c r="A443" s="11">
        <f>Returns!A443</f>
        <v>0</v>
      </c>
      <c r="B443" s="1">
        <f>MAX(AVERAGE(Portfolios!$B$2:$B$1004)-Portfolios!B443, 0)</f>
        <v>0</v>
      </c>
    </row>
    <row r="444" spans="1:2">
      <c r="A444" s="11">
        <f>Returns!A444</f>
        <v>0</v>
      </c>
      <c r="B444" s="1">
        <f>MAX(AVERAGE(Portfolios!$B$2:$B$1004)-Portfolios!B444, 0)</f>
        <v>0</v>
      </c>
    </row>
    <row r="445" spans="1:2">
      <c r="A445" s="11">
        <f>Returns!A445</f>
        <v>0</v>
      </c>
      <c r="B445" s="1">
        <f>MAX(AVERAGE(Portfolios!$B$2:$B$1004)-Portfolios!B445, 0)</f>
        <v>0</v>
      </c>
    </row>
    <row r="446" spans="1:2">
      <c r="A446" s="11">
        <f>Returns!A446</f>
        <v>0</v>
      </c>
      <c r="B446" s="1">
        <f>MAX(AVERAGE(Portfolios!$B$2:$B$1004)-Portfolios!B446, 0)</f>
        <v>0</v>
      </c>
    </row>
    <row r="447" spans="1:2">
      <c r="A447" s="11">
        <f>Returns!A447</f>
        <v>0</v>
      </c>
      <c r="B447" s="1">
        <f>MAX(AVERAGE(Portfolios!$B$2:$B$1004)-Portfolios!B447, 0)</f>
        <v>0</v>
      </c>
    </row>
    <row r="448" spans="1:2">
      <c r="A448" s="11">
        <f>Returns!A448</f>
        <v>0</v>
      </c>
      <c r="B448" s="1">
        <f>MAX(AVERAGE(Portfolios!$B$2:$B$1004)-Portfolios!B448, 0)</f>
        <v>0</v>
      </c>
    </row>
    <row r="449" spans="1:2">
      <c r="A449" s="11">
        <f>Returns!A449</f>
        <v>0</v>
      </c>
      <c r="B449" s="1">
        <f>MAX(AVERAGE(Portfolios!$B$2:$B$1004)-Portfolios!B449, 0)</f>
        <v>0</v>
      </c>
    </row>
    <row r="450" spans="1:2">
      <c r="A450" s="11">
        <f>Returns!A450</f>
        <v>0</v>
      </c>
      <c r="B450" s="1">
        <f>MAX(AVERAGE(Portfolios!$B$2:$B$1004)-Portfolios!B450, 0)</f>
        <v>0</v>
      </c>
    </row>
    <row r="451" spans="1:2">
      <c r="A451" s="11">
        <f>Returns!A451</f>
        <v>0</v>
      </c>
      <c r="B451" s="1">
        <f>MAX(AVERAGE(Portfolios!$B$2:$B$1004)-Portfolios!B451, 0)</f>
        <v>0</v>
      </c>
    </row>
    <row r="452" spans="1:2">
      <c r="A452" s="11">
        <f>Returns!A452</f>
        <v>0</v>
      </c>
      <c r="B452" s="1">
        <f>MAX(AVERAGE(Portfolios!$B$2:$B$1004)-Portfolios!B452, 0)</f>
        <v>0</v>
      </c>
    </row>
    <row r="453" spans="1:2">
      <c r="A453" s="11">
        <f>Returns!A453</f>
        <v>0</v>
      </c>
      <c r="B453" s="1">
        <f>MAX(AVERAGE(Portfolios!$B$2:$B$1004)-Portfolios!B453, 0)</f>
        <v>0</v>
      </c>
    </row>
    <row r="454" spans="1:2">
      <c r="A454" s="11">
        <f>Returns!A454</f>
        <v>0</v>
      </c>
      <c r="B454" s="1">
        <f>MAX(AVERAGE(Portfolios!$B$2:$B$1004)-Portfolios!B454, 0)</f>
        <v>0</v>
      </c>
    </row>
    <row r="455" spans="1:2">
      <c r="A455" s="11">
        <f>Returns!A455</f>
        <v>0</v>
      </c>
      <c r="B455" s="1">
        <f>MAX(AVERAGE(Portfolios!$B$2:$B$1004)-Portfolios!B455, 0)</f>
        <v>0</v>
      </c>
    </row>
    <row r="456" spans="1:2">
      <c r="A456" s="11">
        <f>Returns!A456</f>
        <v>0</v>
      </c>
      <c r="B456" s="1">
        <f>MAX(AVERAGE(Portfolios!$B$2:$B$1004)-Portfolios!B456, 0)</f>
        <v>0</v>
      </c>
    </row>
    <row r="457" spans="1:2">
      <c r="A457" s="11">
        <f>Returns!A457</f>
        <v>0</v>
      </c>
      <c r="B457" s="1">
        <f>MAX(AVERAGE(Portfolios!$B$2:$B$1004)-Portfolios!B457, 0)</f>
        <v>0</v>
      </c>
    </row>
    <row r="458" spans="1:2">
      <c r="A458" s="11">
        <f>Returns!A458</f>
        <v>0</v>
      </c>
      <c r="B458" s="1">
        <f>MAX(AVERAGE(Portfolios!$B$2:$B$1004)-Portfolios!B458, 0)</f>
        <v>0</v>
      </c>
    </row>
    <row r="459" spans="1:2">
      <c r="A459" s="11">
        <f>Returns!A459</f>
        <v>0</v>
      </c>
      <c r="B459" s="1">
        <f>MAX(AVERAGE(Portfolios!$B$2:$B$1004)-Portfolios!B459, 0)</f>
        <v>0</v>
      </c>
    </row>
    <row r="460" spans="1:2">
      <c r="A460" s="11">
        <f>Returns!A460</f>
        <v>0</v>
      </c>
      <c r="B460" s="1">
        <f>MAX(AVERAGE(Portfolios!$B$2:$B$1004)-Portfolios!B460, 0)</f>
        <v>0</v>
      </c>
    </row>
    <row r="461" spans="1:2">
      <c r="A461" s="11">
        <f>Returns!A461</f>
        <v>0</v>
      </c>
      <c r="B461" s="1">
        <f>MAX(AVERAGE(Portfolios!$B$2:$B$1004)-Portfolios!B461, 0)</f>
        <v>0</v>
      </c>
    </row>
    <row r="462" spans="1:2">
      <c r="A462" s="11">
        <f>Returns!A462</f>
        <v>0</v>
      </c>
      <c r="B462" s="1">
        <f>MAX(AVERAGE(Portfolios!$B$2:$B$1004)-Portfolios!B462, 0)</f>
        <v>0</v>
      </c>
    </row>
    <row r="463" spans="1:2">
      <c r="A463" s="11">
        <f>Returns!A463</f>
        <v>0</v>
      </c>
      <c r="B463" s="1">
        <f>MAX(AVERAGE(Portfolios!$B$2:$B$1004)-Portfolios!B463, 0)</f>
        <v>0</v>
      </c>
    </row>
    <row r="464" spans="1:2">
      <c r="A464" s="11">
        <f>Returns!A464</f>
        <v>0</v>
      </c>
      <c r="B464" s="1">
        <f>MAX(AVERAGE(Portfolios!$B$2:$B$1004)-Portfolios!B464, 0)</f>
        <v>0</v>
      </c>
    </row>
    <row r="465" spans="1:2">
      <c r="A465" s="11">
        <f>Returns!A465</f>
        <v>0</v>
      </c>
      <c r="B465" s="1">
        <f>MAX(AVERAGE(Portfolios!$B$2:$B$1004)-Portfolios!B465, 0)</f>
        <v>0</v>
      </c>
    </row>
    <row r="466" spans="1:2">
      <c r="A466" s="11">
        <f>Returns!A466</f>
        <v>0</v>
      </c>
      <c r="B466" s="1">
        <f>MAX(AVERAGE(Portfolios!$B$2:$B$1004)-Portfolios!B466, 0)</f>
        <v>0</v>
      </c>
    </row>
    <row r="467" spans="1:2">
      <c r="A467" s="11">
        <f>Returns!A467</f>
        <v>0</v>
      </c>
      <c r="B467" s="1">
        <f>MAX(AVERAGE(Portfolios!$B$2:$B$1004)-Portfolios!B467, 0)</f>
        <v>0</v>
      </c>
    </row>
    <row r="468" spans="1:2">
      <c r="A468" s="11">
        <f>Returns!A468</f>
        <v>0</v>
      </c>
      <c r="B468" s="1">
        <f>MAX(AVERAGE(Portfolios!$B$2:$B$1004)-Portfolios!B468, 0)</f>
        <v>0</v>
      </c>
    </row>
    <row r="469" spans="1:2">
      <c r="A469" s="11">
        <f>Returns!A469</f>
        <v>0</v>
      </c>
      <c r="B469" s="1">
        <f>MAX(AVERAGE(Portfolios!$B$2:$B$1004)-Portfolios!B469, 0)</f>
        <v>0</v>
      </c>
    </row>
    <row r="470" spans="1:2">
      <c r="A470" s="11">
        <f>Returns!A470</f>
        <v>0</v>
      </c>
      <c r="B470" s="1">
        <f>MAX(AVERAGE(Portfolios!$B$2:$B$1004)-Portfolios!B470, 0)</f>
        <v>0</v>
      </c>
    </row>
    <row r="471" spans="1:2">
      <c r="A471" s="11">
        <f>Returns!A471</f>
        <v>0</v>
      </c>
      <c r="B471" s="1">
        <f>MAX(AVERAGE(Portfolios!$B$2:$B$1004)-Portfolios!B471, 0)</f>
        <v>0</v>
      </c>
    </row>
    <row r="472" spans="1:2">
      <c r="A472" s="11">
        <f>Returns!A472</f>
        <v>0</v>
      </c>
      <c r="B472" s="1">
        <f>MAX(AVERAGE(Portfolios!$B$2:$B$1004)-Portfolios!B472, 0)</f>
        <v>0</v>
      </c>
    </row>
    <row r="473" spans="1:2">
      <c r="A473" s="11">
        <f>Returns!A473</f>
        <v>0</v>
      </c>
      <c r="B473" s="1">
        <f>MAX(AVERAGE(Portfolios!$B$2:$B$1004)-Portfolios!B473, 0)</f>
        <v>0</v>
      </c>
    </row>
    <row r="474" spans="1:2">
      <c r="A474" s="11">
        <f>Returns!A474</f>
        <v>0</v>
      </c>
      <c r="B474" s="1">
        <f>MAX(AVERAGE(Portfolios!$B$2:$B$1004)-Portfolios!B474, 0)</f>
        <v>0</v>
      </c>
    </row>
    <row r="475" spans="1:2">
      <c r="A475" s="11">
        <f>Returns!A475</f>
        <v>0</v>
      </c>
      <c r="B475" s="1">
        <f>MAX(AVERAGE(Portfolios!$B$2:$B$1004)-Portfolios!B475, 0)</f>
        <v>0</v>
      </c>
    </row>
    <row r="476" spans="1:2">
      <c r="A476" s="11">
        <f>Returns!A476</f>
        <v>0</v>
      </c>
      <c r="B476" s="1">
        <f>MAX(AVERAGE(Portfolios!$B$2:$B$1004)-Portfolios!B476, 0)</f>
        <v>0</v>
      </c>
    </row>
    <row r="477" spans="1:2">
      <c r="A477" s="11">
        <f>Returns!A477</f>
        <v>0</v>
      </c>
      <c r="B477" s="1">
        <f>MAX(AVERAGE(Portfolios!$B$2:$B$1004)-Portfolios!B477, 0)</f>
        <v>0</v>
      </c>
    </row>
    <row r="478" spans="1:2">
      <c r="A478" s="11">
        <f>Returns!A478</f>
        <v>0</v>
      </c>
      <c r="B478" s="1">
        <f>MAX(AVERAGE(Portfolios!$B$2:$B$1004)-Portfolios!B478, 0)</f>
        <v>0</v>
      </c>
    </row>
    <row r="479" spans="1:2">
      <c r="A479" s="11">
        <f>Returns!A479</f>
        <v>0</v>
      </c>
      <c r="B479" s="1">
        <f>MAX(AVERAGE(Portfolios!$B$2:$B$1004)-Portfolios!B479, 0)</f>
        <v>0</v>
      </c>
    </row>
    <row r="480" spans="1:2">
      <c r="A480" s="11">
        <f>Returns!A480</f>
        <v>0</v>
      </c>
      <c r="B480" s="1">
        <f>MAX(AVERAGE(Portfolios!$B$2:$B$1004)-Portfolios!B480, 0)</f>
        <v>0</v>
      </c>
    </row>
    <row r="481" spans="1:2">
      <c r="A481" s="11">
        <f>Returns!A481</f>
        <v>0</v>
      </c>
      <c r="B481" s="1">
        <f>MAX(AVERAGE(Portfolios!$B$2:$B$1004)-Portfolios!B481, 0)</f>
        <v>0</v>
      </c>
    </row>
    <row r="482" spans="1:2">
      <c r="A482" s="11">
        <f>Returns!A482</f>
        <v>0</v>
      </c>
      <c r="B482" s="1">
        <f>MAX(AVERAGE(Portfolios!$B$2:$B$1004)-Portfolios!B482, 0)</f>
        <v>0</v>
      </c>
    </row>
    <row r="483" spans="1:2">
      <c r="A483" s="11">
        <f>Returns!A483</f>
        <v>0</v>
      </c>
      <c r="B483" s="1">
        <f>MAX(AVERAGE(Portfolios!$B$2:$B$1004)-Portfolios!B483, 0)</f>
        <v>0</v>
      </c>
    </row>
    <row r="484" spans="1:2">
      <c r="A484" s="11">
        <f>Returns!A484</f>
        <v>0</v>
      </c>
      <c r="B484" s="1">
        <f>MAX(AVERAGE(Portfolios!$B$2:$B$1004)-Portfolios!B484, 0)</f>
        <v>0</v>
      </c>
    </row>
    <row r="485" spans="1:2">
      <c r="A485" s="11">
        <f>Returns!A485</f>
        <v>0</v>
      </c>
      <c r="B485" s="1">
        <f>MAX(AVERAGE(Portfolios!$B$2:$B$1004)-Portfolios!B485, 0)</f>
        <v>0</v>
      </c>
    </row>
    <row r="486" spans="1:2">
      <c r="A486" s="11">
        <f>Returns!A486</f>
        <v>0</v>
      </c>
      <c r="B486" s="1">
        <f>MAX(AVERAGE(Portfolios!$B$2:$B$1004)-Portfolios!B486, 0)</f>
        <v>0</v>
      </c>
    </row>
    <row r="487" spans="1:2">
      <c r="A487" s="11">
        <f>Returns!A487</f>
        <v>0</v>
      </c>
      <c r="B487" s="1">
        <f>MAX(AVERAGE(Portfolios!$B$2:$B$1004)-Portfolios!B487, 0)</f>
        <v>0</v>
      </c>
    </row>
    <row r="488" spans="1:2">
      <c r="A488" s="11">
        <f>Returns!A488</f>
        <v>0</v>
      </c>
      <c r="B488" s="1">
        <f>MAX(AVERAGE(Portfolios!$B$2:$B$1004)-Portfolios!B488, 0)</f>
        <v>0</v>
      </c>
    </row>
    <row r="489" spans="1:2">
      <c r="A489" s="11">
        <f>Returns!A489</f>
        <v>0</v>
      </c>
      <c r="B489" s="1">
        <f>MAX(AVERAGE(Portfolios!$B$2:$B$1004)-Portfolios!B489, 0)</f>
        <v>0</v>
      </c>
    </row>
    <row r="490" spans="1:2">
      <c r="A490" s="11">
        <f>Returns!A490</f>
        <v>0</v>
      </c>
      <c r="B490" s="1">
        <f>MAX(AVERAGE(Portfolios!$B$2:$B$1004)-Portfolios!B490, 0)</f>
        <v>0</v>
      </c>
    </row>
    <row r="491" spans="1:2">
      <c r="A491" s="11">
        <f>Returns!A491</f>
        <v>0</v>
      </c>
      <c r="B491" s="1">
        <f>MAX(AVERAGE(Portfolios!$B$2:$B$1004)-Portfolios!B491, 0)</f>
        <v>0</v>
      </c>
    </row>
    <row r="492" spans="1:2">
      <c r="A492" s="11">
        <f>Returns!A492</f>
        <v>0</v>
      </c>
      <c r="B492" s="1">
        <f>MAX(AVERAGE(Portfolios!$B$2:$B$1004)-Portfolios!B492, 0)</f>
        <v>0</v>
      </c>
    </row>
    <row r="493" spans="1:2">
      <c r="A493" s="11">
        <f>Returns!A493</f>
        <v>0</v>
      </c>
      <c r="B493" s="1">
        <f>MAX(AVERAGE(Portfolios!$B$2:$B$1004)-Portfolios!B493, 0)</f>
        <v>0</v>
      </c>
    </row>
    <row r="494" spans="1:2">
      <c r="A494" s="11">
        <f>Returns!A494</f>
        <v>0</v>
      </c>
      <c r="B494" s="1">
        <f>MAX(AVERAGE(Portfolios!$B$2:$B$1004)-Portfolios!B494, 0)</f>
        <v>0</v>
      </c>
    </row>
    <row r="495" spans="1:2">
      <c r="A495" s="11">
        <f>Returns!A495</f>
        <v>0</v>
      </c>
      <c r="B495" s="1">
        <f>MAX(AVERAGE(Portfolios!$B$2:$B$1004)-Portfolios!B495, 0)</f>
        <v>0</v>
      </c>
    </row>
    <row r="496" spans="1:2">
      <c r="A496" s="11">
        <f>Returns!A496</f>
        <v>0</v>
      </c>
      <c r="B496" s="1">
        <f>MAX(AVERAGE(Portfolios!$B$2:$B$1004)-Portfolios!B496, 0)</f>
        <v>0</v>
      </c>
    </row>
    <row r="497" spans="1:2">
      <c r="A497" s="11">
        <f>Returns!A497</f>
        <v>0</v>
      </c>
      <c r="B497" s="1">
        <f>MAX(AVERAGE(Portfolios!$B$2:$B$1004)-Portfolios!B497, 0)</f>
        <v>0</v>
      </c>
    </row>
    <row r="498" spans="1:2">
      <c r="A498" s="11">
        <f>Returns!A498</f>
        <v>0</v>
      </c>
      <c r="B498" s="1">
        <f>MAX(AVERAGE(Portfolios!$B$2:$B$1004)-Portfolios!B498, 0)</f>
        <v>0</v>
      </c>
    </row>
    <row r="499" spans="1:2">
      <c r="A499" s="11">
        <f>Returns!A499</f>
        <v>0</v>
      </c>
      <c r="B499" s="1">
        <f>MAX(AVERAGE(Portfolios!$B$2:$B$1004)-Portfolios!B499, 0)</f>
        <v>0</v>
      </c>
    </row>
    <row r="500" spans="1:2">
      <c r="A500" s="11">
        <f>Returns!A500</f>
        <v>0</v>
      </c>
      <c r="B500" s="1">
        <f>MAX(AVERAGE(Portfolios!$B$2:$B$1004)-Portfolios!B500, 0)</f>
        <v>0</v>
      </c>
    </row>
    <row r="501" spans="1:2">
      <c r="A501" s="11">
        <f>Returns!A501</f>
        <v>0</v>
      </c>
      <c r="B501" s="1">
        <f>MAX(AVERAGE(Portfolios!$B$2:$B$1004)-Portfolios!B501, 0)</f>
        <v>0</v>
      </c>
    </row>
    <row r="502" spans="1:2">
      <c r="A502" s="11">
        <f>Returns!A502</f>
        <v>0</v>
      </c>
      <c r="B502" s="1">
        <f>MAX(AVERAGE(Portfolios!$B$2:$B$1004)-Portfolios!B502, 0)</f>
        <v>0</v>
      </c>
    </row>
    <row r="503" spans="1:2">
      <c r="A503" s="11">
        <f>Returns!A503</f>
        <v>0</v>
      </c>
      <c r="B503" s="1">
        <f>MAX(AVERAGE(Portfolios!$B$2:$B$1004)-Portfolios!B503, 0)</f>
        <v>0</v>
      </c>
    </row>
    <row r="504" spans="1:2">
      <c r="A504" s="11">
        <f>Returns!A504</f>
        <v>0</v>
      </c>
      <c r="B504" s="1">
        <f>MAX(AVERAGE(Portfolios!$B$2:$B$1004)-Portfolios!B504, 0)</f>
        <v>0</v>
      </c>
    </row>
    <row r="505" spans="1:2">
      <c r="A505" s="11">
        <f>Returns!A505</f>
        <v>0</v>
      </c>
      <c r="B505" s="1">
        <f>MAX(AVERAGE(Portfolios!$B$2:$B$1004)-Portfolios!B505, 0)</f>
        <v>0</v>
      </c>
    </row>
    <row r="506" spans="1:2">
      <c r="A506" s="11">
        <f>Returns!A506</f>
        <v>0</v>
      </c>
      <c r="B506" s="1">
        <f>MAX(AVERAGE(Portfolios!$B$2:$B$1004)-Portfolios!B506, 0)</f>
        <v>0</v>
      </c>
    </row>
    <row r="507" spans="1:2">
      <c r="A507" s="11">
        <f>Returns!A507</f>
        <v>0</v>
      </c>
      <c r="B507" s="1">
        <f>MAX(AVERAGE(Portfolios!$B$2:$B$1004)-Portfolios!B507, 0)</f>
        <v>0</v>
      </c>
    </row>
    <row r="508" spans="1:2">
      <c r="A508" s="11">
        <f>Returns!A508</f>
        <v>0</v>
      </c>
      <c r="B508" s="1">
        <f>MAX(AVERAGE(Portfolios!$B$2:$B$1004)-Portfolios!B508, 0)</f>
        <v>0</v>
      </c>
    </row>
    <row r="509" spans="1:2">
      <c r="A509" s="11">
        <f>Returns!A509</f>
        <v>0</v>
      </c>
      <c r="B509" s="1">
        <f>MAX(AVERAGE(Portfolios!$B$2:$B$1004)-Portfolios!B509, 0)</f>
        <v>0</v>
      </c>
    </row>
    <row r="510" spans="1:2">
      <c r="A510" s="11">
        <f>Returns!A510</f>
        <v>0</v>
      </c>
      <c r="B510" s="1">
        <f>MAX(AVERAGE(Portfolios!$B$2:$B$1004)-Portfolios!B510, 0)</f>
        <v>0</v>
      </c>
    </row>
    <row r="511" spans="1:2">
      <c r="A511" s="11">
        <f>Returns!A511</f>
        <v>0</v>
      </c>
      <c r="B511" s="1">
        <f>MAX(AVERAGE(Portfolios!$B$2:$B$1004)-Portfolios!B511, 0)</f>
        <v>0</v>
      </c>
    </row>
    <row r="512" spans="1:2">
      <c r="A512" s="11">
        <f>Returns!A512</f>
        <v>0</v>
      </c>
      <c r="B512" s="1">
        <f>MAX(AVERAGE(Portfolios!$B$2:$B$1004)-Portfolios!B512, 0)</f>
        <v>0</v>
      </c>
    </row>
    <row r="513" spans="1:2">
      <c r="A513" s="11">
        <f>Returns!A513</f>
        <v>0</v>
      </c>
      <c r="B513" s="1">
        <f>MAX(AVERAGE(Portfolios!$B$2:$B$1004)-Portfolios!B513, 0)</f>
        <v>0</v>
      </c>
    </row>
    <row r="514" spans="1:2">
      <c r="A514" s="11">
        <f>Returns!A514</f>
        <v>0</v>
      </c>
      <c r="B514" s="1">
        <f>MAX(AVERAGE(Portfolios!$B$2:$B$1004)-Portfolios!B514, 0)</f>
        <v>0</v>
      </c>
    </row>
    <row r="515" spans="1:2">
      <c r="A515" s="11">
        <f>Returns!A515</f>
        <v>0</v>
      </c>
      <c r="B515" s="1">
        <f>MAX(AVERAGE(Portfolios!$B$2:$B$1004)-Portfolios!B515, 0)</f>
        <v>0</v>
      </c>
    </row>
    <row r="516" spans="1:2">
      <c r="A516" s="11">
        <f>Returns!A516</f>
        <v>0</v>
      </c>
      <c r="B516" s="1">
        <f>MAX(AVERAGE(Portfolios!$B$2:$B$1004)-Portfolios!B516, 0)</f>
        <v>0</v>
      </c>
    </row>
    <row r="517" spans="1:2">
      <c r="A517" s="11">
        <f>Returns!A517</f>
        <v>0</v>
      </c>
      <c r="B517" s="1">
        <f>MAX(AVERAGE(Portfolios!$B$2:$B$1004)-Portfolios!B517, 0)</f>
        <v>0</v>
      </c>
    </row>
    <row r="518" spans="1:2">
      <c r="A518" s="11">
        <f>Returns!A518</f>
        <v>0</v>
      </c>
      <c r="B518" s="1">
        <f>MAX(AVERAGE(Portfolios!$B$2:$B$1004)-Portfolios!B518, 0)</f>
        <v>0</v>
      </c>
    </row>
    <row r="519" spans="1:2">
      <c r="A519" s="11">
        <f>Returns!A519</f>
        <v>0</v>
      </c>
      <c r="B519" s="1">
        <f>MAX(AVERAGE(Portfolios!$B$2:$B$1004)-Portfolios!B519, 0)</f>
        <v>0</v>
      </c>
    </row>
    <row r="520" spans="1:2">
      <c r="A520" s="11">
        <f>Returns!A520</f>
        <v>0</v>
      </c>
      <c r="B520" s="1">
        <f>MAX(AVERAGE(Portfolios!$B$2:$B$1004)-Portfolios!B520, 0)</f>
        <v>0</v>
      </c>
    </row>
    <row r="521" spans="1:2">
      <c r="A521" s="11">
        <f>Returns!A521</f>
        <v>0</v>
      </c>
      <c r="B521" s="1">
        <f>MAX(AVERAGE(Portfolios!$B$2:$B$1004)-Portfolios!B521, 0)</f>
        <v>0</v>
      </c>
    </row>
    <row r="522" spans="1:2">
      <c r="A522" s="11">
        <f>Returns!A522</f>
        <v>0</v>
      </c>
      <c r="B522" s="1">
        <f>MAX(AVERAGE(Portfolios!$B$2:$B$1004)-Portfolios!B522, 0)</f>
        <v>0</v>
      </c>
    </row>
    <row r="523" spans="1:2">
      <c r="A523" s="11">
        <f>Returns!A523</f>
        <v>0</v>
      </c>
      <c r="B523" s="1">
        <f>MAX(AVERAGE(Portfolios!$B$2:$B$1004)-Portfolios!B523, 0)</f>
        <v>0</v>
      </c>
    </row>
    <row r="524" spans="1:2">
      <c r="A524" s="11">
        <f>Returns!A524</f>
        <v>0</v>
      </c>
      <c r="B524" s="1">
        <f>MAX(AVERAGE(Portfolios!$B$2:$B$1004)-Portfolios!B524, 0)</f>
        <v>0</v>
      </c>
    </row>
    <row r="525" spans="1:2">
      <c r="A525" s="11">
        <f>Returns!A525</f>
        <v>0</v>
      </c>
      <c r="B525" s="1">
        <f>MAX(AVERAGE(Portfolios!$B$2:$B$1004)-Portfolios!B525, 0)</f>
        <v>0</v>
      </c>
    </row>
    <row r="526" spans="1:2">
      <c r="A526" s="11">
        <f>Returns!A526</f>
        <v>0</v>
      </c>
      <c r="B526" s="1">
        <f>MAX(AVERAGE(Portfolios!$B$2:$B$1004)-Portfolios!B526, 0)</f>
        <v>0</v>
      </c>
    </row>
    <row r="527" spans="1:2">
      <c r="A527" s="11">
        <f>Returns!A527</f>
        <v>0</v>
      </c>
      <c r="B527" s="1">
        <f>MAX(AVERAGE(Portfolios!$B$2:$B$1004)-Portfolios!B527, 0)</f>
        <v>0</v>
      </c>
    </row>
    <row r="528" spans="1:2">
      <c r="A528" s="11">
        <f>Returns!A528</f>
        <v>0</v>
      </c>
      <c r="B528" s="1">
        <f>MAX(AVERAGE(Portfolios!$B$2:$B$1004)-Portfolios!B528, 0)</f>
        <v>0</v>
      </c>
    </row>
    <row r="529" spans="1:2">
      <c r="A529" s="11">
        <f>Returns!A529</f>
        <v>0</v>
      </c>
      <c r="B529" s="1">
        <f>MAX(AVERAGE(Portfolios!$B$2:$B$1004)-Portfolios!B529, 0)</f>
        <v>0</v>
      </c>
    </row>
    <row r="530" spans="1:2">
      <c r="A530" s="11">
        <f>Returns!A530</f>
        <v>0</v>
      </c>
      <c r="B530" s="1">
        <f>MAX(AVERAGE(Portfolios!$B$2:$B$1004)-Portfolios!B530, 0)</f>
        <v>0</v>
      </c>
    </row>
    <row r="531" spans="1:2">
      <c r="A531" s="11">
        <f>Returns!A531</f>
        <v>0</v>
      </c>
      <c r="B531" s="1">
        <f>MAX(AVERAGE(Portfolios!$B$2:$B$1004)-Portfolios!B531, 0)</f>
        <v>0</v>
      </c>
    </row>
    <row r="532" spans="1:2">
      <c r="A532" s="11">
        <f>Returns!A532</f>
        <v>0</v>
      </c>
      <c r="B532" s="1">
        <f>MAX(AVERAGE(Portfolios!$B$2:$B$1004)-Portfolios!B532, 0)</f>
        <v>0</v>
      </c>
    </row>
    <row r="533" spans="1:2">
      <c r="A533" s="11">
        <f>Returns!A533</f>
        <v>0</v>
      </c>
      <c r="B533" s="1">
        <f>MAX(AVERAGE(Portfolios!$B$2:$B$1004)-Portfolios!B533, 0)</f>
        <v>0</v>
      </c>
    </row>
    <row r="534" spans="1:2">
      <c r="A534" s="11">
        <f>Returns!A534</f>
        <v>0</v>
      </c>
      <c r="B534" s="1">
        <f>MAX(AVERAGE(Portfolios!$B$2:$B$1004)-Portfolios!B534, 0)</f>
        <v>0</v>
      </c>
    </row>
    <row r="535" spans="1:2">
      <c r="A535" s="11">
        <f>Returns!A535</f>
        <v>0</v>
      </c>
      <c r="B535" s="1">
        <f>MAX(AVERAGE(Portfolios!$B$2:$B$1004)-Portfolios!B535, 0)</f>
        <v>0</v>
      </c>
    </row>
    <row r="536" spans="1:2">
      <c r="A536" s="11">
        <f>Returns!A536</f>
        <v>0</v>
      </c>
      <c r="B536" s="1">
        <f>MAX(AVERAGE(Portfolios!$B$2:$B$1004)-Portfolios!B536, 0)</f>
        <v>0</v>
      </c>
    </row>
    <row r="537" spans="1:2">
      <c r="A537" s="11">
        <f>Returns!A537</f>
        <v>0</v>
      </c>
      <c r="B537" s="1">
        <f>MAX(AVERAGE(Portfolios!$B$2:$B$1004)-Portfolios!B537, 0)</f>
        <v>0</v>
      </c>
    </row>
    <row r="538" spans="1:2">
      <c r="A538" s="11">
        <f>Returns!A538</f>
        <v>0</v>
      </c>
      <c r="B538" s="1">
        <f>MAX(AVERAGE(Portfolios!$B$2:$B$1004)-Portfolios!B538, 0)</f>
        <v>0</v>
      </c>
    </row>
    <row r="539" spans="1:2">
      <c r="A539" s="11">
        <f>Returns!A539</f>
        <v>0</v>
      </c>
      <c r="B539" s="1">
        <f>MAX(AVERAGE(Portfolios!$B$2:$B$1004)-Portfolios!B539, 0)</f>
        <v>0</v>
      </c>
    </row>
    <row r="540" spans="1:2">
      <c r="A540" s="11">
        <f>Returns!A540</f>
        <v>0</v>
      </c>
      <c r="B540" s="1">
        <f>MAX(AVERAGE(Portfolios!$B$2:$B$1004)-Portfolios!B540, 0)</f>
        <v>0</v>
      </c>
    </row>
    <row r="541" spans="1:2">
      <c r="A541" s="11">
        <f>Returns!A541</f>
        <v>0</v>
      </c>
      <c r="B541" s="1">
        <f>MAX(AVERAGE(Portfolios!$B$2:$B$1004)-Portfolios!B541, 0)</f>
        <v>0</v>
      </c>
    </row>
    <row r="542" spans="1:2">
      <c r="A542" s="11">
        <f>Returns!A542</f>
        <v>0</v>
      </c>
      <c r="B542" s="1">
        <f>MAX(AVERAGE(Portfolios!$B$2:$B$1004)-Portfolios!B542, 0)</f>
        <v>0</v>
      </c>
    </row>
    <row r="543" spans="1:2">
      <c r="A543" s="11">
        <f>Returns!A543</f>
        <v>0</v>
      </c>
      <c r="B543" s="1">
        <f>MAX(AVERAGE(Portfolios!$B$2:$B$1004)-Portfolios!B543, 0)</f>
        <v>0</v>
      </c>
    </row>
    <row r="544" spans="1:2">
      <c r="A544" s="11">
        <f>Returns!A544</f>
        <v>0</v>
      </c>
      <c r="B544" s="1">
        <f>MAX(AVERAGE(Portfolios!$B$2:$B$1004)-Portfolios!B544, 0)</f>
        <v>0</v>
      </c>
    </row>
    <row r="545" spans="1:2">
      <c r="A545" s="11">
        <f>Returns!A545</f>
        <v>0</v>
      </c>
      <c r="B545" s="1">
        <f>MAX(AVERAGE(Portfolios!$B$2:$B$1004)-Portfolios!B545, 0)</f>
        <v>0</v>
      </c>
    </row>
    <row r="546" spans="1:2">
      <c r="A546" s="11">
        <f>Returns!A546</f>
        <v>0</v>
      </c>
      <c r="B546" s="1">
        <f>MAX(AVERAGE(Portfolios!$B$2:$B$1004)-Portfolios!B546, 0)</f>
        <v>0</v>
      </c>
    </row>
    <row r="547" spans="1:2">
      <c r="A547" s="11">
        <f>Returns!A547</f>
        <v>0</v>
      </c>
      <c r="B547" s="1">
        <f>MAX(AVERAGE(Portfolios!$B$2:$B$1004)-Portfolios!B547, 0)</f>
        <v>0</v>
      </c>
    </row>
    <row r="548" spans="1:2">
      <c r="A548" s="11">
        <f>Returns!A548</f>
        <v>0</v>
      </c>
      <c r="B548" s="1">
        <f>MAX(AVERAGE(Portfolios!$B$2:$B$1004)-Portfolios!B548, 0)</f>
        <v>0</v>
      </c>
    </row>
    <row r="549" spans="1:2">
      <c r="A549" s="11">
        <f>Returns!A549</f>
        <v>0</v>
      </c>
      <c r="B549" s="1">
        <f>MAX(AVERAGE(Portfolios!$B$2:$B$1004)-Portfolios!B549, 0)</f>
        <v>0</v>
      </c>
    </row>
    <row r="550" spans="1:2">
      <c r="A550" s="11">
        <f>Returns!A550</f>
        <v>0</v>
      </c>
      <c r="B550" s="1">
        <f>MAX(AVERAGE(Portfolios!$B$2:$B$1004)-Portfolios!B550, 0)</f>
        <v>0</v>
      </c>
    </row>
    <row r="551" spans="1:2">
      <c r="A551" s="11">
        <f>Returns!A551</f>
        <v>0</v>
      </c>
      <c r="B551" s="1">
        <f>MAX(AVERAGE(Portfolios!$B$2:$B$1004)-Portfolios!B551, 0)</f>
        <v>0</v>
      </c>
    </row>
    <row r="552" spans="1:2">
      <c r="A552" s="11">
        <f>Returns!A552</f>
        <v>0</v>
      </c>
      <c r="B552" s="1">
        <f>MAX(AVERAGE(Portfolios!$B$2:$B$1004)-Portfolios!B552, 0)</f>
        <v>0</v>
      </c>
    </row>
    <row r="553" spans="1:2">
      <c r="A553" s="11">
        <f>Returns!A553</f>
        <v>0</v>
      </c>
      <c r="B553" s="1">
        <f>MAX(AVERAGE(Portfolios!$B$2:$B$1004)-Portfolios!B553, 0)</f>
        <v>0</v>
      </c>
    </row>
    <row r="554" spans="1:2">
      <c r="A554" s="11">
        <f>Returns!A554</f>
        <v>0</v>
      </c>
      <c r="B554" s="1">
        <f>MAX(AVERAGE(Portfolios!$B$2:$B$1004)-Portfolios!B554, 0)</f>
        <v>0</v>
      </c>
    </row>
    <row r="555" spans="1:2">
      <c r="A555" s="11">
        <f>Returns!A555</f>
        <v>0</v>
      </c>
      <c r="B555" s="1">
        <f>MAX(AVERAGE(Portfolios!$B$2:$B$1004)-Portfolios!B555, 0)</f>
        <v>0</v>
      </c>
    </row>
    <row r="556" spans="1:2">
      <c r="A556" s="11">
        <f>Returns!A556</f>
        <v>0</v>
      </c>
      <c r="B556" s="1">
        <f>MAX(AVERAGE(Portfolios!$B$2:$B$1004)-Portfolios!B556, 0)</f>
        <v>0</v>
      </c>
    </row>
    <row r="557" spans="1:2">
      <c r="A557" s="11">
        <f>Returns!A557</f>
        <v>0</v>
      </c>
      <c r="B557" s="1">
        <f>MAX(AVERAGE(Portfolios!$B$2:$B$1004)-Portfolios!B557, 0)</f>
        <v>0</v>
      </c>
    </row>
    <row r="558" spans="1:2">
      <c r="A558" s="11">
        <f>Returns!A558</f>
        <v>0</v>
      </c>
      <c r="B558" s="1">
        <f>MAX(AVERAGE(Portfolios!$B$2:$B$1004)-Portfolios!B558, 0)</f>
        <v>0</v>
      </c>
    </row>
    <row r="559" spans="1:2">
      <c r="A559" s="11">
        <f>Returns!A559</f>
        <v>0</v>
      </c>
      <c r="B559" s="1">
        <f>MAX(AVERAGE(Portfolios!$B$2:$B$1004)-Portfolios!B559, 0)</f>
        <v>0</v>
      </c>
    </row>
    <row r="560" spans="1:2">
      <c r="A560" s="11">
        <f>Returns!A560</f>
        <v>0</v>
      </c>
      <c r="B560" s="1">
        <f>MAX(AVERAGE(Portfolios!$B$2:$B$1004)-Portfolios!B560, 0)</f>
        <v>0</v>
      </c>
    </row>
    <row r="561" spans="1:2">
      <c r="A561" s="11">
        <f>Returns!A561</f>
        <v>0</v>
      </c>
      <c r="B561" s="1">
        <f>MAX(AVERAGE(Portfolios!$B$2:$B$1004)-Portfolios!B561, 0)</f>
        <v>0</v>
      </c>
    </row>
    <row r="562" spans="1:2">
      <c r="A562" s="11">
        <f>Returns!A562</f>
        <v>0</v>
      </c>
      <c r="B562" s="1">
        <f>MAX(AVERAGE(Portfolios!$B$2:$B$1004)-Portfolios!B562, 0)</f>
        <v>0</v>
      </c>
    </row>
    <row r="563" spans="1:2">
      <c r="A563" s="11">
        <f>Returns!A563</f>
        <v>0</v>
      </c>
      <c r="B563" s="1">
        <f>MAX(AVERAGE(Portfolios!$B$2:$B$1004)-Portfolios!B563, 0)</f>
        <v>0</v>
      </c>
    </row>
    <row r="564" spans="1:2">
      <c r="A564" s="11">
        <f>Returns!A564</f>
        <v>0</v>
      </c>
      <c r="B564" s="1">
        <f>MAX(AVERAGE(Portfolios!$B$2:$B$1004)-Portfolios!B564, 0)</f>
        <v>0</v>
      </c>
    </row>
    <row r="565" spans="1:2">
      <c r="A565" s="11">
        <f>Returns!A565</f>
        <v>0</v>
      </c>
      <c r="B565" s="1">
        <f>MAX(AVERAGE(Portfolios!$B$2:$B$1004)-Portfolios!B565, 0)</f>
        <v>0</v>
      </c>
    </row>
    <row r="566" spans="1:2">
      <c r="A566" s="11">
        <f>Returns!A566</f>
        <v>0</v>
      </c>
      <c r="B566" s="1">
        <f>MAX(AVERAGE(Portfolios!$B$2:$B$1004)-Portfolios!B566, 0)</f>
        <v>0</v>
      </c>
    </row>
    <row r="567" spans="1:2">
      <c r="A567" s="11">
        <f>Returns!A567</f>
        <v>0</v>
      </c>
      <c r="B567" s="1">
        <f>MAX(AVERAGE(Portfolios!$B$2:$B$1004)-Portfolios!B567, 0)</f>
        <v>0</v>
      </c>
    </row>
    <row r="568" spans="1:2">
      <c r="A568" s="11">
        <f>Returns!A568</f>
        <v>0</v>
      </c>
      <c r="B568" s="1">
        <f>MAX(AVERAGE(Portfolios!$B$2:$B$1004)-Portfolios!B568, 0)</f>
        <v>0</v>
      </c>
    </row>
    <row r="569" spans="1:2">
      <c r="A569" s="11">
        <f>Returns!A569</f>
        <v>0</v>
      </c>
      <c r="B569" s="1">
        <f>MAX(AVERAGE(Portfolios!$B$2:$B$1004)-Portfolios!B569, 0)</f>
        <v>0</v>
      </c>
    </row>
    <row r="570" spans="1:2">
      <c r="A570" s="11">
        <f>Returns!A570</f>
        <v>0</v>
      </c>
      <c r="B570" s="1">
        <f>MAX(AVERAGE(Portfolios!$B$2:$B$1004)-Portfolios!B570, 0)</f>
        <v>0</v>
      </c>
    </row>
    <row r="571" spans="1:2">
      <c r="A571" s="11">
        <f>Returns!A571</f>
        <v>0</v>
      </c>
      <c r="B571" s="1">
        <f>MAX(AVERAGE(Portfolios!$B$2:$B$1004)-Portfolios!B571, 0)</f>
        <v>0</v>
      </c>
    </row>
    <row r="572" spans="1:2">
      <c r="A572" s="11">
        <f>Returns!A572</f>
        <v>0</v>
      </c>
      <c r="B572" s="1">
        <f>MAX(AVERAGE(Portfolios!$B$2:$B$1004)-Portfolios!B572, 0)</f>
        <v>0</v>
      </c>
    </row>
    <row r="573" spans="1:2">
      <c r="A573" s="11">
        <f>Returns!A573</f>
        <v>0</v>
      </c>
      <c r="B573" s="1">
        <f>MAX(AVERAGE(Portfolios!$B$2:$B$1004)-Portfolios!B573, 0)</f>
        <v>0</v>
      </c>
    </row>
    <row r="574" spans="1:2">
      <c r="A574" s="11">
        <f>Returns!A574</f>
        <v>0</v>
      </c>
      <c r="B574" s="1">
        <f>MAX(AVERAGE(Portfolios!$B$2:$B$1004)-Portfolios!B574, 0)</f>
        <v>0</v>
      </c>
    </row>
    <row r="575" spans="1:2">
      <c r="A575" s="11">
        <f>Returns!A575</f>
        <v>0</v>
      </c>
      <c r="B575" s="1">
        <f>MAX(AVERAGE(Portfolios!$B$2:$B$1004)-Portfolios!B575, 0)</f>
        <v>0</v>
      </c>
    </row>
    <row r="576" spans="1:2">
      <c r="A576" s="11">
        <f>Returns!A576</f>
        <v>0</v>
      </c>
      <c r="B576" s="1">
        <f>MAX(AVERAGE(Portfolios!$B$2:$B$1004)-Portfolios!B576, 0)</f>
        <v>0</v>
      </c>
    </row>
    <row r="577" spans="1:2">
      <c r="A577" s="11">
        <f>Returns!A577</f>
        <v>0</v>
      </c>
      <c r="B577" s="1">
        <f>MAX(AVERAGE(Portfolios!$B$2:$B$1004)-Portfolios!B577, 0)</f>
        <v>0</v>
      </c>
    </row>
    <row r="578" spans="1:2">
      <c r="A578" s="11">
        <f>Returns!A578</f>
        <v>0</v>
      </c>
      <c r="B578" s="1">
        <f>MAX(AVERAGE(Portfolios!$B$2:$B$1004)-Portfolios!B578, 0)</f>
        <v>0</v>
      </c>
    </row>
    <row r="579" spans="1:2">
      <c r="A579" s="11">
        <f>Returns!A579</f>
        <v>0</v>
      </c>
      <c r="B579" s="1">
        <f>MAX(AVERAGE(Portfolios!$B$2:$B$1004)-Portfolios!B579, 0)</f>
        <v>0</v>
      </c>
    </row>
    <row r="580" spans="1:2">
      <c r="A580" s="11">
        <f>Returns!A580</f>
        <v>0</v>
      </c>
      <c r="B580" s="1">
        <f>MAX(AVERAGE(Portfolios!$B$2:$B$1004)-Portfolios!B580, 0)</f>
        <v>0</v>
      </c>
    </row>
    <row r="581" spans="1:2">
      <c r="A581" s="11">
        <f>Returns!A581</f>
        <v>0</v>
      </c>
      <c r="B581" s="1">
        <f>MAX(AVERAGE(Portfolios!$B$2:$B$1004)-Portfolios!B581, 0)</f>
        <v>0</v>
      </c>
    </row>
    <row r="582" spans="1:2">
      <c r="A582" s="11">
        <f>Returns!A582</f>
        <v>0</v>
      </c>
      <c r="B582" s="1">
        <f>MAX(AVERAGE(Portfolios!$B$2:$B$1004)-Portfolios!B582, 0)</f>
        <v>0</v>
      </c>
    </row>
    <row r="583" spans="1:2">
      <c r="A583" s="11">
        <f>Returns!A583</f>
        <v>0</v>
      </c>
      <c r="B583" s="1">
        <f>MAX(AVERAGE(Portfolios!$B$2:$B$1004)-Portfolios!B583, 0)</f>
        <v>0</v>
      </c>
    </row>
    <row r="584" spans="1:2">
      <c r="A584" s="11">
        <f>Returns!A584</f>
        <v>0</v>
      </c>
      <c r="B584" s="1">
        <f>MAX(AVERAGE(Portfolios!$B$2:$B$1004)-Portfolios!B584, 0)</f>
        <v>0</v>
      </c>
    </row>
    <row r="585" spans="1:2">
      <c r="A585" s="11">
        <f>Returns!A585</f>
        <v>0</v>
      </c>
      <c r="B585" s="1">
        <f>MAX(AVERAGE(Portfolios!$B$2:$B$1004)-Portfolios!B585, 0)</f>
        <v>0</v>
      </c>
    </row>
    <row r="586" spans="1:2">
      <c r="A586" s="11">
        <f>Returns!A586</f>
        <v>0</v>
      </c>
      <c r="B586" s="1">
        <f>MAX(AVERAGE(Portfolios!$B$2:$B$1004)-Portfolios!B586, 0)</f>
        <v>0</v>
      </c>
    </row>
    <row r="587" spans="1:2">
      <c r="A587" s="11">
        <f>Returns!A587</f>
        <v>0</v>
      </c>
      <c r="B587" s="1">
        <f>MAX(AVERAGE(Portfolios!$B$2:$B$1004)-Portfolios!B587, 0)</f>
        <v>0</v>
      </c>
    </row>
    <row r="588" spans="1:2">
      <c r="A588" s="11">
        <f>Returns!A588</f>
        <v>0</v>
      </c>
      <c r="B588" s="1">
        <f>MAX(AVERAGE(Portfolios!$B$2:$B$1004)-Portfolios!B588, 0)</f>
        <v>0</v>
      </c>
    </row>
    <row r="589" spans="1:2">
      <c r="A589" s="11">
        <f>Returns!A589</f>
        <v>0</v>
      </c>
      <c r="B589" s="1">
        <f>MAX(AVERAGE(Portfolios!$B$2:$B$1004)-Portfolios!B589, 0)</f>
        <v>0</v>
      </c>
    </row>
    <row r="590" spans="1:2">
      <c r="A590" s="11">
        <f>Returns!A590</f>
        <v>0</v>
      </c>
      <c r="B590" s="1">
        <f>MAX(AVERAGE(Portfolios!$B$2:$B$1004)-Portfolios!B590, 0)</f>
        <v>0</v>
      </c>
    </row>
    <row r="591" spans="1:2">
      <c r="A591" s="11">
        <f>Returns!A591</f>
        <v>0</v>
      </c>
      <c r="B591" s="1">
        <f>MAX(AVERAGE(Portfolios!$B$2:$B$1004)-Portfolios!B591, 0)</f>
        <v>0</v>
      </c>
    </row>
    <row r="592" spans="1:2">
      <c r="A592" s="11">
        <f>Returns!A592</f>
        <v>0</v>
      </c>
      <c r="B592" s="1">
        <f>MAX(AVERAGE(Portfolios!$B$2:$B$1004)-Portfolios!B592, 0)</f>
        <v>0</v>
      </c>
    </row>
    <row r="593" spans="1:2">
      <c r="A593" s="11">
        <f>Returns!A593</f>
        <v>0</v>
      </c>
      <c r="B593" s="1">
        <f>MAX(AVERAGE(Portfolios!$B$2:$B$1004)-Portfolios!B593, 0)</f>
        <v>0</v>
      </c>
    </row>
    <row r="594" spans="1:2">
      <c r="A594" s="11">
        <f>Returns!A594</f>
        <v>0</v>
      </c>
      <c r="B594" s="1">
        <f>MAX(AVERAGE(Portfolios!$B$2:$B$1004)-Portfolios!B594, 0)</f>
        <v>0</v>
      </c>
    </row>
    <row r="595" spans="1:2">
      <c r="A595" s="11">
        <f>Returns!A595</f>
        <v>0</v>
      </c>
      <c r="B595" s="1">
        <f>MAX(AVERAGE(Portfolios!$B$2:$B$1004)-Portfolios!B595, 0)</f>
        <v>0</v>
      </c>
    </row>
    <row r="596" spans="1:2">
      <c r="A596" s="11">
        <f>Returns!A596</f>
        <v>0</v>
      </c>
      <c r="B596" s="1">
        <f>MAX(AVERAGE(Portfolios!$B$2:$B$1004)-Portfolios!B596, 0)</f>
        <v>0</v>
      </c>
    </row>
    <row r="597" spans="1:2">
      <c r="A597" s="11">
        <f>Returns!A597</f>
        <v>0</v>
      </c>
      <c r="B597" s="1">
        <f>MAX(AVERAGE(Portfolios!$B$2:$B$1004)-Portfolios!B597, 0)</f>
        <v>0</v>
      </c>
    </row>
    <row r="598" spans="1:2">
      <c r="A598" s="11">
        <f>Returns!A598</f>
        <v>0</v>
      </c>
      <c r="B598" s="1">
        <f>MAX(AVERAGE(Portfolios!$B$2:$B$1004)-Portfolios!B598, 0)</f>
        <v>0</v>
      </c>
    </row>
    <row r="599" spans="1:2">
      <c r="A599" s="11">
        <f>Returns!A599</f>
        <v>0</v>
      </c>
      <c r="B599" s="1">
        <f>MAX(AVERAGE(Portfolios!$B$2:$B$1004)-Portfolios!B599, 0)</f>
        <v>0</v>
      </c>
    </row>
    <row r="600" spans="1:2">
      <c r="A600" s="11">
        <f>Returns!A600</f>
        <v>0</v>
      </c>
      <c r="B600" s="1">
        <f>MAX(AVERAGE(Portfolios!$B$2:$B$1004)-Portfolios!B600, 0)</f>
        <v>0</v>
      </c>
    </row>
    <row r="601" spans="1:2">
      <c r="A601" s="11">
        <f>Returns!A601</f>
        <v>0</v>
      </c>
      <c r="B601" s="1">
        <f>MAX(AVERAGE(Portfolios!$B$2:$B$1004)-Portfolios!B601, 0)</f>
        <v>0</v>
      </c>
    </row>
    <row r="602" spans="1:2">
      <c r="A602" s="11">
        <f>Returns!A602</f>
        <v>0</v>
      </c>
      <c r="B602" s="1">
        <f>MAX(AVERAGE(Portfolios!$B$2:$B$1004)-Portfolios!B602, 0)</f>
        <v>0</v>
      </c>
    </row>
    <row r="603" spans="1:2">
      <c r="A603" s="11">
        <f>Returns!A603</f>
        <v>0</v>
      </c>
      <c r="B603" s="1">
        <f>MAX(AVERAGE(Portfolios!$B$2:$B$1004)-Portfolios!B603, 0)</f>
        <v>0</v>
      </c>
    </row>
    <row r="604" spans="1:2">
      <c r="A604" s="11">
        <f>Returns!A604</f>
        <v>0</v>
      </c>
      <c r="B604" s="1">
        <f>MAX(AVERAGE(Portfolios!$B$2:$B$1004)-Portfolios!B604, 0)</f>
        <v>0</v>
      </c>
    </row>
    <row r="605" spans="1:2">
      <c r="A605" s="11">
        <f>Returns!A605</f>
        <v>0</v>
      </c>
      <c r="B605" s="1">
        <f>MAX(AVERAGE(Portfolios!$B$2:$B$1004)-Portfolios!B605, 0)</f>
        <v>0</v>
      </c>
    </row>
    <row r="606" spans="1:2">
      <c r="A606" s="11">
        <f>Returns!A606</f>
        <v>0</v>
      </c>
      <c r="B606" s="1">
        <f>MAX(AVERAGE(Portfolios!$B$2:$B$1004)-Portfolios!B606, 0)</f>
        <v>0</v>
      </c>
    </row>
    <row r="607" spans="1:2">
      <c r="A607" s="11">
        <f>Returns!A607</f>
        <v>0</v>
      </c>
      <c r="B607" s="1">
        <f>MAX(AVERAGE(Portfolios!$B$2:$B$1004)-Portfolios!B607, 0)</f>
        <v>0</v>
      </c>
    </row>
    <row r="608" spans="1:2">
      <c r="A608" s="11">
        <f>Returns!A608</f>
        <v>0</v>
      </c>
      <c r="B608" s="1">
        <f>MAX(AVERAGE(Portfolios!$B$2:$B$1004)-Portfolios!B608, 0)</f>
        <v>0</v>
      </c>
    </row>
    <row r="609" spans="1:2">
      <c r="A609" s="11">
        <f>Returns!A609</f>
        <v>0</v>
      </c>
      <c r="B609" s="1">
        <f>MAX(AVERAGE(Portfolios!$B$2:$B$1004)-Portfolios!B609, 0)</f>
        <v>0</v>
      </c>
    </row>
    <row r="610" spans="1:2">
      <c r="A610" s="11">
        <f>Returns!A610</f>
        <v>0</v>
      </c>
      <c r="B610" s="1">
        <f>MAX(AVERAGE(Portfolios!$B$2:$B$1004)-Portfolios!B610, 0)</f>
        <v>0</v>
      </c>
    </row>
    <row r="611" spans="1:2">
      <c r="A611" s="11">
        <f>Returns!A611</f>
        <v>0</v>
      </c>
      <c r="B611" s="1">
        <f>MAX(AVERAGE(Portfolios!$B$2:$B$1004)-Portfolios!B611, 0)</f>
        <v>0</v>
      </c>
    </row>
    <row r="612" spans="1:2">
      <c r="A612" s="11">
        <f>Returns!A612</f>
        <v>0</v>
      </c>
      <c r="B612" s="1">
        <f>MAX(AVERAGE(Portfolios!$B$2:$B$1004)-Portfolios!B612, 0)</f>
        <v>0</v>
      </c>
    </row>
    <row r="613" spans="1:2">
      <c r="A613" s="11">
        <f>Returns!A613</f>
        <v>0</v>
      </c>
      <c r="B613" s="1">
        <f>MAX(AVERAGE(Portfolios!$B$2:$B$1004)-Portfolios!B613, 0)</f>
        <v>0</v>
      </c>
    </row>
    <row r="614" spans="1:2">
      <c r="A614" s="11">
        <f>Returns!A614</f>
        <v>0</v>
      </c>
      <c r="B614" s="1">
        <f>MAX(AVERAGE(Portfolios!$B$2:$B$1004)-Portfolios!B614, 0)</f>
        <v>0</v>
      </c>
    </row>
    <row r="615" spans="1:2">
      <c r="A615" s="11">
        <f>Returns!A615</f>
        <v>0</v>
      </c>
      <c r="B615" s="1">
        <f>MAX(AVERAGE(Portfolios!$B$2:$B$1004)-Portfolios!B615, 0)</f>
        <v>0</v>
      </c>
    </row>
    <row r="616" spans="1:2">
      <c r="A616" s="11">
        <f>Returns!A616</f>
        <v>0</v>
      </c>
      <c r="B616" s="1">
        <f>MAX(AVERAGE(Portfolios!$B$2:$B$1004)-Portfolios!B616, 0)</f>
        <v>0</v>
      </c>
    </row>
    <row r="617" spans="1:2">
      <c r="A617" s="11">
        <f>Returns!A617</f>
        <v>0</v>
      </c>
      <c r="B617" s="1">
        <f>MAX(AVERAGE(Portfolios!$B$2:$B$1004)-Portfolios!B617, 0)</f>
        <v>0</v>
      </c>
    </row>
    <row r="618" spans="1:2">
      <c r="A618" s="11">
        <f>Returns!A618</f>
        <v>0</v>
      </c>
      <c r="B618" s="1">
        <f>MAX(AVERAGE(Portfolios!$B$2:$B$1004)-Portfolios!B618, 0)</f>
        <v>0</v>
      </c>
    </row>
    <row r="619" spans="1:2">
      <c r="A619" s="11">
        <f>Returns!A619</f>
        <v>0</v>
      </c>
      <c r="B619" s="1">
        <f>MAX(AVERAGE(Portfolios!$B$2:$B$1004)-Portfolios!B619, 0)</f>
        <v>0</v>
      </c>
    </row>
    <row r="620" spans="1:2">
      <c r="A620" s="11">
        <f>Returns!A620</f>
        <v>0</v>
      </c>
      <c r="B620" s="1">
        <f>MAX(AVERAGE(Portfolios!$B$2:$B$1004)-Portfolios!B620, 0)</f>
        <v>0</v>
      </c>
    </row>
    <row r="621" spans="1:2">
      <c r="A621" s="11">
        <f>Returns!A621</f>
        <v>0</v>
      </c>
      <c r="B621" s="1">
        <f>MAX(AVERAGE(Portfolios!$B$2:$B$1004)-Portfolios!B621, 0)</f>
        <v>0</v>
      </c>
    </row>
    <row r="622" spans="1:2">
      <c r="A622" s="11">
        <f>Returns!A622</f>
        <v>0</v>
      </c>
      <c r="B622" s="1">
        <f>MAX(AVERAGE(Portfolios!$B$2:$B$1004)-Portfolios!B622, 0)</f>
        <v>0</v>
      </c>
    </row>
    <row r="623" spans="1:2">
      <c r="A623" s="11">
        <f>Returns!A623</f>
        <v>0</v>
      </c>
      <c r="B623" s="1">
        <f>MAX(AVERAGE(Portfolios!$B$2:$B$1004)-Portfolios!B623, 0)</f>
        <v>0</v>
      </c>
    </row>
    <row r="624" spans="1:2">
      <c r="A624" s="11">
        <f>Returns!A624</f>
        <v>0</v>
      </c>
      <c r="B624" s="1">
        <f>MAX(AVERAGE(Portfolios!$B$2:$B$1004)-Portfolios!B624, 0)</f>
        <v>0</v>
      </c>
    </row>
    <row r="625" spans="1:2">
      <c r="A625" s="11">
        <f>Returns!A625</f>
        <v>0</v>
      </c>
      <c r="B625" s="1">
        <f>MAX(AVERAGE(Portfolios!$B$2:$B$1004)-Portfolios!B625, 0)</f>
        <v>0</v>
      </c>
    </row>
    <row r="626" spans="1:2">
      <c r="A626" s="11">
        <f>Returns!A626</f>
        <v>0</v>
      </c>
      <c r="B626" s="1">
        <f>MAX(AVERAGE(Portfolios!$B$2:$B$1004)-Portfolios!B626, 0)</f>
        <v>0</v>
      </c>
    </row>
    <row r="627" spans="1:2">
      <c r="A627" s="11">
        <f>Returns!A627</f>
        <v>0</v>
      </c>
      <c r="B627" s="1">
        <f>MAX(AVERAGE(Portfolios!$B$2:$B$1004)-Portfolios!B627, 0)</f>
        <v>0</v>
      </c>
    </row>
    <row r="628" spans="1:2">
      <c r="A628" s="11">
        <f>Returns!A628</f>
        <v>0</v>
      </c>
      <c r="B628" s="1">
        <f>MAX(AVERAGE(Portfolios!$B$2:$B$1004)-Portfolios!B628, 0)</f>
        <v>0</v>
      </c>
    </row>
    <row r="629" spans="1:2">
      <c r="A629" s="11">
        <f>Returns!A629</f>
        <v>0</v>
      </c>
      <c r="B629" s="1">
        <f>MAX(AVERAGE(Portfolios!$B$2:$B$1004)-Portfolios!B629, 0)</f>
        <v>0</v>
      </c>
    </row>
    <row r="630" spans="1:2">
      <c r="A630" s="11">
        <f>Returns!A630</f>
        <v>0</v>
      </c>
      <c r="B630" s="1">
        <f>MAX(AVERAGE(Portfolios!$B$2:$B$1004)-Portfolios!B630, 0)</f>
        <v>0</v>
      </c>
    </row>
    <row r="631" spans="1:2">
      <c r="A631" s="11">
        <f>Returns!A631</f>
        <v>0</v>
      </c>
      <c r="B631" s="1">
        <f>MAX(AVERAGE(Portfolios!$B$2:$B$1004)-Portfolios!B631, 0)</f>
        <v>0</v>
      </c>
    </row>
    <row r="632" spans="1:2">
      <c r="A632" s="11">
        <f>Returns!A632</f>
        <v>0</v>
      </c>
      <c r="B632" s="1">
        <f>MAX(AVERAGE(Portfolios!$B$2:$B$1004)-Portfolios!B632, 0)</f>
        <v>0</v>
      </c>
    </row>
    <row r="633" spans="1:2">
      <c r="A633" s="11">
        <f>Returns!A633</f>
        <v>0</v>
      </c>
      <c r="B633" s="1">
        <f>MAX(AVERAGE(Portfolios!$B$2:$B$1004)-Portfolios!B633, 0)</f>
        <v>0</v>
      </c>
    </row>
    <row r="634" spans="1:2">
      <c r="A634" s="11">
        <f>Returns!A634</f>
        <v>0</v>
      </c>
      <c r="B634" s="1">
        <f>MAX(AVERAGE(Portfolios!$B$2:$B$1004)-Portfolios!B634, 0)</f>
        <v>0</v>
      </c>
    </row>
    <row r="635" spans="1:2">
      <c r="A635" s="11">
        <f>Returns!A635</f>
        <v>0</v>
      </c>
      <c r="B635" s="1">
        <f>MAX(AVERAGE(Portfolios!$B$2:$B$1004)-Portfolios!B635, 0)</f>
        <v>0</v>
      </c>
    </row>
    <row r="636" spans="1:2">
      <c r="A636" s="11">
        <f>Returns!A636</f>
        <v>0</v>
      </c>
      <c r="B636" s="1">
        <f>MAX(AVERAGE(Portfolios!$B$2:$B$1004)-Portfolios!B636, 0)</f>
        <v>0</v>
      </c>
    </row>
    <row r="637" spans="1:2">
      <c r="A637" s="11">
        <f>Returns!A637</f>
        <v>0</v>
      </c>
      <c r="B637" s="1">
        <f>MAX(AVERAGE(Portfolios!$B$2:$B$1004)-Portfolios!B637, 0)</f>
        <v>0</v>
      </c>
    </row>
    <row r="638" spans="1:2">
      <c r="A638" s="11">
        <f>Returns!A638</f>
        <v>0</v>
      </c>
      <c r="B638" s="1">
        <f>MAX(AVERAGE(Portfolios!$B$2:$B$1004)-Portfolios!B638, 0)</f>
        <v>0</v>
      </c>
    </row>
    <row r="639" spans="1:2">
      <c r="A639" s="11">
        <f>Returns!A639</f>
        <v>0</v>
      </c>
      <c r="B639" s="1">
        <f>MAX(AVERAGE(Portfolios!$B$2:$B$1004)-Portfolios!B639, 0)</f>
        <v>0</v>
      </c>
    </row>
    <row r="640" spans="1:2">
      <c r="A640" s="11">
        <f>Returns!A640</f>
        <v>0</v>
      </c>
      <c r="B640" s="1">
        <f>MAX(AVERAGE(Portfolios!$B$2:$B$1004)-Portfolios!B640, 0)</f>
        <v>0</v>
      </c>
    </row>
    <row r="641" spans="1:2">
      <c r="A641" s="11">
        <f>Returns!A641</f>
        <v>0</v>
      </c>
      <c r="B641" s="1">
        <f>MAX(AVERAGE(Portfolios!$B$2:$B$1004)-Portfolios!B641, 0)</f>
        <v>0</v>
      </c>
    </row>
    <row r="642" spans="1:2">
      <c r="A642" s="11">
        <f>Returns!A642</f>
        <v>0</v>
      </c>
      <c r="B642" s="1">
        <f>MAX(AVERAGE(Portfolios!$B$2:$B$1004)-Portfolios!B642, 0)</f>
        <v>0</v>
      </c>
    </row>
    <row r="643" spans="1:2">
      <c r="A643" s="11">
        <f>Returns!A643</f>
        <v>0</v>
      </c>
      <c r="B643" s="1">
        <f>MAX(AVERAGE(Portfolios!$B$2:$B$1004)-Portfolios!B643, 0)</f>
        <v>0</v>
      </c>
    </row>
    <row r="644" spans="1:2">
      <c r="A644" s="11">
        <f>Returns!A644</f>
        <v>0</v>
      </c>
      <c r="B644" s="1">
        <f>MAX(AVERAGE(Portfolios!$B$2:$B$1004)-Portfolios!B644, 0)</f>
        <v>0</v>
      </c>
    </row>
    <row r="645" spans="1:2">
      <c r="A645" s="11">
        <f>Returns!A645</f>
        <v>0</v>
      </c>
      <c r="B645" s="1">
        <f>MAX(AVERAGE(Portfolios!$B$2:$B$1004)-Portfolios!B645, 0)</f>
        <v>0</v>
      </c>
    </row>
    <row r="646" spans="1:2">
      <c r="A646" s="11">
        <f>Returns!A646</f>
        <v>0</v>
      </c>
      <c r="B646" s="1">
        <f>MAX(AVERAGE(Portfolios!$B$2:$B$1004)-Portfolios!B646, 0)</f>
        <v>0</v>
      </c>
    </row>
    <row r="647" spans="1:2">
      <c r="A647" s="11">
        <f>Returns!A647</f>
        <v>0</v>
      </c>
      <c r="B647" s="1">
        <f>MAX(AVERAGE(Portfolios!$B$2:$B$1004)-Portfolios!B647, 0)</f>
        <v>0</v>
      </c>
    </row>
    <row r="648" spans="1:2">
      <c r="A648" s="11">
        <f>Returns!A648</f>
        <v>0</v>
      </c>
      <c r="B648" s="1">
        <f>MAX(AVERAGE(Portfolios!$B$2:$B$1004)-Portfolios!B648, 0)</f>
        <v>0</v>
      </c>
    </row>
    <row r="649" spans="1:2">
      <c r="A649" s="11">
        <f>Returns!A649</f>
        <v>0</v>
      </c>
      <c r="B649" s="1">
        <f>MAX(AVERAGE(Portfolios!$B$2:$B$1004)-Portfolios!B649, 0)</f>
        <v>0</v>
      </c>
    </row>
    <row r="650" spans="1:2">
      <c r="A650" s="11">
        <f>Returns!A650</f>
        <v>0</v>
      </c>
      <c r="B650" s="1">
        <f>MAX(AVERAGE(Portfolios!$B$2:$B$1004)-Portfolios!B650, 0)</f>
        <v>0</v>
      </c>
    </row>
    <row r="651" spans="1:2">
      <c r="A651" s="11">
        <f>Returns!A651</f>
        <v>0</v>
      </c>
      <c r="B651" s="1">
        <f>MAX(AVERAGE(Portfolios!$B$2:$B$1004)-Portfolios!B651, 0)</f>
        <v>0</v>
      </c>
    </row>
    <row r="652" spans="1:2">
      <c r="A652" s="11">
        <f>Returns!A652</f>
        <v>0</v>
      </c>
      <c r="B652" s="1">
        <f>MAX(AVERAGE(Portfolios!$B$2:$B$1004)-Portfolios!B652, 0)</f>
        <v>0</v>
      </c>
    </row>
    <row r="653" spans="1:2">
      <c r="A653" s="11">
        <f>Returns!A653</f>
        <v>0</v>
      </c>
      <c r="B653" s="1">
        <f>MAX(AVERAGE(Portfolios!$B$2:$B$1004)-Portfolios!B653, 0)</f>
        <v>0</v>
      </c>
    </row>
    <row r="654" spans="1:2">
      <c r="A654" s="11">
        <f>Returns!A654</f>
        <v>0</v>
      </c>
      <c r="B654" s="1">
        <f>MAX(AVERAGE(Portfolios!$B$2:$B$1004)-Portfolios!B654, 0)</f>
        <v>0</v>
      </c>
    </row>
    <row r="655" spans="1:2">
      <c r="A655" s="11">
        <f>Returns!A655</f>
        <v>0</v>
      </c>
      <c r="B655" s="1">
        <f>MAX(AVERAGE(Portfolios!$B$2:$B$1004)-Portfolios!B655, 0)</f>
        <v>0</v>
      </c>
    </row>
    <row r="656" spans="1:2">
      <c r="A656" s="11">
        <f>Returns!A656</f>
        <v>0</v>
      </c>
      <c r="B656" s="1">
        <f>MAX(AVERAGE(Portfolios!$B$2:$B$1004)-Portfolios!B656, 0)</f>
        <v>0</v>
      </c>
    </row>
    <row r="657" spans="1:2">
      <c r="A657" s="11">
        <f>Returns!A657</f>
        <v>0</v>
      </c>
      <c r="B657" s="1">
        <f>MAX(AVERAGE(Portfolios!$B$2:$B$1004)-Portfolios!B657, 0)</f>
        <v>0</v>
      </c>
    </row>
    <row r="658" spans="1:2">
      <c r="A658" s="11">
        <f>Returns!A658</f>
        <v>0</v>
      </c>
      <c r="B658" s="1">
        <f>MAX(AVERAGE(Portfolios!$B$2:$B$1004)-Portfolios!B658, 0)</f>
        <v>0</v>
      </c>
    </row>
    <row r="659" spans="1:2">
      <c r="A659" s="11">
        <f>Returns!A659</f>
        <v>0</v>
      </c>
      <c r="B659" s="1">
        <f>MAX(AVERAGE(Portfolios!$B$2:$B$1004)-Portfolios!B659, 0)</f>
        <v>0</v>
      </c>
    </row>
    <row r="660" spans="1:2">
      <c r="A660" s="11">
        <f>Returns!A660</f>
        <v>0</v>
      </c>
      <c r="B660" s="1">
        <f>MAX(AVERAGE(Portfolios!$B$2:$B$1004)-Portfolios!B660, 0)</f>
        <v>0</v>
      </c>
    </row>
    <row r="661" spans="1:2">
      <c r="A661" s="11">
        <f>Returns!A661</f>
        <v>0</v>
      </c>
      <c r="B661" s="1">
        <f>MAX(AVERAGE(Portfolios!$B$2:$B$1004)-Portfolios!B661, 0)</f>
        <v>0</v>
      </c>
    </row>
    <row r="662" spans="1:2">
      <c r="A662" s="11">
        <f>Returns!A662</f>
        <v>0</v>
      </c>
      <c r="B662" s="1">
        <f>MAX(AVERAGE(Portfolios!$B$2:$B$1004)-Portfolios!B662, 0)</f>
        <v>0</v>
      </c>
    </row>
    <row r="663" spans="1:2">
      <c r="A663" s="11">
        <f>Returns!A663</f>
        <v>0</v>
      </c>
      <c r="B663" s="1">
        <f>MAX(AVERAGE(Portfolios!$B$2:$B$1004)-Portfolios!B663, 0)</f>
        <v>0</v>
      </c>
    </row>
    <row r="664" spans="1:2">
      <c r="A664" s="11">
        <f>Returns!A664</f>
        <v>0</v>
      </c>
      <c r="B664" s="1">
        <f>MAX(AVERAGE(Portfolios!$B$2:$B$1004)-Portfolios!B664, 0)</f>
        <v>0</v>
      </c>
    </row>
    <row r="665" spans="1:2">
      <c r="A665" s="11">
        <f>Returns!A665</f>
        <v>0</v>
      </c>
      <c r="B665" s="1">
        <f>MAX(AVERAGE(Portfolios!$B$2:$B$1004)-Portfolios!B665, 0)</f>
        <v>0</v>
      </c>
    </row>
    <row r="666" spans="1:2">
      <c r="A666" s="11">
        <f>Returns!A666</f>
        <v>0</v>
      </c>
      <c r="B666" s="1">
        <f>MAX(AVERAGE(Portfolios!$B$2:$B$1004)-Portfolios!B666, 0)</f>
        <v>0</v>
      </c>
    </row>
    <row r="667" spans="1:2">
      <c r="A667" s="11">
        <f>Returns!A667</f>
        <v>0</v>
      </c>
      <c r="B667" s="1">
        <f>MAX(AVERAGE(Portfolios!$B$2:$B$1004)-Portfolios!B667, 0)</f>
        <v>0</v>
      </c>
    </row>
    <row r="668" spans="1:2">
      <c r="A668" s="11">
        <f>Returns!A668</f>
        <v>0</v>
      </c>
      <c r="B668" s="1">
        <f>MAX(AVERAGE(Portfolios!$B$2:$B$1004)-Portfolios!B668, 0)</f>
        <v>0</v>
      </c>
    </row>
    <row r="669" spans="1:2">
      <c r="A669" s="11">
        <f>Returns!A669</f>
        <v>0</v>
      </c>
      <c r="B669" s="1">
        <f>MAX(AVERAGE(Portfolios!$B$2:$B$1004)-Portfolios!B669, 0)</f>
        <v>0</v>
      </c>
    </row>
    <row r="670" spans="1:2">
      <c r="A670" s="11">
        <f>Returns!A670</f>
        <v>0</v>
      </c>
      <c r="B670" s="1">
        <f>MAX(AVERAGE(Portfolios!$B$2:$B$1004)-Portfolios!B670, 0)</f>
        <v>0</v>
      </c>
    </row>
    <row r="671" spans="1:2">
      <c r="A671" s="11">
        <f>Returns!A671</f>
        <v>0</v>
      </c>
      <c r="B671" s="1">
        <f>MAX(AVERAGE(Portfolios!$B$2:$B$1004)-Portfolios!B671, 0)</f>
        <v>0</v>
      </c>
    </row>
    <row r="672" spans="1:2">
      <c r="A672" s="11">
        <f>Returns!A672</f>
        <v>0</v>
      </c>
      <c r="B672" s="1">
        <f>MAX(AVERAGE(Portfolios!$B$2:$B$1004)-Portfolios!B672, 0)</f>
        <v>0</v>
      </c>
    </row>
    <row r="673" spans="1:2">
      <c r="A673" s="11">
        <f>Returns!A673</f>
        <v>0</v>
      </c>
      <c r="B673" s="1">
        <f>MAX(AVERAGE(Portfolios!$B$2:$B$1004)-Portfolios!B673, 0)</f>
        <v>0</v>
      </c>
    </row>
    <row r="674" spans="1:2">
      <c r="A674" s="11">
        <f>Returns!A674</f>
        <v>0</v>
      </c>
      <c r="B674" s="1">
        <f>MAX(AVERAGE(Portfolios!$B$2:$B$1004)-Portfolios!B674, 0)</f>
        <v>0</v>
      </c>
    </row>
    <row r="675" spans="1:2">
      <c r="A675" s="11">
        <f>Returns!A675</f>
        <v>0</v>
      </c>
      <c r="B675" s="1">
        <f>MAX(AVERAGE(Portfolios!$B$2:$B$1004)-Portfolios!B675, 0)</f>
        <v>0</v>
      </c>
    </row>
    <row r="676" spans="1:2">
      <c r="A676" s="11">
        <f>Returns!A676</f>
        <v>0</v>
      </c>
      <c r="B676" s="1">
        <f>MAX(AVERAGE(Portfolios!$B$2:$B$1004)-Portfolios!B676, 0)</f>
        <v>0</v>
      </c>
    </row>
    <row r="677" spans="1:2">
      <c r="A677" s="11">
        <f>Returns!A677</f>
        <v>0</v>
      </c>
      <c r="B677" s="1">
        <f>MAX(AVERAGE(Portfolios!$B$2:$B$1004)-Portfolios!B677, 0)</f>
        <v>0</v>
      </c>
    </row>
    <row r="678" spans="1:2">
      <c r="A678" s="11">
        <f>Returns!A678</f>
        <v>0</v>
      </c>
      <c r="B678" s="1">
        <f>MAX(AVERAGE(Portfolios!$B$2:$B$1004)-Portfolios!B678, 0)</f>
        <v>0</v>
      </c>
    </row>
    <row r="679" spans="1:2">
      <c r="A679" s="11">
        <f>Returns!A679</f>
        <v>0</v>
      </c>
      <c r="B679" s="1">
        <f>MAX(AVERAGE(Portfolios!$B$2:$B$1004)-Portfolios!B679, 0)</f>
        <v>0</v>
      </c>
    </row>
    <row r="680" spans="1:2">
      <c r="A680" s="11">
        <f>Returns!A680</f>
        <v>0</v>
      </c>
      <c r="B680" s="1">
        <f>MAX(AVERAGE(Portfolios!$B$2:$B$1004)-Portfolios!B680, 0)</f>
        <v>0</v>
      </c>
    </row>
    <row r="681" spans="1:2">
      <c r="A681" s="11">
        <f>Returns!A681</f>
        <v>0</v>
      </c>
      <c r="B681" s="1">
        <f>MAX(AVERAGE(Portfolios!$B$2:$B$1004)-Portfolios!B681, 0)</f>
        <v>0</v>
      </c>
    </row>
    <row r="682" spans="1:2">
      <c r="A682" s="11">
        <f>Returns!A682</f>
        <v>0</v>
      </c>
      <c r="B682" s="1">
        <f>MAX(AVERAGE(Portfolios!$B$2:$B$1004)-Portfolios!B682, 0)</f>
        <v>0</v>
      </c>
    </row>
    <row r="683" spans="1:2">
      <c r="A683" s="11">
        <f>Returns!A683</f>
        <v>0</v>
      </c>
      <c r="B683" s="1">
        <f>MAX(AVERAGE(Portfolios!$B$2:$B$1004)-Portfolios!B683, 0)</f>
        <v>0</v>
      </c>
    </row>
    <row r="684" spans="1:2">
      <c r="A684" s="11">
        <f>Returns!A684</f>
        <v>0</v>
      </c>
      <c r="B684" s="1">
        <f>MAX(AVERAGE(Portfolios!$B$2:$B$1004)-Portfolios!B684, 0)</f>
        <v>0</v>
      </c>
    </row>
    <row r="685" spans="1:2">
      <c r="A685" s="11">
        <f>Returns!A685</f>
        <v>0</v>
      </c>
      <c r="B685" s="1">
        <f>MAX(AVERAGE(Portfolios!$B$2:$B$1004)-Portfolios!B685, 0)</f>
        <v>0</v>
      </c>
    </row>
    <row r="686" spans="1:2">
      <c r="A686" s="11">
        <f>Returns!A686</f>
        <v>0</v>
      </c>
      <c r="B686" s="1">
        <f>MAX(AVERAGE(Portfolios!$B$2:$B$1004)-Portfolios!B686, 0)</f>
        <v>0</v>
      </c>
    </row>
    <row r="687" spans="1:2">
      <c r="A687" s="11">
        <f>Returns!A687</f>
        <v>0</v>
      </c>
      <c r="B687" s="1">
        <f>MAX(AVERAGE(Portfolios!$B$2:$B$1004)-Portfolios!B687, 0)</f>
        <v>0</v>
      </c>
    </row>
    <row r="688" spans="1:2">
      <c r="A688" s="11">
        <f>Returns!A688</f>
        <v>0</v>
      </c>
      <c r="B688" s="1">
        <f>MAX(AVERAGE(Portfolios!$B$2:$B$1004)-Portfolios!B688, 0)</f>
        <v>0</v>
      </c>
    </row>
    <row r="689" spans="1:2">
      <c r="A689" s="11">
        <f>Returns!A689</f>
        <v>0</v>
      </c>
      <c r="B689" s="1">
        <f>MAX(AVERAGE(Portfolios!$B$2:$B$1004)-Portfolios!B689, 0)</f>
        <v>0</v>
      </c>
    </row>
    <row r="690" spans="1:2">
      <c r="A690" s="11">
        <f>Returns!A690</f>
        <v>0</v>
      </c>
      <c r="B690" s="1">
        <f>MAX(AVERAGE(Portfolios!$B$2:$B$1004)-Portfolios!B690, 0)</f>
        <v>0</v>
      </c>
    </row>
    <row r="691" spans="1:2">
      <c r="A691" s="11">
        <f>Returns!A691</f>
        <v>0</v>
      </c>
      <c r="B691" s="1">
        <f>MAX(AVERAGE(Portfolios!$B$2:$B$1004)-Portfolios!B691, 0)</f>
        <v>0</v>
      </c>
    </row>
    <row r="692" spans="1:2">
      <c r="A692" s="11">
        <f>Returns!A692</f>
        <v>0</v>
      </c>
      <c r="B692" s="1">
        <f>MAX(AVERAGE(Portfolios!$B$2:$B$1004)-Portfolios!B692, 0)</f>
        <v>0</v>
      </c>
    </row>
    <row r="693" spans="1:2">
      <c r="A693" s="11">
        <f>Returns!A693</f>
        <v>0</v>
      </c>
      <c r="B693" s="1">
        <f>MAX(AVERAGE(Portfolios!$B$2:$B$1004)-Portfolios!B693, 0)</f>
        <v>0</v>
      </c>
    </row>
    <row r="694" spans="1:2">
      <c r="A694" s="11">
        <f>Returns!A694</f>
        <v>0</v>
      </c>
      <c r="B694" s="1">
        <f>MAX(AVERAGE(Portfolios!$B$2:$B$1004)-Portfolios!B694, 0)</f>
        <v>0</v>
      </c>
    </row>
    <row r="695" spans="1:2">
      <c r="A695" s="11">
        <f>Returns!A695</f>
        <v>0</v>
      </c>
      <c r="B695" s="1">
        <f>MAX(AVERAGE(Portfolios!$B$2:$B$1004)-Portfolios!B695, 0)</f>
        <v>0</v>
      </c>
    </row>
    <row r="696" spans="1:2">
      <c r="A696" s="11">
        <f>Returns!A696</f>
        <v>0</v>
      </c>
      <c r="B696" s="1">
        <f>MAX(AVERAGE(Portfolios!$B$2:$B$1004)-Portfolios!B696, 0)</f>
        <v>0</v>
      </c>
    </row>
    <row r="697" spans="1:2">
      <c r="A697" s="11">
        <f>Returns!A697</f>
        <v>0</v>
      </c>
      <c r="B697" s="1">
        <f>MAX(AVERAGE(Portfolios!$B$2:$B$1004)-Portfolios!B697, 0)</f>
        <v>0</v>
      </c>
    </row>
    <row r="698" spans="1:2">
      <c r="A698" s="11">
        <f>Returns!A698</f>
        <v>0</v>
      </c>
      <c r="B698" s="1">
        <f>MAX(AVERAGE(Portfolios!$B$2:$B$1004)-Portfolios!B698, 0)</f>
        <v>0</v>
      </c>
    </row>
    <row r="699" spans="1:2">
      <c r="A699" s="11">
        <f>Returns!A699</f>
        <v>0</v>
      </c>
      <c r="B699" s="1">
        <f>MAX(AVERAGE(Portfolios!$B$2:$B$1004)-Portfolios!B699, 0)</f>
        <v>0</v>
      </c>
    </row>
    <row r="700" spans="1:2">
      <c r="A700" s="11">
        <f>Returns!A700</f>
        <v>0</v>
      </c>
      <c r="B700" s="1">
        <f>MAX(AVERAGE(Portfolios!$B$2:$B$1004)-Portfolios!B700, 0)</f>
        <v>0</v>
      </c>
    </row>
    <row r="701" spans="1:2">
      <c r="A701" s="11">
        <f>Returns!A701</f>
        <v>0</v>
      </c>
      <c r="B701" s="1">
        <f>MAX(AVERAGE(Portfolios!$B$2:$B$1004)-Portfolios!B701, 0)</f>
        <v>0</v>
      </c>
    </row>
    <row r="702" spans="1:2">
      <c r="A702" s="11">
        <f>Returns!A702</f>
        <v>0</v>
      </c>
      <c r="B702" s="1">
        <f>MAX(AVERAGE(Portfolios!$B$2:$B$1004)-Portfolios!B702, 0)</f>
        <v>0</v>
      </c>
    </row>
    <row r="703" spans="1:2">
      <c r="A703" s="11">
        <f>Returns!A703</f>
        <v>0</v>
      </c>
      <c r="B703" s="1">
        <f>MAX(AVERAGE(Portfolios!$B$2:$B$1004)-Portfolios!B703, 0)</f>
        <v>0</v>
      </c>
    </row>
    <row r="704" spans="1:2">
      <c r="A704" s="11">
        <f>Returns!A704</f>
        <v>0</v>
      </c>
      <c r="B704" s="1">
        <f>MAX(AVERAGE(Portfolios!$B$2:$B$1004)-Portfolios!B704, 0)</f>
        <v>0</v>
      </c>
    </row>
    <row r="705" spans="1:2">
      <c r="A705" s="11">
        <f>Returns!A705</f>
        <v>0</v>
      </c>
      <c r="B705" s="1">
        <f>MAX(AVERAGE(Portfolios!$B$2:$B$1004)-Portfolios!B705, 0)</f>
        <v>0</v>
      </c>
    </row>
    <row r="706" spans="1:2">
      <c r="A706" s="11">
        <f>Returns!A706</f>
        <v>0</v>
      </c>
      <c r="B706" s="1">
        <f>MAX(AVERAGE(Portfolios!$B$2:$B$1004)-Portfolios!B706, 0)</f>
        <v>0</v>
      </c>
    </row>
    <row r="707" spans="1:2">
      <c r="A707" s="11">
        <f>Returns!A707</f>
        <v>0</v>
      </c>
      <c r="B707" s="1">
        <f>MAX(AVERAGE(Portfolios!$B$2:$B$1004)-Portfolios!B707, 0)</f>
        <v>0</v>
      </c>
    </row>
    <row r="708" spans="1:2">
      <c r="A708" s="11">
        <f>Returns!A708</f>
        <v>0</v>
      </c>
      <c r="B708" s="1">
        <f>MAX(AVERAGE(Portfolios!$B$2:$B$1004)-Portfolios!B708, 0)</f>
        <v>0</v>
      </c>
    </row>
    <row r="709" spans="1:2">
      <c r="A709" s="11">
        <f>Returns!A709</f>
        <v>0</v>
      </c>
      <c r="B709" s="1">
        <f>MAX(AVERAGE(Portfolios!$B$2:$B$1004)-Portfolios!B709, 0)</f>
        <v>0</v>
      </c>
    </row>
    <row r="710" spans="1:2">
      <c r="A710" s="11">
        <f>Returns!A710</f>
        <v>0</v>
      </c>
      <c r="B710" s="1">
        <f>MAX(AVERAGE(Portfolios!$B$2:$B$1004)-Portfolios!B710, 0)</f>
        <v>0</v>
      </c>
    </row>
    <row r="711" spans="1:2">
      <c r="A711" s="11">
        <f>Returns!A711</f>
        <v>0</v>
      </c>
      <c r="B711" s="1">
        <f>MAX(AVERAGE(Portfolios!$B$2:$B$1004)-Portfolios!B711, 0)</f>
        <v>0</v>
      </c>
    </row>
    <row r="712" spans="1:2">
      <c r="A712" s="11">
        <f>Returns!A712</f>
        <v>0</v>
      </c>
      <c r="B712" s="1">
        <f>MAX(AVERAGE(Portfolios!$B$2:$B$1004)-Portfolios!B712, 0)</f>
        <v>0</v>
      </c>
    </row>
    <row r="713" spans="1:2">
      <c r="A713" s="11">
        <f>Returns!A713</f>
        <v>0</v>
      </c>
      <c r="B713" s="1">
        <f>MAX(AVERAGE(Portfolios!$B$2:$B$1004)-Portfolios!B713, 0)</f>
        <v>0</v>
      </c>
    </row>
    <row r="714" spans="1:2">
      <c r="A714" s="11">
        <f>Returns!A714</f>
        <v>0</v>
      </c>
      <c r="B714" s="1">
        <f>MAX(AVERAGE(Portfolios!$B$2:$B$1004)-Portfolios!B714, 0)</f>
        <v>0</v>
      </c>
    </row>
    <row r="715" spans="1:2">
      <c r="A715" s="11">
        <f>Returns!A715</f>
        <v>0</v>
      </c>
      <c r="B715" s="1">
        <f>MAX(AVERAGE(Portfolios!$B$2:$B$1004)-Portfolios!B715, 0)</f>
        <v>0</v>
      </c>
    </row>
    <row r="716" spans="1:2">
      <c r="A716" s="11">
        <f>Returns!A716</f>
        <v>0</v>
      </c>
      <c r="B716" s="1">
        <f>MAX(AVERAGE(Portfolios!$B$2:$B$1004)-Portfolios!B716, 0)</f>
        <v>0</v>
      </c>
    </row>
    <row r="717" spans="1:2">
      <c r="A717" s="11">
        <f>Returns!A717</f>
        <v>0</v>
      </c>
      <c r="B717" s="1">
        <f>MAX(AVERAGE(Portfolios!$B$2:$B$1004)-Portfolios!B717, 0)</f>
        <v>0</v>
      </c>
    </row>
    <row r="718" spans="1:2">
      <c r="A718" s="11">
        <f>Returns!A718</f>
        <v>0</v>
      </c>
      <c r="B718" s="1">
        <f>MAX(AVERAGE(Portfolios!$B$2:$B$1004)-Portfolios!B718, 0)</f>
        <v>0</v>
      </c>
    </row>
    <row r="719" spans="1:2">
      <c r="A719" s="11">
        <f>Returns!A719</f>
        <v>0</v>
      </c>
      <c r="B719" s="1">
        <f>MAX(AVERAGE(Portfolios!$B$2:$B$1004)-Portfolios!B719, 0)</f>
        <v>0</v>
      </c>
    </row>
    <row r="720" spans="1:2">
      <c r="A720" s="11">
        <f>Returns!A720</f>
        <v>0</v>
      </c>
      <c r="B720" s="1">
        <f>MAX(AVERAGE(Portfolios!$B$2:$B$1004)-Portfolios!B720, 0)</f>
        <v>0</v>
      </c>
    </row>
    <row r="721" spans="1:2">
      <c r="A721" s="11">
        <f>Returns!A721</f>
        <v>0</v>
      </c>
      <c r="B721" s="1">
        <f>MAX(AVERAGE(Portfolios!$B$2:$B$1004)-Portfolios!B721, 0)</f>
        <v>0</v>
      </c>
    </row>
    <row r="722" spans="1:2">
      <c r="A722" s="11">
        <f>Returns!A722</f>
        <v>0</v>
      </c>
      <c r="B722" s="1">
        <f>MAX(AVERAGE(Portfolios!$B$2:$B$1004)-Portfolios!B722, 0)</f>
        <v>0</v>
      </c>
    </row>
    <row r="723" spans="1:2">
      <c r="A723" s="11">
        <f>Returns!A723</f>
        <v>0</v>
      </c>
      <c r="B723" s="1">
        <f>MAX(AVERAGE(Portfolios!$B$2:$B$1004)-Portfolios!B723, 0)</f>
        <v>0</v>
      </c>
    </row>
    <row r="724" spans="1:2">
      <c r="A724" s="11">
        <f>Returns!A724</f>
        <v>0</v>
      </c>
      <c r="B724" s="1">
        <f>MAX(AVERAGE(Portfolios!$B$2:$B$1004)-Portfolios!B724, 0)</f>
        <v>0</v>
      </c>
    </row>
    <row r="725" spans="1:2">
      <c r="A725" s="11">
        <f>Returns!A725</f>
        <v>0</v>
      </c>
      <c r="B725" s="1">
        <f>MAX(AVERAGE(Portfolios!$B$2:$B$1004)-Portfolios!B725, 0)</f>
        <v>0</v>
      </c>
    </row>
    <row r="726" spans="1:2">
      <c r="A726" s="11">
        <f>Returns!A726</f>
        <v>0</v>
      </c>
      <c r="B726" s="1">
        <f>MAX(AVERAGE(Portfolios!$B$2:$B$1004)-Portfolios!B726, 0)</f>
        <v>0</v>
      </c>
    </row>
    <row r="727" spans="1:2">
      <c r="A727" s="11">
        <f>Returns!A727</f>
        <v>0</v>
      </c>
      <c r="B727" s="1">
        <f>MAX(AVERAGE(Portfolios!$B$2:$B$1004)-Portfolios!B727, 0)</f>
        <v>0</v>
      </c>
    </row>
    <row r="728" spans="1:2">
      <c r="A728" s="11">
        <f>Returns!A728</f>
        <v>0</v>
      </c>
      <c r="B728" s="1">
        <f>MAX(AVERAGE(Portfolios!$B$2:$B$1004)-Portfolios!B728, 0)</f>
        <v>0</v>
      </c>
    </row>
    <row r="729" spans="1:2">
      <c r="A729" s="11">
        <f>Returns!A729</f>
        <v>0</v>
      </c>
      <c r="B729" s="1">
        <f>MAX(AVERAGE(Portfolios!$B$2:$B$1004)-Portfolios!B729, 0)</f>
        <v>0</v>
      </c>
    </row>
    <row r="730" spans="1:2">
      <c r="A730" s="11">
        <f>Returns!A730</f>
        <v>0</v>
      </c>
      <c r="B730" s="1">
        <f>MAX(AVERAGE(Portfolios!$B$2:$B$1004)-Portfolios!B730, 0)</f>
        <v>0</v>
      </c>
    </row>
    <row r="731" spans="1:2">
      <c r="A731" s="11">
        <f>Returns!A731</f>
        <v>0</v>
      </c>
      <c r="B731" s="1">
        <f>MAX(AVERAGE(Portfolios!$B$2:$B$1004)-Portfolios!B731, 0)</f>
        <v>0</v>
      </c>
    </row>
    <row r="732" spans="1:2">
      <c r="A732" s="11">
        <f>Returns!A732</f>
        <v>0</v>
      </c>
      <c r="B732" s="1">
        <f>MAX(AVERAGE(Portfolios!$B$2:$B$1004)-Portfolios!B732, 0)</f>
        <v>0</v>
      </c>
    </row>
    <row r="733" spans="1:2">
      <c r="A733" s="11">
        <f>Returns!A733</f>
        <v>0</v>
      </c>
      <c r="B733" s="1">
        <f>MAX(AVERAGE(Portfolios!$B$2:$B$1004)-Portfolios!B733, 0)</f>
        <v>0</v>
      </c>
    </row>
    <row r="734" spans="1:2">
      <c r="A734" s="11">
        <f>Returns!A734</f>
        <v>0</v>
      </c>
      <c r="B734" s="1">
        <f>MAX(AVERAGE(Portfolios!$B$2:$B$1004)-Portfolios!B734, 0)</f>
        <v>0</v>
      </c>
    </row>
    <row r="735" spans="1:2">
      <c r="A735" s="11">
        <f>Returns!A735</f>
        <v>0</v>
      </c>
      <c r="B735" s="1">
        <f>MAX(AVERAGE(Portfolios!$B$2:$B$1004)-Portfolios!B735, 0)</f>
        <v>0</v>
      </c>
    </row>
    <row r="736" spans="1:2">
      <c r="A736" s="11">
        <f>Returns!A736</f>
        <v>0</v>
      </c>
      <c r="B736" s="1">
        <f>MAX(AVERAGE(Portfolios!$B$2:$B$1004)-Portfolios!B736, 0)</f>
        <v>0</v>
      </c>
    </row>
    <row r="737" spans="1:2">
      <c r="A737" s="11">
        <f>Returns!A737</f>
        <v>0</v>
      </c>
      <c r="B737" s="1">
        <f>MAX(AVERAGE(Portfolios!$B$2:$B$1004)-Portfolios!B737, 0)</f>
        <v>0</v>
      </c>
    </row>
    <row r="738" spans="1:2">
      <c r="A738" s="11">
        <f>Returns!A738</f>
        <v>0</v>
      </c>
      <c r="B738" s="1">
        <f>MAX(AVERAGE(Portfolios!$B$2:$B$1004)-Portfolios!B738, 0)</f>
        <v>0</v>
      </c>
    </row>
    <row r="739" spans="1:2">
      <c r="A739" s="11">
        <f>Returns!A739</f>
        <v>0</v>
      </c>
      <c r="B739" s="1">
        <f>MAX(AVERAGE(Portfolios!$B$2:$B$1004)-Portfolios!B739, 0)</f>
        <v>0</v>
      </c>
    </row>
    <row r="740" spans="1:2">
      <c r="A740" s="11">
        <f>Returns!A740</f>
        <v>0</v>
      </c>
      <c r="B740" s="1">
        <f>MAX(AVERAGE(Portfolios!$B$2:$B$1004)-Portfolios!B740, 0)</f>
        <v>0</v>
      </c>
    </row>
    <row r="741" spans="1:2">
      <c r="A741" s="11">
        <f>Returns!A741</f>
        <v>0</v>
      </c>
      <c r="B741" s="1">
        <f>MAX(AVERAGE(Portfolios!$B$2:$B$1004)-Portfolios!B741, 0)</f>
        <v>0</v>
      </c>
    </row>
    <row r="742" spans="1:2">
      <c r="A742" s="11">
        <f>Returns!A742</f>
        <v>0</v>
      </c>
      <c r="B742" s="1">
        <f>MAX(AVERAGE(Portfolios!$B$2:$B$1004)-Portfolios!B742, 0)</f>
        <v>0</v>
      </c>
    </row>
    <row r="743" spans="1:2">
      <c r="A743" s="11">
        <f>Returns!A743</f>
        <v>0</v>
      </c>
      <c r="B743" s="1">
        <f>MAX(AVERAGE(Portfolios!$B$2:$B$1004)-Portfolios!B743, 0)</f>
        <v>0</v>
      </c>
    </row>
    <row r="744" spans="1:2">
      <c r="A744" s="11">
        <f>Returns!A744</f>
        <v>0</v>
      </c>
      <c r="B744" s="1">
        <f>MAX(AVERAGE(Portfolios!$B$2:$B$1004)-Portfolios!B744, 0)</f>
        <v>0</v>
      </c>
    </row>
    <row r="745" spans="1:2">
      <c r="A745" s="11">
        <f>Returns!A745</f>
        <v>0</v>
      </c>
      <c r="B745" s="1">
        <f>MAX(AVERAGE(Portfolios!$B$2:$B$1004)-Portfolios!B745, 0)</f>
        <v>0</v>
      </c>
    </row>
    <row r="746" spans="1:2">
      <c r="A746" s="11">
        <f>Returns!A746</f>
        <v>0</v>
      </c>
      <c r="B746" s="1">
        <f>MAX(AVERAGE(Portfolios!$B$2:$B$1004)-Portfolios!B746, 0)</f>
        <v>0</v>
      </c>
    </row>
    <row r="747" spans="1:2">
      <c r="A747" s="11">
        <f>Returns!A747</f>
        <v>0</v>
      </c>
      <c r="B747" s="1">
        <f>MAX(AVERAGE(Portfolios!$B$2:$B$1004)-Portfolios!B747, 0)</f>
        <v>0</v>
      </c>
    </row>
    <row r="748" spans="1:2">
      <c r="A748" s="11">
        <f>Returns!A748</f>
        <v>0</v>
      </c>
      <c r="B748" s="1">
        <f>MAX(AVERAGE(Portfolios!$B$2:$B$1004)-Portfolios!B748, 0)</f>
        <v>0</v>
      </c>
    </row>
    <row r="749" spans="1:2">
      <c r="A749" s="11">
        <f>Returns!A749</f>
        <v>0</v>
      </c>
      <c r="B749" s="1">
        <f>MAX(AVERAGE(Portfolios!$B$2:$B$1004)-Portfolios!B749, 0)</f>
        <v>0</v>
      </c>
    </row>
    <row r="750" spans="1:2">
      <c r="A750" s="11">
        <f>Returns!A750</f>
        <v>0</v>
      </c>
      <c r="B750" s="1">
        <f>MAX(AVERAGE(Portfolios!$B$2:$B$1004)-Portfolios!B750, 0)</f>
        <v>0</v>
      </c>
    </row>
    <row r="751" spans="1:2">
      <c r="A751" s="11">
        <f>Returns!A751</f>
        <v>0</v>
      </c>
      <c r="B751" s="1">
        <f>MAX(AVERAGE(Portfolios!$B$2:$B$1004)-Portfolios!B751, 0)</f>
        <v>0</v>
      </c>
    </row>
    <row r="752" spans="1:2">
      <c r="A752" s="11">
        <f>Returns!A752</f>
        <v>0</v>
      </c>
      <c r="B752" s="1">
        <f>MAX(AVERAGE(Portfolios!$B$2:$B$1004)-Portfolios!B752, 0)</f>
        <v>0</v>
      </c>
    </row>
    <row r="753" spans="1:2">
      <c r="A753" s="11">
        <f>Returns!A753</f>
        <v>0</v>
      </c>
      <c r="B753" s="1">
        <f>MAX(AVERAGE(Portfolios!$B$2:$B$1004)-Portfolios!B753, 0)</f>
        <v>0</v>
      </c>
    </row>
    <row r="754" spans="1:2">
      <c r="A754" s="11">
        <f>Returns!A754</f>
        <v>0</v>
      </c>
      <c r="B754" s="1">
        <f>MAX(AVERAGE(Portfolios!$B$2:$B$1004)-Portfolios!B754, 0)</f>
        <v>0</v>
      </c>
    </row>
    <row r="755" spans="1:2">
      <c r="A755" s="11">
        <f>Returns!A755</f>
        <v>0</v>
      </c>
      <c r="B755" s="1">
        <f>MAX(AVERAGE(Portfolios!$B$2:$B$1004)-Portfolios!B755, 0)</f>
        <v>0</v>
      </c>
    </row>
    <row r="756" spans="1:2">
      <c r="A756" s="11">
        <f>Returns!A756</f>
        <v>0</v>
      </c>
      <c r="B756" s="1">
        <f>MAX(AVERAGE(Portfolios!$B$2:$B$1004)-Portfolios!B756, 0)</f>
        <v>0</v>
      </c>
    </row>
    <row r="757" spans="1:2">
      <c r="A757" s="11">
        <f>Returns!A757</f>
        <v>0</v>
      </c>
      <c r="B757" s="1">
        <f>MAX(AVERAGE(Portfolios!$B$2:$B$1004)-Portfolios!B757, 0)</f>
        <v>0</v>
      </c>
    </row>
    <row r="758" spans="1:2">
      <c r="A758" s="11">
        <f>Returns!A758</f>
        <v>0</v>
      </c>
      <c r="B758" s="1">
        <f>MAX(AVERAGE(Portfolios!$B$2:$B$1004)-Portfolios!B758, 0)</f>
        <v>0</v>
      </c>
    </row>
    <row r="759" spans="1:2">
      <c r="A759" s="11">
        <f>Returns!A759</f>
        <v>0</v>
      </c>
      <c r="B759" s="1">
        <f>MAX(AVERAGE(Portfolios!$B$2:$B$1004)-Portfolios!B759, 0)</f>
        <v>0</v>
      </c>
    </row>
    <row r="760" spans="1:2">
      <c r="A760" s="11">
        <f>Returns!A760</f>
        <v>0</v>
      </c>
      <c r="B760" s="1">
        <f>MAX(AVERAGE(Portfolios!$B$2:$B$1004)-Portfolios!B760, 0)</f>
        <v>0</v>
      </c>
    </row>
    <row r="761" spans="1:2">
      <c r="A761" s="11">
        <f>Returns!A761</f>
        <v>0</v>
      </c>
      <c r="B761" s="1">
        <f>MAX(AVERAGE(Portfolios!$B$2:$B$1004)-Portfolios!B761, 0)</f>
        <v>0</v>
      </c>
    </row>
    <row r="762" spans="1:2">
      <c r="A762" s="11">
        <f>Returns!A762</f>
        <v>0</v>
      </c>
      <c r="B762" s="1">
        <f>MAX(AVERAGE(Portfolios!$B$2:$B$1004)-Portfolios!B762, 0)</f>
        <v>0</v>
      </c>
    </row>
    <row r="763" spans="1:2">
      <c r="A763" s="11">
        <f>Returns!A763</f>
        <v>0</v>
      </c>
      <c r="B763" s="1">
        <f>MAX(AVERAGE(Portfolios!$B$2:$B$1004)-Portfolios!B763, 0)</f>
        <v>0</v>
      </c>
    </row>
    <row r="764" spans="1:2">
      <c r="A764" s="11">
        <f>Returns!A764</f>
        <v>0</v>
      </c>
      <c r="B764" s="1">
        <f>MAX(AVERAGE(Portfolios!$B$2:$B$1004)-Portfolios!B764, 0)</f>
        <v>0</v>
      </c>
    </row>
    <row r="765" spans="1:2">
      <c r="A765" s="11">
        <f>Returns!A765</f>
        <v>0</v>
      </c>
      <c r="B765" s="1">
        <f>MAX(AVERAGE(Portfolios!$B$2:$B$1004)-Portfolios!B765, 0)</f>
        <v>0</v>
      </c>
    </row>
    <row r="766" spans="1:2">
      <c r="A766" s="11">
        <f>Returns!A766</f>
        <v>0</v>
      </c>
      <c r="B766" s="1">
        <f>MAX(AVERAGE(Portfolios!$B$2:$B$1004)-Portfolios!B766, 0)</f>
        <v>0</v>
      </c>
    </row>
    <row r="767" spans="1:2">
      <c r="A767" s="11">
        <f>Returns!A767</f>
        <v>0</v>
      </c>
      <c r="B767" s="1">
        <f>MAX(AVERAGE(Portfolios!$B$2:$B$1004)-Portfolios!B767, 0)</f>
        <v>0</v>
      </c>
    </row>
    <row r="768" spans="1:2">
      <c r="A768" s="11">
        <f>Returns!A768</f>
        <v>0</v>
      </c>
      <c r="B768" s="1">
        <f>MAX(AVERAGE(Portfolios!$B$2:$B$1004)-Portfolios!B768, 0)</f>
        <v>0</v>
      </c>
    </row>
    <row r="769" spans="1:2">
      <c r="A769" s="11">
        <f>Returns!A769</f>
        <v>0</v>
      </c>
      <c r="B769" s="1">
        <f>MAX(AVERAGE(Portfolios!$B$2:$B$1004)-Portfolios!B769, 0)</f>
        <v>0</v>
      </c>
    </row>
    <row r="770" spans="1:2">
      <c r="A770" s="11">
        <f>Returns!A770</f>
        <v>0</v>
      </c>
      <c r="B770" s="1">
        <f>MAX(AVERAGE(Portfolios!$B$2:$B$1004)-Portfolios!B770, 0)</f>
        <v>0</v>
      </c>
    </row>
    <row r="771" spans="1:2">
      <c r="A771" s="11">
        <f>Returns!A771</f>
        <v>0</v>
      </c>
      <c r="B771" s="1">
        <f>MAX(AVERAGE(Portfolios!$B$2:$B$1004)-Portfolios!B771, 0)</f>
        <v>0</v>
      </c>
    </row>
    <row r="772" spans="1:2">
      <c r="A772" s="11">
        <f>Returns!A772</f>
        <v>0</v>
      </c>
      <c r="B772" s="1">
        <f>MAX(AVERAGE(Portfolios!$B$2:$B$1004)-Portfolios!B772, 0)</f>
        <v>0</v>
      </c>
    </row>
    <row r="773" spans="1:2">
      <c r="A773" s="11">
        <f>Returns!A773</f>
        <v>0</v>
      </c>
      <c r="B773" s="1">
        <f>MAX(AVERAGE(Portfolios!$B$2:$B$1004)-Portfolios!B773, 0)</f>
        <v>0</v>
      </c>
    </row>
    <row r="774" spans="1:2">
      <c r="A774" s="11">
        <f>Returns!A774</f>
        <v>0</v>
      </c>
      <c r="B774" s="1">
        <f>MAX(AVERAGE(Portfolios!$B$2:$B$1004)-Portfolios!B774, 0)</f>
        <v>0</v>
      </c>
    </row>
    <row r="775" spans="1:2">
      <c r="A775" s="11">
        <f>Returns!A775</f>
        <v>0</v>
      </c>
      <c r="B775" s="1">
        <f>MAX(AVERAGE(Portfolios!$B$2:$B$1004)-Portfolios!B775, 0)</f>
        <v>0</v>
      </c>
    </row>
    <row r="776" spans="1:2">
      <c r="A776" s="11">
        <f>Returns!A776</f>
        <v>0</v>
      </c>
      <c r="B776" s="1">
        <f>MAX(AVERAGE(Portfolios!$B$2:$B$1004)-Portfolios!B776, 0)</f>
        <v>0</v>
      </c>
    </row>
    <row r="777" spans="1:2">
      <c r="A777" s="11">
        <f>Returns!A777</f>
        <v>0</v>
      </c>
      <c r="B777" s="1">
        <f>MAX(AVERAGE(Portfolios!$B$2:$B$1004)-Portfolios!B777, 0)</f>
        <v>0</v>
      </c>
    </row>
    <row r="778" spans="1:2">
      <c r="A778" s="11">
        <f>Returns!A778</f>
        <v>0</v>
      </c>
      <c r="B778" s="1">
        <f>MAX(AVERAGE(Portfolios!$B$2:$B$1004)-Portfolios!B778, 0)</f>
        <v>0</v>
      </c>
    </row>
    <row r="779" spans="1:2">
      <c r="A779" s="11">
        <f>Returns!A779</f>
        <v>0</v>
      </c>
      <c r="B779" s="1">
        <f>MAX(AVERAGE(Portfolios!$B$2:$B$1004)-Portfolios!B779, 0)</f>
        <v>0</v>
      </c>
    </row>
    <row r="780" spans="1:2">
      <c r="A780" s="11">
        <f>Returns!A780</f>
        <v>0</v>
      </c>
      <c r="B780" s="1">
        <f>MAX(AVERAGE(Portfolios!$B$2:$B$1004)-Portfolios!B780, 0)</f>
        <v>0</v>
      </c>
    </row>
    <row r="781" spans="1:2">
      <c r="A781" s="11">
        <f>Returns!A781</f>
        <v>0</v>
      </c>
      <c r="B781" s="1">
        <f>MAX(AVERAGE(Portfolios!$B$2:$B$1004)-Portfolios!B781, 0)</f>
        <v>0</v>
      </c>
    </row>
    <row r="782" spans="1:2">
      <c r="A782" s="11">
        <f>Returns!A782</f>
        <v>0</v>
      </c>
      <c r="B782" s="1">
        <f>MAX(AVERAGE(Portfolios!$B$2:$B$1004)-Portfolios!B782, 0)</f>
        <v>0</v>
      </c>
    </row>
    <row r="783" spans="1:2">
      <c r="A783" s="11">
        <f>Returns!A783</f>
        <v>0</v>
      </c>
      <c r="B783" s="1">
        <f>MAX(AVERAGE(Portfolios!$B$2:$B$1004)-Portfolios!B783, 0)</f>
        <v>0</v>
      </c>
    </row>
    <row r="784" spans="1:2">
      <c r="A784" s="11">
        <f>Returns!A784</f>
        <v>0</v>
      </c>
      <c r="B784" s="1">
        <f>MAX(AVERAGE(Portfolios!$B$2:$B$1004)-Portfolios!B784, 0)</f>
        <v>0</v>
      </c>
    </row>
    <row r="785" spans="1:2">
      <c r="A785" s="11">
        <f>Returns!A785</f>
        <v>0</v>
      </c>
      <c r="B785" s="1">
        <f>MAX(AVERAGE(Portfolios!$B$2:$B$1004)-Portfolios!B785, 0)</f>
        <v>0</v>
      </c>
    </row>
    <row r="786" spans="1:2">
      <c r="A786" s="11">
        <f>Returns!A786</f>
        <v>0</v>
      </c>
      <c r="B786" s="1">
        <f>MAX(AVERAGE(Portfolios!$B$2:$B$1004)-Portfolios!B786, 0)</f>
        <v>0</v>
      </c>
    </row>
    <row r="787" spans="1:2">
      <c r="A787" s="11">
        <f>Returns!A787</f>
        <v>0</v>
      </c>
      <c r="B787" s="1">
        <f>MAX(AVERAGE(Portfolios!$B$2:$B$1004)-Portfolios!B787, 0)</f>
        <v>0</v>
      </c>
    </row>
    <row r="788" spans="1:2">
      <c r="A788" s="11">
        <f>Returns!A788</f>
        <v>0</v>
      </c>
      <c r="B788" s="1">
        <f>MAX(AVERAGE(Portfolios!$B$2:$B$1004)-Portfolios!B788, 0)</f>
        <v>0</v>
      </c>
    </row>
    <row r="789" spans="1:2">
      <c r="A789" s="11">
        <f>Returns!A789</f>
        <v>0</v>
      </c>
      <c r="B789" s="1">
        <f>MAX(AVERAGE(Portfolios!$B$2:$B$1004)-Portfolios!B789, 0)</f>
        <v>0</v>
      </c>
    </row>
    <row r="790" spans="1:2">
      <c r="A790" s="11">
        <f>Returns!A790</f>
        <v>0</v>
      </c>
      <c r="B790" s="1">
        <f>MAX(AVERAGE(Portfolios!$B$2:$B$1004)-Portfolios!B790, 0)</f>
        <v>0</v>
      </c>
    </row>
    <row r="791" spans="1:2">
      <c r="A791" s="11">
        <f>Returns!A791</f>
        <v>0</v>
      </c>
      <c r="B791" s="1">
        <f>MAX(AVERAGE(Portfolios!$B$2:$B$1004)-Portfolios!B791, 0)</f>
        <v>0</v>
      </c>
    </row>
    <row r="792" spans="1:2">
      <c r="A792" s="11">
        <f>Returns!A792</f>
        <v>0</v>
      </c>
      <c r="B792" s="1">
        <f>MAX(AVERAGE(Portfolios!$B$2:$B$1004)-Portfolios!B792, 0)</f>
        <v>0</v>
      </c>
    </row>
    <row r="793" spans="1:2">
      <c r="A793" s="11">
        <f>Returns!A793</f>
        <v>0</v>
      </c>
      <c r="B793" s="1">
        <f>MAX(AVERAGE(Portfolios!$B$2:$B$1004)-Portfolios!B793, 0)</f>
        <v>0</v>
      </c>
    </row>
    <row r="794" spans="1:2">
      <c r="A794" s="11">
        <f>Returns!A794</f>
        <v>0</v>
      </c>
      <c r="B794" s="1">
        <f>MAX(AVERAGE(Portfolios!$B$2:$B$1004)-Portfolios!B794, 0)</f>
        <v>0</v>
      </c>
    </row>
    <row r="795" spans="1:2">
      <c r="A795" s="11">
        <f>Returns!A795</f>
        <v>0</v>
      </c>
      <c r="B795" s="1">
        <f>MAX(AVERAGE(Portfolios!$B$2:$B$1004)-Portfolios!B795, 0)</f>
        <v>0</v>
      </c>
    </row>
    <row r="796" spans="1:2">
      <c r="A796" s="11">
        <f>Returns!A796</f>
        <v>0</v>
      </c>
      <c r="B796" s="1">
        <f>MAX(AVERAGE(Portfolios!$B$2:$B$1004)-Portfolios!B796, 0)</f>
        <v>0</v>
      </c>
    </row>
    <row r="797" spans="1:2">
      <c r="A797" s="11">
        <f>Returns!A797</f>
        <v>0</v>
      </c>
      <c r="B797" s="1">
        <f>MAX(AVERAGE(Portfolios!$B$2:$B$1004)-Portfolios!B797, 0)</f>
        <v>0</v>
      </c>
    </row>
    <row r="798" spans="1:2">
      <c r="A798" s="11">
        <f>Returns!A798</f>
        <v>0</v>
      </c>
      <c r="B798" s="1">
        <f>MAX(AVERAGE(Portfolios!$B$2:$B$1004)-Portfolios!B798, 0)</f>
        <v>0</v>
      </c>
    </row>
    <row r="799" spans="1:2">
      <c r="A799" s="11">
        <f>Returns!A799</f>
        <v>0</v>
      </c>
      <c r="B799" s="1">
        <f>MAX(AVERAGE(Portfolios!$B$2:$B$1004)-Portfolios!B799, 0)</f>
        <v>0</v>
      </c>
    </row>
    <row r="800" spans="1:2">
      <c r="A800" s="11">
        <f>Returns!A800</f>
        <v>0</v>
      </c>
      <c r="B800" s="1">
        <f>MAX(AVERAGE(Portfolios!$B$2:$B$1004)-Portfolios!B800, 0)</f>
        <v>0</v>
      </c>
    </row>
    <row r="801" spans="1:2">
      <c r="A801" s="11">
        <f>Returns!A801</f>
        <v>0</v>
      </c>
      <c r="B801" s="1">
        <f>MAX(AVERAGE(Portfolios!$B$2:$B$1004)-Portfolios!B801, 0)</f>
        <v>0</v>
      </c>
    </row>
    <row r="802" spans="1:2">
      <c r="A802" s="11">
        <f>Returns!A802</f>
        <v>0</v>
      </c>
      <c r="B802" s="1">
        <f>MAX(AVERAGE(Portfolios!$B$2:$B$1004)-Portfolios!B802, 0)</f>
        <v>0</v>
      </c>
    </row>
    <row r="803" spans="1:2">
      <c r="A803" s="11">
        <f>Returns!A803</f>
        <v>0</v>
      </c>
      <c r="B803" s="1">
        <f>MAX(AVERAGE(Portfolios!$B$2:$B$1004)-Portfolios!B803, 0)</f>
        <v>0</v>
      </c>
    </row>
    <row r="804" spans="1:2">
      <c r="A804" s="11">
        <f>Returns!A804</f>
        <v>0</v>
      </c>
      <c r="B804" s="1">
        <f>MAX(AVERAGE(Portfolios!$B$2:$B$1004)-Portfolios!B804, 0)</f>
        <v>0</v>
      </c>
    </row>
    <row r="805" spans="1:2">
      <c r="A805" s="11">
        <f>Returns!A805</f>
        <v>0</v>
      </c>
      <c r="B805" s="1">
        <f>MAX(AVERAGE(Portfolios!$B$2:$B$1004)-Portfolios!B805, 0)</f>
        <v>0</v>
      </c>
    </row>
    <row r="806" spans="1:2">
      <c r="A806" s="11">
        <f>Returns!A806</f>
        <v>0</v>
      </c>
      <c r="B806" s="1">
        <f>MAX(AVERAGE(Portfolios!$B$2:$B$1004)-Portfolios!B806, 0)</f>
        <v>0</v>
      </c>
    </row>
    <row r="807" spans="1:2">
      <c r="A807" s="11">
        <f>Returns!A807</f>
        <v>0</v>
      </c>
      <c r="B807" s="1">
        <f>MAX(AVERAGE(Portfolios!$B$2:$B$1004)-Portfolios!B807, 0)</f>
        <v>0</v>
      </c>
    </row>
    <row r="808" spans="1:2">
      <c r="A808" s="11">
        <f>Returns!A808</f>
        <v>0</v>
      </c>
      <c r="B808" s="1">
        <f>MAX(AVERAGE(Portfolios!$B$2:$B$1004)-Portfolios!B808, 0)</f>
        <v>0</v>
      </c>
    </row>
    <row r="809" spans="1:2">
      <c r="A809" s="11">
        <f>Returns!A809</f>
        <v>0</v>
      </c>
      <c r="B809" s="1">
        <f>MAX(AVERAGE(Portfolios!$B$2:$B$1004)-Portfolios!B809, 0)</f>
        <v>0</v>
      </c>
    </row>
    <row r="810" spans="1:2">
      <c r="A810" s="11">
        <f>Returns!A810</f>
        <v>0</v>
      </c>
      <c r="B810" s="1">
        <f>MAX(AVERAGE(Portfolios!$B$2:$B$1004)-Portfolios!B810, 0)</f>
        <v>0</v>
      </c>
    </row>
    <row r="811" spans="1:2">
      <c r="A811" s="11">
        <f>Returns!A811</f>
        <v>0</v>
      </c>
      <c r="B811" s="1">
        <f>MAX(AVERAGE(Portfolios!$B$2:$B$1004)-Portfolios!B811, 0)</f>
        <v>0</v>
      </c>
    </row>
    <row r="812" spans="1:2">
      <c r="A812" s="11">
        <f>Returns!A812</f>
        <v>0</v>
      </c>
      <c r="B812" s="1">
        <f>MAX(AVERAGE(Portfolios!$B$2:$B$1004)-Portfolios!B812, 0)</f>
        <v>0</v>
      </c>
    </row>
    <row r="813" spans="1:2">
      <c r="A813" s="11">
        <f>Returns!A813</f>
        <v>0</v>
      </c>
      <c r="B813" s="1">
        <f>MAX(AVERAGE(Portfolios!$B$2:$B$1004)-Portfolios!B813, 0)</f>
        <v>0</v>
      </c>
    </row>
    <row r="814" spans="1:2">
      <c r="A814" s="11">
        <f>Returns!A814</f>
        <v>0</v>
      </c>
      <c r="B814" s="1">
        <f>MAX(AVERAGE(Portfolios!$B$2:$B$1004)-Portfolios!B814, 0)</f>
        <v>0</v>
      </c>
    </row>
    <row r="815" spans="1:2">
      <c r="A815" s="11">
        <f>Returns!A815</f>
        <v>0</v>
      </c>
      <c r="B815" s="1">
        <f>MAX(AVERAGE(Portfolios!$B$2:$B$1004)-Portfolios!B815, 0)</f>
        <v>0</v>
      </c>
    </row>
    <row r="816" spans="1:2">
      <c r="A816" s="11">
        <f>Returns!A816</f>
        <v>0</v>
      </c>
      <c r="B816" s="1">
        <f>MAX(AVERAGE(Portfolios!$B$2:$B$1004)-Portfolios!B816, 0)</f>
        <v>0</v>
      </c>
    </row>
    <row r="817" spans="1:2">
      <c r="A817" s="11">
        <f>Returns!A817</f>
        <v>0</v>
      </c>
      <c r="B817" s="1">
        <f>MAX(AVERAGE(Portfolios!$B$2:$B$1004)-Portfolios!B817, 0)</f>
        <v>0</v>
      </c>
    </row>
    <row r="818" spans="1:2">
      <c r="A818" s="11">
        <f>Returns!A818</f>
        <v>0</v>
      </c>
      <c r="B818" s="1">
        <f>MAX(AVERAGE(Portfolios!$B$2:$B$1004)-Portfolios!B818, 0)</f>
        <v>0</v>
      </c>
    </row>
    <row r="819" spans="1:2">
      <c r="A819" s="11">
        <f>Returns!A819</f>
        <v>0</v>
      </c>
      <c r="B819" s="1">
        <f>MAX(AVERAGE(Portfolios!$B$2:$B$1004)-Portfolios!B819, 0)</f>
        <v>0</v>
      </c>
    </row>
    <row r="820" spans="1:2">
      <c r="A820" s="11">
        <f>Returns!A820</f>
        <v>0</v>
      </c>
      <c r="B820" s="1">
        <f>MAX(AVERAGE(Portfolios!$B$2:$B$1004)-Portfolios!B820, 0)</f>
        <v>0</v>
      </c>
    </row>
    <row r="821" spans="1:2">
      <c r="A821" s="11">
        <f>Returns!A821</f>
        <v>0</v>
      </c>
      <c r="B821" s="1">
        <f>MAX(AVERAGE(Portfolios!$B$2:$B$1004)-Portfolios!B821, 0)</f>
        <v>0</v>
      </c>
    </row>
    <row r="822" spans="1:2">
      <c r="A822" s="11">
        <f>Returns!A822</f>
        <v>0</v>
      </c>
      <c r="B822" s="1">
        <f>MAX(AVERAGE(Portfolios!$B$2:$B$1004)-Portfolios!B822, 0)</f>
        <v>0</v>
      </c>
    </row>
    <row r="823" spans="1:2">
      <c r="A823" s="11">
        <f>Returns!A823</f>
        <v>0</v>
      </c>
      <c r="B823" s="1">
        <f>MAX(AVERAGE(Portfolios!$B$2:$B$1004)-Portfolios!B823, 0)</f>
        <v>0</v>
      </c>
    </row>
    <row r="824" spans="1:2">
      <c r="A824" s="11">
        <f>Returns!A824</f>
        <v>0</v>
      </c>
      <c r="B824" s="1">
        <f>MAX(AVERAGE(Portfolios!$B$2:$B$1004)-Portfolios!B824, 0)</f>
        <v>0</v>
      </c>
    </row>
    <row r="825" spans="1:2">
      <c r="A825" s="11">
        <f>Returns!A825</f>
        <v>0</v>
      </c>
      <c r="B825" s="1">
        <f>MAX(AVERAGE(Portfolios!$B$2:$B$1004)-Portfolios!B825, 0)</f>
        <v>0</v>
      </c>
    </row>
    <row r="826" spans="1:2">
      <c r="A826" s="11">
        <f>Returns!A826</f>
        <v>0</v>
      </c>
      <c r="B826" s="1">
        <f>MAX(AVERAGE(Portfolios!$B$2:$B$1004)-Portfolios!B826, 0)</f>
        <v>0</v>
      </c>
    </row>
    <row r="827" spans="1:2">
      <c r="A827" s="11">
        <f>Returns!A827</f>
        <v>0</v>
      </c>
      <c r="B827" s="1">
        <f>MAX(AVERAGE(Portfolios!$B$2:$B$1004)-Portfolios!B827, 0)</f>
        <v>0</v>
      </c>
    </row>
    <row r="828" spans="1:2">
      <c r="A828" s="11">
        <f>Returns!A828</f>
        <v>0</v>
      </c>
      <c r="B828" s="1">
        <f>MAX(AVERAGE(Portfolios!$B$2:$B$1004)-Portfolios!B828, 0)</f>
        <v>0</v>
      </c>
    </row>
    <row r="829" spans="1:2">
      <c r="A829" s="11">
        <f>Returns!A829</f>
        <v>0</v>
      </c>
      <c r="B829" s="1">
        <f>MAX(AVERAGE(Portfolios!$B$2:$B$1004)-Portfolios!B829, 0)</f>
        <v>0</v>
      </c>
    </row>
    <row r="830" spans="1:2">
      <c r="A830" s="11">
        <f>Returns!A830</f>
        <v>0</v>
      </c>
      <c r="B830" s="1">
        <f>MAX(AVERAGE(Portfolios!$B$2:$B$1004)-Portfolios!B830, 0)</f>
        <v>0</v>
      </c>
    </row>
    <row r="831" spans="1:2">
      <c r="A831" s="11">
        <f>Returns!A831</f>
        <v>0</v>
      </c>
      <c r="B831" s="1">
        <f>MAX(AVERAGE(Portfolios!$B$2:$B$1004)-Portfolios!B831, 0)</f>
        <v>0</v>
      </c>
    </row>
    <row r="832" spans="1:2">
      <c r="A832" s="11">
        <f>Returns!A832</f>
        <v>0</v>
      </c>
      <c r="B832" s="1">
        <f>MAX(AVERAGE(Portfolios!$B$2:$B$1004)-Portfolios!B832, 0)</f>
        <v>0</v>
      </c>
    </row>
    <row r="833" spans="1:2">
      <c r="A833" s="11">
        <f>Returns!A833</f>
        <v>0</v>
      </c>
      <c r="B833" s="1">
        <f>MAX(AVERAGE(Portfolios!$B$2:$B$1004)-Portfolios!B833, 0)</f>
        <v>0</v>
      </c>
    </row>
    <row r="834" spans="1:2">
      <c r="A834" s="11">
        <f>Returns!A834</f>
        <v>0</v>
      </c>
      <c r="B834" s="1">
        <f>MAX(AVERAGE(Portfolios!$B$2:$B$1004)-Portfolios!B834, 0)</f>
        <v>0</v>
      </c>
    </row>
    <row r="835" spans="1:2">
      <c r="A835" s="11">
        <f>Returns!A835</f>
        <v>0</v>
      </c>
      <c r="B835" s="1">
        <f>MAX(AVERAGE(Portfolios!$B$2:$B$1004)-Portfolios!B835, 0)</f>
        <v>0</v>
      </c>
    </row>
    <row r="836" spans="1:2">
      <c r="A836" s="11">
        <f>Returns!A836</f>
        <v>0</v>
      </c>
      <c r="B836" s="1">
        <f>MAX(AVERAGE(Portfolios!$B$2:$B$1004)-Portfolios!B836, 0)</f>
        <v>0</v>
      </c>
    </row>
    <row r="837" spans="1:2">
      <c r="A837" s="11">
        <f>Returns!A837</f>
        <v>0</v>
      </c>
      <c r="B837" s="1">
        <f>MAX(AVERAGE(Portfolios!$B$2:$B$1004)-Portfolios!B837, 0)</f>
        <v>0</v>
      </c>
    </row>
    <row r="838" spans="1:2">
      <c r="A838" s="11">
        <f>Returns!A838</f>
        <v>0</v>
      </c>
      <c r="B838" s="1">
        <f>MAX(AVERAGE(Portfolios!$B$2:$B$1004)-Portfolios!B838, 0)</f>
        <v>0</v>
      </c>
    </row>
    <row r="839" spans="1:2">
      <c r="A839" s="11">
        <f>Returns!A839</f>
        <v>0</v>
      </c>
      <c r="B839" s="1">
        <f>MAX(AVERAGE(Portfolios!$B$2:$B$1004)-Portfolios!B839, 0)</f>
        <v>0</v>
      </c>
    </row>
    <row r="840" spans="1:2">
      <c r="A840" s="11">
        <f>Returns!A840</f>
        <v>0</v>
      </c>
      <c r="B840" s="1">
        <f>MAX(AVERAGE(Portfolios!$B$2:$B$1004)-Portfolios!B840, 0)</f>
        <v>0</v>
      </c>
    </row>
    <row r="841" spans="1:2">
      <c r="A841" s="11">
        <f>Returns!A841</f>
        <v>0</v>
      </c>
      <c r="B841" s="1">
        <f>MAX(AVERAGE(Portfolios!$B$2:$B$1004)-Portfolios!B841, 0)</f>
        <v>0</v>
      </c>
    </row>
    <row r="842" spans="1:2">
      <c r="A842" s="11">
        <f>Returns!A842</f>
        <v>0</v>
      </c>
      <c r="B842" s="1">
        <f>MAX(AVERAGE(Portfolios!$B$2:$B$1004)-Portfolios!B842, 0)</f>
        <v>0</v>
      </c>
    </row>
    <row r="843" spans="1:2">
      <c r="A843" s="11">
        <f>Returns!A843</f>
        <v>0</v>
      </c>
      <c r="B843" s="1">
        <f>MAX(AVERAGE(Portfolios!$B$2:$B$1004)-Portfolios!B843, 0)</f>
        <v>0</v>
      </c>
    </row>
    <row r="844" spans="1:2">
      <c r="A844" s="11">
        <f>Returns!A844</f>
        <v>0</v>
      </c>
      <c r="B844" s="1">
        <f>MAX(AVERAGE(Portfolios!$B$2:$B$1004)-Portfolios!B844, 0)</f>
        <v>0</v>
      </c>
    </row>
    <row r="845" spans="1:2">
      <c r="A845" s="11">
        <f>Returns!A845</f>
        <v>0</v>
      </c>
      <c r="B845" s="1">
        <f>MAX(AVERAGE(Portfolios!$B$2:$B$1004)-Portfolios!B845, 0)</f>
        <v>0</v>
      </c>
    </row>
    <row r="846" spans="1:2">
      <c r="A846" s="11">
        <f>Returns!A846</f>
        <v>0</v>
      </c>
      <c r="B846" s="1">
        <f>MAX(AVERAGE(Portfolios!$B$2:$B$1004)-Portfolios!B846, 0)</f>
        <v>0</v>
      </c>
    </row>
    <row r="847" spans="1:2">
      <c r="A847" s="11">
        <f>Returns!A847</f>
        <v>0</v>
      </c>
      <c r="B847" s="1">
        <f>MAX(AVERAGE(Portfolios!$B$2:$B$1004)-Portfolios!B847, 0)</f>
        <v>0</v>
      </c>
    </row>
    <row r="848" spans="1:2">
      <c r="A848" s="11">
        <f>Returns!A848</f>
        <v>0</v>
      </c>
      <c r="B848" s="1">
        <f>MAX(AVERAGE(Portfolios!$B$2:$B$1004)-Portfolios!B848, 0)</f>
        <v>0</v>
      </c>
    </row>
    <row r="849" spans="1:2">
      <c r="A849" s="11">
        <f>Returns!A849</f>
        <v>0</v>
      </c>
      <c r="B849" s="1">
        <f>MAX(AVERAGE(Portfolios!$B$2:$B$1004)-Portfolios!B849, 0)</f>
        <v>0</v>
      </c>
    </row>
    <row r="850" spans="1:2">
      <c r="A850" s="11">
        <f>Returns!A850</f>
        <v>0</v>
      </c>
      <c r="B850" s="1">
        <f>MAX(AVERAGE(Portfolios!$B$2:$B$1004)-Portfolios!B850, 0)</f>
        <v>0</v>
      </c>
    </row>
    <row r="851" spans="1:2">
      <c r="A851" s="11">
        <f>Returns!A851</f>
        <v>0</v>
      </c>
      <c r="B851" s="1">
        <f>MAX(AVERAGE(Portfolios!$B$2:$B$1004)-Portfolios!B851, 0)</f>
        <v>0</v>
      </c>
    </row>
    <row r="852" spans="1:2">
      <c r="A852" s="11">
        <f>Returns!A852</f>
        <v>0</v>
      </c>
      <c r="B852" s="1">
        <f>MAX(AVERAGE(Portfolios!$B$2:$B$1004)-Portfolios!B852, 0)</f>
        <v>0</v>
      </c>
    </row>
    <row r="853" spans="1:2">
      <c r="A853" s="11">
        <f>Returns!A853</f>
        <v>0</v>
      </c>
      <c r="B853" s="1">
        <f>MAX(AVERAGE(Portfolios!$B$2:$B$1004)-Portfolios!B853, 0)</f>
        <v>0</v>
      </c>
    </row>
    <row r="854" spans="1:2">
      <c r="A854" s="11">
        <f>Returns!A854</f>
        <v>0</v>
      </c>
      <c r="B854" s="1">
        <f>MAX(AVERAGE(Portfolios!$B$2:$B$1004)-Portfolios!B854, 0)</f>
        <v>0</v>
      </c>
    </row>
    <row r="855" spans="1:2">
      <c r="A855" s="11">
        <f>Returns!A855</f>
        <v>0</v>
      </c>
      <c r="B855" s="1">
        <f>MAX(AVERAGE(Portfolios!$B$2:$B$1004)-Portfolios!B855, 0)</f>
        <v>0</v>
      </c>
    </row>
    <row r="856" spans="1:2">
      <c r="A856" s="11">
        <f>Returns!A856</f>
        <v>0</v>
      </c>
      <c r="B856" s="1">
        <f>MAX(AVERAGE(Portfolios!$B$2:$B$1004)-Portfolios!B856, 0)</f>
        <v>0</v>
      </c>
    </row>
    <row r="857" spans="1:2">
      <c r="A857" s="11">
        <f>Returns!A857</f>
        <v>0</v>
      </c>
      <c r="B857" s="1">
        <f>MAX(AVERAGE(Portfolios!$B$2:$B$1004)-Portfolios!B857, 0)</f>
        <v>0</v>
      </c>
    </row>
    <row r="858" spans="1:2">
      <c r="A858" s="11">
        <f>Returns!A858</f>
        <v>0</v>
      </c>
      <c r="B858" s="1">
        <f>MAX(AVERAGE(Portfolios!$B$2:$B$1004)-Portfolios!B858, 0)</f>
        <v>0</v>
      </c>
    </row>
    <row r="859" spans="1:2">
      <c r="A859" s="11">
        <f>Returns!A859</f>
        <v>0</v>
      </c>
      <c r="B859" s="1">
        <f>MAX(AVERAGE(Portfolios!$B$2:$B$1004)-Portfolios!B859, 0)</f>
        <v>0</v>
      </c>
    </row>
    <row r="860" spans="1:2">
      <c r="A860" s="11">
        <f>Returns!A860</f>
        <v>0</v>
      </c>
      <c r="B860" s="1">
        <f>MAX(AVERAGE(Portfolios!$B$2:$B$1004)-Portfolios!B860, 0)</f>
        <v>0</v>
      </c>
    </row>
    <row r="861" spans="1:2">
      <c r="A861" s="11">
        <f>Returns!A861</f>
        <v>0</v>
      </c>
      <c r="B861" s="1">
        <f>MAX(AVERAGE(Portfolios!$B$2:$B$1004)-Portfolios!B861, 0)</f>
        <v>0</v>
      </c>
    </row>
    <row r="862" spans="1:2">
      <c r="A862" s="11">
        <f>Returns!A862</f>
        <v>0</v>
      </c>
      <c r="B862" s="1">
        <f>MAX(AVERAGE(Portfolios!$B$2:$B$1004)-Portfolios!B862, 0)</f>
        <v>0</v>
      </c>
    </row>
    <row r="863" spans="1:2">
      <c r="A863" s="11">
        <f>Returns!A863</f>
        <v>0</v>
      </c>
      <c r="B863" s="1">
        <f>MAX(AVERAGE(Portfolios!$B$2:$B$1004)-Portfolios!B863, 0)</f>
        <v>0</v>
      </c>
    </row>
    <row r="864" spans="1:2">
      <c r="A864" s="11">
        <f>Returns!A864</f>
        <v>0</v>
      </c>
      <c r="B864" s="1">
        <f>MAX(AVERAGE(Portfolios!$B$2:$B$1004)-Portfolios!B864, 0)</f>
        <v>0</v>
      </c>
    </row>
    <row r="865" spans="1:2">
      <c r="A865" s="11">
        <f>Returns!A865</f>
        <v>0</v>
      </c>
      <c r="B865" s="1">
        <f>MAX(AVERAGE(Portfolios!$B$2:$B$1004)-Portfolios!B865, 0)</f>
        <v>0</v>
      </c>
    </row>
    <row r="866" spans="1:2">
      <c r="A866" s="11">
        <f>Returns!A866</f>
        <v>0</v>
      </c>
      <c r="B866" s="1">
        <f>MAX(AVERAGE(Portfolios!$B$2:$B$1004)-Portfolios!B866, 0)</f>
        <v>0</v>
      </c>
    </row>
    <row r="867" spans="1:2">
      <c r="A867" s="11">
        <f>Returns!A867</f>
        <v>0</v>
      </c>
      <c r="B867" s="1">
        <f>MAX(AVERAGE(Portfolios!$B$2:$B$1004)-Portfolios!B867, 0)</f>
        <v>0</v>
      </c>
    </row>
    <row r="868" spans="1:2">
      <c r="A868" s="11">
        <f>Returns!A868</f>
        <v>0</v>
      </c>
      <c r="B868" s="1">
        <f>MAX(AVERAGE(Portfolios!$B$2:$B$1004)-Portfolios!B868, 0)</f>
        <v>0</v>
      </c>
    </row>
    <row r="869" spans="1:2">
      <c r="A869" s="11">
        <f>Returns!A869</f>
        <v>0</v>
      </c>
      <c r="B869" s="1">
        <f>MAX(AVERAGE(Portfolios!$B$2:$B$1004)-Portfolios!B869, 0)</f>
        <v>0</v>
      </c>
    </row>
    <row r="870" spans="1:2">
      <c r="A870" s="11">
        <f>Returns!A870</f>
        <v>0</v>
      </c>
      <c r="B870" s="1">
        <f>MAX(AVERAGE(Portfolios!$B$2:$B$1004)-Portfolios!B870, 0)</f>
        <v>0</v>
      </c>
    </row>
    <row r="871" spans="1:2">
      <c r="A871" s="11">
        <f>Returns!A871</f>
        <v>0</v>
      </c>
      <c r="B871" s="1">
        <f>MAX(AVERAGE(Portfolios!$B$2:$B$1004)-Portfolios!B871, 0)</f>
        <v>0</v>
      </c>
    </row>
    <row r="872" spans="1:2">
      <c r="A872" s="11">
        <f>Returns!A872</f>
        <v>0</v>
      </c>
      <c r="B872" s="1">
        <f>MAX(AVERAGE(Portfolios!$B$2:$B$1004)-Portfolios!B872, 0)</f>
        <v>0</v>
      </c>
    </row>
    <row r="873" spans="1:2">
      <c r="A873" s="11">
        <f>Returns!A873</f>
        <v>0</v>
      </c>
      <c r="B873" s="1">
        <f>MAX(AVERAGE(Portfolios!$B$2:$B$1004)-Portfolios!B873, 0)</f>
        <v>0</v>
      </c>
    </row>
    <row r="874" spans="1:2">
      <c r="A874" s="11">
        <f>Returns!A874</f>
        <v>0</v>
      </c>
      <c r="B874" s="1">
        <f>MAX(AVERAGE(Portfolios!$B$2:$B$1004)-Portfolios!B874, 0)</f>
        <v>0</v>
      </c>
    </row>
    <row r="875" spans="1:2">
      <c r="A875" s="11">
        <f>Returns!A875</f>
        <v>0</v>
      </c>
      <c r="B875" s="1">
        <f>MAX(AVERAGE(Portfolios!$B$2:$B$1004)-Portfolios!B875, 0)</f>
        <v>0</v>
      </c>
    </row>
    <row r="876" spans="1:2">
      <c r="A876" s="11">
        <f>Returns!A876</f>
        <v>0</v>
      </c>
      <c r="B876" s="1">
        <f>MAX(AVERAGE(Portfolios!$B$2:$B$1004)-Portfolios!B876, 0)</f>
        <v>0</v>
      </c>
    </row>
    <row r="877" spans="1:2">
      <c r="A877" s="11">
        <f>Returns!A877</f>
        <v>0</v>
      </c>
      <c r="B877" s="1">
        <f>MAX(AVERAGE(Portfolios!$B$2:$B$1004)-Portfolios!B877, 0)</f>
        <v>0</v>
      </c>
    </row>
    <row r="878" spans="1:2">
      <c r="A878" s="11">
        <f>Returns!A878</f>
        <v>0</v>
      </c>
      <c r="B878" s="1">
        <f>MAX(AVERAGE(Portfolios!$B$2:$B$1004)-Portfolios!B878, 0)</f>
        <v>0</v>
      </c>
    </row>
    <row r="879" spans="1:2">
      <c r="A879" s="11">
        <f>Returns!A879</f>
        <v>0</v>
      </c>
      <c r="B879" s="1">
        <f>MAX(AVERAGE(Portfolios!$B$2:$B$1004)-Portfolios!B879, 0)</f>
        <v>0</v>
      </c>
    </row>
    <row r="880" spans="1:2">
      <c r="A880" s="11">
        <f>Returns!A880</f>
        <v>0</v>
      </c>
      <c r="B880" s="1">
        <f>MAX(AVERAGE(Portfolios!$B$2:$B$1004)-Portfolios!B880, 0)</f>
        <v>0</v>
      </c>
    </row>
    <row r="881" spans="1:2">
      <c r="A881" s="11">
        <f>Returns!A881</f>
        <v>0</v>
      </c>
      <c r="B881" s="1">
        <f>MAX(AVERAGE(Portfolios!$B$2:$B$1004)-Portfolios!B881, 0)</f>
        <v>0</v>
      </c>
    </row>
    <row r="882" spans="1:2">
      <c r="A882" s="11">
        <f>Returns!A882</f>
        <v>0</v>
      </c>
      <c r="B882" s="1">
        <f>MAX(AVERAGE(Portfolios!$B$2:$B$1004)-Portfolios!B882, 0)</f>
        <v>0</v>
      </c>
    </row>
    <row r="883" spans="1:2">
      <c r="A883" s="11">
        <f>Returns!A883</f>
        <v>0</v>
      </c>
      <c r="B883" s="1">
        <f>MAX(AVERAGE(Portfolios!$B$2:$B$1004)-Portfolios!B883, 0)</f>
        <v>0</v>
      </c>
    </row>
    <row r="884" spans="1:2">
      <c r="A884" s="11">
        <f>Returns!A884</f>
        <v>0</v>
      </c>
      <c r="B884" s="1">
        <f>MAX(AVERAGE(Portfolios!$B$2:$B$1004)-Portfolios!B884, 0)</f>
        <v>0</v>
      </c>
    </row>
    <row r="885" spans="1:2">
      <c r="A885" s="11">
        <f>Returns!A885</f>
        <v>0</v>
      </c>
      <c r="B885" s="1">
        <f>MAX(AVERAGE(Portfolios!$B$2:$B$1004)-Portfolios!B885, 0)</f>
        <v>0</v>
      </c>
    </row>
    <row r="886" spans="1:2">
      <c r="A886" s="11">
        <f>Returns!A886</f>
        <v>0</v>
      </c>
      <c r="B886" s="1">
        <f>MAX(AVERAGE(Portfolios!$B$2:$B$1004)-Portfolios!B886, 0)</f>
        <v>0</v>
      </c>
    </row>
    <row r="887" spans="1:2">
      <c r="A887" s="11">
        <f>Returns!A887</f>
        <v>0</v>
      </c>
      <c r="B887" s="1">
        <f>MAX(AVERAGE(Portfolios!$B$2:$B$1004)-Portfolios!B887, 0)</f>
        <v>0</v>
      </c>
    </row>
    <row r="888" spans="1:2">
      <c r="A888" s="11">
        <f>Returns!A888</f>
        <v>0</v>
      </c>
      <c r="B888" s="1">
        <f>MAX(AVERAGE(Portfolios!$B$2:$B$1004)-Portfolios!B888, 0)</f>
        <v>0</v>
      </c>
    </row>
    <row r="889" spans="1:2">
      <c r="A889" s="11">
        <f>Returns!A889</f>
        <v>0</v>
      </c>
      <c r="B889" s="1">
        <f>MAX(AVERAGE(Portfolios!$B$2:$B$1004)-Portfolios!B889, 0)</f>
        <v>0</v>
      </c>
    </row>
    <row r="890" spans="1:2">
      <c r="A890" s="11">
        <f>Returns!A890</f>
        <v>0</v>
      </c>
      <c r="B890" s="1">
        <f>MAX(AVERAGE(Portfolios!$B$2:$B$1004)-Portfolios!B890, 0)</f>
        <v>0</v>
      </c>
    </row>
    <row r="891" spans="1:2">
      <c r="A891" s="11">
        <f>Returns!A891</f>
        <v>0</v>
      </c>
      <c r="B891" s="1">
        <f>MAX(AVERAGE(Portfolios!$B$2:$B$1004)-Portfolios!B891, 0)</f>
        <v>0</v>
      </c>
    </row>
    <row r="892" spans="1:2">
      <c r="A892" s="11">
        <f>Returns!A892</f>
        <v>0</v>
      </c>
      <c r="B892" s="1">
        <f>MAX(AVERAGE(Portfolios!$B$2:$B$1004)-Portfolios!B892, 0)</f>
        <v>0</v>
      </c>
    </row>
    <row r="893" spans="1:2">
      <c r="A893" s="11">
        <f>Returns!A893</f>
        <v>0</v>
      </c>
      <c r="B893" s="1">
        <f>MAX(AVERAGE(Portfolios!$B$2:$B$1004)-Portfolios!B893, 0)</f>
        <v>0</v>
      </c>
    </row>
    <row r="894" spans="1:2">
      <c r="A894" s="11">
        <f>Returns!A894</f>
        <v>0</v>
      </c>
      <c r="B894" s="1">
        <f>MAX(AVERAGE(Portfolios!$B$2:$B$1004)-Portfolios!B894, 0)</f>
        <v>0</v>
      </c>
    </row>
    <row r="895" spans="1:2">
      <c r="A895" s="11">
        <f>Returns!A895</f>
        <v>0</v>
      </c>
      <c r="B895" s="1">
        <f>MAX(AVERAGE(Portfolios!$B$2:$B$1004)-Portfolios!B895, 0)</f>
        <v>0</v>
      </c>
    </row>
    <row r="896" spans="1:2">
      <c r="A896" s="11">
        <f>Returns!A896</f>
        <v>0</v>
      </c>
      <c r="B896" s="1">
        <f>MAX(AVERAGE(Portfolios!$B$2:$B$1004)-Portfolios!B896, 0)</f>
        <v>0</v>
      </c>
    </row>
    <row r="897" spans="1:2">
      <c r="A897" s="11">
        <f>Returns!A897</f>
        <v>0</v>
      </c>
      <c r="B897" s="1">
        <f>MAX(AVERAGE(Portfolios!$B$2:$B$1004)-Portfolios!B897, 0)</f>
        <v>0</v>
      </c>
    </row>
    <row r="898" spans="1:2">
      <c r="A898" s="11">
        <f>Returns!A898</f>
        <v>0</v>
      </c>
      <c r="B898" s="1">
        <f>MAX(AVERAGE(Portfolios!$B$2:$B$1004)-Portfolios!B898, 0)</f>
        <v>0</v>
      </c>
    </row>
    <row r="899" spans="1:2">
      <c r="A899" s="11">
        <f>Returns!A899</f>
        <v>0</v>
      </c>
      <c r="B899" s="1">
        <f>MAX(AVERAGE(Portfolios!$B$2:$B$1004)-Portfolios!B899, 0)</f>
        <v>0</v>
      </c>
    </row>
    <row r="900" spans="1:2">
      <c r="A900" s="11">
        <f>Returns!A900</f>
        <v>0</v>
      </c>
      <c r="B900" s="1">
        <f>MAX(AVERAGE(Portfolios!$B$2:$B$1004)-Portfolios!B900, 0)</f>
        <v>0</v>
      </c>
    </row>
    <row r="901" spans="1:2">
      <c r="A901" s="11">
        <f>Returns!A901</f>
        <v>0</v>
      </c>
      <c r="B901" s="1">
        <f>MAX(AVERAGE(Portfolios!$B$2:$B$1004)-Portfolios!B901, 0)</f>
        <v>0</v>
      </c>
    </row>
    <row r="902" spans="1:2">
      <c r="A902" s="11">
        <f>Returns!A902</f>
        <v>0</v>
      </c>
      <c r="B902" s="1">
        <f>MAX(AVERAGE(Portfolios!$B$2:$B$1004)-Portfolios!B902, 0)</f>
        <v>0</v>
      </c>
    </row>
    <row r="903" spans="1:2">
      <c r="A903" s="11">
        <f>Returns!A903</f>
        <v>0</v>
      </c>
      <c r="B903" s="1">
        <f>MAX(AVERAGE(Portfolios!$B$2:$B$1004)-Portfolios!B903, 0)</f>
        <v>0</v>
      </c>
    </row>
    <row r="904" spans="1:2">
      <c r="A904" s="11">
        <f>Returns!A904</f>
        <v>0</v>
      </c>
      <c r="B904" s="1">
        <f>MAX(AVERAGE(Portfolios!$B$2:$B$1004)-Portfolios!B904, 0)</f>
        <v>0</v>
      </c>
    </row>
    <row r="905" spans="1:2">
      <c r="A905" s="11">
        <f>Returns!A905</f>
        <v>0</v>
      </c>
      <c r="B905" s="1">
        <f>MAX(AVERAGE(Portfolios!$B$2:$B$1004)-Portfolios!B905, 0)</f>
        <v>0</v>
      </c>
    </row>
    <row r="906" spans="1:2">
      <c r="A906" s="11">
        <f>Returns!A906</f>
        <v>0</v>
      </c>
      <c r="B906" s="1">
        <f>MAX(AVERAGE(Portfolios!$B$2:$B$1004)-Portfolios!B906, 0)</f>
        <v>0</v>
      </c>
    </row>
    <row r="907" spans="1:2">
      <c r="A907" s="11">
        <f>Returns!A907</f>
        <v>0</v>
      </c>
      <c r="B907" s="1">
        <f>MAX(AVERAGE(Portfolios!$B$2:$B$1004)-Portfolios!B907, 0)</f>
        <v>0</v>
      </c>
    </row>
    <row r="908" spans="1:2">
      <c r="A908" s="11">
        <f>Returns!A908</f>
        <v>0</v>
      </c>
      <c r="B908" s="1">
        <f>MAX(AVERAGE(Portfolios!$B$2:$B$1004)-Portfolios!B908, 0)</f>
        <v>0</v>
      </c>
    </row>
    <row r="909" spans="1:2">
      <c r="A909" s="11">
        <f>Returns!A909</f>
        <v>0</v>
      </c>
      <c r="B909" s="1">
        <f>MAX(AVERAGE(Portfolios!$B$2:$B$1004)-Portfolios!B909, 0)</f>
        <v>0</v>
      </c>
    </row>
    <row r="910" spans="1:2">
      <c r="A910" s="11">
        <f>Returns!A910</f>
        <v>0</v>
      </c>
      <c r="B910" s="1">
        <f>MAX(AVERAGE(Portfolios!$B$2:$B$1004)-Portfolios!B910, 0)</f>
        <v>0</v>
      </c>
    </row>
    <row r="911" spans="1:2">
      <c r="A911" s="11">
        <f>Returns!A911</f>
        <v>0</v>
      </c>
      <c r="B911" s="1">
        <f>MAX(AVERAGE(Portfolios!$B$2:$B$1004)-Portfolios!B911, 0)</f>
        <v>0</v>
      </c>
    </row>
    <row r="912" spans="1:2">
      <c r="A912" s="11">
        <f>Returns!A912</f>
        <v>0</v>
      </c>
      <c r="B912" s="1">
        <f>MAX(AVERAGE(Portfolios!$B$2:$B$1004)-Portfolios!B912, 0)</f>
        <v>0</v>
      </c>
    </row>
    <row r="913" spans="1:2">
      <c r="A913" s="11">
        <f>Returns!A913</f>
        <v>0</v>
      </c>
      <c r="B913" s="1">
        <f>MAX(AVERAGE(Portfolios!$B$2:$B$1004)-Portfolios!B913, 0)</f>
        <v>0</v>
      </c>
    </row>
    <row r="914" spans="1:2">
      <c r="A914" s="11">
        <f>Returns!A914</f>
        <v>0</v>
      </c>
      <c r="B914" s="1">
        <f>MAX(AVERAGE(Portfolios!$B$2:$B$1004)-Portfolios!B914, 0)</f>
        <v>0</v>
      </c>
    </row>
    <row r="915" spans="1:2">
      <c r="A915" s="11">
        <f>Returns!A915</f>
        <v>0</v>
      </c>
      <c r="B915" s="1">
        <f>MAX(AVERAGE(Portfolios!$B$2:$B$1004)-Portfolios!B915, 0)</f>
        <v>0</v>
      </c>
    </row>
    <row r="916" spans="1:2">
      <c r="A916" s="11">
        <f>Returns!A916</f>
        <v>0</v>
      </c>
      <c r="B916" s="1">
        <f>MAX(AVERAGE(Portfolios!$B$2:$B$1004)-Portfolios!B916, 0)</f>
        <v>0</v>
      </c>
    </row>
    <row r="917" spans="1:2">
      <c r="A917" s="11">
        <f>Returns!A917</f>
        <v>0</v>
      </c>
      <c r="B917" s="1">
        <f>MAX(AVERAGE(Portfolios!$B$2:$B$1004)-Portfolios!B917, 0)</f>
        <v>0</v>
      </c>
    </row>
    <row r="918" spans="1:2">
      <c r="A918" s="11">
        <f>Returns!A918</f>
        <v>0</v>
      </c>
      <c r="B918" s="1">
        <f>MAX(AVERAGE(Portfolios!$B$2:$B$1004)-Portfolios!B918, 0)</f>
        <v>0</v>
      </c>
    </row>
    <row r="919" spans="1:2">
      <c r="A919" s="11">
        <f>Returns!A919</f>
        <v>0</v>
      </c>
      <c r="B919" s="1">
        <f>MAX(AVERAGE(Portfolios!$B$2:$B$1004)-Portfolios!B919, 0)</f>
        <v>0</v>
      </c>
    </row>
    <row r="920" spans="1:2">
      <c r="A920" s="11">
        <f>Returns!A920</f>
        <v>0</v>
      </c>
      <c r="B920" s="1">
        <f>MAX(AVERAGE(Portfolios!$B$2:$B$1004)-Portfolios!B920, 0)</f>
        <v>0</v>
      </c>
    </row>
    <row r="921" spans="1:2">
      <c r="A921" s="11">
        <f>Returns!A921</f>
        <v>0</v>
      </c>
      <c r="B921" s="1">
        <f>MAX(AVERAGE(Portfolios!$B$2:$B$1004)-Portfolios!B921, 0)</f>
        <v>0</v>
      </c>
    </row>
    <row r="922" spans="1:2">
      <c r="A922" s="11">
        <f>Returns!A922</f>
        <v>0</v>
      </c>
      <c r="B922" s="1">
        <f>MAX(AVERAGE(Portfolios!$B$2:$B$1004)-Portfolios!B922, 0)</f>
        <v>0</v>
      </c>
    </row>
    <row r="923" spans="1:2">
      <c r="A923" s="11">
        <f>Returns!A923</f>
        <v>0</v>
      </c>
      <c r="B923" s="1">
        <f>MAX(AVERAGE(Portfolios!$B$2:$B$1004)-Portfolios!B923, 0)</f>
        <v>0</v>
      </c>
    </row>
    <row r="924" spans="1:2">
      <c r="A924" s="11">
        <f>Returns!A924</f>
        <v>0</v>
      </c>
      <c r="B924" s="1">
        <f>MAX(AVERAGE(Portfolios!$B$2:$B$1004)-Portfolios!B924, 0)</f>
        <v>0</v>
      </c>
    </row>
    <row r="925" spans="1:2">
      <c r="A925" s="11">
        <f>Returns!A925</f>
        <v>0</v>
      </c>
      <c r="B925" s="1">
        <f>MAX(AVERAGE(Portfolios!$B$2:$B$1004)-Portfolios!B925, 0)</f>
        <v>0</v>
      </c>
    </row>
    <row r="926" spans="1:2">
      <c r="A926" s="11">
        <f>Returns!A926</f>
        <v>0</v>
      </c>
      <c r="B926" s="1">
        <f>MAX(AVERAGE(Portfolios!$B$2:$B$1004)-Portfolios!B926, 0)</f>
        <v>0</v>
      </c>
    </row>
    <row r="927" spans="1:2">
      <c r="A927" s="11">
        <f>Returns!A927</f>
        <v>0</v>
      </c>
      <c r="B927" s="1">
        <f>MAX(AVERAGE(Portfolios!$B$2:$B$1004)-Portfolios!B927, 0)</f>
        <v>0</v>
      </c>
    </row>
    <row r="928" spans="1:2">
      <c r="A928" s="11">
        <f>Returns!A928</f>
        <v>0</v>
      </c>
      <c r="B928" s="1">
        <f>MAX(AVERAGE(Portfolios!$B$2:$B$1004)-Portfolios!B928, 0)</f>
        <v>0</v>
      </c>
    </row>
    <row r="929" spans="1:2">
      <c r="A929" s="11">
        <f>Returns!A929</f>
        <v>0</v>
      </c>
      <c r="B929" s="1">
        <f>MAX(AVERAGE(Portfolios!$B$2:$B$1004)-Portfolios!B929, 0)</f>
        <v>0</v>
      </c>
    </row>
    <row r="930" spans="1:2">
      <c r="A930" s="11">
        <f>Returns!A930</f>
        <v>0</v>
      </c>
      <c r="B930" s="1">
        <f>MAX(AVERAGE(Portfolios!$B$2:$B$1004)-Portfolios!B930, 0)</f>
        <v>0</v>
      </c>
    </row>
    <row r="931" spans="1:2">
      <c r="A931" s="11">
        <f>Returns!A931</f>
        <v>0</v>
      </c>
      <c r="B931" s="1">
        <f>MAX(AVERAGE(Portfolios!$B$2:$B$1004)-Portfolios!B931, 0)</f>
        <v>0</v>
      </c>
    </row>
    <row r="932" spans="1:2">
      <c r="A932" s="11">
        <f>Returns!A932</f>
        <v>0</v>
      </c>
      <c r="B932" s="1">
        <f>MAX(AVERAGE(Portfolios!$B$2:$B$1004)-Portfolios!B932, 0)</f>
        <v>0</v>
      </c>
    </row>
    <row r="933" spans="1:2">
      <c r="A933" s="11">
        <f>Returns!A933</f>
        <v>0</v>
      </c>
      <c r="B933" s="1">
        <f>MAX(AVERAGE(Portfolios!$B$2:$B$1004)-Portfolios!B933, 0)</f>
        <v>0</v>
      </c>
    </row>
    <row r="934" spans="1:2">
      <c r="A934" s="11">
        <f>Returns!A934</f>
        <v>0</v>
      </c>
      <c r="B934" s="1">
        <f>MAX(AVERAGE(Portfolios!$B$2:$B$1004)-Portfolios!B934, 0)</f>
        <v>0</v>
      </c>
    </row>
    <row r="935" spans="1:2">
      <c r="A935" s="11">
        <f>Returns!A935</f>
        <v>0</v>
      </c>
      <c r="B935" s="1">
        <f>MAX(AVERAGE(Portfolios!$B$2:$B$1004)-Portfolios!B935, 0)</f>
        <v>0</v>
      </c>
    </row>
    <row r="936" spans="1:2">
      <c r="A936" s="11">
        <f>Returns!A936</f>
        <v>0</v>
      </c>
      <c r="B936" s="1">
        <f>MAX(AVERAGE(Portfolios!$B$2:$B$1004)-Portfolios!B936, 0)</f>
        <v>0</v>
      </c>
    </row>
    <row r="937" spans="1:2">
      <c r="A937" s="11">
        <f>Returns!A937</f>
        <v>0</v>
      </c>
      <c r="B937" s="1">
        <f>MAX(AVERAGE(Portfolios!$B$2:$B$1004)-Portfolios!B937, 0)</f>
        <v>0</v>
      </c>
    </row>
    <row r="938" spans="1:2">
      <c r="A938" s="11">
        <f>Returns!A938</f>
        <v>0</v>
      </c>
      <c r="B938" s="1">
        <f>MAX(AVERAGE(Portfolios!$B$2:$B$1004)-Portfolios!B938, 0)</f>
        <v>0</v>
      </c>
    </row>
    <row r="939" spans="1:2">
      <c r="A939" s="11">
        <f>Returns!A939</f>
        <v>0</v>
      </c>
      <c r="B939" s="1">
        <f>MAX(AVERAGE(Portfolios!$B$2:$B$1004)-Portfolios!B939, 0)</f>
        <v>0</v>
      </c>
    </row>
    <row r="940" spans="1:2">
      <c r="A940" s="11">
        <f>Returns!A940</f>
        <v>0</v>
      </c>
      <c r="B940" s="1">
        <f>MAX(AVERAGE(Portfolios!$B$2:$B$1004)-Portfolios!B940, 0)</f>
        <v>0</v>
      </c>
    </row>
    <row r="941" spans="1:2">
      <c r="A941" s="11">
        <f>Returns!A941</f>
        <v>0</v>
      </c>
      <c r="B941" s="1">
        <f>MAX(AVERAGE(Portfolios!$B$2:$B$1004)-Portfolios!B941, 0)</f>
        <v>0</v>
      </c>
    </row>
    <row r="942" spans="1:2">
      <c r="A942" s="11">
        <f>Returns!A942</f>
        <v>0</v>
      </c>
      <c r="B942" s="1">
        <f>MAX(AVERAGE(Portfolios!$B$2:$B$1004)-Portfolios!B942, 0)</f>
        <v>0</v>
      </c>
    </row>
    <row r="943" spans="1:2">
      <c r="A943" s="11">
        <f>Returns!A943</f>
        <v>0</v>
      </c>
      <c r="B943" s="1">
        <f>MAX(AVERAGE(Portfolios!$B$2:$B$1004)-Portfolios!B943, 0)</f>
        <v>0</v>
      </c>
    </row>
    <row r="944" spans="1:2">
      <c r="A944" s="11">
        <f>Returns!A944</f>
        <v>0</v>
      </c>
      <c r="B944" s="1">
        <f>MAX(AVERAGE(Portfolios!$B$2:$B$1004)-Portfolios!B944, 0)</f>
        <v>0</v>
      </c>
    </row>
    <row r="945" spans="1:2">
      <c r="A945" s="11">
        <f>Returns!A945</f>
        <v>0</v>
      </c>
      <c r="B945" s="1">
        <f>MAX(AVERAGE(Portfolios!$B$2:$B$1004)-Portfolios!B945, 0)</f>
        <v>0</v>
      </c>
    </row>
    <row r="946" spans="1:2">
      <c r="A946" s="11">
        <f>Returns!A946</f>
        <v>0</v>
      </c>
      <c r="B946" s="1">
        <f>MAX(AVERAGE(Portfolios!$B$2:$B$1004)-Portfolios!B946, 0)</f>
        <v>0</v>
      </c>
    </row>
    <row r="947" spans="1:2">
      <c r="A947" s="11">
        <f>Returns!A947</f>
        <v>0</v>
      </c>
      <c r="B947" s="1">
        <f>MAX(AVERAGE(Portfolios!$B$2:$B$1004)-Portfolios!B947, 0)</f>
        <v>0</v>
      </c>
    </row>
    <row r="948" spans="1:2">
      <c r="A948" s="11">
        <f>Returns!A948</f>
        <v>0</v>
      </c>
      <c r="B948" s="1">
        <f>MAX(AVERAGE(Portfolios!$B$2:$B$1004)-Portfolios!B948, 0)</f>
        <v>0</v>
      </c>
    </row>
    <row r="949" spans="1:2">
      <c r="A949" s="11">
        <f>Returns!A949</f>
        <v>0</v>
      </c>
      <c r="B949" s="1">
        <f>MAX(AVERAGE(Portfolios!$B$2:$B$1004)-Portfolios!B949, 0)</f>
        <v>0</v>
      </c>
    </row>
    <row r="950" spans="1:2">
      <c r="A950" s="11">
        <f>Returns!A950</f>
        <v>0</v>
      </c>
      <c r="B950" s="1">
        <f>MAX(AVERAGE(Portfolios!$B$2:$B$1004)-Portfolios!B950, 0)</f>
        <v>0</v>
      </c>
    </row>
    <row r="951" spans="1:2">
      <c r="A951" s="11">
        <f>Returns!A951</f>
        <v>0</v>
      </c>
      <c r="B951" s="1">
        <f>MAX(AVERAGE(Portfolios!$B$2:$B$1004)-Portfolios!B951, 0)</f>
        <v>0</v>
      </c>
    </row>
    <row r="952" spans="1:2">
      <c r="A952" s="11">
        <f>Returns!A952</f>
        <v>0</v>
      </c>
      <c r="B952" s="1">
        <f>MAX(AVERAGE(Portfolios!$B$2:$B$1004)-Portfolios!B952, 0)</f>
        <v>0</v>
      </c>
    </row>
    <row r="953" spans="1:2">
      <c r="A953" s="11">
        <f>Returns!A953</f>
        <v>0</v>
      </c>
      <c r="B953" s="1">
        <f>MAX(AVERAGE(Portfolios!$B$2:$B$1004)-Portfolios!B953, 0)</f>
        <v>0</v>
      </c>
    </row>
    <row r="954" spans="1:2">
      <c r="A954" s="11">
        <f>Returns!A954</f>
        <v>0</v>
      </c>
      <c r="B954" s="1">
        <f>MAX(AVERAGE(Portfolios!$B$2:$B$1004)-Portfolios!B954, 0)</f>
        <v>0</v>
      </c>
    </row>
    <row r="955" spans="1:2">
      <c r="A955" s="11">
        <f>Returns!A955</f>
        <v>0</v>
      </c>
      <c r="B955" s="1">
        <f>MAX(AVERAGE(Portfolios!$B$2:$B$1004)-Portfolios!B955, 0)</f>
        <v>0</v>
      </c>
    </row>
    <row r="956" spans="1:2">
      <c r="A956" s="11">
        <f>Returns!A956</f>
        <v>0</v>
      </c>
      <c r="B956" s="1">
        <f>MAX(AVERAGE(Portfolios!$B$2:$B$1004)-Portfolios!B956, 0)</f>
        <v>0</v>
      </c>
    </row>
    <row r="957" spans="1:2">
      <c r="A957" s="11">
        <f>Returns!A957</f>
        <v>0</v>
      </c>
      <c r="B957" s="1">
        <f>MAX(AVERAGE(Portfolios!$B$2:$B$1004)-Portfolios!B957, 0)</f>
        <v>0</v>
      </c>
    </row>
    <row r="958" spans="1:2">
      <c r="A958" s="11">
        <f>Returns!A958</f>
        <v>0</v>
      </c>
      <c r="B958" s="1">
        <f>MAX(AVERAGE(Portfolios!$B$2:$B$1004)-Portfolios!B958, 0)</f>
        <v>0</v>
      </c>
    </row>
    <row r="959" spans="1:2">
      <c r="A959" s="11">
        <f>Returns!A959</f>
        <v>0</v>
      </c>
      <c r="B959" s="1">
        <f>MAX(AVERAGE(Portfolios!$B$2:$B$1004)-Portfolios!B959, 0)</f>
        <v>0</v>
      </c>
    </row>
    <row r="960" spans="1:2">
      <c r="A960" s="11">
        <f>Returns!A960</f>
        <v>0</v>
      </c>
      <c r="B960" s="1">
        <f>MAX(AVERAGE(Portfolios!$B$2:$B$1004)-Portfolios!B960, 0)</f>
        <v>0</v>
      </c>
    </row>
    <row r="961" spans="1:2">
      <c r="A961" s="11">
        <f>Returns!A961</f>
        <v>0</v>
      </c>
      <c r="B961" s="1">
        <f>MAX(AVERAGE(Portfolios!$B$2:$B$1004)-Portfolios!B961, 0)</f>
        <v>0</v>
      </c>
    </row>
    <row r="962" spans="1:2">
      <c r="A962" s="11">
        <f>Returns!A962</f>
        <v>0</v>
      </c>
      <c r="B962" s="1">
        <f>MAX(AVERAGE(Portfolios!$B$2:$B$1004)-Portfolios!B962, 0)</f>
        <v>0</v>
      </c>
    </row>
    <row r="963" spans="1:2">
      <c r="A963" s="11">
        <f>Returns!A963</f>
        <v>0</v>
      </c>
      <c r="B963" s="1">
        <f>MAX(AVERAGE(Portfolios!$B$2:$B$1004)-Portfolios!B963, 0)</f>
        <v>0</v>
      </c>
    </row>
    <row r="964" spans="1:2">
      <c r="A964" s="11">
        <f>Returns!A964</f>
        <v>0</v>
      </c>
      <c r="B964" s="1">
        <f>MAX(AVERAGE(Portfolios!$B$2:$B$1004)-Portfolios!B964, 0)</f>
        <v>0</v>
      </c>
    </row>
    <row r="965" spans="1:2">
      <c r="A965" s="11">
        <f>Returns!A965</f>
        <v>0</v>
      </c>
      <c r="B965" s="1">
        <f>MAX(AVERAGE(Portfolios!$B$2:$B$1004)-Portfolios!B965, 0)</f>
        <v>0</v>
      </c>
    </row>
    <row r="966" spans="1:2">
      <c r="A966" s="11">
        <f>Returns!A966</f>
        <v>0</v>
      </c>
      <c r="B966" s="1">
        <f>MAX(AVERAGE(Portfolios!$B$2:$B$1004)-Portfolios!B966, 0)</f>
        <v>0</v>
      </c>
    </row>
    <row r="967" spans="1:2">
      <c r="A967" s="11">
        <f>Returns!A967</f>
        <v>0</v>
      </c>
      <c r="B967" s="1">
        <f>MAX(AVERAGE(Portfolios!$B$2:$B$1004)-Portfolios!B967, 0)</f>
        <v>0</v>
      </c>
    </row>
    <row r="968" spans="1:2">
      <c r="A968" s="11">
        <f>Returns!A968</f>
        <v>0</v>
      </c>
      <c r="B968" s="1">
        <f>MAX(AVERAGE(Portfolios!$B$2:$B$1004)-Portfolios!B968, 0)</f>
        <v>0</v>
      </c>
    </row>
    <row r="969" spans="1:2">
      <c r="A969" s="11">
        <f>Returns!A969</f>
        <v>0</v>
      </c>
      <c r="B969" s="1">
        <f>MAX(AVERAGE(Portfolios!$B$2:$B$1004)-Portfolios!B969, 0)</f>
        <v>0</v>
      </c>
    </row>
    <row r="970" spans="1:2">
      <c r="A970" s="11">
        <f>Returns!A970</f>
        <v>0</v>
      </c>
      <c r="B970" s="1">
        <f>MAX(AVERAGE(Portfolios!$B$2:$B$1004)-Portfolios!B970, 0)</f>
        <v>0</v>
      </c>
    </row>
    <row r="971" spans="1:2">
      <c r="A971" s="11">
        <f>Returns!A971</f>
        <v>0</v>
      </c>
      <c r="B971" s="1">
        <f>MAX(AVERAGE(Portfolios!$B$2:$B$1004)-Portfolios!B971, 0)</f>
        <v>0</v>
      </c>
    </row>
    <row r="972" spans="1:2">
      <c r="A972" s="11">
        <f>Returns!A972</f>
        <v>0</v>
      </c>
      <c r="B972" s="1">
        <f>MAX(AVERAGE(Portfolios!$B$2:$B$1004)-Portfolios!B972, 0)</f>
        <v>0</v>
      </c>
    </row>
    <row r="973" spans="1:2">
      <c r="A973" s="11">
        <f>Returns!A973</f>
        <v>0</v>
      </c>
      <c r="B973" s="1">
        <f>MAX(AVERAGE(Portfolios!$B$2:$B$1004)-Portfolios!B973, 0)</f>
        <v>0</v>
      </c>
    </row>
    <row r="974" spans="1:2">
      <c r="A974" s="11">
        <f>Returns!A974</f>
        <v>0</v>
      </c>
      <c r="B974" s="1">
        <f>MAX(AVERAGE(Portfolios!$B$2:$B$1004)-Portfolios!B974, 0)</f>
        <v>0</v>
      </c>
    </row>
    <row r="975" spans="1:2">
      <c r="A975" s="11">
        <f>Returns!A975</f>
        <v>0</v>
      </c>
      <c r="B975" s="1">
        <f>MAX(AVERAGE(Portfolios!$B$2:$B$1004)-Portfolios!B975, 0)</f>
        <v>0</v>
      </c>
    </row>
    <row r="976" spans="1:2">
      <c r="A976" s="11">
        <f>Returns!A976</f>
        <v>0</v>
      </c>
      <c r="B976" s="1">
        <f>MAX(AVERAGE(Portfolios!$B$2:$B$1004)-Portfolios!B976, 0)</f>
        <v>0</v>
      </c>
    </row>
    <row r="977" spans="1:2">
      <c r="A977" s="11">
        <f>Returns!A977</f>
        <v>0</v>
      </c>
      <c r="B977" s="1">
        <f>MAX(AVERAGE(Portfolios!$B$2:$B$1004)-Portfolios!B977, 0)</f>
        <v>0</v>
      </c>
    </row>
    <row r="978" spans="1:2">
      <c r="A978" s="11">
        <f>Returns!A978</f>
        <v>0</v>
      </c>
      <c r="B978" s="1">
        <f>MAX(AVERAGE(Portfolios!$B$2:$B$1004)-Portfolios!B978, 0)</f>
        <v>0</v>
      </c>
    </row>
    <row r="979" spans="1:2">
      <c r="A979" s="11">
        <f>Returns!A979</f>
        <v>0</v>
      </c>
      <c r="B979" s="1">
        <f>MAX(AVERAGE(Portfolios!$B$2:$B$1004)-Portfolios!B979, 0)</f>
        <v>0</v>
      </c>
    </row>
    <row r="980" spans="1:2">
      <c r="A980" s="11">
        <f>Returns!A980</f>
        <v>0</v>
      </c>
      <c r="B980" s="1">
        <f>MAX(AVERAGE(Portfolios!$B$2:$B$1004)-Portfolios!B980, 0)</f>
        <v>0</v>
      </c>
    </row>
    <row r="981" spans="1:2">
      <c r="A981" s="11">
        <f>Returns!A981</f>
        <v>0</v>
      </c>
      <c r="B981" s="1">
        <f>MAX(AVERAGE(Portfolios!$B$2:$B$1004)-Portfolios!B981, 0)</f>
        <v>0</v>
      </c>
    </row>
    <row r="982" spans="1:2">
      <c r="A982" s="11">
        <f>Returns!A982</f>
        <v>0</v>
      </c>
      <c r="B982" s="1">
        <f>MAX(AVERAGE(Portfolios!$B$2:$B$1004)-Portfolios!B982, 0)</f>
        <v>0</v>
      </c>
    </row>
    <row r="983" spans="1:2">
      <c r="A983" s="11">
        <f>Returns!A983</f>
        <v>0</v>
      </c>
      <c r="B983" s="1">
        <f>MAX(AVERAGE(Portfolios!$B$2:$B$1004)-Portfolios!B983, 0)</f>
        <v>0</v>
      </c>
    </row>
    <row r="984" spans="1:2">
      <c r="A984" s="11">
        <f>Returns!A984</f>
        <v>0</v>
      </c>
      <c r="B984" s="1">
        <f>MAX(AVERAGE(Portfolios!$B$2:$B$1004)-Portfolios!B984, 0)</f>
        <v>0</v>
      </c>
    </row>
    <row r="985" spans="1:2">
      <c r="A985" s="11">
        <f>Returns!A985</f>
        <v>0</v>
      </c>
      <c r="B985" s="1">
        <f>MAX(AVERAGE(Portfolios!$B$2:$B$1004)-Portfolios!B985, 0)</f>
        <v>0</v>
      </c>
    </row>
    <row r="986" spans="1:2">
      <c r="A986" s="11">
        <f>Returns!A986</f>
        <v>0</v>
      </c>
      <c r="B986" s="1">
        <f>MAX(AVERAGE(Portfolios!$B$2:$B$1004)-Portfolios!B986, 0)</f>
        <v>0</v>
      </c>
    </row>
    <row r="987" spans="1:2">
      <c r="A987" s="11">
        <f>Returns!A987</f>
        <v>0</v>
      </c>
      <c r="B987" s="1">
        <f>MAX(AVERAGE(Portfolios!$B$2:$B$1004)-Portfolios!B987, 0)</f>
        <v>0</v>
      </c>
    </row>
    <row r="988" spans="1:2">
      <c r="A988" s="11">
        <f>Returns!A988</f>
        <v>0</v>
      </c>
      <c r="B988" s="1">
        <f>MAX(AVERAGE(Portfolios!$B$2:$B$1004)-Portfolios!B988, 0)</f>
        <v>0</v>
      </c>
    </row>
    <row r="989" spans="1:2">
      <c r="A989" s="11">
        <f>Returns!A989</f>
        <v>0</v>
      </c>
      <c r="B989" s="1">
        <f>MAX(AVERAGE(Portfolios!$B$2:$B$1004)-Portfolios!B989, 0)</f>
        <v>0</v>
      </c>
    </row>
    <row r="990" spans="1:2">
      <c r="A990" s="11">
        <f>Returns!A990</f>
        <v>0</v>
      </c>
      <c r="B990" s="1">
        <f>MAX(AVERAGE(Portfolios!$B$2:$B$1004)-Portfolios!B990, 0)</f>
        <v>0</v>
      </c>
    </row>
    <row r="991" spans="1:2">
      <c r="A991" s="11">
        <f>Returns!A991</f>
        <v>0</v>
      </c>
      <c r="B991" s="1">
        <f>MAX(AVERAGE(Portfolios!$B$2:$B$1004)-Portfolios!B991, 0)</f>
        <v>0</v>
      </c>
    </row>
    <row r="992" spans="1:2">
      <c r="A992" s="11">
        <f>Returns!A992</f>
        <v>0</v>
      </c>
      <c r="B992" s="1">
        <f>MAX(AVERAGE(Portfolios!$B$2:$B$1004)-Portfolios!B992, 0)</f>
        <v>0</v>
      </c>
    </row>
    <row r="993" spans="1:2">
      <c r="A993" s="11">
        <f>Returns!A993</f>
        <v>0</v>
      </c>
      <c r="B993" s="1">
        <f>MAX(AVERAGE(Portfolios!$B$2:$B$1004)-Portfolios!B993, 0)</f>
        <v>0</v>
      </c>
    </row>
    <row r="994" spans="1:2">
      <c r="A994" s="11">
        <f>Returns!A994</f>
        <v>0</v>
      </c>
      <c r="B994" s="1">
        <f>MAX(AVERAGE(Portfolios!$B$2:$B$1004)-Portfolios!B994, 0)</f>
        <v>0</v>
      </c>
    </row>
    <row r="995" spans="1:2">
      <c r="A995" s="11">
        <f>Returns!A995</f>
        <v>0</v>
      </c>
      <c r="B995" s="1">
        <f>MAX(AVERAGE(Portfolios!$B$2:$B$1004)-Portfolios!B995, 0)</f>
        <v>0</v>
      </c>
    </row>
    <row r="996" spans="1:2">
      <c r="A996" s="11">
        <f>Returns!A996</f>
        <v>0</v>
      </c>
      <c r="B996" s="1">
        <f>MAX(AVERAGE(Portfolios!$B$2:$B$1004)-Portfolios!B996, 0)</f>
        <v>0</v>
      </c>
    </row>
    <row r="997" spans="1:2">
      <c r="A997" s="11">
        <f>Returns!A997</f>
        <v>0</v>
      </c>
      <c r="B997" s="1">
        <f>MAX(AVERAGE(Portfolios!$B$2:$B$1004)-Portfolios!B997, 0)</f>
        <v>0</v>
      </c>
    </row>
    <row r="998" spans="1:2">
      <c r="A998" s="11">
        <f>Returns!A998</f>
        <v>0</v>
      </c>
      <c r="B998" s="1">
        <f>MAX(AVERAGE(Portfolios!$B$2:$B$1004)-Portfolios!B998, 0)</f>
        <v>0</v>
      </c>
    </row>
    <row r="999" spans="1:2">
      <c r="A999" s="11">
        <f>Returns!A999</f>
        <v>0</v>
      </c>
      <c r="B999" s="1">
        <f>MAX(AVERAGE(Portfolios!$B$2:$B$1004)-Portfolios!B999, 0)</f>
        <v>0</v>
      </c>
    </row>
    <row r="1000" spans="1:2">
      <c r="A1000" s="11">
        <f>Returns!A1000</f>
        <v>0</v>
      </c>
      <c r="B1000" s="1">
        <f>MAX(AVERAGE(Portfolios!$B$2:$B$1004)-Portfolios!B1000, 0)</f>
        <v>0</v>
      </c>
    </row>
    <row r="1001" spans="1:2">
      <c r="A1001" s="11">
        <f>Returns!A1001</f>
        <v>0</v>
      </c>
      <c r="B1001" s="1">
        <f>MAX(AVERAGE(Portfolios!$B$2:$B$1004)-Portfolios!B1001, 0)</f>
        <v>0</v>
      </c>
    </row>
    <row r="1002" spans="1:2">
      <c r="A1002" s="11">
        <f>Returns!A1002</f>
        <v>0</v>
      </c>
      <c r="B1002" s="1">
        <f>MAX(AVERAGE(Portfolios!$B$2:$B$1004)-Portfolios!B1002, 0)</f>
        <v>0</v>
      </c>
    </row>
    <row r="1003" spans="1:2">
      <c r="A1003" s="11">
        <f>Returns!A1003</f>
        <v>0</v>
      </c>
      <c r="B1003" s="1">
        <f>MAX(AVERAGE(Portfolios!$B$2:$B$1004)-Portfolios!B1003, 0)</f>
        <v>0</v>
      </c>
    </row>
    <row r="1004" spans="1:2">
      <c r="A1004" s="11">
        <f>Returns!A1004</f>
        <v>0</v>
      </c>
      <c r="B1004" s="1">
        <f>MAX(AVERAGE(Portfolios!$B$2:$B$1004)-Portfolios!B1004, 0)</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Resume</vt:lpstr>
      <vt:lpstr>Returns</vt:lpstr>
      <vt:lpstr>Portfolios</vt:lpstr>
      <vt:lpstr>Absdev</vt:lpstr>
      <vt:lpstr>CumRet</vt:lpstr>
      <vt:lpstr>Drawdown</vt:lpstr>
      <vt:lpstr>devBelowTarget</vt:lpstr>
      <vt:lpstr>devBelowMean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2026-09-29T05:39:49Z</dcterms:created>
  <dcterms:modified xsi:type="dcterms:W3CDTF">2026-09-29T05:39:49Z</dcterms:modified>
</cp:coreProperties>
</file>